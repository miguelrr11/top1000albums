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rodriguez\Desktop\top1000albums\"/>
    </mc:Choice>
  </mc:AlternateContent>
  <xr:revisionPtr revIDLastSave="0" documentId="13_ncr:1_{442DD6B3-E403-4DC5-A3CA-490693AD26CE}" xr6:coauthVersionLast="47" xr6:coauthVersionMax="47" xr10:uidLastSave="{00000000-0000-0000-0000-000000000000}"/>
  <bookViews>
    <workbookView xWindow="-108" yWindow="-108" windowWidth="23256" windowHeight="12456" xr2:uid="{0EA344FB-F653-8A4E-9162-CD1E4229299E}"/>
  </bookViews>
  <sheets>
    <sheet name="Hoja2" sheetId="4" r:id="rId1"/>
    <sheet name="Sheet2" sheetId="6" r:id="rId2"/>
    <sheet name="Hoja3" sheetId="3" r:id="rId3"/>
  </sheets>
  <definedNames>
    <definedName name="_xlchart.v1.0" hidden="1">Hoja2!$V$3:$V$131</definedName>
    <definedName name="_xlchart.v1.1" hidden="1">Hoja2!$V$3:$V$131</definedName>
    <definedName name="RangoDinamico" comment="para la grafica">DESREF(Hoja2!$V$3,0,0,Hoja2!$AF$3,1)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8" i="6" l="1"/>
  <c r="K328" i="6"/>
  <c r="E328" i="6"/>
  <c r="B322" i="6"/>
  <c r="E320" i="6"/>
  <c r="N318" i="6"/>
  <c r="K318" i="6"/>
  <c r="E310" i="6"/>
  <c r="H309" i="6"/>
  <c r="B309" i="6"/>
  <c r="N306" i="6"/>
  <c r="K304" i="6"/>
  <c r="E299" i="6"/>
  <c r="N297" i="6"/>
  <c r="K296" i="6"/>
  <c r="H296" i="6"/>
  <c r="H288" i="6"/>
  <c r="E288" i="6"/>
  <c r="K286" i="6"/>
  <c r="N284" i="6"/>
  <c r="B279" i="6"/>
  <c r="E278" i="6"/>
  <c r="N277" i="6"/>
  <c r="K276" i="6"/>
  <c r="H276" i="6"/>
  <c r="B272" i="6"/>
  <c r="E266" i="6"/>
  <c r="H265" i="6"/>
  <c r="K264" i="6"/>
  <c r="B260" i="6"/>
  <c r="H258" i="6"/>
  <c r="E254" i="6"/>
  <c r="K252" i="6"/>
  <c r="N249" i="6"/>
  <c r="H246" i="6"/>
  <c r="B246" i="6"/>
  <c r="N240" i="6"/>
  <c r="K237" i="6"/>
  <c r="E237" i="6"/>
  <c r="B235" i="6"/>
  <c r="H229" i="6"/>
  <c r="E229" i="6"/>
  <c r="N228" i="6"/>
  <c r="B226" i="6"/>
  <c r="K219" i="6"/>
  <c r="H215" i="6"/>
  <c r="E213" i="6"/>
  <c r="B213" i="6"/>
  <c r="N211" i="6"/>
  <c r="K208" i="6"/>
  <c r="H202" i="6"/>
  <c r="E201" i="6"/>
  <c r="K199" i="6"/>
  <c r="B196" i="6"/>
  <c r="H191" i="6"/>
  <c r="K189" i="6"/>
  <c r="E186" i="6"/>
  <c r="N185" i="6"/>
  <c r="B185" i="6"/>
  <c r="N182" i="6"/>
  <c r="K182" i="6"/>
  <c r="H177" i="6"/>
  <c r="K175" i="6"/>
  <c r="E172" i="6"/>
  <c r="B172" i="6"/>
  <c r="K165" i="6"/>
  <c r="H165" i="6"/>
  <c r="B162" i="6"/>
  <c r="N161" i="6"/>
  <c r="E161" i="6"/>
  <c r="N152" i="6"/>
  <c r="K149" i="6"/>
  <c r="H149" i="6"/>
  <c r="E146" i="6"/>
  <c r="B145" i="6"/>
  <c r="N144" i="6"/>
  <c r="N137" i="6"/>
  <c r="K136" i="6"/>
  <c r="B134" i="6"/>
  <c r="H131" i="6"/>
  <c r="E128" i="6"/>
  <c r="N127" i="6"/>
  <c r="H125" i="6"/>
  <c r="K124" i="6"/>
  <c r="E117" i="6"/>
  <c r="B114" i="6"/>
  <c r="N112" i="6"/>
  <c r="K111" i="6"/>
  <c r="H110" i="6"/>
  <c r="B103" i="6"/>
  <c r="E101" i="6"/>
  <c r="K98" i="6"/>
  <c r="H97" i="6"/>
  <c r="N93" i="6"/>
  <c r="B93" i="6"/>
  <c r="K90" i="6"/>
  <c r="H83" i="6"/>
  <c r="E80" i="6"/>
  <c r="N79" i="6"/>
  <c r="B79" i="6"/>
  <c r="K77" i="6"/>
  <c r="B70" i="6"/>
  <c r="H69" i="6"/>
  <c r="N67" i="6"/>
  <c r="K66" i="6"/>
  <c r="E65" i="6"/>
  <c r="B59" i="6"/>
  <c r="H57" i="6"/>
  <c r="N54" i="6"/>
  <c r="K54" i="6"/>
  <c r="E54" i="6"/>
  <c r="H47" i="6"/>
  <c r="B47" i="6"/>
  <c r="K40" i="6"/>
  <c r="N39" i="6"/>
  <c r="E39" i="6"/>
  <c r="B33" i="6"/>
  <c r="H30" i="6"/>
  <c r="E30" i="6"/>
  <c r="N28" i="6"/>
  <c r="B26" i="6"/>
  <c r="K25" i="6"/>
  <c r="H17" i="6"/>
  <c r="B16" i="6"/>
  <c r="N14" i="6"/>
  <c r="K14" i="6"/>
  <c r="E14" i="6"/>
  <c r="AO11" i="6"/>
  <c r="N2" i="6"/>
  <c r="K2" i="6"/>
  <c r="H2" i="6"/>
  <c r="E2" i="6"/>
  <c r="B2" i="6"/>
  <c r="N328" i="4"/>
  <c r="K328" i="4"/>
  <c r="E328" i="4"/>
  <c r="B322" i="4"/>
  <c r="N318" i="4"/>
  <c r="K318" i="4"/>
  <c r="E320" i="4"/>
  <c r="E310" i="4"/>
  <c r="H309" i="4"/>
  <c r="B309" i="4"/>
  <c r="E14" i="4"/>
  <c r="N306" i="4"/>
  <c r="AO11" i="4"/>
  <c r="K304" i="4"/>
  <c r="E299" i="4"/>
  <c r="N297" i="4"/>
  <c r="K296" i="4"/>
  <c r="H296" i="4"/>
  <c r="H288" i="4"/>
  <c r="E288" i="4"/>
  <c r="K286" i="4"/>
  <c r="N284" i="4"/>
  <c r="B279" i="4"/>
  <c r="N277" i="4"/>
  <c r="E278" i="4"/>
  <c r="K276" i="4"/>
  <c r="H276" i="4"/>
  <c r="B272" i="4"/>
  <c r="H265" i="4"/>
  <c r="E266" i="4"/>
  <c r="K264" i="4"/>
  <c r="B260" i="4"/>
  <c r="H258" i="4"/>
  <c r="E254" i="4"/>
  <c r="K252" i="4"/>
  <c r="N249" i="4"/>
  <c r="B246" i="4"/>
  <c r="H246" i="4"/>
  <c r="N240" i="4"/>
  <c r="K237" i="4"/>
  <c r="E237" i="4"/>
  <c r="B235" i="4"/>
  <c r="H229" i="4"/>
  <c r="N228" i="4"/>
  <c r="E229" i="4"/>
  <c r="B226" i="4"/>
  <c r="K219" i="4"/>
  <c r="H215" i="4"/>
  <c r="B213" i="4"/>
  <c r="E213" i="4"/>
  <c r="K208" i="4"/>
  <c r="N211" i="4"/>
  <c r="H202" i="4"/>
  <c r="E201" i="4"/>
  <c r="B114" i="4"/>
  <c r="K199" i="4"/>
  <c r="B196" i="4"/>
  <c r="H191" i="4"/>
  <c r="K189" i="4"/>
  <c r="N185" i="4"/>
  <c r="E186" i="4"/>
  <c r="B185" i="4"/>
  <c r="K182" i="4"/>
  <c r="H177" i="4"/>
  <c r="H125" i="4"/>
  <c r="K175" i="4"/>
  <c r="N182" i="4"/>
  <c r="B172" i="4"/>
  <c r="E172" i="4"/>
  <c r="K165" i="4"/>
  <c r="H165" i="4"/>
  <c r="B162" i="4"/>
  <c r="N161" i="4"/>
  <c r="E161" i="4"/>
  <c r="N152" i="4"/>
  <c r="K136" i="4"/>
  <c r="H149" i="4"/>
  <c r="K149" i="4"/>
  <c r="N144" i="4"/>
  <c r="E146" i="4"/>
  <c r="B145" i="4"/>
  <c r="N137" i="4"/>
  <c r="B134" i="4"/>
  <c r="H131" i="4"/>
  <c r="N127" i="4"/>
  <c r="E128" i="4"/>
  <c r="E117" i="4" s="1"/>
  <c r="K124" i="4"/>
  <c r="K111" i="4" s="1"/>
  <c r="H97" i="4"/>
  <c r="N112" i="4"/>
  <c r="H110" i="4"/>
  <c r="B103" i="4"/>
  <c r="E101" i="4"/>
  <c r="K98" i="4"/>
  <c r="N93" i="4"/>
  <c r="B93" i="4"/>
  <c r="K90" i="4"/>
  <c r="H83" i="4"/>
  <c r="N79" i="4"/>
  <c r="E80" i="4"/>
  <c r="B79" i="4"/>
  <c r="K77" i="4"/>
  <c r="B70" i="4"/>
  <c r="H69" i="4"/>
  <c r="N67" i="4"/>
  <c r="K66" i="4"/>
  <c r="E65" i="4"/>
  <c r="N28" i="4"/>
  <c r="B2" i="4"/>
  <c r="H57" i="4"/>
  <c r="K54" i="4"/>
  <c r="N54" i="4"/>
  <c r="B59" i="4"/>
  <c r="E54" i="4"/>
  <c r="B47" i="4"/>
  <c r="E2" i="4"/>
  <c r="H2" i="4"/>
  <c r="K2" i="4"/>
  <c r="N2" i="4"/>
  <c r="K14" i="4"/>
  <c r="N14" i="4"/>
  <c r="B16" i="4"/>
  <c r="H17" i="4"/>
  <c r="K25" i="4"/>
  <c r="B26" i="4"/>
  <c r="E30" i="4"/>
  <c r="H30" i="4"/>
  <c r="B33" i="4"/>
  <c r="E39" i="4"/>
  <c r="N39" i="4"/>
  <c r="K40" i="4"/>
  <c r="H47" i="4"/>
  <c r="O41" i="3"/>
  <c r="O29" i="3"/>
  <c r="L17" i="3"/>
  <c r="O16" i="3"/>
  <c r="L46" i="3"/>
  <c r="L32" i="3"/>
  <c r="I43" i="3"/>
  <c r="O2" i="3"/>
  <c r="L2" i="3"/>
  <c r="I31" i="3"/>
  <c r="I17" i="3"/>
  <c r="I2" i="3"/>
  <c r="F43" i="3"/>
  <c r="F32" i="3"/>
  <c r="F17" i="3"/>
  <c r="F2" i="3"/>
  <c r="C44" i="3"/>
  <c r="C33" i="3"/>
  <c r="C19" i="3"/>
  <c r="C2" i="3"/>
</calcChain>
</file>

<file path=xl/sharedStrings.xml><?xml version="1.0" encoding="utf-8"?>
<sst xmlns="http://schemas.openxmlformats.org/spreadsheetml/2006/main" count="5383" uniqueCount="2214">
  <si>
    <t>The Grudge</t>
  </si>
  <si>
    <t>Eon Blue Apocalypse</t>
  </si>
  <si>
    <t>The Patient</t>
  </si>
  <si>
    <t>Mantra</t>
  </si>
  <si>
    <t>Schsim</t>
  </si>
  <si>
    <t>Parabol(a)</t>
  </si>
  <si>
    <t>Ticks &amp; Leeches</t>
  </si>
  <si>
    <t>Lateralus</t>
  </si>
  <si>
    <t>Disposition</t>
  </si>
  <si>
    <t>Reflection</t>
  </si>
  <si>
    <t>Triad</t>
  </si>
  <si>
    <t>Faaip De Oiad</t>
  </si>
  <si>
    <t>15 Step</t>
  </si>
  <si>
    <t>Bodysnatchers</t>
  </si>
  <si>
    <t>Nude</t>
  </si>
  <si>
    <t>All I Need</t>
  </si>
  <si>
    <t>Weird Fishes / Arpeggi</t>
  </si>
  <si>
    <t>Faust Arp</t>
  </si>
  <si>
    <t>Reckoner</t>
  </si>
  <si>
    <t>House Of Cards</t>
  </si>
  <si>
    <t>Jigsaw Fallin Into Place</t>
  </si>
  <si>
    <t>Videotape</t>
  </si>
  <si>
    <t>Conversation of Two</t>
  </si>
  <si>
    <t>Air Supply</t>
  </si>
  <si>
    <t>Forever</t>
  </si>
  <si>
    <t>Acting</t>
  </si>
  <si>
    <t>Milk</t>
  </si>
  <si>
    <t>Darkness</t>
  </si>
  <si>
    <t>To the Moon</t>
  </si>
  <si>
    <t>Song About a Sea</t>
  </si>
  <si>
    <t>Song About a Sun</t>
  </si>
  <si>
    <t>No Words to Be Found</t>
  </si>
  <si>
    <t>Pretending</t>
  </si>
  <si>
    <t>Misfortunes are Cruel</t>
  </si>
  <si>
    <t>Your World is Eternally Complete</t>
  </si>
  <si>
    <t>Sirius</t>
  </si>
  <si>
    <t>Eye In The Sky</t>
  </si>
  <si>
    <t>Children of the Moon</t>
  </si>
  <si>
    <t>Gemini</t>
  </si>
  <si>
    <t>Silence and I</t>
  </si>
  <si>
    <t>You're Gonna Get Your Fingers Burned</t>
  </si>
  <si>
    <t>Psychobabble</t>
  </si>
  <si>
    <t>Mammagamma</t>
  </si>
  <si>
    <t>Step by Step</t>
  </si>
  <si>
    <t>Old And Wise</t>
  </si>
  <si>
    <t>Speak to Me</t>
  </si>
  <si>
    <t>Breath (In the Air)</t>
  </si>
  <si>
    <t>On the Run</t>
  </si>
  <si>
    <t>Time</t>
  </si>
  <si>
    <t>The Great Gig in the Sky</t>
  </si>
  <si>
    <t>Money</t>
  </si>
  <si>
    <t>Us and Them</t>
  </si>
  <si>
    <t>Any Colour You Like</t>
  </si>
  <si>
    <t>Brain Damage</t>
  </si>
  <si>
    <t>Eclipse</t>
  </si>
  <si>
    <t>Battery</t>
  </si>
  <si>
    <t>Master Of Puppets</t>
  </si>
  <si>
    <t>The Thing That Should Not Be</t>
  </si>
  <si>
    <t>Welcome Home (Sanitarium)</t>
  </si>
  <si>
    <t>Disposable Heroes</t>
  </si>
  <si>
    <t>Leper Messiah</t>
  </si>
  <si>
    <t>Orion</t>
  </si>
  <si>
    <t>Damage, Inc.</t>
  </si>
  <si>
    <t>One More Time</t>
  </si>
  <si>
    <t>Aerodynamic</t>
  </si>
  <si>
    <t>Digital Love</t>
  </si>
  <si>
    <t>Harder, Better, Faster, Stonger</t>
  </si>
  <si>
    <t>Crescendolls</t>
  </si>
  <si>
    <t>Nightvision</t>
  </si>
  <si>
    <t>Superheroes</t>
  </si>
  <si>
    <t>High Life</t>
  </si>
  <si>
    <t>Something About Us</t>
  </si>
  <si>
    <t>Voyager</t>
  </si>
  <si>
    <t>Veridis Quo</t>
  </si>
  <si>
    <t>Short Circuit</t>
  </si>
  <si>
    <t>Face to Face</t>
  </si>
  <si>
    <t>Angel</t>
  </si>
  <si>
    <t>Risingson</t>
  </si>
  <si>
    <t>Teardrop</t>
  </si>
  <si>
    <t>Inertia Creeps</t>
  </si>
  <si>
    <t>Exchange</t>
  </si>
  <si>
    <t>Dissolved Girl</t>
  </si>
  <si>
    <t>Man Next Door</t>
  </si>
  <si>
    <t>Black Milk</t>
  </si>
  <si>
    <t>Mezzazine</t>
  </si>
  <si>
    <t>Group Four</t>
  </si>
  <si>
    <t>(Exchange)</t>
  </si>
  <si>
    <t>So Far Away</t>
  </si>
  <si>
    <t>Money For Nothing</t>
  </si>
  <si>
    <t>Walk Of Life</t>
  </si>
  <si>
    <t>Your Latest Trick</t>
  </si>
  <si>
    <t>Why Worry?</t>
  </si>
  <si>
    <t>Ride Across The River</t>
  </si>
  <si>
    <t>The Man's Too Strong</t>
  </si>
  <si>
    <t>One World</t>
  </si>
  <si>
    <t>Brothers In Arms</t>
  </si>
  <si>
    <t>Second Hand News</t>
  </si>
  <si>
    <t>Dreams</t>
  </si>
  <si>
    <t>Never Going Back Again</t>
  </si>
  <si>
    <t>Don't Stop</t>
  </si>
  <si>
    <t>Go Your Own Way</t>
  </si>
  <si>
    <t>Songbird</t>
  </si>
  <si>
    <t>The Chain</t>
  </si>
  <si>
    <t>You Make Loving Fun</t>
  </si>
  <si>
    <t>I Don't Want to Know</t>
  </si>
  <si>
    <t>Oh Daddy</t>
  </si>
  <si>
    <t>Gold Dust Woman</t>
  </si>
  <si>
    <t>Silver Springs</t>
  </si>
  <si>
    <t>21st Century Schizoid Man</t>
  </si>
  <si>
    <t>I Talk To The Wind</t>
  </si>
  <si>
    <t>Epitah</t>
  </si>
  <si>
    <t>Moonchild</t>
  </si>
  <si>
    <t>The Court Of The Crimson King</t>
  </si>
  <si>
    <t>Papercut</t>
  </si>
  <si>
    <t>One Step Closer</t>
  </si>
  <si>
    <t xml:space="preserve">With You </t>
  </si>
  <si>
    <t>Points of Authority</t>
  </si>
  <si>
    <t>Crawling</t>
  </si>
  <si>
    <t>Runaway</t>
  </si>
  <si>
    <t>By Myself</t>
  </si>
  <si>
    <t>In The End</t>
  </si>
  <si>
    <t>A Place for My Head</t>
  </si>
  <si>
    <t>Forgotten</t>
  </si>
  <si>
    <t>Cure For The Itch</t>
  </si>
  <si>
    <t>Pushing Me Away</t>
  </si>
  <si>
    <t>My December</t>
  </si>
  <si>
    <t>The Lepper Affinity</t>
  </si>
  <si>
    <t>Bleak</t>
  </si>
  <si>
    <t>Harvest</t>
  </si>
  <si>
    <t>The Drapery Falls</t>
  </si>
  <si>
    <t>Dirge For November</t>
  </si>
  <si>
    <t>The Funeral Portrait</t>
  </si>
  <si>
    <t>Blackwater Park</t>
  </si>
  <si>
    <t>The Adults Are Talking</t>
  </si>
  <si>
    <t>Selfless</t>
  </si>
  <si>
    <t>Brooklyn Bridge To Chorus</t>
  </si>
  <si>
    <t>Bad Decisions</t>
  </si>
  <si>
    <t>Eternal Summer</t>
  </si>
  <si>
    <t>At The Door</t>
  </si>
  <si>
    <t>Why Are Sundays So Depressing</t>
  </si>
  <si>
    <t>Not The Same Anymore</t>
  </si>
  <si>
    <t>Ode To The Mets</t>
  </si>
  <si>
    <t>TOOL - Ænima</t>
  </si>
  <si>
    <t>Stinkfist</t>
  </si>
  <si>
    <t>Eulogy</t>
  </si>
  <si>
    <t>H.</t>
  </si>
  <si>
    <t>Airbag</t>
  </si>
  <si>
    <t>Paranoid Android</t>
  </si>
  <si>
    <t>Subterranean Homesick Alien</t>
  </si>
  <si>
    <t>Exit Music (For a Film)</t>
  </si>
  <si>
    <t>Let Down</t>
  </si>
  <si>
    <t>Karma Police</t>
  </si>
  <si>
    <t>Fitter Happier</t>
  </si>
  <si>
    <t>Electioneering</t>
  </si>
  <si>
    <t>Climbing Up the Walls</t>
  </si>
  <si>
    <t>No Surprises</t>
  </si>
  <si>
    <t>Lucky</t>
  </si>
  <si>
    <t>The Tourist</t>
  </si>
  <si>
    <t>Ænima</t>
  </si>
  <si>
    <t>Discovery</t>
  </si>
  <si>
    <t>X&amp;Y</t>
  </si>
  <si>
    <t>Rumours</t>
  </si>
  <si>
    <t>Dirt</t>
  </si>
  <si>
    <t>Coeficiente de correlacion entre NOTA y N canciones:</t>
  </si>
  <si>
    <t>Square One</t>
  </si>
  <si>
    <t>What If</t>
  </si>
  <si>
    <t>White Shadows</t>
  </si>
  <si>
    <t>Fix You</t>
  </si>
  <si>
    <t>Talk</t>
  </si>
  <si>
    <t>Speed of Sound</t>
  </si>
  <si>
    <t>A Message</t>
  </si>
  <si>
    <t>Low</t>
  </si>
  <si>
    <t>The Hardest Part</t>
  </si>
  <si>
    <t>Swallowed in the Sea</t>
  </si>
  <si>
    <t>Twisted Logic</t>
  </si>
  <si>
    <t>Til Kingdom Come</t>
  </si>
  <si>
    <t>A Quick One Before the Eternal Worm Devours Connecticut</t>
  </si>
  <si>
    <t>Bloodhail</t>
  </si>
  <si>
    <t>The Big Gloom</t>
  </si>
  <si>
    <t>Hunter</t>
  </si>
  <si>
    <t>Telephony</t>
  </si>
  <si>
    <t>Who Would Leave Their Son Out in the Sun?</t>
  </si>
  <si>
    <t>There Is No Food</t>
  </si>
  <si>
    <t>Waiting for Black Metal Records to Come in the Mail</t>
  </si>
  <si>
    <t>Holy Fucking Shit: 40,000</t>
  </si>
  <si>
    <t>The Future</t>
  </si>
  <si>
    <t>Deep, Deep</t>
  </si>
  <si>
    <t>I Don't Love</t>
  </si>
  <si>
    <t>Earthmover</t>
  </si>
  <si>
    <t>Deathconsciousness</t>
  </si>
  <si>
    <t>Them Bones</t>
  </si>
  <si>
    <t>Dam That River</t>
  </si>
  <si>
    <t>Rain When I Die</t>
  </si>
  <si>
    <t>Down In A Hole</t>
  </si>
  <si>
    <t>Sickman</t>
  </si>
  <si>
    <t>Rooster</t>
  </si>
  <si>
    <t>Junkhead</t>
  </si>
  <si>
    <t>God Smack</t>
  </si>
  <si>
    <t>Hate To Feel</t>
  </si>
  <si>
    <t>Angry Chair</t>
  </si>
  <si>
    <t>Would?</t>
  </si>
  <si>
    <t>Useful Idiot</t>
  </si>
  <si>
    <t>Forty Six &amp; 2</t>
  </si>
  <si>
    <t>Message To Harry Manback</t>
  </si>
  <si>
    <t>Hooker With A Penis</t>
  </si>
  <si>
    <t>Intermission</t>
  </si>
  <si>
    <t>Jimmy</t>
  </si>
  <si>
    <t>Die Eir Von Satan</t>
  </si>
  <si>
    <t>Pushit</t>
  </si>
  <si>
    <t>Cesaro Summability</t>
  </si>
  <si>
    <t>Ænema</t>
  </si>
  <si>
    <t>(-) Ions</t>
  </si>
  <si>
    <t>Third Eye</t>
  </si>
  <si>
    <t>Black Dog</t>
  </si>
  <si>
    <t>Rock and Roll</t>
  </si>
  <si>
    <t>The Battle of Evermore</t>
  </si>
  <si>
    <t>Stairway to Heaven</t>
  </si>
  <si>
    <t>Misty Mountain Hop</t>
  </si>
  <si>
    <t>Four Sticks</t>
  </si>
  <si>
    <t>Going to California</t>
  </si>
  <si>
    <t>When the Levee Breaks</t>
  </si>
  <si>
    <t>You're Gonna Get Your Fingers...</t>
  </si>
  <si>
    <t>A Quick One Before the Eternal…</t>
  </si>
  <si>
    <t>Who Would Leave Their Son Out…</t>
  </si>
  <si>
    <t>Waiting for Black Metal Records…</t>
  </si>
  <si>
    <r>
      <rPr>
        <sz val="14"/>
        <color theme="1"/>
        <rFont val="Bodoni 72 Book"/>
      </rPr>
      <t>HANL</t>
    </r>
    <r>
      <rPr>
        <b/>
        <sz val="14"/>
        <color theme="1"/>
        <rFont val="Bodoni 72 Book"/>
      </rPr>
      <t xml:space="preserve"> - Deathconsciousness</t>
    </r>
  </si>
  <si>
    <r>
      <rPr>
        <sz val="14"/>
        <color theme="1"/>
        <rFont val="Bodoni 72 Book"/>
      </rPr>
      <t>Sweet Trip</t>
    </r>
    <r>
      <rPr>
        <b/>
        <sz val="14"/>
        <color theme="1"/>
        <rFont val="Bodoni 72 Book"/>
      </rPr>
      <t xml:space="preserve"> - YWNKW</t>
    </r>
  </si>
  <si>
    <r>
      <rPr>
        <sz val="14"/>
        <color theme="1"/>
        <rFont val="Bodoni 72 Book"/>
      </rPr>
      <t>Coldplay</t>
    </r>
    <r>
      <rPr>
        <b/>
        <sz val="14"/>
        <color theme="1"/>
        <rFont val="Bodoni 72 Book"/>
      </rPr>
      <t xml:space="preserve"> - X&amp;Y</t>
    </r>
  </si>
  <si>
    <r>
      <rPr>
        <sz val="14"/>
        <color theme="1"/>
        <rFont val="Bodoni 72 Book"/>
      </rPr>
      <t>TOOL</t>
    </r>
    <r>
      <rPr>
        <b/>
        <sz val="14"/>
        <color theme="1"/>
        <rFont val="Bodoni 72 Book"/>
      </rPr>
      <t xml:space="preserve"> - Lateralus</t>
    </r>
  </si>
  <si>
    <r>
      <rPr>
        <sz val="14"/>
        <color theme="1"/>
        <rFont val="Bodoni 72 Book"/>
      </rPr>
      <t xml:space="preserve">Linkin Park </t>
    </r>
    <r>
      <rPr>
        <b/>
        <sz val="14"/>
        <color theme="1"/>
        <rFont val="Bodoni 72 Book"/>
      </rPr>
      <t>- Hybrid Theory</t>
    </r>
  </si>
  <si>
    <r>
      <rPr>
        <sz val="15"/>
        <color theme="1"/>
        <rFont val="Bodoni 72 Book"/>
      </rPr>
      <t>Fleetwood Mac</t>
    </r>
    <r>
      <rPr>
        <b/>
        <sz val="15"/>
        <color theme="1"/>
        <rFont val="Bodoni 72 Book"/>
      </rPr>
      <t xml:space="preserve"> - Rumours</t>
    </r>
  </si>
  <si>
    <r>
      <rPr>
        <sz val="14"/>
        <color theme="1"/>
        <rFont val="Bodoni 72 Book"/>
      </rPr>
      <t xml:space="preserve">Daft Punk </t>
    </r>
    <r>
      <rPr>
        <b/>
        <sz val="14"/>
        <color theme="1"/>
        <rFont val="Bodoni 72 Book"/>
      </rPr>
      <t>- Discovery</t>
    </r>
  </si>
  <si>
    <r>
      <rPr>
        <sz val="14"/>
        <color theme="1"/>
        <rFont val="Bodoni 72 Book"/>
      </rPr>
      <t>Radiohead</t>
    </r>
    <r>
      <rPr>
        <b/>
        <sz val="14"/>
        <color theme="1"/>
        <rFont val="Bodoni 72 Book"/>
      </rPr>
      <t xml:space="preserve"> - OK Computer</t>
    </r>
  </si>
  <si>
    <r>
      <rPr>
        <sz val="14"/>
        <color theme="1"/>
        <rFont val="Bodoni 72 Book"/>
      </rPr>
      <t>Radiohead</t>
    </r>
    <r>
      <rPr>
        <b/>
        <sz val="14"/>
        <color theme="1"/>
        <rFont val="Bodoni 72 Book"/>
      </rPr>
      <t xml:space="preserve"> - In Rainbows</t>
    </r>
  </si>
  <si>
    <r>
      <rPr>
        <sz val="14"/>
        <color theme="1"/>
        <rFont val="Bodoni 72 Book"/>
      </rPr>
      <t>TAPP</t>
    </r>
    <r>
      <rPr>
        <b/>
        <sz val="14"/>
        <color theme="1"/>
        <rFont val="Bodoni 72 Book"/>
      </rPr>
      <t xml:space="preserve"> - Eye In The Sky</t>
    </r>
  </si>
  <si>
    <r>
      <rPr>
        <sz val="14"/>
        <color theme="1"/>
        <rFont val="Bodoni 72 Book"/>
      </rPr>
      <t>Alice In Chains</t>
    </r>
    <r>
      <rPr>
        <b/>
        <sz val="14"/>
        <color theme="1"/>
        <rFont val="Bodoni 72 Book"/>
      </rPr>
      <t xml:space="preserve"> - Dirt</t>
    </r>
  </si>
  <si>
    <r>
      <rPr>
        <sz val="13"/>
        <color theme="1"/>
        <rFont val="Bodoni 72 Book"/>
      </rPr>
      <t xml:space="preserve">Dire Straits </t>
    </r>
    <r>
      <rPr>
        <b/>
        <sz val="13"/>
        <color theme="1"/>
        <rFont val="Bodoni 72 Book"/>
      </rPr>
      <t>- Brothers In Arms</t>
    </r>
  </si>
  <si>
    <r>
      <rPr>
        <sz val="14"/>
        <color theme="1"/>
        <rFont val="Bodoni 72 Book"/>
      </rPr>
      <t>Pink Floyd</t>
    </r>
    <r>
      <rPr>
        <b/>
        <sz val="14"/>
        <color theme="1"/>
        <rFont val="Bodoni 72 Book"/>
      </rPr>
      <t xml:space="preserve"> - TDSOTM</t>
    </r>
  </si>
  <si>
    <r>
      <rPr>
        <sz val="14"/>
        <color theme="1"/>
        <rFont val="Bodoni 72 Book"/>
      </rPr>
      <t>Opeth</t>
    </r>
    <r>
      <rPr>
        <b/>
        <sz val="14"/>
        <color theme="1"/>
        <rFont val="Bodoni 72 Book"/>
      </rPr>
      <t xml:space="preserve"> - Blackwater Park</t>
    </r>
  </si>
  <si>
    <r>
      <rPr>
        <sz val="14"/>
        <color theme="1"/>
        <rFont val="Bodoni 72 Book"/>
      </rPr>
      <t>King Crimson</t>
    </r>
    <r>
      <rPr>
        <b/>
        <sz val="14"/>
        <color theme="1"/>
        <rFont val="Bodoni 72 Book"/>
      </rPr>
      <t xml:space="preserve"> - ITCOTCK</t>
    </r>
  </si>
  <si>
    <r>
      <rPr>
        <sz val="14"/>
        <color theme="1"/>
        <rFont val="Bodoni 72 Book"/>
      </rPr>
      <t>The Strokes</t>
    </r>
    <r>
      <rPr>
        <b/>
        <sz val="14"/>
        <color theme="1"/>
        <rFont val="Bodoni 72 Book"/>
      </rPr>
      <t xml:space="preserve"> - The New Abnormal</t>
    </r>
  </si>
  <si>
    <r>
      <rPr>
        <sz val="14"/>
        <color theme="1"/>
        <rFont val="Bodoni 72 Book"/>
      </rPr>
      <t>Metallica</t>
    </r>
    <r>
      <rPr>
        <b/>
        <sz val="14"/>
        <color theme="1"/>
        <rFont val="Bodoni 72 Book"/>
      </rPr>
      <t xml:space="preserve"> - Master Of Puppets</t>
    </r>
  </si>
  <si>
    <r>
      <rPr>
        <sz val="14"/>
        <color theme="1"/>
        <rFont val="Bodoni 72 Book"/>
      </rPr>
      <t>Led Zeppelin</t>
    </r>
    <r>
      <rPr>
        <b/>
        <sz val="14"/>
        <color theme="1"/>
        <rFont val="Bodoni 72 Book"/>
      </rPr>
      <t xml:space="preserve"> - Led Zeppelin IV</t>
    </r>
  </si>
  <si>
    <t>9-10</t>
  </si>
  <si>
    <t>8-9</t>
  </si>
  <si>
    <t>7-8</t>
  </si>
  <si>
    <t>Mezzanine</t>
  </si>
  <si>
    <t>GOAT</t>
  </si>
  <si>
    <r>
      <rPr>
        <sz val="14"/>
        <color theme="1"/>
        <rFont val="Bodoni 72 Book"/>
      </rPr>
      <t>Massive Attack</t>
    </r>
    <r>
      <rPr>
        <b/>
        <sz val="14"/>
        <color theme="1"/>
        <rFont val="Bodoni 72 Book"/>
      </rPr>
      <t xml:space="preserve"> - Mezzanine</t>
    </r>
  </si>
  <si>
    <t>Perfect songs</t>
  </si>
  <si>
    <t>Almost perfect songs</t>
  </si>
  <si>
    <t>Really enjoyable songs</t>
  </si>
  <si>
    <t>Enjoyable songs</t>
  </si>
  <si>
    <t>Interlude</t>
  </si>
  <si>
    <t>Songs that aren't fair to rate</t>
  </si>
  <si>
    <t>The Genesis</t>
  </si>
  <si>
    <t>N.Y. State of Mind</t>
  </si>
  <si>
    <t>Life's a Bitch</t>
  </si>
  <si>
    <t>The World Is Yours</t>
  </si>
  <si>
    <t>Halftime</t>
  </si>
  <si>
    <t>Memory Lane</t>
  </si>
  <si>
    <t>One Love</t>
  </si>
  <si>
    <t>One Time 4 Your Mind</t>
  </si>
  <si>
    <t>Represent</t>
  </si>
  <si>
    <t>It Ain't Hard to Tell</t>
  </si>
  <si>
    <t>Rust In Peace</t>
  </si>
  <si>
    <t>Holy Wars…The Punishment Due</t>
  </si>
  <si>
    <t>Hangar 18</t>
  </si>
  <si>
    <t>Take No Prisoners</t>
  </si>
  <si>
    <t>Five Magics</t>
  </si>
  <si>
    <t>Poison Was The Cure</t>
  </si>
  <si>
    <t>Lucretia</t>
  </si>
  <si>
    <t>Tornado Of Souls</t>
  </si>
  <si>
    <t>Dawn Patrol</t>
  </si>
  <si>
    <t>Rust In Peace…Polaris</t>
  </si>
  <si>
    <t>Led Zeppelin IV</t>
  </si>
  <si>
    <t>Life changing shit (top 250)</t>
  </si>
  <si>
    <t>Illmatic</t>
  </si>
  <si>
    <t>El rating de las canciones se hace un poco en contexto del album</t>
  </si>
  <si>
    <t>y genero, por eso puede ocurrir que un album que me guste más</t>
  </si>
  <si>
    <t>tenga una nota inferior que otro</t>
  </si>
  <si>
    <t>Shame On a Nuh</t>
  </si>
  <si>
    <t>Clan In Da Front</t>
  </si>
  <si>
    <t>Can It Be All So Simple</t>
  </si>
  <si>
    <t>Method Man</t>
  </si>
  <si>
    <t>Da Mystery of Cheesboxin'</t>
  </si>
  <si>
    <t>Wu-Tang Clan Ain't Nothing Ta F'Wit</t>
  </si>
  <si>
    <t>C.R.E.A.M.</t>
  </si>
  <si>
    <t>Protet Ya Neck</t>
  </si>
  <si>
    <t>Tearz</t>
  </si>
  <si>
    <t>https://miguelrr11.github.io/Miscellaneous/TikTokAlbumGenerator/</t>
  </si>
  <si>
    <t>Everything In Its Right Place</t>
  </si>
  <si>
    <t>Kid A</t>
  </si>
  <si>
    <t>The National Anthem</t>
  </si>
  <si>
    <t>How to Disappear Completely</t>
  </si>
  <si>
    <t>Treefingers</t>
  </si>
  <si>
    <t>Optimistic</t>
  </si>
  <si>
    <t>In Limbo</t>
  </si>
  <si>
    <t>Idioteque</t>
  </si>
  <si>
    <t>Morning Bell</t>
  </si>
  <si>
    <t>Motion Picture Sountrack</t>
  </si>
  <si>
    <t>Untitled</t>
  </si>
  <si>
    <t>Disorder</t>
  </si>
  <si>
    <t>Day of the Lords</t>
  </si>
  <si>
    <t>Candidate</t>
  </si>
  <si>
    <t>Insight</t>
  </si>
  <si>
    <t>New Dawn Fades</t>
  </si>
  <si>
    <t>She's Lost Control</t>
  </si>
  <si>
    <t>Shadowplay</t>
  </si>
  <si>
    <t>Wilderness</t>
  </si>
  <si>
    <t>Interzone</t>
  </si>
  <si>
    <t>I Remember Nothing</t>
  </si>
  <si>
    <t>Unknown Pleasures</t>
  </si>
  <si>
    <t>Intolerance</t>
  </si>
  <si>
    <t>Prison Sex</t>
  </si>
  <si>
    <t>Sober</t>
  </si>
  <si>
    <t>Bottom</t>
  </si>
  <si>
    <t>Crawl Away</t>
  </si>
  <si>
    <t>Swamp Song</t>
  </si>
  <si>
    <t>Undertow</t>
  </si>
  <si>
    <t>4º</t>
  </si>
  <si>
    <t>Flood</t>
  </si>
  <si>
    <t>Disgustipated</t>
  </si>
  <si>
    <t>6-7</t>
  </si>
  <si>
    <t>Underwelming songs</t>
  </si>
  <si>
    <r>
      <rPr>
        <sz val="12"/>
        <color theme="0"/>
        <rFont val="Aptos Narrow"/>
        <scheme val="minor"/>
      </rPr>
      <t>* Pink Floyd</t>
    </r>
    <r>
      <rPr>
        <b/>
        <sz val="12"/>
        <color theme="0"/>
        <rFont val="Aptos Narrow"/>
        <scheme val="minor"/>
      </rPr>
      <t xml:space="preserve"> - The Dark Side Of The Moon</t>
    </r>
  </si>
  <si>
    <r>
      <rPr>
        <sz val="14"/>
        <color rgb="FFFFFF00"/>
        <rFont val="Aptos Narrow"/>
        <scheme val="minor"/>
      </rPr>
      <t>* The Strokes</t>
    </r>
    <r>
      <rPr>
        <b/>
        <sz val="14"/>
        <color rgb="FFFFFF00"/>
        <rFont val="Aptos Narrow"/>
        <scheme val="minor"/>
      </rPr>
      <t xml:space="preserve"> - The New Abnormal</t>
    </r>
  </si>
  <si>
    <r>
      <rPr>
        <sz val="11"/>
        <color rgb="FFDFB87E"/>
        <rFont val="Aptos Narrow"/>
        <scheme val="minor"/>
      </rPr>
      <t>* Have A Nice Life</t>
    </r>
    <r>
      <rPr>
        <b/>
        <sz val="11"/>
        <color rgb="FFDFB87E"/>
        <rFont val="Aptos Narrow"/>
        <scheme val="minor"/>
      </rPr>
      <t xml:space="preserve"> - Deathconsciousness</t>
    </r>
  </si>
  <si>
    <t>Artista</t>
  </si>
  <si>
    <t>Álbum</t>
  </si>
  <si>
    <t>Media</t>
  </si>
  <si>
    <t>Desv. Típica</t>
  </si>
  <si>
    <t>Notas ≥10</t>
  </si>
  <si>
    <t>Total Canciones</t>
  </si>
  <si>
    <t>Interludios</t>
  </si>
  <si>
    <t>TOOL</t>
  </si>
  <si>
    <t>Radiohead</t>
  </si>
  <si>
    <t>In Rainbows</t>
  </si>
  <si>
    <t>OK Computer</t>
  </si>
  <si>
    <t>Led Zeppelin</t>
  </si>
  <si>
    <t>King Crimson</t>
  </si>
  <si>
    <t>Pink Floyd</t>
  </si>
  <si>
    <t>The Dark Side Of The Moon</t>
  </si>
  <si>
    <t>Opeth</t>
  </si>
  <si>
    <t>Metallica</t>
  </si>
  <si>
    <t>Have A Nice Life</t>
  </si>
  <si>
    <t>Daft Punk</t>
  </si>
  <si>
    <t>Megadeth</t>
  </si>
  <si>
    <t>The Strokes</t>
  </si>
  <si>
    <t>The New Abnormal</t>
  </si>
  <si>
    <t>Dire Straits</t>
  </si>
  <si>
    <t>Nas</t>
  </si>
  <si>
    <t>Massive Attack</t>
  </si>
  <si>
    <t>Fleetwood Mac</t>
  </si>
  <si>
    <t>Coldplay</t>
  </si>
  <si>
    <t>Sweet Trip</t>
  </si>
  <si>
    <t>Alice In Chains</t>
  </si>
  <si>
    <t>Joy Division</t>
  </si>
  <si>
    <t>Linkin Park</t>
  </si>
  <si>
    <t>Hybrid Theory</t>
  </si>
  <si>
    <r>
      <t xml:space="preserve">* Wu Tang Clan - </t>
    </r>
    <r>
      <rPr>
        <b/>
        <sz val="9.5"/>
        <color rgb="FFFFD100"/>
        <rFont val="Aptos Narrow"/>
        <scheme val="minor"/>
      </rPr>
      <t>Enter the Wu-Tang (36 Chambers)</t>
    </r>
  </si>
  <si>
    <t>#</t>
  </si>
  <si>
    <t>Wu Tang Clan</t>
  </si>
  <si>
    <t>Enter the Wu-Tang (36 Chambers)</t>
  </si>
  <si>
    <t>REQUISITOS PARA QUE EL SCRIPT FUNCIONE:</t>
  </si>
  <si>
    <t>1. Los títulos de los álbumes deben empezar con un asterisco *</t>
  </si>
  <si>
    <t>2. Los títulos de los álbumes deben estar separados así: &lt;artista&gt; - &lt;álbum&gt;</t>
  </si>
  <si>
    <t>3. El requisito 2 hace que los artistas NO puedan contener un guión -</t>
  </si>
  <si>
    <t xml:space="preserve">4. Ya no es necesario poner la media de cada album </t>
  </si>
  <si>
    <t>Come Back to Earth</t>
  </si>
  <si>
    <t>Hurt Feelings</t>
  </si>
  <si>
    <t>What's the Use?</t>
  </si>
  <si>
    <t>Perfecto</t>
  </si>
  <si>
    <t>Self Care</t>
  </si>
  <si>
    <t>Wings</t>
  </si>
  <si>
    <t>Ladders</t>
  </si>
  <si>
    <t>Small Worlds</t>
  </si>
  <si>
    <t>Conversation Pt. 1</t>
  </si>
  <si>
    <t>Dunno</t>
  </si>
  <si>
    <t>Jet Fuel</t>
  </si>
  <si>
    <t>So It Goes</t>
  </si>
  <si>
    <t>2009.</t>
  </si>
  <si>
    <t>Mac Miller</t>
  </si>
  <si>
    <t>Swimming</t>
  </si>
  <si>
    <t>La tabla resumen es AUTOMATICA, pulsar botón para actualizarla</t>
  </si>
  <si>
    <t>After</t>
  </si>
  <si>
    <t>Volta-face</t>
  </si>
  <si>
    <t>Conceiving You</t>
  </si>
  <si>
    <t>Second Life Syndrome</t>
  </si>
  <si>
    <t>Artificial Smile</t>
  </si>
  <si>
    <t>I Turned You Down</t>
  </si>
  <si>
    <t>Reality Dream III</t>
  </si>
  <si>
    <t>Dance With The Shadows</t>
  </si>
  <si>
    <t>Before</t>
  </si>
  <si>
    <r>
      <t xml:space="preserve">* </t>
    </r>
    <r>
      <rPr>
        <sz val="13"/>
        <color rgb="FFE79200"/>
        <rFont val="Aptos Narrow"/>
        <scheme val="minor"/>
      </rPr>
      <t>Riverside</t>
    </r>
    <r>
      <rPr>
        <b/>
        <sz val="13"/>
        <color rgb="FFE79200"/>
        <rFont val="Aptos Narrow"/>
        <scheme val="minor"/>
      </rPr>
      <t xml:space="preserve"> - Second Life Syndrome</t>
    </r>
  </si>
  <si>
    <t>Riverside</t>
  </si>
  <si>
    <t>Cherry-coloured Funk</t>
  </si>
  <si>
    <t>Pitch the Baby</t>
  </si>
  <si>
    <t>Iceblink Luck</t>
  </si>
  <si>
    <t>Fifty-fifty Clown</t>
  </si>
  <si>
    <t>Heaven or Las Vegas</t>
  </si>
  <si>
    <t>I Wear Your Ring</t>
  </si>
  <si>
    <t>Fotzepolitic</t>
  </si>
  <si>
    <t>Wolf in the Breast</t>
  </si>
  <si>
    <t>Road, River and Rail</t>
  </si>
  <si>
    <t>Frou-frou Foxes in Midsummer Fires</t>
  </si>
  <si>
    <t>Cocteau Twins</t>
  </si>
  <si>
    <r>
      <rPr>
        <sz val="13"/>
        <color theme="0"/>
        <rFont val="Aptos Narrow"/>
        <family val="2"/>
        <scheme val="minor"/>
      </rPr>
      <t>* Joy Division</t>
    </r>
    <r>
      <rPr>
        <b/>
        <sz val="13"/>
        <color theme="0"/>
        <rFont val="Aptos Narrow"/>
        <family val="2"/>
        <scheme val="minor"/>
      </rPr>
      <t xml:space="preserve"> - Unknown Pleasures</t>
    </r>
  </si>
  <si>
    <t>Plainsong</t>
  </si>
  <si>
    <t>Pictures Of You</t>
  </si>
  <si>
    <t>Closedown</t>
  </si>
  <si>
    <t>Lovesong</t>
  </si>
  <si>
    <t>Last Dance</t>
  </si>
  <si>
    <t>Lullaby</t>
  </si>
  <si>
    <t>Fascination Street</t>
  </si>
  <si>
    <t>Prayers For Rain</t>
  </si>
  <si>
    <t>The Same Deep Water As You</t>
  </si>
  <si>
    <t>Disintegration</t>
  </si>
  <si>
    <t>Homesick</t>
  </si>
  <si>
    <t>The Cure</t>
  </si>
  <si>
    <t>* Si el boton no funciona, ir a automatizar -&gt; scripts -&gt; buscar ahi</t>
  </si>
  <si>
    <t>Nosotros</t>
  </si>
  <si>
    <t>Fuego, Fuego</t>
  </si>
  <si>
    <t>Cuestión de Fe</t>
  </si>
  <si>
    <t>Sudores fríos</t>
  </si>
  <si>
    <t>Más Alcohol</t>
  </si>
  <si>
    <t>A la tumba</t>
  </si>
  <si>
    <t>Dime que sí</t>
  </si>
  <si>
    <t>Hijos de la Ruina</t>
  </si>
  <si>
    <t>Hijos de la ruina, vol. 3</t>
  </si>
  <si>
    <t>Tipping Point</t>
  </si>
  <si>
    <t>I Don't Care</t>
  </si>
  <si>
    <t>Hey God?!</t>
  </si>
  <si>
    <t>Let There Be Shred</t>
  </si>
  <si>
    <t>Puppet Parade</t>
  </si>
  <si>
    <t>Another Bad Day</t>
  </si>
  <si>
    <t>Made To Kill</t>
  </si>
  <si>
    <t>Obey The Call</t>
  </si>
  <si>
    <t>I Am War</t>
  </si>
  <si>
    <t>The Last Note</t>
  </si>
  <si>
    <t>Ride The Lightning (Bonus Track)</t>
  </si>
  <si>
    <t>Epitaph</t>
  </si>
  <si>
    <t>Planet Telex</t>
  </si>
  <si>
    <t>The Bends</t>
  </si>
  <si>
    <t>High And Dry</t>
  </si>
  <si>
    <t>Fake Plastic Trees</t>
  </si>
  <si>
    <t>Bones</t>
  </si>
  <si>
    <t>(Nice Dream)</t>
  </si>
  <si>
    <t>Just</t>
  </si>
  <si>
    <t>My Iron Lung</t>
  </si>
  <si>
    <t>Bullet Proof… I Wish I Was</t>
  </si>
  <si>
    <t>Black Star</t>
  </si>
  <si>
    <t>Sulk</t>
  </si>
  <si>
    <t>Street Spirit (Fade Out)</t>
  </si>
  <si>
    <r>
      <rPr>
        <sz val="12"/>
        <color theme="5" tint="-0.499984740745262"/>
        <rFont val="Aptos Narrow"/>
        <scheme val="minor"/>
      </rPr>
      <t>* The Alan Parsons Project</t>
    </r>
    <r>
      <rPr>
        <b/>
        <sz val="12"/>
        <color theme="5" tint="-0.499984740745262"/>
        <rFont val="Aptos Narrow"/>
        <scheme val="minor"/>
      </rPr>
      <t xml:space="preserve"> - Eye In The Sky</t>
    </r>
  </si>
  <si>
    <t>The Alan Parsons Project</t>
  </si>
  <si>
    <t>HYAENA</t>
  </si>
  <si>
    <t>THANK GOD</t>
  </si>
  <si>
    <t>MODERN JAM</t>
  </si>
  <si>
    <t>MY EYES</t>
  </si>
  <si>
    <t>GOD'S COUNTRY</t>
  </si>
  <si>
    <t>SIRENS</t>
  </si>
  <si>
    <t>METLDOWN</t>
  </si>
  <si>
    <t>FE!N</t>
  </si>
  <si>
    <t>DELRESTO (ECHOES)</t>
  </si>
  <si>
    <t>I KNOW?</t>
  </si>
  <si>
    <t>TOPIA TWINS</t>
  </si>
  <si>
    <t>CIRCUS MAXIMUS</t>
  </si>
  <si>
    <t>PARASAIL</t>
  </si>
  <si>
    <t>SKITZO</t>
  </si>
  <si>
    <t>LOST FOREVER</t>
  </si>
  <si>
    <t>LOOOOVE</t>
  </si>
  <si>
    <t>K-POP</t>
  </si>
  <si>
    <t>TELEKINESIS</t>
  </si>
  <si>
    <t>TIL FURHTER NOTICE</t>
  </si>
  <si>
    <r>
      <rPr>
        <sz val="12"/>
        <color theme="0"/>
        <rFont val="Aptos Narrow"/>
        <family val="2"/>
        <scheme val="minor"/>
      </rPr>
      <t>* Hijos de la Ruina</t>
    </r>
    <r>
      <rPr>
        <b/>
        <sz val="12"/>
        <color theme="0"/>
        <rFont val="Aptos Narrow"/>
        <family val="2"/>
        <scheme val="minor"/>
      </rPr>
      <t xml:space="preserve"> - Hijos de la ruina, vol. 3</t>
    </r>
  </si>
  <si>
    <t>Travis Scott</t>
  </si>
  <si>
    <t>UTOPIA</t>
  </si>
  <si>
    <t>Blackest Eyes</t>
  </si>
  <si>
    <t>Trains</t>
  </si>
  <si>
    <t>Lips Of Ashes</t>
  </si>
  <si>
    <t>The Sound Of Muzak</t>
  </si>
  <si>
    <t>Gravity Eyelids</t>
  </si>
  <si>
    <t>Wedding Nails</t>
  </si>
  <si>
    <t>Prodigal</t>
  </si>
  <si>
    <t>.3</t>
  </si>
  <si>
    <t>The Creator Has A Mastertape</t>
  </si>
  <si>
    <t>Heartattack In A Layby</t>
  </si>
  <si>
    <t>Strip The Soul</t>
  </si>
  <si>
    <t>Collapse The Light Into Earth</t>
  </si>
  <si>
    <r>
      <t xml:space="preserve">* </t>
    </r>
    <r>
      <rPr>
        <sz val="14"/>
        <color rgb="FFFFD7D6"/>
        <rFont val="Aptos Narrow"/>
        <scheme val="minor"/>
      </rPr>
      <t>Radiohead</t>
    </r>
    <r>
      <rPr>
        <b/>
        <sz val="14"/>
        <color rgb="FFFFD7D6"/>
        <rFont val="Aptos Narrow"/>
        <scheme val="minor"/>
      </rPr>
      <t xml:space="preserve"> - The Bends</t>
    </r>
  </si>
  <si>
    <t>Porcupine Tree</t>
  </si>
  <si>
    <t>In Absentia</t>
  </si>
  <si>
    <r>
      <rPr>
        <sz val="12"/>
        <color rgb="FFFF47CC"/>
        <rFont val="Aptos Narrow"/>
        <scheme val="minor"/>
      </rPr>
      <t>* Dave</t>
    </r>
    <r>
      <rPr>
        <b/>
        <sz val="12"/>
        <color rgb="FFFF47CC"/>
        <rFont val="Aptos Narrow"/>
        <scheme val="minor"/>
      </rPr>
      <t xml:space="preserve"> - We're All Alone In This Together</t>
    </r>
  </si>
  <si>
    <t>We're All Alone</t>
  </si>
  <si>
    <t>Verdansk</t>
  </si>
  <si>
    <t>Clash</t>
  </si>
  <si>
    <t>In The Fire</t>
  </si>
  <si>
    <t>Three Rivers</t>
  </si>
  <si>
    <t>System</t>
  </si>
  <si>
    <t>Lazarus</t>
  </si>
  <si>
    <t>Law Of Attraction</t>
  </si>
  <si>
    <t>Both Sides Of A Smile</t>
  </si>
  <si>
    <t>Twenty To One</t>
  </si>
  <si>
    <t>Heart Attack</t>
  </si>
  <si>
    <t>Survivor's Guilt</t>
  </si>
  <si>
    <t>Dave</t>
  </si>
  <si>
    <t>We're All Alone In This Together</t>
  </si>
  <si>
    <r>
      <rPr>
        <sz val="12"/>
        <color rgb="FF2D80D5"/>
        <rFont val="Aptos Narrow"/>
        <scheme val="minor"/>
      </rPr>
      <t>* Porcupine Tree</t>
    </r>
    <r>
      <rPr>
        <b/>
        <sz val="12"/>
        <color rgb="FF2D80D5"/>
        <rFont val="Aptos Narrow"/>
        <scheme val="minor"/>
      </rPr>
      <t xml:space="preserve"> - Fear of a Blank Planet</t>
    </r>
  </si>
  <si>
    <t>Fear of a Blank Planet</t>
  </si>
  <si>
    <t>My Ashes</t>
  </si>
  <si>
    <t>Anesthetize</t>
  </si>
  <si>
    <t>Sentimental</t>
  </si>
  <si>
    <t>Way out of Here</t>
  </si>
  <si>
    <t>Sleep Together</t>
  </si>
  <si>
    <t>Windowpane</t>
  </si>
  <si>
    <t>In My Time of Need</t>
  </si>
  <si>
    <t>Death Whispered a Lullaby</t>
  </si>
  <si>
    <t>Closure</t>
  </si>
  <si>
    <t>Hope Leaves</t>
  </si>
  <si>
    <t>To Rid the Disease</t>
  </si>
  <si>
    <t>Ending Credits</t>
  </si>
  <si>
    <t>Weakness</t>
  </si>
  <si>
    <t>Damnation</t>
  </si>
  <si>
    <t>Mediana</t>
  </si>
  <si>
    <t>Para cambia el criterio de ordenación poner * en el header que quieras</t>
  </si>
  <si>
    <t>Álbumes</t>
  </si>
  <si>
    <t>Nikes</t>
  </si>
  <si>
    <t>Ivy</t>
  </si>
  <si>
    <t>Pink + White</t>
  </si>
  <si>
    <t>Be Yourself</t>
  </si>
  <si>
    <t>Solo</t>
  </si>
  <si>
    <t>Skyline To</t>
  </si>
  <si>
    <t>Self Control</t>
  </si>
  <si>
    <t>Nights</t>
  </si>
  <si>
    <t>Solo (Reprise)</t>
  </si>
  <si>
    <t>Pretty Sweet</t>
  </si>
  <si>
    <t>Facebook Story</t>
  </si>
  <si>
    <t>Close To You</t>
  </si>
  <si>
    <t>White Ferrari</t>
  </si>
  <si>
    <t>Seigfried</t>
  </si>
  <si>
    <t>Godspeed</t>
  </si>
  <si>
    <t>Future Free</t>
  </si>
  <si>
    <t>Good Guy</t>
  </si>
  <si>
    <t>Frank Ocean</t>
  </si>
  <si>
    <t>Blonde</t>
  </si>
  <si>
    <t>Burn The Witch</t>
  </si>
  <si>
    <t>Daydreaming</t>
  </si>
  <si>
    <t>Decks Dark</t>
  </si>
  <si>
    <t>Desert Island Disk</t>
  </si>
  <si>
    <t>Ful Stop</t>
  </si>
  <si>
    <t>Glass Eyes</t>
  </si>
  <si>
    <t>Identikit</t>
  </si>
  <si>
    <t>The Numbers</t>
  </si>
  <si>
    <t>Present Tense</t>
  </si>
  <si>
    <t>Tinker Tailor Soldier Sailor Rich Man Poor Man Beggar Man Thief</t>
  </si>
  <si>
    <r>
      <rPr>
        <sz val="14"/>
        <color theme="1" tint="0.249977111117893"/>
        <rFont val="Aptos Narrow"/>
        <family val="2"/>
        <scheme val="minor"/>
      </rPr>
      <t>* Radiohead</t>
    </r>
    <r>
      <rPr>
        <b/>
        <sz val="14"/>
        <color theme="1" tint="0.249977111117893"/>
        <rFont val="Aptos Narrow"/>
        <family val="2"/>
        <scheme val="minor"/>
      </rPr>
      <t xml:space="preserve"> - A Moon Shaped Pool</t>
    </r>
  </si>
  <si>
    <r>
      <rPr>
        <sz val="14"/>
        <color theme="0" tint="-4.9989318521683403E-2"/>
        <rFont val="Aptos Narrow"/>
        <family val="2"/>
        <scheme val="minor"/>
      </rPr>
      <t xml:space="preserve">* TOOL </t>
    </r>
    <r>
      <rPr>
        <b/>
        <sz val="14"/>
        <color theme="0" tint="-4.9989318521683403E-2"/>
        <rFont val="Aptos Narrow"/>
        <family val="2"/>
        <scheme val="minor"/>
      </rPr>
      <t>- 10,000 Days</t>
    </r>
  </si>
  <si>
    <t>Vicarious</t>
  </si>
  <si>
    <t>Jambi</t>
  </si>
  <si>
    <t>Wings For Marie (Pt 1)</t>
  </si>
  <si>
    <t>10,000 Days (Wings Pt 2)</t>
  </si>
  <si>
    <t>The Pot</t>
  </si>
  <si>
    <t>Lipan Conjuring</t>
  </si>
  <si>
    <t>Lost Keys</t>
  </si>
  <si>
    <t>Rosetta Stoned</t>
  </si>
  <si>
    <t>Intension</t>
  </si>
  <si>
    <t>Right In Two</t>
  </si>
  <si>
    <t>Viginiti Tres</t>
  </si>
  <si>
    <t>10,000 Days</t>
  </si>
  <si>
    <t>A Moon Shaped Pool</t>
  </si>
  <si>
    <t>True Love Waits</t>
  </si>
  <si>
    <t>Intro (Neon City)</t>
  </si>
  <si>
    <t>Cold Blooded</t>
  </si>
  <si>
    <t>In the Morning</t>
  </si>
  <si>
    <t>Secret Weapon</t>
  </si>
  <si>
    <t>Electrify Me</t>
  </si>
  <si>
    <t>Numb</t>
  </si>
  <si>
    <t>Palm of My Hand</t>
  </si>
  <si>
    <t>One Minute to Midnight</t>
  </si>
  <si>
    <t>Reaching</t>
  </si>
  <si>
    <t>Hometown Girl</t>
  </si>
  <si>
    <t>Good Life</t>
  </si>
  <si>
    <t>Generationwhy</t>
  </si>
  <si>
    <t>Working For It</t>
  </si>
  <si>
    <t>ZHU</t>
  </si>
  <si>
    <t>GENERATIONWHY</t>
  </si>
  <si>
    <r>
      <rPr>
        <sz val="13"/>
        <color rgb="FF0070C0"/>
        <rFont val="Aptos Narrow"/>
        <family val="2"/>
        <scheme val="minor"/>
      </rPr>
      <t>* Talking Heads</t>
    </r>
    <r>
      <rPr>
        <b/>
        <sz val="13"/>
        <color rgb="FF0070C0"/>
        <rFont val="Aptos Narrow"/>
        <family val="2"/>
        <scheme val="minor"/>
      </rPr>
      <t xml:space="preserve"> - Speaking in Tongues</t>
    </r>
  </si>
  <si>
    <t>Burning Down The House</t>
  </si>
  <si>
    <t>Making Flippy Floppy</t>
  </si>
  <si>
    <t>Girlfriend Is Better</t>
  </si>
  <si>
    <t>Slippery People</t>
  </si>
  <si>
    <t>I Get Wild / Wild Gravity</t>
  </si>
  <si>
    <t>Swamp</t>
  </si>
  <si>
    <t>Moon Rocks</t>
  </si>
  <si>
    <t>Pull up the Roots</t>
  </si>
  <si>
    <t>This Must Be the Place</t>
  </si>
  <si>
    <t>Talking Heads</t>
  </si>
  <si>
    <t>Speaking in Tongues</t>
  </si>
  <si>
    <t>Let It Happen</t>
  </si>
  <si>
    <t>Nangs</t>
  </si>
  <si>
    <t>The Moment</t>
  </si>
  <si>
    <t>Yes I'm Changing</t>
  </si>
  <si>
    <t>Eventually</t>
  </si>
  <si>
    <t>Gossip</t>
  </si>
  <si>
    <t>The Less I Know The Better</t>
  </si>
  <si>
    <t>Past Life</t>
  </si>
  <si>
    <t>Disciples</t>
  </si>
  <si>
    <t>Cause I'm A Man</t>
  </si>
  <si>
    <t>Reality In Motion</t>
  </si>
  <si>
    <t>Love/Paranoia</t>
  </si>
  <si>
    <t>New Person, Same Old Mistakes</t>
  </si>
  <si>
    <t>Tame Impala</t>
  </si>
  <si>
    <t>Currents</t>
  </si>
  <si>
    <t>Packt Like Sardines In a Crushed Tin Box</t>
  </si>
  <si>
    <t>Pyramid Song</t>
  </si>
  <si>
    <t>Pulk/Pull Revolving Doors</t>
  </si>
  <si>
    <t>You And Whose Army?</t>
  </si>
  <si>
    <t>I Might Be Wrong</t>
  </si>
  <si>
    <t>Knives Out</t>
  </si>
  <si>
    <t>Morning Bell/Amnesiac</t>
  </si>
  <si>
    <t>Dollars and Cents</t>
  </si>
  <si>
    <t>Hunting Bears</t>
  </si>
  <si>
    <t>Like Spinning Plates</t>
  </si>
  <si>
    <t>Life In a Glasshouse</t>
  </si>
  <si>
    <t>Amnesiac</t>
  </si>
  <si>
    <r>
      <t>* Daft Punk -</t>
    </r>
    <r>
      <rPr>
        <b/>
        <sz val="12"/>
        <color rgb="FFF7E2AD"/>
        <rFont val="Aptos Narrow"/>
        <family val="2"/>
        <scheme val="minor"/>
      </rPr>
      <t xml:space="preserve"> Random Access Memories</t>
    </r>
  </si>
  <si>
    <t>Give Life Back to Music</t>
  </si>
  <si>
    <t>The Game of Love</t>
  </si>
  <si>
    <t>Giorgio By Moroder</t>
  </si>
  <si>
    <t>Within</t>
  </si>
  <si>
    <t>Instant Crush</t>
  </si>
  <si>
    <t>Lose Yourself</t>
  </si>
  <si>
    <t>Touch</t>
  </si>
  <si>
    <t>Get Lucky</t>
  </si>
  <si>
    <t>Beyond</t>
  </si>
  <si>
    <t>Motherboard</t>
  </si>
  <si>
    <t>Fragments of Time</t>
  </si>
  <si>
    <t>Doin' it Right</t>
  </si>
  <si>
    <t>Contact</t>
  </si>
  <si>
    <t>Random Access Memories</t>
  </si>
  <si>
    <t>E85</t>
  </si>
  <si>
    <t>Body</t>
  </si>
  <si>
    <t>Rendevouz</t>
  </si>
  <si>
    <t>Secondhand</t>
  </si>
  <si>
    <t>Tiramisu</t>
  </si>
  <si>
    <t>ATM</t>
  </si>
  <si>
    <t>Long Way To Calabasas</t>
  </si>
  <si>
    <t>Rosary</t>
  </si>
  <si>
    <t>All The Signs</t>
  </si>
  <si>
    <t>Call Back</t>
  </si>
  <si>
    <t>Tuition</t>
  </si>
  <si>
    <t>K9</t>
  </si>
  <si>
    <t>Excavator</t>
  </si>
  <si>
    <t>Gemstone</t>
  </si>
  <si>
    <t>OPPOSITE</t>
  </si>
  <si>
    <t>TMU</t>
  </si>
  <si>
    <t>Pleasure's Mine</t>
  </si>
  <si>
    <t>Sweet Home</t>
  </si>
  <si>
    <t>Don Toliver</t>
  </si>
  <si>
    <t>OCTANE</t>
  </si>
  <si>
    <t>Deadwing</t>
  </si>
  <si>
    <t>Shallow</t>
  </si>
  <si>
    <t>Halo</t>
  </si>
  <si>
    <t>Arriving Somewhere But Not Here</t>
  </si>
  <si>
    <t>Mellotron Scratch</t>
  </si>
  <si>
    <t>Open Car</t>
  </si>
  <si>
    <t>Start Of Something Beautiful</t>
  </si>
  <si>
    <t>Glass Arm Shattering</t>
  </si>
  <si>
    <t>The Departure</t>
  </si>
  <si>
    <t>Riders of Rohan</t>
  </si>
  <si>
    <t>The Uruk-Hai</t>
  </si>
  <si>
    <t>Make Hast to Edoras</t>
  </si>
  <si>
    <t>Battle of Helms Deep</t>
  </si>
  <si>
    <t>Isengard &amp; The Voice of Saruman</t>
  </si>
  <si>
    <t>The Palantir</t>
  </si>
  <si>
    <t>The Dead Marshes</t>
  </si>
  <si>
    <t>The Black Gate</t>
  </si>
  <si>
    <t>Cirith Ungol</t>
  </si>
  <si>
    <r>
      <rPr>
        <sz val="14"/>
        <color rgb="FFFF0000"/>
        <rFont val="Aptos Narrow"/>
        <scheme val="minor"/>
      </rPr>
      <t xml:space="preserve">* Jake Weber </t>
    </r>
    <r>
      <rPr>
        <b/>
        <sz val="14"/>
        <color rgb="FFFF0000"/>
        <rFont val="Aptos Narrow"/>
        <scheme val="minor"/>
      </rPr>
      <t>- Middle Earth Vol. 2</t>
    </r>
  </si>
  <si>
    <t>Jake Weber</t>
  </si>
  <si>
    <t>Middle Earth Vol. 2</t>
  </si>
  <si>
    <t>Storm</t>
  </si>
  <si>
    <t>Static</t>
  </si>
  <si>
    <t>Sleep</t>
  </si>
  <si>
    <t>Antennas to Heaven</t>
  </si>
  <si>
    <t>Godspeed You Black Emperor!</t>
  </si>
  <si>
    <t>Lift Yr. Skinny Fists Like Antennas to Heaven!</t>
  </si>
  <si>
    <t>Daftendirekt</t>
  </si>
  <si>
    <t>WDPK 83.7 FM</t>
  </si>
  <si>
    <t>Revolution 909</t>
  </si>
  <si>
    <t>Da Funk</t>
  </si>
  <si>
    <t>Phoenix</t>
  </si>
  <si>
    <t>Fresh</t>
  </si>
  <si>
    <t>Around The World</t>
  </si>
  <si>
    <t>Rollin' &amp; Scratchin'</t>
  </si>
  <si>
    <t>Teachers</t>
  </si>
  <si>
    <t>High Fidelity</t>
  </si>
  <si>
    <t>Rock'n Roll</t>
  </si>
  <si>
    <t>Oh Yeah</t>
  </si>
  <si>
    <t>Burnin'</t>
  </si>
  <si>
    <t>Indo Silver Club</t>
  </si>
  <si>
    <t>Alive</t>
  </si>
  <si>
    <t>Funk Ad</t>
  </si>
  <si>
    <t>Homework</t>
  </si>
  <si>
    <t>Fight With Fire</t>
  </si>
  <si>
    <t>Ride The Lightning</t>
  </si>
  <si>
    <t>For Whom The Bell Tolls</t>
  </si>
  <si>
    <t>Fade To Black</t>
  </si>
  <si>
    <t>Trapped Under Ice</t>
  </si>
  <si>
    <t>Escape</t>
  </si>
  <si>
    <t>Creeping Death</t>
  </si>
  <si>
    <t>The Call of Ktulu</t>
  </si>
  <si>
    <r>
      <rPr>
        <sz val="14"/>
        <color theme="3" tint="0.749992370372631"/>
        <rFont val="Aptos Narrow"/>
        <scheme val="minor"/>
      </rPr>
      <t xml:space="preserve">* Metallica </t>
    </r>
    <r>
      <rPr>
        <b/>
        <sz val="14"/>
        <color theme="3" tint="0.749992370372631"/>
        <rFont val="Aptos Narrow"/>
        <scheme val="minor"/>
      </rPr>
      <t>- Ride The Lightning</t>
    </r>
  </si>
  <si>
    <t>Orchestral Intro</t>
  </si>
  <si>
    <t>Welcome to the World of the Plastic Beach</t>
  </si>
  <si>
    <t>White Flag</t>
  </si>
  <si>
    <t>Rhinestone Eyes</t>
  </si>
  <si>
    <t>Stylo</t>
  </si>
  <si>
    <t>Superfast Jellyfish</t>
  </si>
  <si>
    <t>Empire Ants</t>
  </si>
  <si>
    <t>Glitter Freeze</t>
  </si>
  <si>
    <t>Some Kind of Nature</t>
  </si>
  <si>
    <t>On Melancholy Hill</t>
  </si>
  <si>
    <t>Broken</t>
  </si>
  <si>
    <t>Sweepstakes</t>
  </si>
  <si>
    <t>Plastic Beach</t>
  </si>
  <si>
    <t>To Binge</t>
  </si>
  <si>
    <t>Cloud of Unkowing</t>
  </si>
  <si>
    <t>Pirate Jet</t>
  </si>
  <si>
    <t>Gorillaz</t>
  </si>
  <si>
    <t>No Ordinary Love</t>
  </si>
  <si>
    <t>Feel No Pain</t>
  </si>
  <si>
    <t>I Couldn't Love You More</t>
  </si>
  <si>
    <t>Like a Tatoo</t>
  </si>
  <si>
    <t>Kiss of Life</t>
  </si>
  <si>
    <t>Cherish the Day</t>
  </si>
  <si>
    <t>Pearls</t>
  </si>
  <si>
    <t>Bullet Proof Soul</t>
  </si>
  <si>
    <t>Mermaid</t>
  </si>
  <si>
    <t>Sade</t>
  </si>
  <si>
    <t>Love Deluxe</t>
  </si>
  <si>
    <t>Obstacle 1</t>
  </si>
  <si>
    <t>NYC</t>
  </si>
  <si>
    <t>PDA</t>
  </si>
  <si>
    <t>Say Hello to the Angels</t>
  </si>
  <si>
    <t>Hands Away</t>
  </si>
  <si>
    <t>Obstacle 2</t>
  </si>
  <si>
    <t>Stella was a diver and she was always down</t>
  </si>
  <si>
    <t>Roland</t>
  </si>
  <si>
    <t>The New</t>
  </si>
  <si>
    <t>Leif Erikson</t>
  </si>
  <si>
    <t>Interpol</t>
  </si>
  <si>
    <t>Turn On The Bright Lights</t>
  </si>
  <si>
    <t>Pigs on the Wing 1</t>
  </si>
  <si>
    <t>Dogs</t>
  </si>
  <si>
    <t>Pigs (Three Different Ones)</t>
  </si>
  <si>
    <t>Sheep</t>
  </si>
  <si>
    <t>Pigs on the Wing 2</t>
  </si>
  <si>
    <t>The Stargate [Tablet I]</t>
  </si>
  <si>
    <t>The Stargate [Tablet II]</t>
  </si>
  <si>
    <t>The Stargate [Tablet III]</t>
  </si>
  <si>
    <t>The Message [Tablet I]</t>
  </si>
  <si>
    <t>The Message [Tablet II]</t>
  </si>
  <si>
    <t>The Message [Tablet III]</t>
  </si>
  <si>
    <t>progressive metal, alternative metal</t>
  </si>
  <si>
    <t>art rock, alternative rock</t>
  </si>
  <si>
    <t>progressive rock, art rock</t>
  </si>
  <si>
    <t>progressive rock, psychedelic rock</t>
  </si>
  <si>
    <t>progressive rock, progressive metal</t>
  </si>
  <si>
    <t>shoegaze, slowcore</t>
  </si>
  <si>
    <t>french house, electronic</t>
  </si>
  <si>
    <t>garage rock, indie rock</t>
  </si>
  <si>
    <t>classic rock</t>
  </si>
  <si>
    <t>old school hip hop, east coast hip hop</t>
  </si>
  <si>
    <t>dream pop, shoegaze</t>
  </si>
  <si>
    <t>trip hop, downtempo</t>
  </si>
  <si>
    <t>classic rock, yacht rock</t>
  </si>
  <si>
    <t>edm</t>
  </si>
  <si>
    <t>nu metal, rap metal</t>
  </si>
  <si>
    <t>grime, uk grime</t>
  </si>
  <si>
    <t>Animals</t>
  </si>
  <si>
    <t>Blood Incantation</t>
  </si>
  <si>
    <t>Absolute Elsewhere</t>
  </si>
  <si>
    <t>Género</t>
  </si>
  <si>
    <t>death metal, progressive metal</t>
  </si>
  <si>
    <t>alternative metal</t>
  </si>
  <si>
    <t>alternative rock</t>
  </si>
  <si>
    <t>progressive metal</t>
  </si>
  <si>
    <t>thrash metal</t>
  </si>
  <si>
    <t>progressive metal, death metal</t>
  </si>
  <si>
    <t>electropop, art pop</t>
  </si>
  <si>
    <t>smooth soul</t>
  </si>
  <si>
    <t>experimental hip hop, trap</t>
  </si>
  <si>
    <t>trap</t>
  </si>
  <si>
    <t>spanish rap</t>
  </si>
  <si>
    <t>art pop, pop rock</t>
  </si>
  <si>
    <t>alternative R&amp;B, trap</t>
  </si>
  <si>
    <t>NOTA: el género se debe poner manualmente después de ejecutar el script</t>
  </si>
  <si>
    <r>
      <t xml:space="preserve">* Blood Incantation - </t>
    </r>
    <r>
      <rPr>
        <b/>
        <sz val="12"/>
        <color rgb="FFF9FF01"/>
        <rFont val="Aptos Narrow"/>
        <family val="2"/>
        <scheme val="minor"/>
      </rPr>
      <t>Absolute Elsewhere</t>
    </r>
  </si>
  <si>
    <t>It's Gonna Be A Long Time</t>
  </si>
  <si>
    <t>Zoloft</t>
  </si>
  <si>
    <t>Transdermal Celebration</t>
  </si>
  <si>
    <t>Among His Tribe</t>
  </si>
  <si>
    <t>So Many People In The Neighborhood</t>
  </si>
  <si>
    <t>Tried And True</t>
  </si>
  <si>
    <t>Happy Colored Marbles</t>
  </si>
  <si>
    <t>Hey There Fancypants</t>
  </si>
  <si>
    <t>Captain</t>
  </si>
  <si>
    <t>Chocolate Town</t>
  </si>
  <si>
    <t>I Don't Want It</t>
  </si>
  <si>
    <t>The Fucked Jam</t>
  </si>
  <si>
    <t>Alcan Road</t>
  </si>
  <si>
    <t>The Argus</t>
  </si>
  <si>
    <t>If You Could Save Yourself</t>
  </si>
  <si>
    <t>Ween</t>
  </si>
  <si>
    <t>Quebec</t>
  </si>
  <si>
    <t>Dark Fantasy</t>
  </si>
  <si>
    <t>Gorgeous</t>
  </si>
  <si>
    <t>POWER</t>
  </si>
  <si>
    <t>All Of The Lights (Interlude)</t>
  </si>
  <si>
    <t>All Of The Lights</t>
  </si>
  <si>
    <t>Monster</t>
  </si>
  <si>
    <t>So Apalled</t>
  </si>
  <si>
    <t>Devil In A New Dress</t>
  </si>
  <si>
    <t>Hell Of A Life</t>
  </si>
  <si>
    <t>Blame Game</t>
  </si>
  <si>
    <t>Lost In The World</t>
  </si>
  <si>
    <t>Who Will Survive In America</t>
  </si>
  <si>
    <r>
      <t>* Kanye West -</t>
    </r>
    <r>
      <rPr>
        <b/>
        <sz val="10"/>
        <color theme="3" tint="0.249977111117893"/>
        <rFont val="Aptos Narrow"/>
        <family val="2"/>
        <scheme val="minor"/>
      </rPr>
      <t xml:space="preserve"> My Beautiful Dark Twisted Fantasy</t>
    </r>
  </si>
  <si>
    <t>Kanye West</t>
  </si>
  <si>
    <t>My Beautiful Dark Twisted Fantasy</t>
  </si>
  <si>
    <t>pop rap, hip hop</t>
  </si>
  <si>
    <t>new wave, post punk</t>
  </si>
  <si>
    <t>neo psychedelic, indie</t>
  </si>
  <si>
    <t>grunge, post grunge</t>
  </si>
  <si>
    <t>neo psychedelic, art rock</t>
  </si>
  <si>
    <t>post punk, new wave</t>
  </si>
  <si>
    <t>Feather</t>
  </si>
  <si>
    <t>ordinary joe</t>
  </si>
  <si>
    <t>reflection eternal</t>
  </si>
  <si>
    <t>Luv(sic.) pt3</t>
  </si>
  <si>
    <t>Music is mine</t>
  </si>
  <si>
    <t>The Sign</t>
  </si>
  <si>
    <t>Thank you</t>
  </si>
  <si>
    <t>World's end Rhapsody</t>
  </si>
  <si>
    <t>Modal Soul</t>
  </si>
  <si>
    <t>flowers</t>
  </si>
  <si>
    <t>sea of cloud</t>
  </si>
  <si>
    <t>Light on the land</t>
  </si>
  <si>
    <t>Horizon</t>
  </si>
  <si>
    <t>Nujabes</t>
  </si>
  <si>
    <t>jazz rap, instrumental hip hop</t>
  </si>
  <si>
    <t>indie rock, post punk</t>
  </si>
  <si>
    <r>
      <t xml:space="preserve">* Radiohead - </t>
    </r>
    <r>
      <rPr>
        <b/>
        <sz val="14"/>
        <color theme="3" tint="0.499984740745262"/>
        <rFont val="Aptos Narrow"/>
        <scheme val="minor"/>
      </rPr>
      <t>Hail To the Thief</t>
    </r>
  </si>
  <si>
    <t>2 + 2 = 5</t>
  </si>
  <si>
    <t>Sit Down. Stand Up</t>
  </si>
  <si>
    <t>Sail To The Moon</t>
  </si>
  <si>
    <t>Backdrifts</t>
  </si>
  <si>
    <t>Go To Sleep</t>
  </si>
  <si>
    <t>Where I End and You Begin</t>
  </si>
  <si>
    <t>We Suck Young Blood</t>
  </si>
  <si>
    <t>The Gloaming</t>
  </si>
  <si>
    <t>There, There</t>
  </si>
  <si>
    <t>I Will</t>
  </si>
  <si>
    <t>A Punch Up at a Wedding</t>
  </si>
  <si>
    <t>Myxomatosis</t>
  </si>
  <si>
    <t>Scatterbrain</t>
  </si>
  <si>
    <t>A Wolf At the Door</t>
  </si>
  <si>
    <t>Hail To the Thief</t>
  </si>
  <si>
    <t>art rock, electronic</t>
  </si>
  <si>
    <r>
      <t xml:space="preserve">* Opeth - </t>
    </r>
    <r>
      <rPr>
        <b/>
        <sz val="14"/>
        <color rgb="FFFF0000"/>
        <rFont val="Aptos Narrow"/>
        <scheme val="minor"/>
      </rPr>
      <t>Still Life</t>
    </r>
  </si>
  <si>
    <t>The Moor</t>
  </si>
  <si>
    <t>Godhead's Lament</t>
  </si>
  <si>
    <t>Benighted</t>
  </si>
  <si>
    <t>Moonlapse Vertigo</t>
  </si>
  <si>
    <t>Serenity Painted Death</t>
  </si>
  <si>
    <t>White Cluster</t>
  </si>
  <si>
    <r>
      <t xml:space="preserve">* Nujabes - </t>
    </r>
    <r>
      <rPr>
        <b/>
        <sz val="14"/>
        <color rgb="FFF23B27"/>
        <rFont val="Aptos Narrow"/>
        <scheme val="minor"/>
      </rPr>
      <t>Modal Soul</t>
    </r>
  </si>
  <si>
    <r>
      <t xml:space="preserve">* Ween - </t>
    </r>
    <r>
      <rPr>
        <b/>
        <sz val="14"/>
        <color theme="0"/>
        <rFont val="Aptos Narrow"/>
        <family val="2"/>
        <scheme val="minor"/>
      </rPr>
      <t>Quebec</t>
    </r>
  </si>
  <si>
    <r>
      <t xml:space="preserve">* Pink Floyd - </t>
    </r>
    <r>
      <rPr>
        <b/>
        <sz val="14"/>
        <color theme="5" tint="-0.499984740745262"/>
        <rFont val="Aptos Narrow"/>
        <family val="2"/>
        <scheme val="minor"/>
      </rPr>
      <t>Animals</t>
    </r>
  </si>
  <si>
    <r>
      <rPr>
        <sz val="14"/>
        <color theme="9" tint="-0.249977111117893"/>
        <rFont val="Aptos Narrow"/>
        <scheme val="minor"/>
      </rPr>
      <t xml:space="preserve">* Gorillaz - </t>
    </r>
    <r>
      <rPr>
        <b/>
        <sz val="14"/>
        <color theme="9" tint="-0.249977111117893"/>
        <rFont val="Aptos Narrow"/>
        <scheme val="minor"/>
      </rPr>
      <t>Plastic Beach</t>
    </r>
  </si>
  <si>
    <r>
      <rPr>
        <sz val="14"/>
        <color rgb="FFFF0000"/>
        <rFont val="Aptos Narrow"/>
        <scheme val="minor"/>
      </rPr>
      <t>* Daft Punk</t>
    </r>
    <r>
      <rPr>
        <b/>
        <sz val="14"/>
        <color rgb="FFFF0000"/>
        <rFont val="Aptos Narrow"/>
        <scheme val="minor"/>
      </rPr>
      <t xml:space="preserve"> - Homework</t>
    </r>
  </si>
  <si>
    <r>
      <rPr>
        <sz val="14"/>
        <color rgb="FF273005"/>
        <rFont val="Aptos Narrow"/>
        <scheme val="minor"/>
      </rPr>
      <t>* Porcupine Tree</t>
    </r>
    <r>
      <rPr>
        <b/>
        <sz val="14"/>
        <color rgb="FF273005"/>
        <rFont val="Aptos Narrow"/>
        <scheme val="minor"/>
      </rPr>
      <t xml:space="preserve"> - Deadwing</t>
    </r>
  </si>
  <si>
    <r>
      <rPr>
        <sz val="14"/>
        <color theme="0" tint="-0.14999847407452621"/>
        <rFont val="Aptos Narrow"/>
        <scheme val="minor"/>
      </rPr>
      <t>* Don Toliver</t>
    </r>
    <r>
      <rPr>
        <b/>
        <sz val="14"/>
        <color theme="0" tint="-0.14999847407452621"/>
        <rFont val="Aptos Narrow"/>
        <scheme val="minor"/>
      </rPr>
      <t xml:space="preserve"> - OCTANE</t>
    </r>
  </si>
  <si>
    <r>
      <rPr>
        <sz val="14"/>
        <color rgb="FF360000"/>
        <rFont val="Aptos Narrow"/>
        <family val="2"/>
        <scheme val="minor"/>
      </rPr>
      <t>* Radiohead</t>
    </r>
    <r>
      <rPr>
        <b/>
        <sz val="14"/>
        <color rgb="FF360000"/>
        <rFont val="Aptos Narrow"/>
        <family val="2"/>
        <scheme val="minor"/>
      </rPr>
      <t xml:space="preserve"> - Amnesiac</t>
    </r>
  </si>
  <si>
    <r>
      <rPr>
        <sz val="14"/>
        <color rgb="FFFFC000"/>
        <rFont val="Aptos Narrow"/>
        <family val="2"/>
        <scheme val="minor"/>
      </rPr>
      <t>* Tame Impala</t>
    </r>
    <r>
      <rPr>
        <b/>
        <sz val="14"/>
        <color rgb="FFFFC000"/>
        <rFont val="Aptos Narrow"/>
        <family val="2"/>
        <scheme val="minor"/>
      </rPr>
      <t xml:space="preserve"> - Currents</t>
    </r>
  </si>
  <si>
    <r>
      <rPr>
        <sz val="14"/>
        <color rgb="FF623FE1"/>
        <rFont val="Aptos Narrow"/>
        <family val="2"/>
        <scheme val="minor"/>
      </rPr>
      <t>* ZHU</t>
    </r>
    <r>
      <rPr>
        <b/>
        <sz val="14"/>
        <color rgb="FF623FE1"/>
        <rFont val="Aptos Narrow"/>
        <family val="2"/>
        <scheme val="minor"/>
      </rPr>
      <t xml:space="preserve"> - GENERATIONWHY</t>
    </r>
  </si>
  <si>
    <r>
      <rPr>
        <sz val="14"/>
        <color theme="0" tint="-0.249977111117893"/>
        <rFont val="Aptos Narrow"/>
        <scheme val="minor"/>
      </rPr>
      <t>* Travis Scott</t>
    </r>
    <r>
      <rPr>
        <b/>
        <sz val="14"/>
        <color theme="0" tint="-0.249977111117893"/>
        <rFont val="Aptos Narrow"/>
        <scheme val="minor"/>
      </rPr>
      <t xml:space="preserve"> - UTOPIA</t>
    </r>
  </si>
  <si>
    <r>
      <rPr>
        <sz val="14"/>
        <color theme="8" tint="0.79998168889431442"/>
        <rFont val="Aptos Narrow"/>
        <family val="2"/>
        <scheme val="minor"/>
      </rPr>
      <t>* The Cure</t>
    </r>
    <r>
      <rPr>
        <b/>
        <sz val="14"/>
        <color theme="8" tint="0.79998168889431442"/>
        <rFont val="Aptos Narrow"/>
        <family val="2"/>
        <scheme val="minor"/>
      </rPr>
      <t xml:space="preserve"> - Disintegration</t>
    </r>
  </si>
  <si>
    <r>
      <rPr>
        <sz val="14"/>
        <color theme="8" tint="0.39997558519241921"/>
        <rFont val="Aptos Narrow"/>
        <scheme val="minor"/>
      </rPr>
      <t>* Mac Miller</t>
    </r>
    <r>
      <rPr>
        <b/>
        <sz val="14"/>
        <color theme="8" tint="0.39997558519241921"/>
        <rFont val="Aptos Narrow"/>
        <scheme val="minor"/>
      </rPr>
      <t xml:space="preserve"> - Swimming</t>
    </r>
  </si>
  <si>
    <r>
      <rPr>
        <sz val="14"/>
        <color rgb="FFFF0000"/>
        <rFont val="Aptos Narrow"/>
        <scheme val="minor"/>
      </rPr>
      <t>* Radiohead</t>
    </r>
    <r>
      <rPr>
        <b/>
        <sz val="14"/>
        <color rgb="FFFF0000"/>
        <rFont val="Aptos Narrow"/>
        <scheme val="minor"/>
      </rPr>
      <t xml:space="preserve"> - Kid A</t>
    </r>
  </si>
  <si>
    <r>
      <rPr>
        <sz val="14"/>
        <color rgb="FFFFC000"/>
        <rFont val="Aptos Narrow"/>
        <family val="2"/>
        <scheme val="minor"/>
      </rPr>
      <t>* Megadeth</t>
    </r>
    <r>
      <rPr>
        <b/>
        <sz val="14"/>
        <color rgb="FFFFC000"/>
        <rFont val="Aptos Narrow"/>
        <family val="2"/>
        <scheme val="minor"/>
      </rPr>
      <t xml:space="preserve"> - Rust In Peace</t>
    </r>
  </si>
  <si>
    <r>
      <rPr>
        <sz val="14"/>
        <color rgb="FF9C0000"/>
        <rFont val="Aptos Narrow"/>
        <scheme val="minor"/>
      </rPr>
      <t>* Nas</t>
    </r>
    <r>
      <rPr>
        <b/>
        <sz val="14"/>
        <color rgb="FF9C0000"/>
        <rFont val="Aptos Narrow"/>
        <scheme val="minor"/>
      </rPr>
      <t xml:space="preserve"> - Illmatic</t>
    </r>
  </si>
  <si>
    <r>
      <rPr>
        <sz val="14"/>
        <color theme="3" tint="0.749992370372631"/>
        <rFont val="Aptos Narrow"/>
        <scheme val="minor"/>
      </rPr>
      <t>* Coldplay</t>
    </r>
    <r>
      <rPr>
        <b/>
        <sz val="14"/>
        <color theme="3" tint="0.749992370372631"/>
        <rFont val="Aptos Narrow"/>
        <scheme val="minor"/>
      </rPr>
      <t xml:space="preserve"> - X&amp;Y</t>
    </r>
  </si>
  <si>
    <r>
      <rPr>
        <sz val="14"/>
        <color theme="4"/>
        <rFont val="Aptos Narrow"/>
        <scheme val="minor"/>
      </rPr>
      <t>* TOOL</t>
    </r>
    <r>
      <rPr>
        <b/>
        <sz val="14"/>
        <color theme="4"/>
        <rFont val="Aptos Narrow"/>
        <scheme val="minor"/>
      </rPr>
      <t xml:space="preserve"> - Ænima</t>
    </r>
  </si>
  <si>
    <r>
      <rPr>
        <sz val="14"/>
        <color rgb="FF00B0F0"/>
        <rFont val="Aptos Narrow"/>
        <scheme val="minor"/>
      </rPr>
      <t>* Radiohead</t>
    </r>
    <r>
      <rPr>
        <b/>
        <sz val="14"/>
        <color rgb="FF00B0F0"/>
        <rFont val="Aptos Narrow"/>
        <scheme val="minor"/>
      </rPr>
      <t xml:space="preserve"> - OK Computer</t>
    </r>
  </si>
  <si>
    <r>
      <rPr>
        <sz val="14"/>
        <color theme="5" tint="0.79998168889431442"/>
        <rFont val="Aptos Narrow"/>
        <scheme val="minor"/>
      </rPr>
      <t>* Opeth</t>
    </r>
    <r>
      <rPr>
        <b/>
        <sz val="14"/>
        <color theme="5" tint="0.79998168889431442"/>
        <rFont val="Aptos Narrow"/>
        <scheme val="minor"/>
      </rPr>
      <t xml:space="preserve"> - Blackwater Park</t>
    </r>
  </si>
  <si>
    <r>
      <rPr>
        <sz val="14"/>
        <color rgb="FF592B22"/>
        <rFont val="Aptos Narrow"/>
        <scheme val="minor"/>
      </rPr>
      <t>* Alice In Chains</t>
    </r>
    <r>
      <rPr>
        <b/>
        <sz val="14"/>
        <color rgb="FF592B22"/>
        <rFont val="Aptos Narrow"/>
        <scheme val="minor"/>
      </rPr>
      <t xml:space="preserve"> - Dirt</t>
    </r>
  </si>
  <si>
    <r>
      <rPr>
        <sz val="14"/>
        <color theme="8" tint="-0.249977111117893"/>
        <rFont val="Aptos Narrow"/>
        <scheme val="minor"/>
      </rPr>
      <t>* Led Zeppelin</t>
    </r>
    <r>
      <rPr>
        <b/>
        <sz val="14"/>
        <color theme="8" tint="-0.249977111117893"/>
        <rFont val="Aptos Narrow"/>
        <scheme val="minor"/>
      </rPr>
      <t xml:space="preserve"> - Led Zeppelin IV</t>
    </r>
  </si>
  <si>
    <r>
      <rPr>
        <sz val="14"/>
        <color theme="5" tint="-0.499984740745262"/>
        <rFont val="Aptos Narrow"/>
        <scheme val="minor"/>
      </rPr>
      <t xml:space="preserve">* Linkin Park </t>
    </r>
    <r>
      <rPr>
        <b/>
        <sz val="14"/>
        <color theme="5" tint="-0.499984740745262"/>
        <rFont val="Aptos Narrow"/>
        <scheme val="minor"/>
      </rPr>
      <t>- Hybrid Theory</t>
    </r>
  </si>
  <si>
    <r>
      <rPr>
        <sz val="14"/>
        <color theme="0" tint="-0.14999847407452621"/>
        <rFont val="Aptos Narrow"/>
        <scheme val="minor"/>
      </rPr>
      <t xml:space="preserve">* Daft Punk </t>
    </r>
    <r>
      <rPr>
        <b/>
        <sz val="14"/>
        <color theme="0" tint="-0.14999847407452621"/>
        <rFont val="Aptos Narrow"/>
        <scheme val="minor"/>
      </rPr>
      <t>- Discovery</t>
    </r>
  </si>
  <si>
    <r>
      <rPr>
        <sz val="14"/>
        <color theme="0"/>
        <rFont val="Aptos Narrow"/>
        <scheme val="minor"/>
      </rPr>
      <t>* Metallica</t>
    </r>
    <r>
      <rPr>
        <b/>
        <sz val="14"/>
        <color theme="0"/>
        <rFont val="Aptos Narrow"/>
        <scheme val="minor"/>
      </rPr>
      <t xml:space="preserve"> - Master Of Puppets</t>
    </r>
  </si>
  <si>
    <r>
      <rPr>
        <sz val="14"/>
        <color theme="5" tint="-0.499984740745262"/>
        <rFont val="Aptos Narrow"/>
        <scheme val="minor"/>
      </rPr>
      <t xml:space="preserve">* Dire Straits </t>
    </r>
    <r>
      <rPr>
        <b/>
        <sz val="14"/>
        <color theme="5" tint="-0.499984740745262"/>
        <rFont val="Aptos Narrow"/>
        <scheme val="minor"/>
      </rPr>
      <t>- Brothers In Arms</t>
    </r>
  </si>
  <si>
    <r>
      <rPr>
        <sz val="14"/>
        <color theme="1" tint="0.14999847407452621"/>
        <rFont val="Aptos Narrow"/>
        <scheme val="minor"/>
      </rPr>
      <t>* Fleetwood Mac</t>
    </r>
    <r>
      <rPr>
        <b/>
        <sz val="14"/>
        <color theme="1" tint="0.14999847407452621"/>
        <rFont val="Aptos Narrow"/>
        <scheme val="minor"/>
      </rPr>
      <t xml:space="preserve"> - Rumours</t>
    </r>
  </si>
  <si>
    <r>
      <rPr>
        <sz val="14"/>
        <color theme="5" tint="0.79998168889431442"/>
        <rFont val="Aptos Narrow"/>
        <scheme val="minor"/>
      </rPr>
      <t>* TOOL</t>
    </r>
    <r>
      <rPr>
        <b/>
        <sz val="14"/>
        <color theme="5" tint="0.79998168889431442"/>
        <rFont val="Aptos Narrow"/>
        <scheme val="minor"/>
      </rPr>
      <t xml:space="preserve"> - Lateralus</t>
    </r>
  </si>
  <si>
    <r>
      <rPr>
        <sz val="14"/>
        <color theme="7" tint="-0.249977111117893"/>
        <rFont val="Aptos Narrow"/>
        <scheme val="minor"/>
      </rPr>
      <t>* Radiohead</t>
    </r>
    <r>
      <rPr>
        <b/>
        <sz val="14"/>
        <color theme="7" tint="-0.249977111117893"/>
        <rFont val="Aptos Narrow"/>
        <scheme val="minor"/>
      </rPr>
      <t xml:space="preserve"> - In Rainbows</t>
    </r>
  </si>
  <si>
    <r>
      <rPr>
        <sz val="14"/>
        <color theme="0" tint="-0.499984740745262"/>
        <rFont val="Aptos Narrow"/>
        <family val="2"/>
        <scheme val="minor"/>
      </rPr>
      <t>* Megadeth</t>
    </r>
    <r>
      <rPr>
        <b/>
        <sz val="14"/>
        <color theme="0" tint="-0.499984740745262"/>
        <rFont val="Aptos Narrow"/>
        <family val="2"/>
        <scheme val="minor"/>
      </rPr>
      <t xml:space="preserve"> - Megadeth</t>
    </r>
  </si>
  <si>
    <r>
      <rPr>
        <sz val="14"/>
        <color theme="1" tint="0.249977111117893"/>
        <rFont val="Aptos Narrow"/>
        <scheme val="minor"/>
      </rPr>
      <t>* Opeth</t>
    </r>
    <r>
      <rPr>
        <b/>
        <sz val="14"/>
        <color theme="1" tint="0.249977111117893"/>
        <rFont val="Aptos Narrow"/>
        <scheme val="minor"/>
      </rPr>
      <t xml:space="preserve"> - Damnation</t>
    </r>
  </si>
  <si>
    <r>
      <rPr>
        <sz val="14"/>
        <color rgb="FF210000"/>
        <rFont val="Aptos Narrow"/>
        <scheme val="minor"/>
      </rPr>
      <t xml:space="preserve">* Sade </t>
    </r>
    <r>
      <rPr>
        <b/>
        <sz val="14"/>
        <color rgb="FF210000"/>
        <rFont val="Aptos Narrow"/>
        <scheme val="minor"/>
      </rPr>
      <t>- Love Deluxe</t>
    </r>
  </si>
  <si>
    <t>Face of Melinda</t>
  </si>
  <si>
    <t>Still Life</t>
  </si>
  <si>
    <r>
      <t xml:space="preserve">* Marvin Gaye - </t>
    </r>
    <r>
      <rPr>
        <b/>
        <sz val="14"/>
        <color rgb="FFFFCC00"/>
        <rFont val="Aptos Narrow"/>
        <family val="2"/>
        <scheme val="minor"/>
      </rPr>
      <t>What's Going On</t>
    </r>
  </si>
  <si>
    <t>What's Going On</t>
  </si>
  <si>
    <t>What's Happening Brother</t>
  </si>
  <si>
    <t>Flyin' High (In The Friendly Sky)</t>
  </si>
  <si>
    <t>Save The Children</t>
  </si>
  <si>
    <t>God Is Love</t>
  </si>
  <si>
    <t>Mercy Mercy Me (The Ecology)</t>
  </si>
  <si>
    <t>Right On</t>
  </si>
  <si>
    <t>Wholy Holy</t>
  </si>
  <si>
    <t>Inner City Blues (Make Me Wanna Holler)</t>
  </si>
  <si>
    <t>Marvin Gaye</t>
  </si>
  <si>
    <t>soul, progressive soul</t>
  </si>
  <si>
    <t>Géneros</t>
  </si>
  <si>
    <r>
      <t>* The Clash -</t>
    </r>
    <r>
      <rPr>
        <b/>
        <sz val="14"/>
        <color theme="0" tint="-0.14999847407452621"/>
        <rFont val="Aptos Narrow"/>
        <family val="2"/>
        <scheme val="minor"/>
      </rPr>
      <t xml:space="preserve"> London Calling</t>
    </r>
  </si>
  <si>
    <t>London Calling</t>
  </si>
  <si>
    <t>Brand New Cadillac</t>
  </si>
  <si>
    <t>Jimmy Jazz</t>
  </si>
  <si>
    <t>Hateful</t>
  </si>
  <si>
    <t>Rudie Can't Fail</t>
  </si>
  <si>
    <t>Spanish Bombs</t>
  </si>
  <si>
    <t>The Right Profile</t>
  </si>
  <si>
    <t>Lost In The Supermarket</t>
  </si>
  <si>
    <t>Clampdown</t>
  </si>
  <si>
    <t>The Guns of Brixton</t>
  </si>
  <si>
    <t>Wrong 'Em Boyo</t>
  </si>
  <si>
    <t>Death or Glory</t>
  </si>
  <si>
    <t>Kola Kola</t>
  </si>
  <si>
    <t>The Card Cheat</t>
  </si>
  <si>
    <t>Lover's Rock</t>
  </si>
  <si>
    <t>Four Horsemen</t>
  </si>
  <si>
    <t>I'm Not Down</t>
  </si>
  <si>
    <t>Revolution Rock</t>
  </si>
  <si>
    <t>Train in Vain [unlisted]</t>
  </si>
  <si>
    <t>The Clash</t>
  </si>
  <si>
    <t>new wave, punk rock</t>
  </si>
  <si>
    <r>
      <t xml:space="preserve">* Radiohead - </t>
    </r>
    <r>
      <rPr>
        <b/>
        <sz val="14"/>
        <color rgb="FFFFC000"/>
        <rFont val="Aptos Narrow"/>
        <family val="2"/>
        <scheme val="minor"/>
      </rPr>
      <t>The King Of Limbs</t>
    </r>
  </si>
  <si>
    <t>Bloom</t>
  </si>
  <si>
    <t>Morning Mr Magpie</t>
  </si>
  <si>
    <t>Little By Little</t>
  </si>
  <si>
    <t>Feral</t>
  </si>
  <si>
    <t>Lotus Flower</t>
  </si>
  <si>
    <t>Codex</t>
  </si>
  <si>
    <t>Give Up The Ghost</t>
  </si>
  <si>
    <t>Separator</t>
  </si>
  <si>
    <t>The King Of Limbs</t>
  </si>
  <si>
    <t>electronic, experimental rock</t>
  </si>
  <si>
    <t>art rock, alternative rock, electronic, experimental rock</t>
  </si>
  <si>
    <r>
      <t>* Sigur Rós -</t>
    </r>
    <r>
      <rPr>
        <b/>
        <sz val="14"/>
        <color theme="0"/>
        <rFont val="Aptos Narrow"/>
        <family val="2"/>
        <scheme val="minor"/>
      </rPr>
      <t xml:space="preserve"> Ágætis byrjun</t>
    </r>
  </si>
  <si>
    <t>Title</t>
  </si>
  <si>
    <t>Svefn-g-englar</t>
  </si>
  <si>
    <t>Starálfur</t>
  </si>
  <si>
    <t>Flugufrelsarinn</t>
  </si>
  <si>
    <t>Ný batterí</t>
  </si>
  <si>
    <t>Hjartað hamast (Bamm bamm bamm)</t>
  </si>
  <si>
    <t>Viðrar vel til loftárása</t>
  </si>
  <si>
    <t>Olsen Olsen</t>
  </si>
  <si>
    <t>Ágætis byrjun</t>
  </si>
  <si>
    <t>Avalon</t>
  </si>
  <si>
    <t>Sigur Rós</t>
  </si>
  <si>
    <t>post rock, dream pop</t>
  </si>
  <si>
    <r>
      <t>* Opeth -</t>
    </r>
    <r>
      <rPr>
        <b/>
        <sz val="14"/>
        <color rgb="FFCC9900"/>
        <rFont val="Aptos Narrow"/>
        <family val="2"/>
        <scheme val="minor"/>
      </rPr>
      <t xml:space="preserve"> Ghost Reveries</t>
    </r>
  </si>
  <si>
    <t>Ghost of Perdition</t>
  </si>
  <si>
    <t>The Baying Hounds</t>
  </si>
  <si>
    <t>Beneath the Mire</t>
  </si>
  <si>
    <t>Atonement</t>
  </si>
  <si>
    <t>Reverie / Harlequin Forest</t>
  </si>
  <si>
    <t>Hours of Wealth</t>
  </si>
  <si>
    <t>The Grand Conjuration</t>
  </si>
  <si>
    <t>Isolation Years</t>
  </si>
  <si>
    <t>Ghost Reveries</t>
  </si>
  <si>
    <r>
      <t>* Radiohead -</t>
    </r>
    <r>
      <rPr>
        <b/>
        <sz val="14"/>
        <rFont val="Aptos Narrow"/>
        <family val="2"/>
        <scheme val="minor"/>
      </rPr>
      <t xml:space="preserve"> Pablo Honey</t>
    </r>
  </si>
  <si>
    <t>You</t>
  </si>
  <si>
    <t>Creep</t>
  </si>
  <si>
    <t>How Do You?</t>
  </si>
  <si>
    <t>Stop Whispering</t>
  </si>
  <si>
    <t>Thinking About You</t>
  </si>
  <si>
    <t>Anyone Can Play Guitar</t>
  </si>
  <si>
    <t>Ripcord</t>
  </si>
  <si>
    <t>Vegetable</t>
  </si>
  <si>
    <t>Prove Yourself</t>
  </si>
  <si>
    <t>I Can't</t>
  </si>
  <si>
    <t>Lurgee</t>
  </si>
  <si>
    <t>Blow Out</t>
  </si>
  <si>
    <t>Pablo Honey</t>
  </si>
  <si>
    <r>
      <t>* Coldplay -</t>
    </r>
    <r>
      <rPr>
        <b/>
        <sz val="12"/>
        <color theme="1" tint="0.249977111117893"/>
        <rFont val="Aptos Narrow"/>
        <scheme val="minor"/>
      </rPr>
      <t xml:space="preserve"> A Rush of Blood to the Head</t>
    </r>
  </si>
  <si>
    <t>Politik</t>
  </si>
  <si>
    <t>In My Place</t>
  </si>
  <si>
    <t>God Put a Smile upon Your Face</t>
  </si>
  <si>
    <t>The Scientist</t>
  </si>
  <si>
    <t>Clocks</t>
  </si>
  <si>
    <t>Daylight</t>
  </si>
  <si>
    <t>Green Eyes</t>
  </si>
  <si>
    <t>Warning Sign</t>
  </si>
  <si>
    <t>A Whisper</t>
  </si>
  <si>
    <t>A Rush of Blood to the Head</t>
  </si>
  <si>
    <t>Amsterdam</t>
  </si>
  <si>
    <t>LONG SEASON</t>
  </si>
  <si>
    <r>
      <t>* Fishmans -</t>
    </r>
    <r>
      <rPr>
        <b/>
        <sz val="14"/>
        <color rgb="FFFF6A00"/>
        <rFont val="Aptos Narrow"/>
        <scheme val="minor"/>
      </rPr>
      <t xml:space="preserve"> LONG SEASON</t>
    </r>
  </si>
  <si>
    <t>Fishmans</t>
  </si>
  <si>
    <t>neo psychedelic, dream pop</t>
  </si>
  <si>
    <t>post britpop, art rock</t>
  </si>
  <si>
    <r>
      <rPr>
        <sz val="14"/>
        <color theme="1"/>
        <rFont val="Aptos Narrow"/>
        <family val="2"/>
        <scheme val="minor"/>
      </rPr>
      <t>* Frank Ocean</t>
    </r>
    <r>
      <rPr>
        <b/>
        <sz val="14"/>
        <color theme="1"/>
        <rFont val="Aptos Narrow"/>
        <family val="2"/>
        <scheme val="minor"/>
      </rPr>
      <t xml:space="preserve"> - Blonde</t>
    </r>
  </si>
  <si>
    <r>
      <rPr>
        <sz val="14"/>
        <color theme="3" tint="0.499984740745262"/>
        <rFont val="Aptos Narrow"/>
        <scheme val="minor"/>
      </rPr>
      <t>* Porcupine Tree</t>
    </r>
    <r>
      <rPr>
        <b/>
        <sz val="14"/>
        <color theme="3" tint="0.499984740745262"/>
        <rFont val="Aptos Narrow"/>
        <scheme val="minor"/>
      </rPr>
      <t xml:space="preserve"> - In Absentia</t>
    </r>
  </si>
  <si>
    <r>
      <rPr>
        <sz val="12"/>
        <color rgb="FFFF2905"/>
        <rFont val="Aptos Narrow"/>
        <family val="2"/>
        <scheme val="minor"/>
      </rPr>
      <t>* Cocteau Twins</t>
    </r>
    <r>
      <rPr>
        <b/>
        <sz val="12"/>
        <color rgb="FFFF2905"/>
        <rFont val="Aptos Narrow"/>
        <family val="2"/>
        <scheme val="minor"/>
      </rPr>
      <t xml:space="preserve"> - Heaven or Las Vegas</t>
    </r>
  </si>
  <si>
    <t>3rd EYE SCORE</t>
  </si>
  <si>
    <t>El 3rd EYE SCORE se calcula asi:</t>
  </si>
  <si>
    <r>
      <t xml:space="preserve">* King Crimson - </t>
    </r>
    <r>
      <rPr>
        <b/>
        <sz val="14"/>
        <color rgb="FFB40000"/>
        <rFont val="Aptos Narrow"/>
        <family val="2"/>
        <scheme val="minor"/>
      </rPr>
      <t>Red</t>
    </r>
  </si>
  <si>
    <t>Red</t>
  </si>
  <si>
    <t>Fallen Angel</t>
  </si>
  <si>
    <t>One More Red Nightmare</t>
  </si>
  <si>
    <t>Providence</t>
  </si>
  <si>
    <t>Starless</t>
  </si>
  <si>
    <t>Scene One: Regression</t>
  </si>
  <si>
    <t>Scene Two: I. Overture 1928</t>
  </si>
  <si>
    <t>Scene Two: II. Strange Déjà Vu</t>
  </si>
  <si>
    <t>Scene Three: I. Through My Words</t>
  </si>
  <si>
    <t>Scene Three: II. Fatal Tragedy</t>
  </si>
  <si>
    <t>Scene Four: Beyond This Life</t>
  </si>
  <si>
    <t>Scene Five: Through Her Eyes</t>
  </si>
  <si>
    <t>Scene Six: Home</t>
  </si>
  <si>
    <t>Scene Seven: I. The Dance of Eternity</t>
  </si>
  <si>
    <t>Scene Seven: II. One Last Time</t>
  </si>
  <si>
    <t>Scene Eight: The Spirit Carries On</t>
  </si>
  <si>
    <t>Scene Nine: Finally Free</t>
  </si>
  <si>
    <t>Dream Theater</t>
  </si>
  <si>
    <t>Metropolis, Pt. 2: Scenes from a Memory</t>
  </si>
  <si>
    <t>Shine On You Crazy Diamond (Pts. 1-5)</t>
  </si>
  <si>
    <t>Welcome to the Machine</t>
  </si>
  <si>
    <t>Have a Cigar</t>
  </si>
  <si>
    <t>Wish You Were Here</t>
  </si>
  <si>
    <t>Shine On You Crazy Diamond (Pts. 6-9)</t>
  </si>
  <si>
    <r>
      <t>* Pink Floyd -</t>
    </r>
    <r>
      <rPr>
        <b/>
        <sz val="14"/>
        <color theme="0"/>
        <rFont val="Aptos Narrow"/>
        <family val="2"/>
        <scheme val="minor"/>
      </rPr>
      <t xml:space="preserve"> Wish You Were Here</t>
    </r>
  </si>
  <si>
    <t>progressive rock, art rock, psychedelic rock</t>
  </si>
  <si>
    <t>RESUMEN GLOBAL</t>
  </si>
  <si>
    <t>GENERAL</t>
  </si>
  <si>
    <t>Total álbumes</t>
  </si>
  <si>
    <t>Artistas únicos</t>
  </si>
  <si>
    <t>Total canciones</t>
  </si>
  <si>
    <t>Canciones con nota</t>
  </si>
  <si>
    <t>Canciones/álbum (media)</t>
  </si>
  <si>
    <t>% Interludios</t>
  </si>
  <si>
    <t>NOTAS - TENDENCIA CENTRAL</t>
  </si>
  <si>
    <t>Media global</t>
  </si>
  <si>
    <t>Mediana global</t>
  </si>
  <si>
    <t>Moda (nota más frecuente)</t>
  </si>
  <si>
    <t>NOTAS - DISPERSIÓN</t>
  </si>
  <si>
    <t>Desviación típica</t>
  </si>
  <si>
    <t>Coef. de variación</t>
  </si>
  <si>
    <t>Rango (máx - mín)</t>
  </si>
  <si>
    <t>Rango intercuartílico (Q3-Q1)</t>
  </si>
  <si>
    <t>NOTAS - FORMA DE LA DISTRIBUCIÓN</t>
  </si>
  <si>
    <t>Asimetría (skewness)</t>
  </si>
  <si>
    <t>Curtosis (excess)</t>
  </si>
  <si>
    <t>DISTRIBUCIÓN POR RANGOS</t>
  </si>
  <si>
    <t>[0, 5)</t>
  </si>
  <si>
    <t>[5, 7)</t>
  </si>
  <si>
    <t>[7, 8)</t>
  </si>
  <si>
    <t>[8, 9)</t>
  </si>
  <si>
    <t>[9, 10)</t>
  </si>
  <si>
    <t>[10, 10.5]</t>
  </si>
  <si>
    <t>DESTACADOS</t>
  </si>
  <si>
    <t>Mejor álbum</t>
  </si>
  <si>
    <t>Fishmans - LONG SEASON (10.5)</t>
  </si>
  <si>
    <t>Peor álbum</t>
  </si>
  <si>
    <t>Más consistente (menor desv.)</t>
  </si>
  <si>
    <t>Más irregular (mayor desv.)</t>
  </si>
  <si>
    <t>GÉNEROS</t>
  </si>
  <si>
    <t>Álbumes con género</t>
  </si>
  <si>
    <t>Géneros únicos</t>
  </si>
  <si>
    <t>Más frecuente</t>
  </si>
  <si>
    <t>Mejor media</t>
  </si>
  <si>
    <t>Peor media</t>
  </si>
  <si>
    <t>spanish rap (7.29)</t>
  </si>
  <si>
    <t>DESGLOSE POR GÉNERO</t>
  </si>
  <si>
    <t>psychedelic rock</t>
  </si>
  <si>
    <t>dream pop</t>
  </si>
  <si>
    <t>neo psychedelic</t>
  </si>
  <si>
    <t>3 (9.19)</t>
  </si>
  <si>
    <t>progressive rock</t>
  </si>
  <si>
    <t>art rock</t>
  </si>
  <si>
    <t>slowcore</t>
  </si>
  <si>
    <t>soul</t>
  </si>
  <si>
    <t>1 (9.06)</t>
  </si>
  <si>
    <t>progressive soul</t>
  </si>
  <si>
    <t>shoegaze</t>
  </si>
  <si>
    <t>garage rock</t>
  </si>
  <si>
    <t>1 (8.89)</t>
  </si>
  <si>
    <t>pop rap</t>
  </si>
  <si>
    <t>1 (8.82)</t>
  </si>
  <si>
    <t>hip hop</t>
  </si>
  <si>
    <t>indie rock</t>
  </si>
  <si>
    <t>death metal</t>
  </si>
  <si>
    <t>post britpop</t>
  </si>
  <si>
    <t>1 (8.73)</t>
  </si>
  <si>
    <t>indie</t>
  </si>
  <si>
    <t>jazz rap</t>
  </si>
  <si>
    <t>1 (8.71)</t>
  </si>
  <si>
    <t>instrumental hip hop</t>
  </si>
  <si>
    <t>trip hop</t>
  </si>
  <si>
    <t>downtempo</t>
  </si>
  <si>
    <t>electropop</t>
  </si>
  <si>
    <t>1 (8.67)</t>
  </si>
  <si>
    <t>post rock</t>
  </si>
  <si>
    <t>yacht rock</t>
  </si>
  <si>
    <t>art pop</t>
  </si>
  <si>
    <t>pop rock</t>
  </si>
  <si>
    <t>post punk</t>
  </si>
  <si>
    <t>french house</t>
  </si>
  <si>
    <t>new wave</t>
  </si>
  <si>
    <t>4 (8.59)</t>
  </si>
  <si>
    <t>electronic</t>
  </si>
  <si>
    <t>old school hip hop</t>
  </si>
  <si>
    <t>2 (8.56)</t>
  </si>
  <si>
    <t>east coast hip hop</t>
  </si>
  <si>
    <t>punk rock</t>
  </si>
  <si>
    <t>1 (8.55)</t>
  </si>
  <si>
    <t>alternative R&amp;B</t>
  </si>
  <si>
    <t>1 (8.5)</t>
  </si>
  <si>
    <t>grunge</t>
  </si>
  <si>
    <t>1 (8.38)</t>
  </si>
  <si>
    <t>post grunge</t>
  </si>
  <si>
    <t>nu metal</t>
  </si>
  <si>
    <t>rap metal</t>
  </si>
  <si>
    <t>4 (8.22)</t>
  </si>
  <si>
    <t>experimental hip hop</t>
  </si>
  <si>
    <t>experimental rock</t>
  </si>
  <si>
    <t>grime</t>
  </si>
  <si>
    <t>1 (7.67)</t>
  </si>
  <si>
    <t>uk grime</t>
  </si>
  <si>
    <t>1 (7.29)</t>
  </si>
  <si>
    <r>
      <t xml:space="preserve">* Metallica - </t>
    </r>
    <r>
      <rPr>
        <b/>
        <sz val="14"/>
        <color rgb="FF449010"/>
        <rFont val="Aptos Narrow"/>
        <family val="2"/>
        <scheme val="minor"/>
      </rPr>
      <t>…And Justice For All</t>
    </r>
  </si>
  <si>
    <t>Blackened</t>
  </si>
  <si>
    <t>…And Justice For All</t>
  </si>
  <si>
    <t>Eye of the Beholder</t>
  </si>
  <si>
    <t>One</t>
  </si>
  <si>
    <t>The Shortest Straw</t>
  </si>
  <si>
    <t>Harvester of Sorrow</t>
  </si>
  <si>
    <t>The Frayed Ends of Sanity</t>
  </si>
  <si>
    <t>To Live is to Die</t>
  </si>
  <si>
    <t>Dyers Eve</t>
  </si>
  <si>
    <t>1 (9.21)</t>
  </si>
  <si>
    <t>3 (8.96)</t>
  </si>
  <si>
    <t>5 (8.83)</t>
  </si>
  <si>
    <r>
      <t>* The Smashing Pumpkins -</t>
    </r>
    <r>
      <rPr>
        <b/>
        <sz val="11"/>
        <color rgb="FFFF6A00"/>
        <rFont val="Aptos Narrow"/>
        <family val="2"/>
        <scheme val="minor"/>
      </rPr>
      <t xml:space="preserve"> Siamese Dream</t>
    </r>
  </si>
  <si>
    <t>Chreub Rock</t>
  </si>
  <si>
    <t>Quiet</t>
  </si>
  <si>
    <t>Today</t>
  </si>
  <si>
    <t>Hummer</t>
  </si>
  <si>
    <t>Rocket</t>
  </si>
  <si>
    <t>Disarm</t>
  </si>
  <si>
    <t>Soma</t>
  </si>
  <si>
    <t>Geek U.S.A.</t>
  </si>
  <si>
    <t>Mayonaise</t>
  </si>
  <si>
    <t>Spaceboy</t>
  </si>
  <si>
    <t>Silverfuck</t>
  </si>
  <si>
    <t>Sweet Sweet</t>
  </si>
  <si>
    <t>Luna</t>
  </si>
  <si>
    <t>The Smashing Pumpkins</t>
  </si>
  <si>
    <t>Siamese Dream</t>
  </si>
  <si>
    <t>alternative rock, shoegaze</t>
  </si>
  <si>
    <t>Key</t>
  </si>
  <si>
    <t>Door</t>
  </si>
  <si>
    <t>Subwoofer Lullaby</t>
  </si>
  <si>
    <t>Death</t>
  </si>
  <si>
    <t>Living Mice</t>
  </si>
  <si>
    <t>Moog City</t>
  </si>
  <si>
    <t>Haggstrom</t>
  </si>
  <si>
    <t>Minecraft</t>
  </si>
  <si>
    <t>Oxygène</t>
  </si>
  <si>
    <t>Équinoxe</t>
  </si>
  <si>
    <t>Mice On Venus</t>
  </si>
  <si>
    <t>Dry Hands</t>
  </si>
  <si>
    <t>Wet Hands</t>
  </si>
  <si>
    <t>Clark</t>
  </si>
  <si>
    <t>Chris</t>
  </si>
  <si>
    <t>Thirteen</t>
  </si>
  <si>
    <t>Excuse</t>
  </si>
  <si>
    <t>Sweeden</t>
  </si>
  <si>
    <t>Cat</t>
  </si>
  <si>
    <t>Dog</t>
  </si>
  <si>
    <t>Danny</t>
  </si>
  <si>
    <t>Beggining</t>
  </si>
  <si>
    <t>Droopy Likes Ricochet</t>
  </si>
  <si>
    <t>Droppy Likes Your Face</t>
  </si>
  <si>
    <t>C418</t>
  </si>
  <si>
    <r>
      <rPr>
        <sz val="12"/>
        <color theme="1"/>
        <rFont val="Aptos Narrow"/>
        <family val="2"/>
        <scheme val="minor"/>
      </rPr>
      <t>* Sweet Trip</t>
    </r>
    <r>
      <rPr>
        <b/>
        <sz val="12"/>
        <color theme="1"/>
        <rFont val="Aptos Narrow"/>
        <family val="2"/>
        <scheme val="minor"/>
      </rPr>
      <t xml:space="preserve"> - You Will Never Know Why</t>
    </r>
  </si>
  <si>
    <r>
      <rPr>
        <sz val="14"/>
        <color theme="1"/>
        <rFont val="Aptos Narrow"/>
        <family val="2"/>
        <scheme val="minor"/>
      </rPr>
      <t>* Massive Attack</t>
    </r>
    <r>
      <rPr>
        <b/>
        <sz val="14"/>
        <color theme="1"/>
        <rFont val="Aptos Narrow"/>
        <family val="2"/>
        <scheme val="minor"/>
      </rPr>
      <t xml:space="preserve"> - Mezzanine</t>
    </r>
  </si>
  <si>
    <r>
      <rPr>
        <sz val="10"/>
        <color theme="1"/>
        <rFont val="Aptos Narrow"/>
        <family val="2"/>
        <scheme val="minor"/>
      </rPr>
      <t>* King Crimson</t>
    </r>
    <r>
      <rPr>
        <b/>
        <sz val="10"/>
        <color theme="1"/>
        <rFont val="Aptos Narrow"/>
        <family val="2"/>
        <scheme val="minor"/>
      </rPr>
      <t xml:space="preserve"> - In The Court Of The Crimson King</t>
    </r>
  </si>
  <si>
    <t>In The Court Of The Crimson King</t>
  </si>
  <si>
    <t>You Will Never Know Why</t>
  </si>
  <si>
    <t>ambient</t>
  </si>
  <si>
    <t>dream pop, indie pop</t>
  </si>
  <si>
    <r>
      <t xml:space="preserve">* DELLAFUENTE - </t>
    </r>
    <r>
      <rPr>
        <b/>
        <sz val="14"/>
        <color rgb="FFFF6A00"/>
        <rFont val="Aptos Narrow"/>
        <family val="2"/>
        <scheme val="minor"/>
      </rPr>
      <t>Ep.01-Causa</t>
    </r>
  </si>
  <si>
    <t>Taifa</t>
  </si>
  <si>
    <t>La Verdad</t>
  </si>
  <si>
    <t>Corazón de Agua</t>
  </si>
  <si>
    <t>El Bosque</t>
  </si>
  <si>
    <t>400 Demonios</t>
  </si>
  <si>
    <t>El Barco</t>
  </si>
  <si>
    <t>Yallah</t>
  </si>
  <si>
    <t>Causa</t>
  </si>
  <si>
    <t>DELLAFUENTE</t>
  </si>
  <si>
    <t>Ep.01-Causa</t>
  </si>
  <si>
    <t>indie pop</t>
  </si>
  <si>
    <t>andalusian rock</t>
  </si>
  <si>
    <r>
      <t xml:space="preserve">* Dire Straits - </t>
    </r>
    <r>
      <rPr>
        <b/>
        <sz val="14"/>
        <color rgb="FF663300"/>
        <rFont val="Aptos Narrow"/>
        <family val="2"/>
        <scheme val="minor"/>
      </rPr>
      <t>Dire Straits</t>
    </r>
  </si>
  <si>
    <t>Down To The Waterline</t>
  </si>
  <si>
    <t>Water Of Love</t>
  </si>
  <si>
    <t>Setting Me Up</t>
  </si>
  <si>
    <t>Six Blade Knife</t>
  </si>
  <si>
    <t>Southbound Again</t>
  </si>
  <si>
    <t>Sultans Of Swing</t>
  </si>
  <si>
    <t>In The Gallery</t>
  </si>
  <si>
    <t>Wild West End</t>
  </si>
  <si>
    <t>Lions</t>
  </si>
  <si>
    <t>1 (7.71)</t>
  </si>
  <si>
    <t>roots rock, blues rock</t>
  </si>
  <si>
    <t>Club classics</t>
  </si>
  <si>
    <t>Sympathy is a knife</t>
  </si>
  <si>
    <t>I might say something stupid</t>
  </si>
  <si>
    <t>Talk talk</t>
  </si>
  <si>
    <t>Von dutch</t>
  </si>
  <si>
    <t>Everything is romantic</t>
  </si>
  <si>
    <t>Rewind</t>
  </si>
  <si>
    <t>So I</t>
  </si>
  <si>
    <t>Girl, so confusing</t>
  </si>
  <si>
    <t>Apple</t>
  </si>
  <si>
    <t>B2b</t>
  </si>
  <si>
    <t>Mean girls</t>
  </si>
  <si>
    <t>I think about it all the time</t>
  </si>
  <si>
    <r>
      <t xml:space="preserve">* Charli xcx - </t>
    </r>
    <r>
      <rPr>
        <b/>
        <sz val="14"/>
        <color theme="1"/>
        <rFont val="Aptos Narrow"/>
        <family val="2"/>
        <scheme val="minor"/>
      </rPr>
      <t>BRAT</t>
    </r>
  </si>
  <si>
    <t>Charli xcx</t>
  </si>
  <si>
    <t>BRAT</t>
  </si>
  <si>
    <t>roots rock</t>
  </si>
  <si>
    <t>1 (8.83)</t>
  </si>
  <si>
    <t>blues rock</t>
  </si>
  <si>
    <t>electropop, edm</t>
  </si>
  <si>
    <r>
      <t xml:space="preserve">* Deafheaven - </t>
    </r>
    <r>
      <rPr>
        <b/>
        <sz val="14"/>
        <color theme="0"/>
        <rFont val="Aptos Narrow"/>
        <scheme val="minor"/>
      </rPr>
      <t>Sunbather</t>
    </r>
  </si>
  <si>
    <t>Dream House</t>
  </si>
  <si>
    <t>Irresistible</t>
  </si>
  <si>
    <t>Sunbather</t>
  </si>
  <si>
    <t>Please Remember</t>
  </si>
  <si>
    <t>Vertigo</t>
  </si>
  <si>
    <t>Windows</t>
  </si>
  <si>
    <t>The Pecan Tree</t>
  </si>
  <si>
    <r>
      <rPr>
        <sz val="11"/>
        <color rgb="FFC00000"/>
        <rFont val="Aptos Narrow"/>
        <scheme val="minor"/>
      </rPr>
      <t>* Godspeed You Black Emperor!</t>
    </r>
    <r>
      <rPr>
        <b/>
        <sz val="11"/>
        <color rgb="FFC00000"/>
        <rFont val="Aptos Narrow"/>
        <scheme val="minor"/>
      </rPr>
      <t xml:space="preserve"> - Lift Yr. Skinny Fists Like Antennas to Heaven!</t>
    </r>
  </si>
  <si>
    <t>Deafheaven</t>
  </si>
  <si>
    <t>blackgaze, post metal</t>
  </si>
  <si>
    <t>blackgaze</t>
  </si>
  <si>
    <t>1 (8.75)</t>
  </si>
  <si>
    <t>post metal</t>
  </si>
  <si>
    <t>Fear Inoculum</t>
  </si>
  <si>
    <t>Pneuma</t>
  </si>
  <si>
    <t>Litanie contre la Peur</t>
  </si>
  <si>
    <t>Invincible</t>
  </si>
  <si>
    <t>Legion Inoculant</t>
  </si>
  <si>
    <t>Descending</t>
  </si>
  <si>
    <t>Culling Voices</t>
  </si>
  <si>
    <t>Chocolate Chip Trip</t>
  </si>
  <si>
    <t>7empest</t>
  </si>
  <si>
    <t>Mockingbeat</t>
  </si>
  <si>
    <r>
      <t xml:space="preserve">* TOOL - </t>
    </r>
    <r>
      <rPr>
        <b/>
        <sz val="14"/>
        <color rgb="FFEFC849"/>
        <rFont val="Aptos Narrow"/>
        <scheme val="minor"/>
      </rPr>
      <t>Fear Inoculum</t>
    </r>
  </si>
  <si>
    <r>
      <t xml:space="preserve">* Dream Theater - </t>
    </r>
    <r>
      <rPr>
        <b/>
        <sz val="10"/>
        <color rgb="FFCCCC00"/>
        <rFont val="Aptos Narrow"/>
        <family val="2"/>
        <scheme val="minor"/>
      </rPr>
      <t>Metropolis, Pt. 2: Scenes from a Memory</t>
    </r>
  </si>
  <si>
    <t>Si no encuentras el script copia y pega lo que tienes a la izquierda</t>
  </si>
  <si>
    <t>progressive metal, post metal</t>
  </si>
  <si>
    <t>progressive metal, alternative metal, post metal</t>
  </si>
  <si>
    <r>
      <t xml:space="preserve">* berlioz - </t>
    </r>
    <r>
      <rPr>
        <b/>
        <sz val="14"/>
        <color theme="3" tint="0.499984740745262"/>
        <rFont val="Aptos Narrow"/>
        <scheme val="minor"/>
      </rPr>
      <t>open this wall</t>
    </r>
  </si>
  <si>
    <t>ascension</t>
  </si>
  <si>
    <t>open this wall</t>
  </si>
  <si>
    <t>peace</t>
  </si>
  <si>
    <t>hot slow</t>
  </si>
  <si>
    <t>ode to rahsaan</t>
  </si>
  <si>
    <t>nytmp</t>
  </si>
  <si>
    <t>joycelyn's dance</t>
  </si>
  <si>
    <t>indigo dream</t>
  </si>
  <si>
    <t>free fall</t>
  </si>
  <si>
    <t>something will happen</t>
  </si>
  <si>
    <t>outro</t>
  </si>
  <si>
    <t>berlioz</t>
  </si>
  <si>
    <t>nu jazz, deep house</t>
  </si>
  <si>
    <t>Combustion</t>
  </si>
  <si>
    <t>Electric Red</t>
  </si>
  <si>
    <t>Bleed</t>
  </si>
  <si>
    <t>Lethargica</t>
  </si>
  <si>
    <t>Obzen</t>
  </si>
  <si>
    <t>This Spiteful Snake</t>
  </si>
  <si>
    <t>Pineal Gland Optics</t>
  </si>
  <si>
    <t>Pravus</t>
  </si>
  <si>
    <t>Dancers to a Discordant System</t>
  </si>
  <si>
    <t>Meshuggah</t>
  </si>
  <si>
    <t>obZen</t>
  </si>
  <si>
    <t>nu jazz</t>
  </si>
  <si>
    <t>1 (8.45)</t>
  </si>
  <si>
    <t>deep house</t>
  </si>
  <si>
    <t>djent, progressive metal</t>
  </si>
  <si>
    <t>djent</t>
  </si>
  <si>
    <t>1 (8.42)</t>
  </si>
  <si>
    <t>The Mountain</t>
  </si>
  <si>
    <t>The Moon Cave</t>
  </si>
  <si>
    <t>The Happy Dictator</t>
  </si>
  <si>
    <t>The Hardest Thing</t>
  </si>
  <si>
    <t>Orange County</t>
  </si>
  <si>
    <t>The God of Lying</t>
  </si>
  <si>
    <t>The Empty Dream Machine</t>
  </si>
  <si>
    <t>The Manifesto</t>
  </si>
  <si>
    <t>The Plastic Guru</t>
  </si>
  <si>
    <t>Delirium</t>
  </si>
  <si>
    <t>Damascus</t>
  </si>
  <si>
    <t>The Shadowy Light</t>
  </si>
  <si>
    <t>Casablanca</t>
  </si>
  <si>
    <t>The Sweet Prince</t>
  </si>
  <si>
    <t>The Sad God</t>
  </si>
  <si>
    <r>
      <t>* Gorillaz -</t>
    </r>
    <r>
      <rPr>
        <b/>
        <sz val="14"/>
        <color rgb="FFE7442F"/>
        <rFont val="Aptos Narrow"/>
        <scheme val="minor"/>
      </rPr>
      <t xml:space="preserve"> The Mountain</t>
    </r>
  </si>
  <si>
    <t>art pop, neo psychedelia</t>
  </si>
  <si>
    <t>neo psychedelia</t>
  </si>
  <si>
    <t>1 (8.11)</t>
  </si>
  <si>
    <r>
      <t xml:space="preserve">* Queens of the Stone Age - </t>
    </r>
    <r>
      <rPr>
        <b/>
        <sz val="10.5"/>
        <color theme="1"/>
        <rFont val="Aptos Narrow"/>
        <family val="2"/>
        <scheme val="minor"/>
      </rPr>
      <t>Songs For The Deaf</t>
    </r>
  </si>
  <si>
    <t>You Think I Ain't Worth A Dollar, But I Feel Like A Millionaire</t>
  </si>
  <si>
    <t>No One Knows</t>
  </si>
  <si>
    <t>First It Giveth</t>
  </si>
  <si>
    <t>Song For The Dead</t>
  </si>
  <si>
    <t>The Sky Is Fallin'</t>
  </si>
  <si>
    <t>Six Shooter</t>
  </si>
  <si>
    <t>Hanging Tree</t>
  </si>
  <si>
    <t>Go With The Flow</t>
  </si>
  <si>
    <t>Gonna Leave You</t>
  </si>
  <si>
    <t>Do It Again</t>
  </si>
  <si>
    <t>God Is In The Radio</t>
  </si>
  <si>
    <t>Another Love Song</t>
  </si>
  <si>
    <t>Song For The Deaf</t>
  </si>
  <si>
    <t>Mosquito Song</t>
  </si>
  <si>
    <r>
      <t xml:space="preserve">* Geese - </t>
    </r>
    <r>
      <rPr>
        <b/>
        <sz val="14"/>
        <color rgb="FF97C0E9"/>
        <rFont val="Aptos Narrow"/>
        <family val="2"/>
        <scheme val="minor"/>
      </rPr>
      <t>Getting Killed</t>
    </r>
  </si>
  <si>
    <t>Trinidad</t>
  </si>
  <si>
    <t>Cobra</t>
  </si>
  <si>
    <t>Husbands</t>
  </si>
  <si>
    <t>Getting Killed</t>
  </si>
  <si>
    <t>Islands of Men</t>
  </si>
  <si>
    <t>100 Horses</t>
  </si>
  <si>
    <t>Half Real</t>
  </si>
  <si>
    <t>Au Pays du Cocaine</t>
  </si>
  <si>
    <t>Bow Down</t>
  </si>
  <si>
    <t>Taxes</t>
  </si>
  <si>
    <t>Long Island City Here I Come</t>
  </si>
  <si>
    <t>ÁLBUMES</t>
  </si>
  <si>
    <t>Geese</t>
  </si>
  <si>
    <t>Queens of the Stone Age</t>
  </si>
  <si>
    <t>Songs For The Deaf</t>
  </si>
  <si>
    <t>RESUMEN ARTISTAS REPETIDOS</t>
  </si>
  <si>
    <t>art rock, indie rock</t>
  </si>
  <si>
    <t>alternative rock, stoner rock</t>
  </si>
  <si>
    <t>stoner rock</t>
  </si>
  <si>
    <t>1 (8.77)</t>
  </si>
  <si>
    <r>
      <t xml:space="preserve">* Meshuggah - </t>
    </r>
    <r>
      <rPr>
        <b/>
        <sz val="14"/>
        <color rgb="FFEA251F"/>
        <rFont val="Aptos Narrow"/>
        <family val="2"/>
        <scheme val="minor"/>
      </rPr>
      <t>obZen</t>
    </r>
  </si>
  <si>
    <r>
      <t xml:space="preserve">* Metallica - </t>
    </r>
    <r>
      <rPr>
        <b/>
        <sz val="14"/>
        <color theme="1" tint="0.34998626667073579"/>
        <rFont val="Aptos Narrow"/>
        <family val="2"/>
        <scheme val="minor"/>
      </rPr>
      <t>Metallica</t>
    </r>
  </si>
  <si>
    <t>Enter Sandman</t>
  </si>
  <si>
    <t>Sad But True</t>
  </si>
  <si>
    <t>Holier Than Thou</t>
  </si>
  <si>
    <t>The Unforgiven</t>
  </si>
  <si>
    <t>Wherever I May Roam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</si>
  <si>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</si>
  <si>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</si>
  <si>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</si>
  <si>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</si>
  <si>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</si>
  <si>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</si>
  <si>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The Struggle Within</t>
  </si>
  <si>
    <t>heavy metal</t>
  </si>
  <si>
    <r>
      <t xml:space="preserve">* Kendrick Lamar - </t>
    </r>
    <r>
      <rPr>
        <b/>
        <sz val="12"/>
        <color theme="1" tint="0.14999847407452621"/>
        <rFont val="Aptos Narrow"/>
        <family val="2"/>
        <scheme val="minor"/>
      </rPr>
      <t>To Pimp A Butterfly</t>
    </r>
  </si>
  <si>
    <t>Wesley's Theory</t>
  </si>
  <si>
    <t>For Free ? - Interlude</t>
  </si>
  <si>
    <t>King Kunta</t>
  </si>
  <si>
    <t>Institutionalized</t>
  </si>
  <si>
    <t>These Walls</t>
  </si>
  <si>
    <t>u</t>
  </si>
  <si>
    <t>Alright</t>
  </si>
  <si>
    <t>For Sale? - Interlude</t>
  </si>
  <si>
    <t>Momma</t>
  </si>
  <si>
    <t>Hood Politics</t>
  </si>
  <si>
    <t>How Much A Dollar Cost</t>
  </si>
  <si>
    <t>Complexion (A Zulu Love)</t>
  </si>
  <si>
    <t>The Blacker The Berry</t>
  </si>
  <si>
    <t>You Ain't Gotta Lie (Momma Said)</t>
  </si>
  <si>
    <t xml:space="preserve">i </t>
  </si>
  <si>
    <t>Mortal Man</t>
  </si>
  <si>
    <t>Kendrick Lamar</t>
  </si>
  <si>
    <t>To Pimp A Butterfly</t>
  </si>
  <si>
    <t>conscious hip hop, jazz rap</t>
  </si>
  <si>
    <r>
      <t xml:space="preserve">* Funkadelic - </t>
    </r>
    <r>
      <rPr>
        <b/>
        <sz val="14"/>
        <color rgb="FFFCA304"/>
        <rFont val="Aptos Narrow"/>
        <family val="2"/>
        <scheme val="minor"/>
      </rPr>
      <t>Maggot Brain</t>
    </r>
  </si>
  <si>
    <t>Maggot Brain</t>
  </si>
  <si>
    <t>Can You Get To That</t>
  </si>
  <si>
    <t>Hit It and Quit It</t>
  </si>
  <si>
    <t>You And Your Folks, Me And My Folks</t>
  </si>
  <si>
    <t>Super Stupid</t>
  </si>
  <si>
    <t>Back In Our Minds</t>
  </si>
  <si>
    <t>Wars Of Armageddon</t>
  </si>
  <si>
    <t>Funkadelic</t>
  </si>
  <si>
    <t>conscious hip hop</t>
  </si>
  <si>
    <t>funk rock, psychedelic rock</t>
  </si>
  <si>
    <r>
      <t xml:space="preserve">* King Crimson - </t>
    </r>
    <r>
      <rPr>
        <b/>
        <sz val="12"/>
        <color theme="3" tint="0.499984740745262"/>
        <rFont val="Aptos Narrow"/>
        <family val="2"/>
        <scheme val="minor"/>
      </rPr>
      <t>Larks' Tongues In Aspic</t>
    </r>
  </si>
  <si>
    <t>Lark's Tongues In Aspic (Part I)</t>
  </si>
  <si>
    <t>Book Of Saturday</t>
  </si>
  <si>
    <t>Exiles</t>
  </si>
  <si>
    <t>Easy Money</t>
  </si>
  <si>
    <t>The Talking Drum</t>
  </si>
  <si>
    <t>Lark's Tongues In Aspic (Part II)</t>
  </si>
  <si>
    <t>Larks' Tongues In Aspic</t>
  </si>
  <si>
    <t>funk rock</t>
  </si>
  <si>
    <t>1 (8.86)</t>
  </si>
  <si>
    <t>progressive rock, avant prog</t>
  </si>
  <si>
    <t>progressive rock, art rock, avant prog</t>
  </si>
  <si>
    <t>avant prog</t>
  </si>
  <si>
    <t>Ghost</t>
  </si>
  <si>
    <t>Drone</t>
  </si>
  <si>
    <t>Aozora</t>
  </si>
  <si>
    <t>Animation</t>
  </si>
  <si>
    <t>Conversations</t>
  </si>
  <si>
    <t>Reanimation</t>
  </si>
  <si>
    <t>All It Takes</t>
  </si>
  <si>
    <t>Remote Self Control</t>
  </si>
  <si>
    <t>Opal</t>
  </si>
  <si>
    <t>Salva</t>
  </si>
  <si>
    <t>Karnivool</t>
  </si>
  <si>
    <t>In Verses</t>
  </si>
  <si>
    <r>
      <t>* Karnivool -</t>
    </r>
    <r>
      <rPr>
        <b/>
        <sz val="14"/>
        <color theme="1" tint="0.249977111117893"/>
        <rFont val="Aptos Narrow"/>
        <family val="2"/>
        <scheme val="minor"/>
      </rPr>
      <t xml:space="preserve"> In Verses</t>
    </r>
  </si>
  <si>
    <r>
      <t xml:space="preserve">* Gorillaz - </t>
    </r>
    <r>
      <rPr>
        <b/>
        <sz val="14"/>
        <color theme="0"/>
        <rFont val="Aptos Narrow"/>
        <family val="2"/>
        <scheme val="minor"/>
      </rPr>
      <t>Demon Days</t>
    </r>
  </si>
  <si>
    <t>Intro</t>
  </si>
  <si>
    <t>Last Living Souls</t>
  </si>
  <si>
    <t>Kids With Guns</t>
  </si>
  <si>
    <t>O Green World</t>
  </si>
  <si>
    <t>Dirty Harry</t>
  </si>
  <si>
    <t>Feel Good Inc.</t>
  </si>
  <si>
    <t>El Mañana</t>
  </si>
  <si>
    <t>Every Planet We Reach Is Dead</t>
  </si>
  <si>
    <t>November Has Come</t>
  </si>
  <si>
    <t>All Gone</t>
  </si>
  <si>
    <t>White Light</t>
  </si>
  <si>
    <t>DARE</t>
  </si>
  <si>
    <t>Fire Coming out of the Monkey's Head</t>
  </si>
  <si>
    <t>Don't Get Lost in Heaven</t>
  </si>
  <si>
    <t>Demon Days</t>
  </si>
  <si>
    <t>alternative rock, art pop</t>
  </si>
  <si>
    <r>
      <t xml:space="preserve">* Agalloch - </t>
    </r>
    <r>
      <rPr>
        <b/>
        <sz val="14"/>
        <color theme="1" tint="0.14999847407452621"/>
        <rFont val="Aptos Narrow"/>
        <scheme val="minor"/>
      </rPr>
      <t>The Mantle</t>
    </r>
  </si>
  <si>
    <t>A Celebration For The Death Of Man…</t>
  </si>
  <si>
    <t>In The Shadow Of Our Pale Companion</t>
  </si>
  <si>
    <t>Odal</t>
  </si>
  <si>
    <t>I Am The Wooden Doors</t>
  </si>
  <si>
    <t>The Lodge</t>
  </si>
  <si>
    <t>You Were But A Ghost In My Arms</t>
  </si>
  <si>
    <t>The Hawthrone Passage</t>
  </si>
  <si>
    <t>…And The Great Cold Death Of The Earth</t>
  </si>
  <si>
    <t>A Desolation Song</t>
  </si>
  <si>
    <t>Agalloch</t>
  </si>
  <si>
    <t>The Mantle</t>
  </si>
  <si>
    <t>alternative rock, art pop, electropop, neo psychedelia</t>
  </si>
  <si>
    <t>4 (8.58)</t>
  </si>
  <si>
    <t>post metal, folk metal</t>
  </si>
  <si>
    <t>Summer Knights</t>
  </si>
  <si>
    <t>Waves</t>
  </si>
  <si>
    <t>FromdaTomb$</t>
  </si>
  <si>
    <t>Survival Tactics</t>
  </si>
  <si>
    <t>Killuminati</t>
  </si>
  <si>
    <t>Hardknock</t>
  </si>
  <si>
    <t>World Domination</t>
  </si>
  <si>
    <t>Pennyroyal</t>
  </si>
  <si>
    <t>Funky Ho'$</t>
  </si>
  <si>
    <t>Daily Routine</t>
  </si>
  <si>
    <t>Snakes</t>
  </si>
  <si>
    <t>Don't Front</t>
  </si>
  <si>
    <t>Righteous Minds</t>
  </si>
  <si>
    <t>Where It'$ At?</t>
  </si>
  <si>
    <t>Third Eye Sh*t</t>
  </si>
  <si>
    <t>Joey Bada$$</t>
  </si>
  <si>
    <t>folk metal</t>
  </si>
  <si>
    <t>boom bap, jazz rap</t>
  </si>
  <si>
    <t>boom bap</t>
  </si>
  <si>
    <r>
      <t xml:space="preserve">* Joey Bada$$ - </t>
    </r>
    <r>
      <rPr>
        <b/>
        <sz val="14"/>
        <color rgb="FF40298B"/>
        <rFont val="Aptos Narrow"/>
        <family val="2"/>
        <scheme val="minor"/>
      </rPr>
      <t>1999 (mixtape)</t>
    </r>
  </si>
  <si>
    <t>1999 (mixtape)</t>
  </si>
  <si>
    <t>3 (8.78)</t>
  </si>
  <si>
    <r>
      <t xml:space="preserve">* Aphex Twin - </t>
    </r>
    <r>
      <rPr>
        <b/>
        <sz val="10.5"/>
        <color theme="1"/>
        <rFont val="Aptos Narrow"/>
        <family val="2"/>
        <scheme val="minor"/>
      </rPr>
      <t>Selected Ambient Works 85-92</t>
    </r>
  </si>
  <si>
    <t>Tha</t>
  </si>
  <si>
    <t>Pulsewidth</t>
  </si>
  <si>
    <t>Ageispolis</t>
  </si>
  <si>
    <t>I</t>
  </si>
  <si>
    <t>Green Calx</t>
  </si>
  <si>
    <t>Heliospan</t>
  </si>
  <si>
    <t>We Are the Music Makers</t>
  </si>
  <si>
    <t>Schottkey 7th Path</t>
  </si>
  <si>
    <t>Ptolemy</t>
  </si>
  <si>
    <t>Hedphelym</t>
  </si>
  <si>
    <t>Delphium</t>
  </si>
  <si>
    <t>Actium</t>
  </si>
  <si>
    <t>Xtal</t>
  </si>
  <si>
    <t>Aphex Twin</t>
  </si>
  <si>
    <t>Selected Ambient Works 85-92</t>
  </si>
  <si>
    <t>ambient techno, IDM</t>
  </si>
  <si>
    <r>
      <t>* Panchiko -</t>
    </r>
    <r>
      <rPr>
        <b/>
        <sz val="12"/>
        <color theme="3" tint="0.499984740745262"/>
        <rFont val="Aptos Narrow"/>
        <family val="2"/>
        <scheme val="minor"/>
      </rPr>
      <t xml:space="preserve"> D&gt;E&gt;A&gt;T&gt;H&gt;M&gt;E&gt;T&gt;A&gt;L</t>
    </r>
  </si>
  <si>
    <t xml:space="preserve"> D&gt;E&gt;A&gt;T&gt;H&gt;M&gt;E&gt;T&gt;A&gt;L</t>
  </si>
  <si>
    <t>Stabilisers For Big Boys</t>
  </si>
  <si>
    <t>Laputa</t>
  </si>
  <si>
    <t>The Eyes of Ibad</t>
  </si>
  <si>
    <t>CUT</t>
  </si>
  <si>
    <t>Sodium Chloride</t>
  </si>
  <si>
    <t>Kicking Cars</t>
  </si>
  <si>
    <t>Panchiko</t>
  </si>
  <si>
    <t>D&gt;E&gt;A&gt;T&gt;H&gt;M&gt;E&gt;T&gt;A&gt;L</t>
  </si>
  <si>
    <t>ambient techno</t>
  </si>
  <si>
    <t>IDM</t>
  </si>
  <si>
    <t>indie rock, dream pop</t>
  </si>
  <si>
    <t>La femme d'argent</t>
  </si>
  <si>
    <t>Sexy Boy</t>
  </si>
  <si>
    <t>Kelly Watch the Stars</t>
  </si>
  <si>
    <t>Talisman</t>
  </si>
  <si>
    <t>Remember</t>
  </si>
  <si>
    <t>You Make It Easy</t>
  </si>
  <si>
    <t>Ce matin-là</t>
  </si>
  <si>
    <t>New Star in the Sky</t>
  </si>
  <si>
    <t>Le voyage de Pénélope</t>
  </si>
  <si>
    <r>
      <t xml:space="preserve">* Air - </t>
    </r>
    <r>
      <rPr>
        <b/>
        <sz val="14"/>
        <color theme="0"/>
        <rFont val="Aptos Narrow"/>
        <family val="2"/>
        <scheme val="minor"/>
      </rPr>
      <t>Moon Safari</t>
    </r>
  </si>
  <si>
    <t>Air</t>
  </si>
  <si>
    <t>Moon Safari</t>
  </si>
  <si>
    <t>downtempo, ambient pop</t>
  </si>
  <si>
    <t>ambient pop</t>
  </si>
  <si>
    <t>2 (8.72)</t>
  </si>
  <si>
    <t>Ocean Planet</t>
  </si>
  <si>
    <t>Backbone</t>
  </si>
  <si>
    <t>From The Sky</t>
  </si>
  <si>
    <t>Unicorn</t>
  </si>
  <si>
    <t>Where Dragons Dwell</t>
  </si>
  <si>
    <t>The Heaviest Matter of the Universe</t>
  </si>
  <si>
    <t>Flying Whales</t>
  </si>
  <si>
    <t>In The Wilderness</t>
  </si>
  <si>
    <t>World To Come</t>
  </si>
  <si>
    <t>From Mars</t>
  </si>
  <si>
    <t>To Sirius</t>
  </si>
  <si>
    <t>Global Warming</t>
  </si>
  <si>
    <r>
      <t xml:space="preserve">* Gojira - </t>
    </r>
    <r>
      <rPr>
        <b/>
        <sz val="14"/>
        <color theme="1"/>
        <rFont val="Aptos Narrow"/>
        <scheme val="minor"/>
      </rPr>
      <t>From Mars to Sirius</t>
    </r>
  </si>
  <si>
    <t>Gojira</t>
  </si>
  <si>
    <t>From Mars to Sirius</t>
  </si>
  <si>
    <r>
      <t>* C418 -</t>
    </r>
    <r>
      <rPr>
        <b/>
        <sz val="12"/>
        <color rgb="FF663300"/>
        <rFont val="Aptos Narrow"/>
        <family val="2"/>
        <scheme val="minor"/>
      </rPr>
      <t xml:space="preserve"> Minecraft Volume Alpha</t>
    </r>
    <r>
      <rPr>
        <sz val="12"/>
        <color rgb="FF663300"/>
        <rFont val="Aptos Narrow"/>
        <family val="2"/>
        <scheme val="minor"/>
      </rPr>
      <t xml:space="preserve"> [OST]</t>
    </r>
  </si>
  <si>
    <t>Enter Hallownest</t>
  </si>
  <si>
    <r>
      <t>* Christopher Larkin -</t>
    </r>
    <r>
      <rPr>
        <b/>
        <sz val="12"/>
        <color theme="0"/>
        <rFont val="Aptos Narrow"/>
        <family val="2"/>
        <scheme val="minor"/>
      </rPr>
      <t xml:space="preserve"> Hollow Knight </t>
    </r>
    <r>
      <rPr>
        <sz val="12"/>
        <color theme="0"/>
        <rFont val="Aptos Narrow"/>
        <family val="2"/>
        <scheme val="minor"/>
      </rPr>
      <t>[OST]</t>
    </r>
  </si>
  <si>
    <t>Dirtmouth</t>
  </si>
  <si>
    <t>Crossroads</t>
  </si>
  <si>
    <t>False Knight</t>
  </si>
  <si>
    <t>Greenpath</t>
  </si>
  <si>
    <t>Hornet</t>
  </si>
  <si>
    <t>Mantis Lords</t>
  </si>
  <si>
    <t>City of Tears</t>
  </si>
  <si>
    <t>Dung Defender</t>
  </si>
  <si>
    <t>Crystal Peak</t>
  </si>
  <si>
    <t>Fungal Wastes</t>
  </si>
  <si>
    <t>Decisive Battle</t>
  </si>
  <si>
    <t>Soul Sanctum</t>
  </si>
  <si>
    <t>Resting Grounds</t>
  </si>
  <si>
    <t>Queen's Gardens</t>
  </si>
  <si>
    <t>The White Lady</t>
  </si>
  <si>
    <t>Broken Vessel</t>
  </si>
  <si>
    <t>Kingdom's Edge</t>
  </si>
  <si>
    <t>Nosk</t>
  </si>
  <si>
    <t>Dream</t>
  </si>
  <si>
    <t>Dream Battle</t>
  </si>
  <si>
    <t>White Palace</t>
  </si>
  <si>
    <t>Sealed Vessel</t>
  </si>
  <si>
    <t>Radiance</t>
  </si>
  <si>
    <t>Hollow Knight</t>
  </si>
  <si>
    <t>Minecraft Volume Alpha [OST]</t>
  </si>
  <si>
    <t>Christopher Larkin</t>
  </si>
  <si>
    <t>Hollow Knight [OST]</t>
  </si>
  <si>
    <t>ambient, video game music</t>
  </si>
  <si>
    <t>video game music</t>
  </si>
  <si>
    <t>Human After All</t>
  </si>
  <si>
    <t>The Prime Time of Your Life</t>
  </si>
  <si>
    <t>Robot Rock</t>
  </si>
  <si>
    <t>Steam Machine</t>
  </si>
  <si>
    <t>Make Love</t>
  </si>
  <si>
    <t>The Brainwasher</t>
  </si>
  <si>
    <t>On / Off</t>
  </si>
  <si>
    <t>Television Rules the Nation</t>
  </si>
  <si>
    <t>Technologic</t>
  </si>
  <si>
    <t>Emotion</t>
  </si>
  <si>
    <r>
      <t xml:space="preserve">* Daft Punk - </t>
    </r>
    <r>
      <rPr>
        <b/>
        <sz val="14"/>
        <color rgb="FF002E25"/>
        <rFont val="Aptos Narrow"/>
        <family val="2"/>
        <scheme val="minor"/>
      </rPr>
      <t>Human After All</t>
    </r>
  </si>
  <si>
    <t>electroclash, post industrial</t>
  </si>
  <si>
    <t>french house, electronic, electroclash, post industrial</t>
  </si>
  <si>
    <t>electroclash</t>
  </si>
  <si>
    <t>1 (8)</t>
  </si>
  <si>
    <t>post industrial</t>
  </si>
  <si>
    <r>
      <t xml:space="preserve">* Gojira - </t>
    </r>
    <r>
      <rPr>
        <b/>
        <sz val="14"/>
        <color theme="1"/>
        <rFont val="Aptos Narrow"/>
        <scheme val="minor"/>
      </rPr>
      <t>Magma</t>
    </r>
  </si>
  <si>
    <t>The Shooting Star</t>
  </si>
  <si>
    <t>Silvera</t>
  </si>
  <si>
    <t>The Cell</t>
  </si>
  <si>
    <t>Stranded</t>
  </si>
  <si>
    <t>Yellow Stone</t>
  </si>
  <si>
    <t>Magma</t>
  </si>
  <si>
    <t>Pray</t>
  </si>
  <si>
    <t>Only Pain</t>
  </si>
  <si>
    <t>Low Lands</t>
  </si>
  <si>
    <t>Liberation</t>
  </si>
  <si>
    <t>groove metal, progressive metal</t>
  </si>
  <si>
    <t>progressive metal, death metal, groove metal</t>
  </si>
  <si>
    <t>groove metal</t>
  </si>
  <si>
    <t>1 (8.44)</t>
  </si>
  <si>
    <r>
      <t xml:space="preserve">* Camel - </t>
    </r>
    <r>
      <rPr>
        <b/>
        <sz val="14"/>
        <color rgb="FF3E2A22"/>
        <rFont val="Aptos Narrow"/>
        <scheme val="minor"/>
      </rPr>
      <t>Mirage</t>
    </r>
  </si>
  <si>
    <t>Freefall</t>
  </si>
  <si>
    <t>Supertwister</t>
  </si>
  <si>
    <t>Nimrodel / The Procession / The White Rider</t>
  </si>
  <si>
    <t>Earthrise</t>
  </si>
  <si>
    <t>Lady Fantasy: Encounter / Smiles For You / Lady Fantasy</t>
  </si>
  <si>
    <t>Camel</t>
  </si>
  <si>
    <t>Mirage</t>
  </si>
  <si>
    <t>symphonic prog, progressive rock</t>
  </si>
  <si>
    <r>
      <t xml:space="preserve">* Supertramp - </t>
    </r>
    <r>
      <rPr>
        <b/>
        <sz val="12"/>
        <color rgb="FFFFA800"/>
        <rFont val="Aptos Narrow"/>
        <scheme val="minor"/>
      </rPr>
      <t>Breakfast In America</t>
    </r>
  </si>
  <si>
    <t>Gone Hollywood</t>
  </si>
  <si>
    <t>The Logical Song</t>
  </si>
  <si>
    <t>Goodbye Stranger</t>
  </si>
  <si>
    <t>Breakfast In America</t>
  </si>
  <si>
    <t>Oh Darling</t>
  </si>
  <si>
    <t>Take The Long Way Home</t>
  </si>
  <si>
    <t>Lord Is It Mine</t>
  </si>
  <si>
    <t>Just Another Nervous Wreck</t>
  </si>
  <si>
    <t>Casual Conversations</t>
  </si>
  <si>
    <t>Child Of Vision</t>
  </si>
  <si>
    <t>Supertramp</t>
  </si>
  <si>
    <t>symphonic prog</t>
  </si>
  <si>
    <t>1 (8.9)</t>
  </si>
  <si>
    <t>progressive pop, pop rock</t>
  </si>
  <si>
    <t>progressive pop</t>
  </si>
  <si>
    <r>
      <t xml:space="preserve">* Coldplay - </t>
    </r>
    <r>
      <rPr>
        <b/>
        <sz val="14"/>
        <color rgb="FFF8D006"/>
        <rFont val="Aptos Narrow"/>
        <family val="2"/>
        <scheme val="minor"/>
      </rPr>
      <t>Parachutes</t>
    </r>
  </si>
  <si>
    <t>Don't Panic</t>
  </si>
  <si>
    <t>Shiver</t>
  </si>
  <si>
    <t>Spies</t>
  </si>
  <si>
    <t>Sparks</t>
  </si>
  <si>
    <t>Yellow</t>
  </si>
  <si>
    <t>Trouble</t>
  </si>
  <si>
    <t>Parachutes</t>
  </si>
  <si>
    <t>High Speed</t>
  </si>
  <si>
    <t>We Never Change</t>
  </si>
  <si>
    <t>Everything's Not Lost</t>
  </si>
  <si>
    <r>
      <t xml:space="preserve">* Slowdive - </t>
    </r>
    <r>
      <rPr>
        <b/>
        <sz val="14"/>
        <color theme="1"/>
        <rFont val="Aptos Narrow"/>
        <scheme val="minor"/>
      </rPr>
      <t>Souvlaki</t>
    </r>
  </si>
  <si>
    <t>Alison</t>
  </si>
  <si>
    <t>Machine Gun</t>
  </si>
  <si>
    <t>40 Days</t>
  </si>
  <si>
    <t>Sing</t>
  </si>
  <si>
    <t>Here She Comes</t>
  </si>
  <si>
    <t>Souvlaki Space Station</t>
  </si>
  <si>
    <t>When the Sun Hits</t>
  </si>
  <si>
    <t>Altogether</t>
  </si>
  <si>
    <t>Melon Yellow</t>
  </si>
  <si>
    <t>Dagger</t>
  </si>
  <si>
    <t>Slowdive</t>
  </si>
  <si>
    <t>Souvlaki</t>
  </si>
  <si>
    <t>4 (8.74)</t>
  </si>
  <si>
    <t>post britpop, pop rock</t>
  </si>
  <si>
    <t>Vinum Sabbathi</t>
  </si>
  <si>
    <t>Funeralopolis</t>
  </si>
  <si>
    <t>Barbarian</t>
  </si>
  <si>
    <t>I,The Witchfinder</t>
  </si>
  <si>
    <t>The Hills Have Eyes</t>
  </si>
  <si>
    <t>We Hate You</t>
  </si>
  <si>
    <t>Dopethrone</t>
  </si>
  <si>
    <t>Mind Transferal</t>
  </si>
  <si>
    <t>Weird Tales</t>
  </si>
  <si>
    <r>
      <t xml:space="preserve">* Electric Wizard - </t>
    </r>
    <r>
      <rPr>
        <b/>
        <sz val="14"/>
        <color theme="2"/>
        <rFont val="Aptos Narrow"/>
        <family val="2"/>
        <scheme val="minor"/>
      </rPr>
      <t>Dopethrone</t>
    </r>
  </si>
  <si>
    <t>Electric Wizard</t>
  </si>
  <si>
    <t>post britpop, pop rock, art rock, art pop</t>
  </si>
  <si>
    <t>2 (8.84)</t>
  </si>
  <si>
    <t>doom metal, stoner metal</t>
  </si>
  <si>
    <t>doom metal</t>
  </si>
  <si>
    <t>stoner metal</t>
  </si>
  <si>
    <r>
      <t xml:space="preserve">* Miserere Luminis - </t>
    </r>
    <r>
      <rPr>
        <b/>
        <sz val="14"/>
        <color rgb="FFC00000"/>
        <rFont val="Aptos Narrow"/>
        <family val="2"/>
        <scheme val="minor"/>
      </rPr>
      <t>Sidera</t>
    </r>
  </si>
  <si>
    <t>Les fleurs de l'exil</t>
  </si>
  <si>
    <t>De cris &amp; de cendres</t>
  </si>
  <si>
    <t>Aux bras des vagues &amp; des vomissures</t>
  </si>
  <si>
    <t>À la douleur de l'aube</t>
  </si>
  <si>
    <t>Dans la voie de nos lumières</t>
  </si>
  <si>
    <t>Miserere Luminis</t>
  </si>
  <si>
    <t>Sidera</t>
  </si>
  <si>
    <t>atmospheric black metal, post metal</t>
  </si>
  <si>
    <t>atmospheric black metal</t>
  </si>
  <si>
    <r>
      <t xml:space="preserve">* Swans - </t>
    </r>
    <r>
      <rPr>
        <b/>
        <sz val="14"/>
        <color theme="0"/>
        <rFont val="Aptos Narrow"/>
        <family val="2"/>
        <scheme val="minor"/>
      </rPr>
      <t>To Be Kind</t>
    </r>
  </si>
  <si>
    <t>Screen Shot</t>
  </si>
  <si>
    <t>Just a Little Boy (For Chester Burnett)</t>
  </si>
  <si>
    <t>A Little God In My Hands</t>
  </si>
  <si>
    <t>Bring the Sun / Toussaint L'Overture</t>
  </si>
  <si>
    <t>Some Things We Do</t>
  </si>
  <si>
    <t>She Loves Us</t>
  </si>
  <si>
    <t>Kirsten Supine</t>
  </si>
  <si>
    <t>Oxygen</t>
  </si>
  <si>
    <t>Nathalie Neal</t>
  </si>
  <si>
    <t>To Be Kind</t>
  </si>
  <si>
    <t>Swans</t>
  </si>
  <si>
    <t>experimental rock, post rock</t>
  </si>
  <si>
    <t>2 (8.37)</t>
  </si>
  <si>
    <t>Limbs</t>
  </si>
  <si>
    <t>Falling Snow</t>
  </si>
  <si>
    <t>This White Mountain On Which You Will Die</t>
  </si>
  <si>
    <t>Fire Above, Ice Below</t>
  </si>
  <si>
    <t>Not Unlike The Waves</t>
  </si>
  <si>
    <t>Our Fortress Is Burning…I</t>
  </si>
  <si>
    <t>Our Fortress Is Burning…II - Bloodbirds</t>
  </si>
  <si>
    <t>Our Fortress Is Burning…III - The Grain</t>
  </si>
  <si>
    <t>Ashes Against The Grain</t>
  </si>
  <si>
    <t>post metal, atmospheric black metal</t>
  </si>
  <si>
    <r>
      <t xml:space="preserve">* Agalloch - </t>
    </r>
    <r>
      <rPr>
        <b/>
        <sz val="12"/>
        <color theme="1" tint="0.249977111117893"/>
        <rFont val="Aptos Narrow"/>
        <family val="2"/>
        <scheme val="minor"/>
      </rPr>
      <t>Ashes Against The Grain</t>
    </r>
  </si>
  <si>
    <r>
      <t xml:space="preserve">* Iron Maiden - </t>
    </r>
    <r>
      <rPr>
        <b/>
        <sz val="12"/>
        <color rgb="FFFF0000"/>
        <rFont val="Aptos Narrow"/>
        <family val="2"/>
        <scheme val="minor"/>
      </rPr>
      <t>The Number of the Beast</t>
    </r>
  </si>
  <si>
    <t>Invaders</t>
  </si>
  <si>
    <t>Children of the Dammed</t>
  </si>
  <si>
    <t>The Prisoner</t>
  </si>
  <si>
    <t>22 Acacia Avenue</t>
  </si>
  <si>
    <t>The Number of the Beast</t>
  </si>
  <si>
    <t>Run to the Hills</t>
  </si>
  <si>
    <t>Gangland</t>
  </si>
  <si>
    <t>Hallowed Be Thy Name</t>
  </si>
  <si>
    <t>Iron Maiden</t>
  </si>
  <si>
    <t>post metal, folk metal, atmospheric black metal</t>
  </si>
  <si>
    <t>5 (8.81)</t>
  </si>
  <si>
    <r>
      <t xml:space="preserve">* Opeth - </t>
    </r>
    <r>
      <rPr>
        <b/>
        <sz val="14"/>
        <color theme="1" tint="0.249977111117893"/>
        <rFont val="Aptos Narrow"/>
        <scheme val="minor"/>
      </rPr>
      <t>Morningrise</t>
    </r>
  </si>
  <si>
    <t>Advent</t>
  </si>
  <si>
    <t>The Night And The Silent Water</t>
  </si>
  <si>
    <t>Nectar</t>
  </si>
  <si>
    <t>Black Rose Immortal</t>
  </si>
  <si>
    <t>To Bid You Farewell</t>
  </si>
  <si>
    <t>Morningrise</t>
  </si>
  <si>
    <r>
      <t xml:space="preserve">* The Smashing Pumpkins - </t>
    </r>
    <r>
      <rPr>
        <b/>
        <sz val="10"/>
        <color rgb="FFFFFF00"/>
        <rFont val="Aptos Narrow"/>
        <family val="2"/>
        <scheme val="minor"/>
      </rPr>
      <t>Mellon Collie And The Infinite Sadness</t>
    </r>
  </si>
  <si>
    <t>Mellon Collie And The Infinite Sadness</t>
  </si>
  <si>
    <t>Tonight, Tonight</t>
  </si>
  <si>
    <t>Jellybelly</t>
  </si>
  <si>
    <t>Zero</t>
  </si>
  <si>
    <t>Here Is No Why</t>
  </si>
  <si>
    <t>Bullet With Butterfly Wings</t>
  </si>
  <si>
    <t>To Forgive</t>
  </si>
  <si>
    <t>An Ode To No One</t>
  </si>
  <si>
    <t>Love</t>
  </si>
  <si>
    <t>Cupid De Locke</t>
  </si>
  <si>
    <t>Galapagos</t>
  </si>
  <si>
    <t>Muzzle</t>
  </si>
  <si>
    <t>Porcelina Of The Vast Oceans</t>
  </si>
  <si>
    <t>Take Me Down</t>
  </si>
  <si>
    <t>Where Boys Fear To Tread</t>
  </si>
  <si>
    <t>Bodies</t>
  </si>
  <si>
    <t>Thirty-Three</t>
  </si>
  <si>
    <t>In The Arms Of Sheep</t>
  </si>
  <si>
    <t>Tales Of A Scorched Earth</t>
  </si>
  <si>
    <t>Thru The Eyes Of Ruby</t>
  </si>
  <si>
    <t>Stumbleine</t>
  </si>
  <si>
    <t>X.Y.U.</t>
  </si>
  <si>
    <t>We Only Come At Night</t>
  </si>
  <si>
    <t>Beautiful</t>
  </si>
  <si>
    <t>Lily (My One And Only)</t>
  </si>
  <si>
    <t>By Starlight</t>
  </si>
  <si>
    <t>Farewell And Goodnight</t>
  </si>
  <si>
    <t>alternative rock, art rock</t>
  </si>
  <si>
    <r>
      <t xml:space="preserve">* Portishead - </t>
    </r>
    <r>
      <rPr>
        <b/>
        <sz val="14"/>
        <color theme="0"/>
        <rFont val="Aptos Narrow"/>
        <family val="2"/>
        <scheme val="minor"/>
      </rPr>
      <t>Dummy</t>
    </r>
  </si>
  <si>
    <t>Mysterons</t>
  </si>
  <si>
    <t>Sour Times</t>
  </si>
  <si>
    <t>Strangers</t>
  </si>
  <si>
    <t>It Could Be Sweet</t>
  </si>
  <si>
    <t>Wandering Star</t>
  </si>
  <si>
    <t>It's A Fire</t>
  </si>
  <si>
    <t>Roads</t>
  </si>
  <si>
    <t>Pedestal</t>
  </si>
  <si>
    <t>Biscuit</t>
  </si>
  <si>
    <t>Glory Box</t>
  </si>
  <si>
    <t>Portishead</t>
  </si>
  <si>
    <t>Dummy</t>
  </si>
  <si>
    <t>alternative rock, art rock, shoegaze</t>
  </si>
  <si>
    <t>11 (8.7)</t>
  </si>
  <si>
    <t>2 (8.8)</t>
  </si>
  <si>
    <t>Eternal Rains Will Come</t>
  </si>
  <si>
    <t>Cusp of Eternity</t>
  </si>
  <si>
    <t>Moon Above, Sun Below</t>
  </si>
  <si>
    <t>Elysian Woes</t>
  </si>
  <si>
    <t>Goblin</t>
  </si>
  <si>
    <t>River</t>
  </si>
  <si>
    <t>Voice of Treason</t>
  </si>
  <si>
    <t>Faith in Others</t>
  </si>
  <si>
    <r>
      <t xml:space="preserve">* Opeth - </t>
    </r>
    <r>
      <rPr>
        <b/>
        <sz val="14"/>
        <color rgb="FFEACF04"/>
        <rFont val="Aptos Narrow"/>
        <family val="2"/>
        <scheme val="minor"/>
      </rPr>
      <t>Pale Communion</t>
    </r>
  </si>
  <si>
    <t>Pale Communion</t>
  </si>
  <si>
    <r>
      <t xml:space="preserve">* underscores - </t>
    </r>
    <r>
      <rPr>
        <b/>
        <sz val="14"/>
        <color theme="1" tint="0.14999847407452621"/>
        <rFont val="Aptos Narrow"/>
        <family val="2"/>
        <scheme val="minor"/>
      </rPr>
      <t>U</t>
    </r>
  </si>
  <si>
    <t>Tell Me (U Want It)</t>
  </si>
  <si>
    <t>Music</t>
  </si>
  <si>
    <t>Hollywood Forever</t>
  </si>
  <si>
    <t>The Peace</t>
  </si>
  <si>
    <t>Innuendo (I Get U)</t>
  </si>
  <si>
    <t>Lovefield</t>
  </si>
  <si>
    <t>Do It</t>
  </si>
  <si>
    <t>Bodyfeeling</t>
  </si>
  <si>
    <t>Wish U Well</t>
  </si>
  <si>
    <t>underscores</t>
  </si>
  <si>
    <t>U</t>
  </si>
  <si>
    <r>
      <t xml:space="preserve">* Slint - </t>
    </r>
    <r>
      <rPr>
        <b/>
        <sz val="14"/>
        <color theme="1"/>
        <rFont val="Aptos Narrow"/>
        <family val="2"/>
        <scheme val="minor"/>
      </rPr>
      <t>Spiderland</t>
    </r>
  </si>
  <si>
    <t>Breadcrumb Trail</t>
  </si>
  <si>
    <t>Nosferatu Man</t>
  </si>
  <si>
    <t>Don, Aman</t>
  </si>
  <si>
    <t>Washer</t>
  </si>
  <si>
    <t>For Dinner…</t>
  </si>
  <si>
    <t>Good Morning, Captain</t>
  </si>
  <si>
    <t>Slint</t>
  </si>
  <si>
    <t>Spiderland</t>
  </si>
  <si>
    <t>TOP 20 (sin repetir artistas y sin incluir OSTs)</t>
  </si>
  <si>
    <t>3 (8.57)</t>
  </si>
  <si>
    <t>3 (8.45)</t>
  </si>
  <si>
    <t>post rock, post hardcore</t>
  </si>
  <si>
    <t>Es decir, cuando hay más canciones, la media tiende a bajar</t>
  </si>
  <si>
    <t>Pero el valor es debil, no es una relacion fuerte</t>
  </si>
  <si>
    <t>PEAK</t>
  </si>
  <si>
    <t>EXCEPTIONAL</t>
  </si>
  <si>
    <t>GREAT</t>
  </si>
  <si>
    <t>DECENT</t>
  </si>
  <si>
    <t>OKAY</t>
  </si>
  <si>
    <t>https://github.com/miguelrr11/top1000albums</t>
  </si>
  <si>
    <t>art rock, post rock</t>
  </si>
  <si>
    <t>4 (9.06)</t>
  </si>
  <si>
    <t>post hardcore</t>
  </si>
  <si>
    <r>
      <t xml:space="preserve">* Metallica - </t>
    </r>
    <r>
      <rPr>
        <b/>
        <sz val="14"/>
        <color rgb="FFCC0000"/>
        <rFont val="Aptos Narrow"/>
        <family val="2"/>
        <scheme val="minor"/>
      </rPr>
      <t>St. Anger</t>
    </r>
  </si>
  <si>
    <t>Frantic</t>
  </si>
  <si>
    <t>St. Anger</t>
  </si>
  <si>
    <t>Some Kind Of Monster</t>
  </si>
  <si>
    <t>Dirty Window</t>
  </si>
  <si>
    <t>Invisible Kid</t>
  </si>
  <si>
    <t>My World</t>
  </si>
  <si>
    <t>Shoot Me Again</t>
  </si>
  <si>
    <t>Sweet Amber</t>
  </si>
  <si>
    <t>The Unnamed Feeling</t>
  </si>
  <si>
    <t>Purify</t>
  </si>
  <si>
    <t>All Within My Hands</t>
  </si>
  <si>
    <t>8.5 (2 - 10.5)</t>
  </si>
  <si>
    <t>Metallica - St. Anger (3.68)</t>
  </si>
  <si>
    <t>Metallica - St. Anger (σ=1.37)</t>
  </si>
  <si>
    <r>
      <t>* Interpol -</t>
    </r>
    <r>
      <rPr>
        <b/>
        <sz val="12"/>
        <color theme="1"/>
        <rFont val="Aptos Narrow"/>
        <family val="2"/>
        <scheme val="minor"/>
      </rPr>
      <t xml:space="preserve"> Turn On The Bright Lights</t>
    </r>
  </si>
  <si>
    <t>thrash metal, heavy metal, alternative metal</t>
  </si>
  <si>
    <t>4 (8.67)</t>
  </si>
  <si>
    <t>6 (8.2)</t>
  </si>
  <si>
    <r>
      <t xml:space="preserve">* Pink Floyd - </t>
    </r>
    <r>
      <rPr>
        <b/>
        <sz val="14"/>
        <color rgb="FF9B032E"/>
        <rFont val="Aptos Narrow"/>
        <family val="2"/>
        <scheme val="minor"/>
      </rPr>
      <t>Meddle</t>
    </r>
  </si>
  <si>
    <t>One of These Days</t>
  </si>
  <si>
    <t>A Pillow of Winds</t>
  </si>
  <si>
    <t>Fearless</t>
  </si>
  <si>
    <t>San Tropez</t>
  </si>
  <si>
    <t>Seamus</t>
  </si>
  <si>
    <t>Echoes</t>
  </si>
  <si>
    <t>Meddle</t>
  </si>
  <si>
    <t>Feel The Love</t>
  </si>
  <si>
    <t>Fire</t>
  </si>
  <si>
    <t>4th Dimension</t>
  </si>
  <si>
    <t>Freeee (Ghost Town Pt. 2)</t>
  </si>
  <si>
    <t>Reborn</t>
  </si>
  <si>
    <t>Kids See Ghosts</t>
  </si>
  <si>
    <t>Cudi Montage</t>
  </si>
  <si>
    <r>
      <t xml:space="preserve">* KIDS SEE GHOSTS - </t>
    </r>
    <r>
      <rPr>
        <b/>
        <sz val="12"/>
        <color rgb="FFFF0066"/>
        <rFont val="Aptos Narrow"/>
        <family val="2"/>
        <scheme val="minor"/>
      </rPr>
      <t>KIDS SEE GHOSTS</t>
    </r>
  </si>
  <si>
    <t>KIDS SEE GHOSTS</t>
  </si>
  <si>
    <t>pop rap, experimental hip hop</t>
  </si>
  <si>
    <r>
      <t xml:space="preserve">* Opeth - </t>
    </r>
    <r>
      <rPr>
        <b/>
        <sz val="14"/>
        <color rgb="FF90AEDA"/>
        <rFont val="Aptos Narrow"/>
        <scheme val="minor"/>
      </rPr>
      <t>My Arms, Your Hearse</t>
    </r>
  </si>
  <si>
    <t>Prologue</t>
  </si>
  <si>
    <t>April Ethereal</t>
  </si>
  <si>
    <t>When</t>
  </si>
  <si>
    <t>Madrigal</t>
  </si>
  <si>
    <t>The Amen Corner</t>
  </si>
  <si>
    <t>Demon Of The Fall</t>
  </si>
  <si>
    <t>Credence</t>
  </si>
  <si>
    <t>Karma</t>
  </si>
  <si>
    <t>Epilogue</t>
  </si>
  <si>
    <t>My Arms, Your Hearse</t>
  </si>
  <si>
    <t>1 (8 - 9)</t>
  </si>
  <si>
    <t>7 (8.74)</t>
  </si>
  <si>
    <t>Tekka</t>
  </si>
  <si>
    <t>Dsco</t>
  </si>
  <si>
    <t>Velocity</t>
  </si>
  <si>
    <t>Fruitcake and Cookies</t>
  </si>
  <si>
    <t>Sept</t>
  </si>
  <si>
    <t>Pro: Lov: Ad</t>
  </si>
  <si>
    <t>Design: I</t>
  </si>
  <si>
    <t>International</t>
  </si>
  <si>
    <t>Dedicated</t>
  </si>
  <si>
    <t>Chocolate Matter</t>
  </si>
  <si>
    <t>To All Dancers of the World, A Round Form of Fantasy</t>
  </si>
  <si>
    <t>Design: 2: 3</t>
  </si>
  <si>
    <r>
      <t xml:space="preserve">* Sweet Trip - </t>
    </r>
    <r>
      <rPr>
        <b/>
        <sz val="12"/>
        <color rgb="FF0070C0"/>
        <rFont val="Aptos Narrow"/>
        <family val="2"/>
        <scheme val="minor"/>
      </rPr>
      <t>Velocity: Design: Comfort.</t>
    </r>
  </si>
  <si>
    <t>Velocity: Design: Comfort.</t>
  </si>
  <si>
    <t>idm, dream pop</t>
  </si>
  <si>
    <t>idm, dream pop, indie pop</t>
  </si>
  <si>
    <t>7 (9.01)</t>
  </si>
  <si>
    <t>idm</t>
  </si>
  <si>
    <t>1 (8.96)</t>
  </si>
  <si>
    <r>
      <t xml:space="preserve">* Billie Eilish - </t>
    </r>
    <r>
      <rPr>
        <b/>
        <sz val="12"/>
        <color theme="0" tint="-0.14999847407452621"/>
        <rFont val="Aptos Narrow"/>
        <family val="2"/>
        <scheme val="minor"/>
      </rPr>
      <t>HIT ME HARD AND SOFT</t>
    </r>
  </si>
  <si>
    <t>SKINNY</t>
  </si>
  <si>
    <t>LUNCH</t>
  </si>
  <si>
    <t>CHIHIRO</t>
  </si>
  <si>
    <t>BIRDS OF A FEATHER</t>
  </si>
  <si>
    <t>WILDFLOWER</t>
  </si>
  <si>
    <t>THE GREATEST</t>
  </si>
  <si>
    <t>L'AMOUR DE MA VIE</t>
  </si>
  <si>
    <t>THE DINER</t>
  </si>
  <si>
    <t>BITTERSUITE</t>
  </si>
  <si>
    <t>BLUE</t>
  </si>
  <si>
    <t>Billie Eilish</t>
  </si>
  <si>
    <t>HIT ME HARD AND SOFT</t>
  </si>
  <si>
    <t>alt pop</t>
  </si>
  <si>
    <t>1 (8.6)</t>
  </si>
  <si>
    <t>Too Long</t>
  </si>
  <si>
    <t>3 (8.61)</t>
  </si>
  <si>
    <t>5 (8.57)</t>
  </si>
  <si>
    <r>
      <t>* The Strokes -</t>
    </r>
    <r>
      <rPr>
        <b/>
        <sz val="14"/>
        <color rgb="FF422100"/>
        <rFont val="Aptos Narrow"/>
        <family val="2"/>
        <scheme val="minor"/>
      </rPr>
      <t xml:space="preserve"> Is This It</t>
    </r>
  </si>
  <si>
    <t>Is This It</t>
  </si>
  <si>
    <t>The Modern Age</t>
  </si>
  <si>
    <t>Barely Legal</t>
  </si>
  <si>
    <t>Someday</t>
  </si>
  <si>
    <t>Alone, Together</t>
  </si>
  <si>
    <t>Last Nite</t>
  </si>
  <si>
    <t>Hard To Explain</t>
  </si>
  <si>
    <t>New York City Cops</t>
  </si>
  <si>
    <t>Trying Your Luck</t>
  </si>
  <si>
    <t>Take It Or Leave It</t>
  </si>
  <si>
    <t>garage rock revival, indie rock</t>
  </si>
  <si>
    <t>KING</t>
  </si>
  <si>
    <t>THIS IS A MUST</t>
  </si>
  <si>
    <t>FATHER</t>
  </si>
  <si>
    <t>ALL THE LOVE</t>
  </si>
  <si>
    <t>PUNCH DRINK</t>
  </si>
  <si>
    <t>WHATEVER WORKS</t>
  </si>
  <si>
    <t>MAMA'S FAVORITE</t>
  </si>
  <si>
    <t>SISTERS AND BROTHERS</t>
  </si>
  <si>
    <t>BULLY</t>
  </si>
  <si>
    <t>HIGHS AND LOWS</t>
  </si>
  <si>
    <t>I CAN'T WAIT</t>
  </si>
  <si>
    <t>WHILE LINES</t>
  </si>
  <si>
    <t>CIRCLES</t>
  </si>
  <si>
    <t>PREACHER MAN</t>
  </si>
  <si>
    <t>BEAUTY AND THE BEAST</t>
  </si>
  <si>
    <t>DAMN</t>
  </si>
  <si>
    <t>LAST BREATH</t>
  </si>
  <si>
    <t>THIS ONE HERE</t>
  </si>
  <si>
    <r>
      <t xml:space="preserve">* Kanye West - </t>
    </r>
    <r>
      <rPr>
        <b/>
        <sz val="14"/>
        <color theme="0" tint="-0.14999847407452621"/>
        <rFont val="Aptos Narrow"/>
        <family val="2"/>
        <scheme val="minor"/>
      </rPr>
      <t>BULLY</t>
    </r>
  </si>
  <si>
    <t>garage rock, indie rock, garage rock revival</t>
  </si>
  <si>
    <t>garage rock revival</t>
  </si>
  <si>
    <t>1 (8.18)</t>
  </si>
  <si>
    <t>35m</t>
  </si>
  <si>
    <t>1h 16m</t>
  </si>
  <si>
    <t>44m</t>
  </si>
  <si>
    <t>42m</t>
  </si>
  <si>
    <t>1h 15m</t>
  </si>
  <si>
    <t>1h 17m</t>
  </si>
  <si>
    <t>53m</t>
  </si>
  <si>
    <t>1h 26m</t>
  </si>
  <si>
    <t>41m</t>
  </si>
  <si>
    <t>1h 7m</t>
  </si>
  <si>
    <t>54m</t>
  </si>
  <si>
    <t>47m</t>
  </si>
  <si>
    <t>38m</t>
  </si>
  <si>
    <t>1h 24m</t>
  </si>
  <si>
    <t>51m</t>
  </si>
  <si>
    <t>1h 1m</t>
  </si>
  <si>
    <t>40m</t>
  </si>
  <si>
    <t>1h 5m</t>
  </si>
  <si>
    <t>59m</t>
  </si>
  <si>
    <t>1h 6m</t>
  </si>
  <si>
    <t>48m</t>
  </si>
  <si>
    <t>46m</t>
  </si>
  <si>
    <t>1h 13m</t>
  </si>
  <si>
    <t>58m</t>
  </si>
  <si>
    <t>1h 19m</t>
  </si>
  <si>
    <t>49m</t>
  </si>
  <si>
    <t>45m</t>
  </si>
  <si>
    <t>36m</t>
  </si>
  <si>
    <t>1h 14m</t>
  </si>
  <si>
    <t>1h 8m</t>
  </si>
  <si>
    <t>52m</t>
  </si>
  <si>
    <t>2h 1m</t>
  </si>
  <si>
    <t>39m</t>
  </si>
  <si>
    <t>57m</t>
  </si>
  <si>
    <t>1h 3m</t>
  </si>
  <si>
    <t>56m</t>
  </si>
  <si>
    <t>1h 2m</t>
  </si>
  <si>
    <t>37m</t>
  </si>
  <si>
    <t>1h 12m</t>
  </si>
  <si>
    <t>43m</t>
  </si>
  <si>
    <t>1h 0m</t>
  </si>
  <si>
    <t>1h 11m</t>
  </si>
  <si>
    <t>34m</t>
  </si>
  <si>
    <t>55m</t>
  </si>
  <si>
    <t>23m</t>
  </si>
  <si>
    <t>24m</t>
  </si>
  <si>
    <t>29m</t>
  </si>
  <si>
    <t>50m</t>
  </si>
  <si>
    <t>Año</t>
  </si>
  <si>
    <t>Duración</t>
  </si>
  <si>
    <t>1971 - 1977</t>
  </si>
  <si>
    <t>1993 - 2019</t>
  </si>
  <si>
    <t>1969 - 2024</t>
  </si>
  <si>
    <t>2002 - 2007</t>
  </si>
  <si>
    <t>2003 - 2009</t>
  </si>
  <si>
    <t>1978 - 1985</t>
  </si>
  <si>
    <t>2000 - 2005</t>
  </si>
  <si>
    <t>1h 4m</t>
  </si>
  <si>
    <t>1993 - 2016</t>
  </si>
  <si>
    <t>2005 - 2016</t>
  </si>
  <si>
    <t>2005 - 2026</t>
  </si>
  <si>
    <t>2001 - 2020</t>
  </si>
  <si>
    <t>1993 - 1995</t>
  </si>
  <si>
    <t>1h 32m</t>
  </si>
  <si>
    <t>1997 - 2013</t>
  </si>
  <si>
    <t>1990 - 2026</t>
  </si>
  <si>
    <t>pop rap, hip hop, experimental hip hop</t>
  </si>
  <si>
    <t>2010 - 2026</t>
  </si>
  <si>
    <t>1984 - 2021</t>
  </si>
  <si>
    <t>15 (9.07)</t>
  </si>
  <si>
    <t>5 (8.76)</t>
  </si>
  <si>
    <t>3 (7.93)</t>
  </si>
  <si>
    <t>AÑO</t>
  </si>
  <si>
    <t>Álbumes con año</t>
  </si>
  <si>
    <t>Año más antiguo</t>
  </si>
  <si>
    <t>Año más reciente</t>
  </si>
  <si>
    <t>Décadas con más álbumes</t>
  </si>
  <si>
    <t>2000s (33)</t>
  </si>
  <si>
    <t>Década mejor puntuada</t>
  </si>
  <si>
    <t>1960s (9.46)</t>
  </si>
  <si>
    <t>ÁLBUMES POR DÉCADA</t>
  </si>
  <si>
    <t>1960s</t>
  </si>
  <si>
    <t>1 álbumes · media 9.46</t>
  </si>
  <si>
    <t>1970s</t>
  </si>
  <si>
    <t>1980s</t>
  </si>
  <si>
    <t>8 álbumes · media 8.99</t>
  </si>
  <si>
    <t>1990s</t>
  </si>
  <si>
    <t>2000s</t>
  </si>
  <si>
    <t>33 álbumes · media 8.69</t>
  </si>
  <si>
    <t>2010s</t>
  </si>
  <si>
    <t>2020s</t>
  </si>
  <si>
    <t>DURACIÓN</t>
  </si>
  <si>
    <t>Álbumes con duración</t>
  </si>
  <si>
    <t>Duración media</t>
  </si>
  <si>
    <t>Más largo</t>
  </si>
  <si>
    <t>Más corto</t>
  </si>
  <si>
    <t>KIDS SEE GHOSTS - KIDS SEE GHOSTS (23m)</t>
  </si>
  <si>
    <t>CORRELACIONES CON 3RD EYE SCORE</t>
  </si>
  <si>
    <t>(r: −1 negativa · 0 nula · +1 positiva)</t>
  </si>
  <si>
    <t>Interludios (absoluto)</t>
  </si>
  <si>
    <t>Año de publicación</t>
  </si>
  <si>
    <t>Duración (minutos)</t>
  </si>
  <si>
    <t>Mayor correlación</t>
  </si>
  <si>
    <t>Menor correlación</t>
  </si>
  <si>
    <r>
      <t xml:space="preserve">* Opeth - </t>
    </r>
    <r>
      <rPr>
        <b/>
        <sz val="12"/>
        <color rgb="FFE8D4C2"/>
        <rFont val="Aptos Narrow"/>
        <family val="2"/>
        <scheme val="minor"/>
      </rPr>
      <t>The Last Will And Testament</t>
    </r>
  </si>
  <si>
    <t>§1</t>
  </si>
  <si>
    <t>§2</t>
  </si>
  <si>
    <t>§3</t>
  </si>
  <si>
    <t>§4</t>
  </si>
  <si>
    <t>§5</t>
  </si>
  <si>
    <t>§6</t>
  </si>
  <si>
    <t>§7</t>
  </si>
  <si>
    <t>A Story Never Told</t>
  </si>
  <si>
    <t>The Last Will And Testament</t>
  </si>
  <si>
    <t>Opeth - The Last Will And Testament (σ=0.35)</t>
  </si>
  <si>
    <r>
      <t>* Steven Wilson -</t>
    </r>
    <r>
      <rPr>
        <b/>
        <sz val="10"/>
        <color rgb="FFE8D4C2"/>
        <rFont val="Aptos Narrow"/>
        <family val="2"/>
        <scheme val="minor"/>
      </rPr>
      <t xml:space="preserve"> The Raven That Refused to Sing (and Other Stories)</t>
    </r>
  </si>
  <si>
    <t>Luminol</t>
  </si>
  <si>
    <t>Drive Home</t>
  </si>
  <si>
    <t>The Holy Drinker</t>
  </si>
  <si>
    <t>The Pin Drop</t>
  </si>
  <si>
    <t>The Watchmaker</t>
  </si>
  <si>
    <t>The Raven That Refused to Sing</t>
  </si>
  <si>
    <t>Steven Wilson</t>
  </si>
  <si>
    <t>The Raven That Refused to Sing (and Other Stories)</t>
  </si>
  <si>
    <t>progressive metal, death metal, progressive rock</t>
  </si>
  <si>
    <t>1996 - 2024</t>
  </si>
  <si>
    <t>progressive metal (22)</t>
  </si>
  <si>
    <t>22 (8.73)</t>
  </si>
  <si>
    <t>3rd EYE SCORE *</t>
  </si>
  <si>
    <t>roots rock, blues rock, classic rock</t>
  </si>
  <si>
    <r>
      <t>* Neurosis -</t>
    </r>
    <r>
      <rPr>
        <b/>
        <sz val="10.5"/>
        <color theme="1"/>
        <rFont val="Aptos Narrow"/>
        <family val="2"/>
        <scheme val="minor"/>
      </rPr>
      <t xml:space="preserve"> An Undying Love for a Burning World</t>
    </r>
  </si>
  <si>
    <t>We Are Torn Wide Open</t>
  </si>
  <si>
    <t>Mirror Deep</t>
  </si>
  <si>
    <t>First Red Rays</t>
  </si>
  <si>
    <t>Blind</t>
  </si>
  <si>
    <t>Seething and Scattered</t>
  </si>
  <si>
    <t>Untethered</t>
  </si>
  <si>
    <t>In the Waiting Hours</t>
  </si>
  <si>
    <t>Last Night</t>
  </si>
  <si>
    <t>Neurosis</t>
  </si>
  <si>
    <t>An Undying Love for a Burning World</t>
  </si>
  <si>
    <t>atmospheric sludge metal</t>
  </si>
  <si>
    <r>
      <t xml:space="preserve">* Black Sabbath - </t>
    </r>
    <r>
      <rPr>
        <b/>
        <sz val="14"/>
        <color rgb="FFFD698C"/>
        <rFont val="Aptos Narrow"/>
        <family val="2"/>
        <scheme val="minor"/>
      </rPr>
      <t>Paranoid</t>
    </r>
  </si>
  <si>
    <t>War Pigs</t>
  </si>
  <si>
    <t>Paranoid</t>
  </si>
  <si>
    <t>Planet Caravan</t>
  </si>
  <si>
    <t>Iron Man</t>
  </si>
  <si>
    <t>Electric Funeral</t>
  </si>
  <si>
    <t>Hand of Doom</t>
  </si>
  <si>
    <t>Rat Salad</t>
  </si>
  <si>
    <t>Fairies Wear Boots</t>
  </si>
  <si>
    <t>Black Sabbath</t>
  </si>
  <si>
    <t>1 (8.43)</t>
  </si>
  <si>
    <t>25 álbumes · media 8.3</t>
  </si>
  <si>
    <t>heavy metal, hard rock</t>
  </si>
  <si>
    <r>
      <t xml:space="preserve">* The Notorious B.I.G. - </t>
    </r>
    <r>
      <rPr>
        <b/>
        <sz val="12"/>
        <color rgb="FFFF0000"/>
        <rFont val="Aptos Narrow"/>
        <family val="2"/>
        <scheme val="minor"/>
      </rPr>
      <t>Ready to Die</t>
    </r>
  </si>
  <si>
    <t>Things Done Changed</t>
  </si>
  <si>
    <t>Gimmie the Loot</t>
  </si>
  <si>
    <t>Machine Gun Funk</t>
  </si>
  <si>
    <t>Warning</t>
  </si>
  <si>
    <t>Ready to Die</t>
  </si>
  <si>
    <t>One More Chance</t>
  </si>
  <si>
    <t>Fuck Me (Interlude)</t>
  </si>
  <si>
    <t>The What</t>
  </si>
  <si>
    <t>Juicy</t>
  </si>
  <si>
    <t>Everyday Struggle</t>
  </si>
  <si>
    <t>Me and My Bitch</t>
  </si>
  <si>
    <t>Big Poppa</t>
  </si>
  <si>
    <t>Respect</t>
  </si>
  <si>
    <t>Friend of Mine</t>
  </si>
  <si>
    <t>Unbelievable</t>
  </si>
  <si>
    <t>Suicidal Thoughts</t>
  </si>
  <si>
    <t>Who Shot Ya?</t>
  </si>
  <si>
    <t>Just Playing (Dreams)</t>
  </si>
  <si>
    <t>The Notorious B.I.G.</t>
  </si>
  <si>
    <t>hard rock</t>
  </si>
  <si>
    <t>3 (8.86)</t>
  </si>
  <si>
    <t>gangsta rap, boom bap</t>
  </si>
  <si>
    <r>
      <rPr>
        <sz val="14"/>
        <color rgb="FFD50000"/>
        <rFont val="Aptos Narrow"/>
        <family val="2"/>
        <scheme val="minor"/>
      </rPr>
      <t>* TOOL</t>
    </r>
    <r>
      <rPr>
        <b/>
        <sz val="14"/>
        <color rgb="FFD50000"/>
        <rFont val="Aptos Narrow"/>
        <family val="2"/>
        <scheme val="minor"/>
      </rPr>
      <t xml:space="preserve"> - Undertow</t>
    </r>
  </si>
  <si>
    <r>
      <t xml:space="preserve">* C418 - </t>
    </r>
    <r>
      <rPr>
        <b/>
        <sz val="12"/>
        <color rgb="FFFD5E1F"/>
        <rFont val="Aptos Narrow"/>
        <family val="2"/>
        <scheme val="minor"/>
      </rPr>
      <t>Minecraft Volume Beta [OST]</t>
    </r>
  </si>
  <si>
    <t>Ki</t>
  </si>
  <si>
    <t>Alpha</t>
  </si>
  <si>
    <t>Dead Voxel</t>
  </si>
  <si>
    <t>Blind Spots</t>
  </si>
  <si>
    <t>Flake</t>
  </si>
  <si>
    <t>Moog City 2</t>
  </si>
  <si>
    <t>Concrete Halls</t>
  </si>
  <si>
    <t>Biome Fest</t>
  </si>
  <si>
    <t>Mutation</t>
  </si>
  <si>
    <t>Haunt Muskie</t>
  </si>
  <si>
    <t>Warmth</t>
  </si>
  <si>
    <t>Floating Trees</t>
  </si>
  <si>
    <t>Aria Math</t>
  </si>
  <si>
    <t>Kyoto</t>
  </si>
  <si>
    <t>Ballad of the Cats</t>
  </si>
  <si>
    <t>Taswell</t>
  </si>
  <si>
    <t>Beginning 2</t>
  </si>
  <si>
    <t>Dreiton</t>
  </si>
  <si>
    <t>The End</t>
  </si>
  <si>
    <t>Chirp</t>
  </si>
  <si>
    <t>Wait</t>
  </si>
  <si>
    <t>Mellohi</t>
  </si>
  <si>
    <t>Stal</t>
  </si>
  <si>
    <t>Strad</t>
  </si>
  <si>
    <t>Eleven</t>
  </si>
  <si>
    <t>Ward</t>
  </si>
  <si>
    <t>Mall</t>
  </si>
  <si>
    <t>Blocks</t>
  </si>
  <si>
    <t>Far</t>
  </si>
  <si>
    <t>Minecraft Volume Beta [OST]</t>
  </si>
  <si>
    <t>2 (8.59)</t>
  </si>
  <si>
    <t>gangsta rap</t>
  </si>
  <si>
    <t>27 álbumes · media 8.68</t>
  </si>
  <si>
    <t>2h 20m</t>
  </si>
  <si>
    <r>
      <t xml:space="preserve">* Led Zeppelin - </t>
    </r>
    <r>
      <rPr>
        <b/>
        <sz val="12"/>
        <color theme="1"/>
        <rFont val="Aptos Narrow"/>
        <family val="2"/>
        <scheme val="minor"/>
      </rPr>
      <t>Led Zeppelin III</t>
    </r>
  </si>
  <si>
    <t>Immigrant Song</t>
  </si>
  <si>
    <t>Friends</t>
  </si>
  <si>
    <t>Celebration Day</t>
  </si>
  <si>
    <t>Since I've Been Loving You</t>
  </si>
  <si>
    <t>Out on the Tiles</t>
  </si>
  <si>
    <t>Gallows Pole</t>
  </si>
  <si>
    <t>Tangerine</t>
  </si>
  <si>
    <t>That's the Way</t>
  </si>
  <si>
    <t>Bron-Y-Aur Stomp</t>
  </si>
  <si>
    <t>Hats off To (Roy) Harper</t>
  </si>
  <si>
    <t>Led Zeppelin III</t>
  </si>
  <si>
    <t>2011 - 2013</t>
  </si>
  <si>
    <t>1h 39m</t>
  </si>
  <si>
    <t>-0.79 ← sesgo alto</t>
  </si>
  <si>
    <t>3 (8.7)</t>
  </si>
  <si>
    <t>23 álbumes · media 8.62</t>
  </si>
  <si>
    <t>C418 - Minecraft Volume Beta [OST] (2h 20m)</t>
  </si>
  <si>
    <t>r=0.154 · ≈ nula</t>
  </si>
  <si>
    <t>r=0.148 · ≈ nula</t>
  </si>
  <si>
    <t>folk rock, hard rock</t>
  </si>
  <si>
    <t>classic rock, folk rock, hard rock</t>
  </si>
  <si>
    <t>1970 - 1971</t>
  </si>
  <si>
    <t>2 (8.96)</t>
  </si>
  <si>
    <t>folk rock</t>
  </si>
  <si>
    <r>
      <t>* Iron Maiden -</t>
    </r>
    <r>
      <rPr>
        <b/>
        <sz val="11"/>
        <color rgb="FFC00000"/>
        <rFont val="Aptos Narrow"/>
        <family val="2"/>
        <scheme val="minor"/>
      </rPr>
      <t xml:space="preserve"> Seventh Son of a Seventh Son</t>
    </r>
  </si>
  <si>
    <t>Infinite Dreams</t>
  </si>
  <si>
    <t>Can I Play with Madness</t>
  </si>
  <si>
    <t>The Evil Than Men Do</t>
  </si>
  <si>
    <t>Seventh Son of a Seventh Son</t>
  </si>
  <si>
    <t>The Prophecy</t>
  </si>
  <si>
    <t>The Clairvoyant</t>
  </si>
  <si>
    <t>Only the Good Die Young</t>
  </si>
  <si>
    <t>15 (9)</t>
  </si>
  <si>
    <t>14 álbumes · media 9.07</t>
  </si>
  <si>
    <t>r=0.593 · ↑ moderada</t>
  </si>
  <si>
    <t>r=0.019 · ≈ nula</t>
  </si>
  <si>
    <t>Notas ≥10 (r=0.593)</t>
  </si>
  <si>
    <t>Duración (r=0.019)</t>
  </si>
  <si>
    <t>3.94 ← colas pesadas</t>
  </si>
  <si>
    <t>psychedelic rock (9.29)</t>
  </si>
  <si>
    <t>3 (9.29)</t>
  </si>
  <si>
    <t>r=-0.181 · ≈ nula</t>
  </si>
  <si>
    <t>r=-0.27 · ↓ débil</t>
  </si>
  <si>
    <t>, heavy metal</t>
  </si>
  <si>
    <t>8 (×294)</t>
  </si>
  <si>
    <t>8 (0.58%)</t>
  </si>
  <si>
    <t>24 (1.75%)</t>
  </si>
  <si>
    <t>195 (14.2%)</t>
  </si>
  <si>
    <t>576 (41.95%)</t>
  </si>
  <si>
    <t>325 (23.67%)</t>
  </si>
  <si>
    <t>245 (17.84%)</t>
  </si>
  <si>
    <t>131 de 132</t>
  </si>
  <si>
    <t>r=-0.159 · ≈ nula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</si>
</sst>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1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rgb="FFFFFF00"/>
      <name val="Aptos Narrow"/>
      <scheme val="minor"/>
    </font>
    <font>
      <sz val="14"/>
      <color rgb="FFFFFF00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11"/>
      <color rgb="FFDFB87E"/>
      <name val="Aptos Narrow"/>
      <scheme val="minor"/>
    </font>
    <font>
      <sz val="11"/>
      <color rgb="FFDFB87E"/>
      <name val="Aptos Narrow"/>
      <scheme val="minor"/>
    </font>
    <font>
      <sz val="12"/>
      <color theme="1"/>
      <name val="Constantia"/>
    </font>
    <font>
      <sz val="12"/>
      <color theme="1"/>
      <name val="Bodoni 72 Book"/>
    </font>
    <font>
      <b/>
      <sz val="14"/>
      <color theme="1"/>
      <name val="Bodoni 72 Book"/>
    </font>
    <font>
      <sz val="14"/>
      <color theme="1"/>
      <name val="Bodoni 72 Book"/>
    </font>
    <font>
      <i/>
      <sz val="12"/>
      <color theme="0" tint="-0.499984740745262"/>
      <name val="Bodoni 72 Book"/>
    </font>
    <font>
      <b/>
      <sz val="15"/>
      <color theme="1"/>
      <name val="Bodoni 72 Book"/>
    </font>
    <font>
      <sz val="15"/>
      <color theme="1"/>
      <name val="Bodoni 72 Book"/>
    </font>
    <font>
      <b/>
      <sz val="13"/>
      <color theme="1"/>
      <name val="Bodoni 72 Book"/>
    </font>
    <font>
      <sz val="13"/>
      <color theme="1"/>
      <name val="Bodoni 72 Book"/>
    </font>
    <font>
      <sz val="12"/>
      <color theme="0"/>
      <name val="Bodoni 72 Book"/>
    </font>
    <font>
      <b/>
      <sz val="12"/>
      <color theme="0"/>
      <name val="Bodoni 72 Book"/>
    </font>
    <font>
      <sz val="9.5"/>
      <color rgb="FFFFD100"/>
      <name val="Aptos Narrow"/>
      <scheme val="minor"/>
    </font>
    <font>
      <b/>
      <sz val="9.5"/>
      <color rgb="FFFFD1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"/>
      <color rgb="FFE79200"/>
      <name val="Aptos Narrow"/>
      <scheme val="minor"/>
    </font>
    <font>
      <sz val="13"/>
      <color rgb="FFE79200"/>
      <name val="Aptos Narrow"/>
      <scheme val="minor"/>
    </font>
    <font>
      <b/>
      <sz val="13"/>
      <color theme="0"/>
      <name val="Aptos Narrow"/>
      <family val="2"/>
      <scheme val="minor"/>
    </font>
    <font>
      <sz val="13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5" tint="-0.499984740745262"/>
      <name val="Aptos Narrow"/>
      <scheme val="minor"/>
    </font>
    <font>
      <sz val="12"/>
      <color theme="5" tint="-0.499984740745262"/>
      <name val="Aptos Narrow"/>
      <scheme val="minor"/>
    </font>
    <font>
      <b/>
      <sz val="14"/>
      <color rgb="FFFFD7D6"/>
      <name val="Aptos Narrow"/>
      <scheme val="minor"/>
    </font>
    <font>
      <sz val="14"/>
      <color rgb="FFFFD7D6"/>
      <name val="Aptos Narrow"/>
      <scheme val="minor"/>
    </font>
    <font>
      <b/>
      <sz val="12"/>
      <color rgb="FFFF47CC"/>
      <name val="Aptos Narrow"/>
      <scheme val="minor"/>
    </font>
    <font>
      <sz val="12"/>
      <color rgb="FFFF47CC"/>
      <name val="Aptos Narrow"/>
      <scheme val="minor"/>
    </font>
    <font>
      <b/>
      <sz val="12"/>
      <color rgb="FF2D80D5"/>
      <name val="Aptos Narrow"/>
      <scheme val="minor"/>
    </font>
    <font>
      <sz val="12"/>
      <color rgb="FF2D80D5"/>
      <name val="Aptos Narrow"/>
      <scheme val="minor"/>
    </font>
    <font>
      <b/>
      <sz val="14"/>
      <color theme="1" tint="0.249977111117893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sz val="14"/>
      <color theme="0" tint="-4.9989318521683403E-2"/>
      <name val="Aptos Narrow"/>
      <family val="2"/>
      <scheme val="minor"/>
    </font>
    <font>
      <b/>
      <sz val="12"/>
      <color rgb="FF2D80D5"/>
      <name val="Aptos Narrow"/>
      <family val="2"/>
      <scheme val="minor"/>
    </font>
    <font>
      <b/>
      <sz val="13"/>
      <color rgb="FF0070C0"/>
      <name val="Aptos Narrow"/>
      <family val="2"/>
      <scheme val="minor"/>
    </font>
    <font>
      <sz val="13"/>
      <color rgb="FF0070C0"/>
      <name val="Aptos Narrow"/>
      <family val="2"/>
      <scheme val="minor"/>
    </font>
    <font>
      <sz val="12"/>
      <color rgb="FFF7E2AD"/>
      <name val="Aptos Narrow"/>
      <family val="2"/>
      <scheme val="minor"/>
    </font>
    <font>
      <b/>
      <sz val="12"/>
      <color rgb="FFF7E2AD"/>
      <name val="Aptos Narrow"/>
      <family val="2"/>
      <scheme val="minor"/>
    </font>
    <font>
      <b/>
      <sz val="14"/>
      <color rgb="FFFF0000"/>
      <name val="Aptos Narrow"/>
      <scheme val="minor"/>
    </font>
    <font>
      <sz val="14"/>
      <color rgb="FFFF0000"/>
      <name val="Aptos Narrow"/>
      <scheme val="minor"/>
    </font>
    <font>
      <b/>
      <sz val="14"/>
      <color theme="3" tint="0.749992370372631"/>
      <name val="Aptos Narrow"/>
      <scheme val="minor"/>
    </font>
    <font>
      <sz val="14"/>
      <color theme="3" tint="0.74999237037263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F9FF01"/>
      <name val="Aptos Narrow"/>
      <family val="2"/>
      <scheme val="minor"/>
    </font>
    <font>
      <b/>
      <sz val="12"/>
      <color rgb="FFF9FF01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b/>
      <sz val="10"/>
      <color theme="3" tint="0.249977111117893"/>
      <name val="Aptos Narrow"/>
      <family val="2"/>
      <scheme val="minor"/>
    </font>
    <font>
      <sz val="14"/>
      <color theme="3" tint="0.499984740745262"/>
      <name val="Aptos Narrow"/>
      <scheme val="minor"/>
    </font>
    <font>
      <b/>
      <sz val="14"/>
      <color theme="3" tint="0.499984740745262"/>
      <name val="Aptos Narrow"/>
      <scheme val="minor"/>
    </font>
    <font>
      <sz val="14"/>
      <color rgb="FFF23B27"/>
      <name val="Aptos Narrow"/>
      <scheme val="minor"/>
    </font>
    <font>
      <b/>
      <sz val="14"/>
      <color rgb="FFF23B27"/>
      <name val="Aptos Narrow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5" tint="-0.499984740745262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  <font>
      <b/>
      <sz val="14"/>
      <color theme="9" tint="-0.249977111117893"/>
      <name val="Aptos Narrow"/>
      <scheme val="minor"/>
    </font>
    <font>
      <sz val="14"/>
      <color theme="9" tint="-0.249977111117893"/>
      <name val="Aptos Narrow"/>
      <scheme val="minor"/>
    </font>
    <font>
      <b/>
      <sz val="14"/>
      <color rgb="FF273005"/>
      <name val="Aptos Narrow"/>
      <scheme val="minor"/>
    </font>
    <font>
      <sz val="14"/>
      <color rgb="FF273005"/>
      <name val="Aptos Narrow"/>
      <scheme val="minor"/>
    </font>
    <font>
      <b/>
      <sz val="14"/>
      <color theme="0" tint="-0.14999847407452621"/>
      <name val="Aptos Narrow"/>
      <scheme val="minor"/>
    </font>
    <font>
      <sz val="14"/>
      <color theme="0" tint="-0.14999847407452621"/>
      <name val="Aptos Narrow"/>
      <scheme val="minor"/>
    </font>
    <font>
      <b/>
      <sz val="14"/>
      <color rgb="FF360000"/>
      <name val="Aptos Narrow"/>
      <family val="2"/>
      <scheme val="minor"/>
    </font>
    <font>
      <sz val="14"/>
      <color rgb="FF360000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14"/>
      <color rgb="FFFFC000"/>
      <name val="Aptos Narrow"/>
      <family val="2"/>
      <scheme val="minor"/>
    </font>
    <font>
      <b/>
      <sz val="14"/>
      <color rgb="FF623FE1"/>
      <name val="Aptos Narrow"/>
      <family val="2"/>
      <scheme val="minor"/>
    </font>
    <font>
      <sz val="14"/>
      <color rgb="FF623FE1"/>
      <name val="Aptos Narrow"/>
      <family val="2"/>
      <scheme val="minor"/>
    </font>
    <font>
      <b/>
      <sz val="14"/>
      <color theme="0" tint="-0.249977111117893"/>
      <name val="Aptos Narrow"/>
      <scheme val="minor"/>
    </font>
    <font>
      <sz val="14"/>
      <color theme="0" tint="-0.249977111117893"/>
      <name val="Aptos Narrow"/>
      <scheme val="minor"/>
    </font>
    <font>
      <b/>
      <sz val="14"/>
      <color theme="8" tint="0.79998168889431442"/>
      <name val="Aptos Narrow"/>
      <family val="2"/>
      <scheme val="minor"/>
    </font>
    <font>
      <sz val="14"/>
      <color theme="8" tint="0.79998168889431442"/>
      <name val="Aptos Narrow"/>
      <family val="2"/>
      <scheme val="minor"/>
    </font>
    <font>
      <b/>
      <sz val="14"/>
      <color theme="8" tint="0.39997558519241921"/>
      <name val="Aptos Narrow"/>
      <scheme val="minor"/>
    </font>
    <font>
      <sz val="14"/>
      <color theme="8" tint="0.39997558519241921"/>
      <name val="Aptos Narrow"/>
      <scheme val="minor"/>
    </font>
    <font>
      <b/>
      <sz val="14"/>
      <color rgb="FF9C0000"/>
      <name val="Aptos Narrow"/>
      <scheme val="minor"/>
    </font>
    <font>
      <sz val="14"/>
      <color rgb="FF9C0000"/>
      <name val="Aptos Narrow"/>
      <scheme val="minor"/>
    </font>
    <font>
      <b/>
      <sz val="14"/>
      <color theme="4"/>
      <name val="Aptos Narrow"/>
      <scheme val="minor"/>
    </font>
    <font>
      <sz val="14"/>
      <color theme="4"/>
      <name val="Aptos Narrow"/>
      <scheme val="minor"/>
    </font>
    <font>
      <b/>
      <sz val="14"/>
      <color rgb="FF00B0F0"/>
      <name val="Aptos Narrow"/>
      <scheme val="minor"/>
    </font>
    <font>
      <sz val="14"/>
      <color rgb="FF00B0F0"/>
      <name val="Aptos Narrow"/>
      <scheme val="minor"/>
    </font>
    <font>
      <b/>
      <sz val="14"/>
      <color theme="5" tint="0.79998168889431442"/>
      <name val="Aptos Narrow"/>
      <scheme val="minor"/>
    </font>
    <font>
      <sz val="14"/>
      <color theme="5" tint="0.79998168889431442"/>
      <name val="Aptos Narrow"/>
      <scheme val="minor"/>
    </font>
    <font>
      <b/>
      <sz val="14"/>
      <color rgb="FF592B22"/>
      <name val="Aptos Narrow"/>
      <scheme val="minor"/>
    </font>
    <font>
      <sz val="14"/>
      <color rgb="FF592B22"/>
      <name val="Aptos Narrow"/>
      <scheme val="minor"/>
    </font>
    <font>
      <b/>
      <sz val="14"/>
      <color theme="8" tint="-0.249977111117893"/>
      <name val="Aptos Narrow"/>
      <scheme val="minor"/>
    </font>
    <font>
      <sz val="14"/>
      <color theme="8" tint="-0.249977111117893"/>
      <name val="Aptos Narrow"/>
      <scheme val="minor"/>
    </font>
    <font>
      <b/>
      <sz val="14"/>
      <color theme="5" tint="-0.499984740745262"/>
      <name val="Aptos Narrow"/>
      <scheme val="minor"/>
    </font>
    <font>
      <sz val="14"/>
      <color theme="5" tint="-0.499984740745262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4"/>
      <color theme="1" tint="0.14999847407452621"/>
      <name val="Aptos Narrow"/>
      <scheme val="minor"/>
    </font>
    <font>
      <sz val="14"/>
      <color theme="1" tint="0.14999847407452621"/>
      <name val="Aptos Narrow"/>
      <scheme val="minor"/>
    </font>
    <font>
      <b/>
      <sz val="14"/>
      <color theme="7" tint="-0.249977111117893"/>
      <name val="Aptos Narrow"/>
      <scheme val="minor"/>
    </font>
    <font>
      <sz val="14"/>
      <color theme="7" tint="-0.249977111117893"/>
      <name val="Aptos Narrow"/>
      <scheme val="minor"/>
    </font>
    <font>
      <b/>
      <sz val="14"/>
      <color theme="0" tint="-0.499984740745262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  <font>
      <b/>
      <sz val="14"/>
      <color theme="1" tint="0.249977111117893"/>
      <name val="Aptos Narrow"/>
      <scheme val="minor"/>
    </font>
    <font>
      <sz val="14"/>
      <color theme="1" tint="0.249977111117893"/>
      <name val="Aptos Narrow"/>
      <scheme val="minor"/>
    </font>
    <font>
      <b/>
      <sz val="14"/>
      <color rgb="FF210000"/>
      <name val="Aptos Narrow"/>
      <scheme val="minor"/>
    </font>
    <font>
      <sz val="14"/>
      <color rgb="FF210000"/>
      <name val="Aptos Narrow"/>
      <scheme val="minor"/>
    </font>
    <font>
      <sz val="14"/>
      <color rgb="FFFFCC00"/>
      <name val="Aptos Narrow"/>
      <family val="2"/>
      <scheme val="minor"/>
    </font>
    <font>
      <b/>
      <sz val="14"/>
      <color rgb="FFFFCC00"/>
      <name val="Aptos Narrow"/>
      <family val="2"/>
      <scheme val="minor"/>
    </font>
    <font>
      <sz val="14"/>
      <color theme="0" tint="-0.14999847407452621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  <font>
      <sz val="14"/>
      <color rgb="FFCC9900"/>
      <name val="Aptos Narrow"/>
      <family val="2"/>
      <scheme val="minor"/>
    </font>
    <font>
      <b/>
      <sz val="14"/>
      <color rgb="FFCC99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 tint="0.249977111117893"/>
      <name val="Aptos Narrow"/>
      <scheme val="minor"/>
    </font>
    <font>
      <b/>
      <sz val="12"/>
      <color theme="1" tint="0.249977111117893"/>
      <name val="Aptos Narrow"/>
      <scheme val="minor"/>
    </font>
    <font>
      <sz val="14"/>
      <color rgb="FFFF6A00"/>
      <name val="Aptos Narrow"/>
      <scheme val="minor"/>
    </font>
    <font>
      <b/>
      <sz val="14"/>
      <color rgb="FFFF6A00"/>
      <name val="Aptos Narrow"/>
      <scheme val="minor"/>
    </font>
    <font>
      <b/>
      <sz val="12"/>
      <color rgb="FFFF2905"/>
      <name val="Aptos Narrow"/>
      <family val="2"/>
      <scheme val="minor"/>
    </font>
    <font>
      <sz val="12"/>
      <color rgb="FFFF2905"/>
      <name val="Aptos Narrow"/>
      <family val="2"/>
      <scheme val="minor"/>
    </font>
    <font>
      <sz val="14"/>
      <color rgb="FFB40000"/>
      <name val="Aptos Narrow"/>
      <family val="2"/>
      <scheme val="minor"/>
    </font>
    <font>
      <b/>
      <sz val="14"/>
      <color rgb="FFB4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4"/>
      <color rgb="FF449010"/>
      <name val="Aptos Narrow"/>
      <family val="2"/>
      <scheme val="minor"/>
    </font>
    <font>
      <b/>
      <sz val="14"/>
      <color rgb="FF449010"/>
      <name val="Aptos Narrow"/>
      <family val="2"/>
      <scheme val="minor"/>
    </font>
    <font>
      <sz val="11"/>
      <color rgb="FFFF6A00"/>
      <name val="Aptos Narrow"/>
      <family val="2"/>
      <scheme val="minor"/>
    </font>
    <font>
      <b/>
      <sz val="11"/>
      <color rgb="FFFF6A00"/>
      <name val="Aptos Narrow"/>
      <family val="2"/>
      <scheme val="minor"/>
    </font>
    <font>
      <sz val="14"/>
      <color rgb="FF663300"/>
      <name val="Aptos Narrow"/>
      <family val="2"/>
      <scheme val="minor"/>
    </font>
    <font>
      <b/>
      <sz val="14"/>
      <color rgb="FF6633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6A00"/>
      <name val="Aptos Narrow"/>
      <family val="2"/>
      <scheme val="minor"/>
    </font>
    <font>
      <b/>
      <sz val="14"/>
      <color rgb="FFFF6A00"/>
      <name val="Aptos Narrow"/>
      <family val="2"/>
      <scheme val="minor"/>
    </font>
    <font>
      <b/>
      <sz val="11"/>
      <color rgb="FFC00000"/>
      <name val="Aptos Narrow"/>
      <scheme val="minor"/>
    </font>
    <font>
      <sz val="11"/>
      <color rgb="FFC00000"/>
      <name val="Aptos Narrow"/>
      <scheme val="minor"/>
    </font>
    <font>
      <sz val="14"/>
      <color rgb="FFEFC849"/>
      <name val="Aptos Narrow"/>
      <scheme val="minor"/>
    </font>
    <font>
      <b/>
      <sz val="14"/>
      <color rgb="FFEFC849"/>
      <name val="Aptos Narrow"/>
      <scheme val="minor"/>
    </font>
    <font>
      <sz val="10"/>
      <color rgb="FFCCCC00"/>
      <name val="Aptos Narrow"/>
      <family val="2"/>
      <scheme val="minor"/>
    </font>
    <font>
      <b/>
      <sz val="10"/>
      <color rgb="FFCCCC00"/>
      <name val="Aptos Narrow"/>
      <family val="2"/>
      <scheme val="minor"/>
    </font>
    <font>
      <sz val="14"/>
      <color rgb="FFE7442F"/>
      <name val="Aptos Narrow"/>
      <scheme val="minor"/>
    </font>
    <font>
      <b/>
      <sz val="14"/>
      <color rgb="FFE7442F"/>
      <name val="Aptos Narrow"/>
      <scheme val="minor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4"/>
      <color rgb="FF97C0E9"/>
      <name val="Aptos Narrow"/>
      <family val="2"/>
      <scheme val="minor"/>
    </font>
    <font>
      <b/>
      <sz val="14"/>
      <color rgb="FF97C0E9"/>
      <name val="Aptos Narrow"/>
      <family val="2"/>
      <scheme val="minor"/>
    </font>
    <font>
      <sz val="14"/>
      <color rgb="FFEA251F"/>
      <name val="Aptos Narrow"/>
      <family val="2"/>
      <scheme val="minor"/>
    </font>
    <font>
      <b/>
      <sz val="14"/>
      <color rgb="FFEA251F"/>
      <name val="Aptos Narrow"/>
      <family val="2"/>
      <scheme val="minor"/>
    </font>
    <font>
      <sz val="14"/>
      <color theme="1" tint="0.34998626667073579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14"/>
      <color rgb="FFFCA304"/>
      <name val="Aptos Narrow"/>
      <family val="2"/>
      <scheme val="minor"/>
    </font>
    <font>
      <b/>
      <sz val="14"/>
      <color rgb="FFFCA304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sz val="14"/>
      <color rgb="FF40298B"/>
      <name val="Aptos Narrow"/>
      <family val="2"/>
      <scheme val="minor"/>
    </font>
    <font>
      <b/>
      <sz val="14"/>
      <color rgb="FF40298B"/>
      <name val="Aptos Narrow"/>
      <family val="2"/>
      <scheme val="minor"/>
    </font>
    <font>
      <sz val="14"/>
      <color theme="1"/>
      <name val="Aptos Narrow"/>
      <scheme val="minor"/>
    </font>
    <font>
      <sz val="12"/>
      <color rgb="FF663300"/>
      <name val="Aptos Narrow"/>
      <family val="2"/>
      <scheme val="minor"/>
    </font>
    <font>
      <b/>
      <sz val="12"/>
      <color rgb="FF663300"/>
      <name val="Aptos Narrow"/>
      <family val="2"/>
      <scheme val="minor"/>
    </font>
    <font>
      <sz val="14"/>
      <color rgb="FF002E25"/>
      <name val="Aptos Narrow"/>
      <family val="2"/>
      <scheme val="minor"/>
    </font>
    <font>
      <b/>
      <sz val="14"/>
      <color rgb="FF002E25"/>
      <name val="Aptos Narrow"/>
      <family val="2"/>
      <scheme val="minor"/>
    </font>
    <font>
      <sz val="14"/>
      <color rgb="FF3E2A22"/>
      <name val="Aptos Narrow"/>
      <scheme val="minor"/>
    </font>
    <font>
      <b/>
      <sz val="14"/>
      <color rgb="FF3E2A22"/>
      <name val="Aptos Narrow"/>
      <scheme val="minor"/>
    </font>
    <font>
      <sz val="12"/>
      <color rgb="FFFFA800"/>
      <name val="Aptos Narrow"/>
      <scheme val="minor"/>
    </font>
    <font>
      <b/>
      <sz val="12"/>
      <color rgb="FFFFA800"/>
      <name val="Aptos Narrow"/>
      <scheme val="minor"/>
    </font>
    <font>
      <sz val="14"/>
      <color rgb="FFF8D006"/>
      <name val="Aptos Narrow"/>
      <family val="2"/>
      <scheme val="minor"/>
    </font>
    <font>
      <b/>
      <sz val="14"/>
      <color rgb="FFF8D006"/>
      <name val="Aptos Narrow"/>
      <family val="2"/>
      <scheme val="minor"/>
    </font>
    <font>
      <sz val="14"/>
      <color theme="2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sz val="14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4"/>
      <color rgb="FFEACF04"/>
      <name val="Aptos Narrow"/>
      <family val="2"/>
      <scheme val="minor"/>
    </font>
    <font>
      <b/>
      <sz val="14"/>
      <color rgb="FFEACF04"/>
      <name val="Aptos Narrow"/>
      <family val="2"/>
      <scheme val="minor"/>
    </font>
    <font>
      <sz val="14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sz val="14"/>
      <color rgb="FFCC0000"/>
      <name val="Aptos Narrow"/>
      <family val="2"/>
      <scheme val="minor"/>
    </font>
    <font>
      <b/>
      <sz val="14"/>
      <color rgb="FFCC0000"/>
      <name val="Aptos Narrow"/>
      <family val="2"/>
      <scheme val="minor"/>
    </font>
    <font>
      <sz val="14"/>
      <color rgb="FF9B032E"/>
      <name val="Aptos Narrow"/>
      <family val="2"/>
      <scheme val="minor"/>
    </font>
    <font>
      <b/>
      <sz val="14"/>
      <color rgb="FF9B032E"/>
      <name val="Aptos Narrow"/>
      <family val="2"/>
      <scheme val="minor"/>
    </font>
    <font>
      <sz val="12"/>
      <color rgb="FFFF0066"/>
      <name val="Aptos Narrow"/>
      <family val="2"/>
      <scheme val="minor"/>
    </font>
    <font>
      <b/>
      <sz val="12"/>
      <color rgb="FFFF0066"/>
      <name val="Aptos Narrow"/>
      <family val="2"/>
      <scheme val="minor"/>
    </font>
    <font>
      <sz val="14"/>
      <color rgb="FF90AEDA"/>
      <name val="Aptos Narrow"/>
      <scheme val="minor"/>
    </font>
    <font>
      <b/>
      <sz val="14"/>
      <color rgb="FF90AEDA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sz val="14"/>
      <color rgb="FF422100"/>
      <name val="Aptos Narrow"/>
      <family val="2"/>
      <scheme val="minor"/>
    </font>
    <font>
      <b/>
      <sz val="14"/>
      <color rgb="FF422100"/>
      <name val="Aptos Narrow"/>
      <family val="2"/>
      <scheme val="minor"/>
    </font>
    <font>
      <sz val="12"/>
      <color rgb="FFE8D4C2"/>
      <name val="Aptos Narrow"/>
      <family val="2"/>
      <scheme val="minor"/>
    </font>
    <font>
      <b/>
      <sz val="12"/>
      <color rgb="FFE8D4C2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E8D4C2"/>
      <name val="Aptos Narrow"/>
      <family val="2"/>
      <scheme val="minor"/>
    </font>
    <font>
      <b/>
      <sz val="10"/>
      <color rgb="FFE8D4C2"/>
      <name val="Aptos Narrow"/>
      <family val="2"/>
      <scheme val="minor"/>
    </font>
    <font>
      <sz val="14"/>
      <color rgb="FFFD698C"/>
      <name val="Aptos Narrow"/>
      <family val="2"/>
      <scheme val="minor"/>
    </font>
    <font>
      <b/>
      <sz val="14"/>
      <color rgb="FFFD698C"/>
      <name val="Aptos Narrow"/>
      <family val="2"/>
      <scheme val="minor"/>
    </font>
    <font>
      <b/>
      <sz val="14"/>
      <color rgb="FFD50000"/>
      <name val="Aptos Narrow"/>
      <family val="2"/>
      <scheme val="minor"/>
    </font>
    <font>
      <sz val="14"/>
      <color rgb="FFD50000"/>
      <name val="Aptos Narrow"/>
      <family val="2"/>
      <scheme val="minor"/>
    </font>
    <font>
      <sz val="12"/>
      <color rgb="FFFD5E1F"/>
      <name val="Aptos Narrow"/>
      <family val="2"/>
      <scheme val="minor"/>
    </font>
    <font>
      <b/>
      <sz val="12"/>
      <color rgb="FFFD5E1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20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1C9BA"/>
        <bgColor indexed="64"/>
      </patternFill>
    </fill>
    <fill>
      <patternFill patternType="solid">
        <fgColor rgb="FFFF6E74"/>
        <bgColor indexed="64"/>
      </patternFill>
    </fill>
    <fill>
      <patternFill patternType="solid">
        <fgColor rgb="FF592B22"/>
        <bgColor indexed="64"/>
      </patternFill>
    </fill>
    <fill>
      <patternFill patternType="solid">
        <fgColor rgb="FF56EEFF"/>
        <bgColor indexed="64"/>
      </patternFill>
    </fill>
    <fill>
      <patternFill patternType="solid">
        <fgColor rgb="FFDFB87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D1F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E032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743F"/>
        <bgColor indexed="64"/>
      </patternFill>
    </fill>
    <fill>
      <patternFill patternType="solid">
        <fgColor rgb="FF64E897"/>
        <bgColor indexed="64"/>
      </patternFill>
    </fill>
    <fill>
      <patternFill patternType="solid">
        <fgColor rgb="FF312418"/>
        <bgColor indexed="64"/>
      </patternFill>
    </fill>
    <fill>
      <patternFill patternType="solid">
        <fgColor rgb="FFF8761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E400"/>
        <bgColor indexed="64"/>
      </patternFill>
    </fill>
    <fill>
      <patternFill patternType="solid">
        <fgColor rgb="FF7BD1FF"/>
        <bgColor indexed="64"/>
      </patternFill>
    </fill>
    <fill>
      <patternFill patternType="solid">
        <fgColor rgb="FF59FFBB"/>
        <bgColor indexed="64"/>
      </patternFill>
    </fill>
    <fill>
      <patternFill patternType="solid">
        <fgColor rgb="FFA744D8"/>
        <bgColor indexed="64"/>
      </patternFill>
    </fill>
    <fill>
      <patternFill patternType="solid">
        <fgColor rgb="FFF44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7A59"/>
        <bgColor indexed="64"/>
      </patternFill>
    </fill>
    <fill>
      <patternFill patternType="solid">
        <fgColor rgb="FF1E4395"/>
        <bgColor indexed="64"/>
      </patternFill>
    </fill>
    <fill>
      <patternFill patternType="solid">
        <fgColor rgb="FF933928"/>
        <bgColor indexed="64"/>
      </patternFill>
    </fill>
    <fill>
      <patternFill patternType="solid">
        <fgColor rgb="FF001119"/>
        <bgColor indexed="64"/>
      </patternFill>
    </fill>
    <fill>
      <patternFill patternType="solid">
        <fgColor rgb="FF000126"/>
        <bgColor indexed="64"/>
      </patternFill>
    </fill>
    <fill>
      <patternFill patternType="solid">
        <fgColor rgb="FF41B745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ECAB0"/>
        <bgColor indexed="64"/>
      </patternFill>
    </fill>
    <fill>
      <patternFill patternType="solid">
        <fgColor rgb="FF5A1809"/>
        <bgColor indexed="64"/>
      </patternFill>
    </fill>
    <fill>
      <patternFill patternType="solid">
        <fgColor rgb="FF0F2A4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D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C1E130"/>
        <bgColor indexed="64"/>
      </patternFill>
    </fill>
    <fill>
      <patternFill patternType="solid">
        <fgColor rgb="FF36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8A4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1132"/>
        <bgColor indexed="64"/>
      </patternFill>
    </fill>
    <fill>
      <patternFill patternType="solid">
        <fgColor rgb="FFEC8C5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41C2C4"/>
        <bgColor indexed="64"/>
      </patternFill>
    </fill>
    <fill>
      <patternFill patternType="solid">
        <fgColor rgb="FF69CDA8"/>
        <bgColor indexed="64"/>
      </patternFill>
    </fill>
    <fill>
      <patternFill patternType="solid">
        <fgColor rgb="FF7AD19D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E7EDE3"/>
        <bgColor indexed="64"/>
      </patternFill>
    </fill>
    <fill>
      <patternFill patternType="solid">
        <fgColor rgb="FF4DC5B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ECEA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6DCDA6"/>
        <bgColor indexed="64"/>
      </patternFill>
    </fill>
    <fill>
      <patternFill patternType="solid">
        <fgColor rgb="FF6FCEA5"/>
        <bgColor indexed="64"/>
      </patternFill>
    </fill>
    <fill>
      <patternFill patternType="solid">
        <fgColor rgb="FFF69783"/>
        <bgColor indexed="64"/>
      </patternFill>
    </fill>
    <fill>
      <patternFill patternType="solid">
        <fgColor rgb="FF201D54"/>
        <bgColor indexed="64"/>
      </patternFill>
    </fill>
    <fill>
      <patternFill patternType="solid">
        <fgColor rgb="FF9DEC11"/>
        <bgColor indexed="64"/>
      </patternFill>
    </fill>
    <fill>
      <patternFill patternType="solid">
        <fgColor rgb="FFFFF0E5"/>
        <bgColor indexed="64"/>
      </patternFill>
    </fill>
    <fill>
      <patternFill patternType="solid">
        <fgColor rgb="FF54C7B7"/>
        <bgColor indexed="64"/>
      </patternFill>
    </fill>
    <fill>
      <patternFill patternType="solid">
        <fgColor rgb="FFF5CC58"/>
        <bgColor indexed="64"/>
      </patternFill>
    </fill>
    <fill>
      <patternFill patternType="solid">
        <fgColor rgb="FFDE204D"/>
        <bgColor indexed="64"/>
      </patternFill>
    </fill>
    <fill>
      <patternFill patternType="solid">
        <fgColor rgb="FF001800"/>
        <bgColor indexed="64"/>
      </patternFill>
    </fill>
    <fill>
      <patternFill patternType="solid">
        <fgColor rgb="FF2A1500"/>
        <bgColor indexed="64"/>
      </patternFill>
    </fill>
    <fill>
      <patternFill patternType="solid">
        <fgColor rgb="FFFCD90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7202B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E8ECE3"/>
        <bgColor indexed="64"/>
      </patternFill>
    </fill>
    <fill>
      <patternFill patternType="solid">
        <fgColor rgb="FF00003E"/>
        <bgColor indexed="64"/>
      </patternFill>
    </fill>
    <fill>
      <patternFill patternType="solid">
        <fgColor rgb="FFB8F6F2"/>
        <bgColor indexed="64"/>
      </patternFill>
    </fill>
    <fill>
      <patternFill patternType="solid">
        <fgColor rgb="FFDAE5E9"/>
        <bgColor indexed="64"/>
      </patternFill>
    </fill>
    <fill>
      <patternFill patternType="solid">
        <fgColor rgb="FFA1DB83"/>
        <bgColor indexed="64"/>
      </patternFill>
    </fill>
    <fill>
      <patternFill patternType="solid">
        <fgColor rgb="FF2EBCD1"/>
        <bgColor indexed="64"/>
      </patternFill>
    </fill>
    <fill>
      <patternFill patternType="solid">
        <fgColor rgb="FF61CAAE"/>
        <bgColor indexed="64"/>
      </patternFill>
    </fill>
    <fill>
      <patternFill patternType="solid">
        <fgColor rgb="FF62CAAE"/>
        <bgColor indexed="64"/>
      </patternFill>
    </fill>
    <fill>
      <patternFill patternType="solid">
        <fgColor rgb="FF67CCAA"/>
        <bgColor indexed="64"/>
      </patternFill>
    </fill>
    <fill>
      <patternFill patternType="solid">
        <fgColor rgb="FF69CCA9"/>
        <bgColor indexed="64"/>
      </patternFill>
    </fill>
    <fill>
      <patternFill patternType="solid">
        <fgColor rgb="FF6CCDA7"/>
        <bgColor indexed="64"/>
      </patternFill>
    </fill>
    <fill>
      <patternFill patternType="solid">
        <fgColor rgb="FF71CFA3"/>
        <bgColor indexed="64"/>
      </patternFill>
    </fill>
    <fill>
      <patternFill patternType="solid">
        <fgColor rgb="FF79D19E"/>
        <bgColor indexed="64"/>
      </patternFill>
    </fill>
    <fill>
      <patternFill patternType="solid">
        <fgColor rgb="FF7BD19C"/>
        <bgColor indexed="64"/>
      </patternFill>
    </fill>
    <fill>
      <patternFill patternType="solid">
        <fgColor rgb="FF8AD593"/>
        <bgColor indexed="64"/>
      </patternFill>
    </fill>
    <fill>
      <patternFill patternType="solid">
        <fgColor rgb="FF8DD690"/>
        <bgColor indexed="64"/>
      </patternFill>
    </fill>
    <fill>
      <patternFill patternType="solid">
        <fgColor rgb="FF9CDA86"/>
        <bgColor indexed="64"/>
      </patternFill>
    </fill>
    <fill>
      <patternFill patternType="solid">
        <fgColor rgb="FFAADE7D"/>
        <bgColor indexed="64"/>
      </patternFill>
    </fill>
    <fill>
      <patternFill patternType="solid">
        <fgColor rgb="FFAEDF7A"/>
        <bgColor indexed="64"/>
      </patternFill>
    </fill>
    <fill>
      <patternFill patternType="solid">
        <fgColor rgb="FFCBE766"/>
        <bgColor indexed="64"/>
      </patternFill>
    </fill>
    <fill>
      <patternFill patternType="solid">
        <fgColor rgb="FFEDD7B0"/>
        <bgColor indexed="64"/>
      </patternFill>
    </fill>
    <fill>
      <patternFill patternType="solid">
        <fgColor rgb="FFB5E4FF"/>
        <bgColor indexed="64"/>
      </patternFill>
    </fill>
    <fill>
      <patternFill patternType="solid">
        <fgColor rgb="FFF6F9D8"/>
        <bgColor indexed="64"/>
      </patternFill>
    </fill>
    <fill>
      <patternFill patternType="solid">
        <fgColor rgb="FF00261A"/>
        <bgColor indexed="64"/>
      </patternFill>
    </fill>
    <fill>
      <patternFill patternType="solid">
        <fgColor rgb="FF75D0A0"/>
        <bgColor indexed="64"/>
      </patternFill>
    </fill>
    <fill>
      <patternFill patternType="solid">
        <fgColor rgb="FF70CEA4"/>
        <bgColor indexed="64"/>
      </patternFill>
    </fill>
    <fill>
      <patternFill patternType="solid">
        <fgColor rgb="FFFFE09B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3CFA2"/>
        <bgColor indexed="64"/>
      </patternFill>
    </fill>
    <fill>
      <patternFill patternType="solid">
        <fgColor rgb="FF01B0EF"/>
        <bgColor indexed="64"/>
      </patternFill>
    </fill>
    <fill>
      <patternFill patternType="solid">
        <fgColor rgb="FF03B1EE"/>
        <bgColor indexed="64"/>
      </patternFill>
    </fill>
    <fill>
      <patternFill patternType="solid">
        <fgColor rgb="FF10B4E5"/>
        <bgColor indexed="64"/>
      </patternFill>
    </fill>
    <fill>
      <patternFill patternType="solid">
        <fgColor rgb="FF17B6E0"/>
        <bgColor indexed="64"/>
      </patternFill>
    </fill>
    <fill>
      <patternFill patternType="solid">
        <fgColor rgb="FF26BAD6"/>
        <bgColor indexed="64"/>
      </patternFill>
    </fill>
    <fill>
      <patternFill patternType="solid">
        <fgColor rgb="FF28BBD5"/>
        <bgColor indexed="64"/>
      </patternFill>
    </fill>
    <fill>
      <patternFill patternType="solid">
        <fgColor rgb="FF36BECC"/>
        <bgColor indexed="64"/>
      </patternFill>
    </fill>
    <fill>
      <patternFill patternType="solid">
        <fgColor rgb="FF36BFCB"/>
        <bgColor indexed="64"/>
      </patternFill>
    </fill>
    <fill>
      <patternFill patternType="solid">
        <fgColor rgb="FF38BFCA"/>
        <bgColor indexed="64"/>
      </patternFill>
    </fill>
    <fill>
      <patternFill patternType="solid">
        <fgColor rgb="FF3DC1C6"/>
        <bgColor indexed="64"/>
      </patternFill>
    </fill>
    <fill>
      <patternFill patternType="solid">
        <fgColor rgb="FF43C2C2"/>
        <bgColor indexed="64"/>
      </patternFill>
    </fill>
    <fill>
      <patternFill patternType="solid">
        <fgColor rgb="FF4EC5BB"/>
        <bgColor indexed="64"/>
      </patternFill>
    </fill>
    <fill>
      <patternFill patternType="solid">
        <fgColor rgb="FF52C6B9"/>
        <bgColor indexed="64"/>
      </patternFill>
    </fill>
    <fill>
      <patternFill patternType="solid">
        <fgColor rgb="FF55C7B6"/>
        <bgColor indexed="64"/>
      </patternFill>
    </fill>
    <fill>
      <patternFill patternType="solid">
        <fgColor rgb="FF59C8B3"/>
        <bgColor indexed="64"/>
      </patternFill>
    </fill>
    <fill>
      <patternFill patternType="solid">
        <fgColor rgb="FF5FCAAF"/>
        <bgColor indexed="64"/>
      </patternFill>
    </fill>
    <fill>
      <patternFill patternType="solid">
        <fgColor rgb="FF60CAAF"/>
        <bgColor indexed="64"/>
      </patternFill>
    </fill>
    <fill>
      <patternFill patternType="solid">
        <fgColor rgb="FF63CBAD"/>
        <bgColor indexed="64"/>
      </patternFill>
    </fill>
    <fill>
      <patternFill patternType="solid">
        <fgColor rgb="FF68CCAA"/>
        <bgColor indexed="64"/>
      </patternFill>
    </fill>
    <fill>
      <patternFill patternType="solid">
        <fgColor rgb="FF6ACDA8"/>
        <bgColor indexed="64"/>
      </patternFill>
    </fill>
    <fill>
      <patternFill patternType="solid">
        <fgColor rgb="FF74D0A1"/>
        <bgColor indexed="64"/>
      </patternFill>
    </fill>
    <fill>
      <patternFill patternType="solid">
        <fgColor rgb="FF77D09F"/>
        <bgColor indexed="64"/>
      </patternFill>
    </fill>
    <fill>
      <patternFill patternType="solid">
        <fgColor rgb="FF7AD19E"/>
        <bgColor indexed="64"/>
      </patternFill>
    </fill>
    <fill>
      <patternFill patternType="solid">
        <fgColor rgb="FF80D39A"/>
        <bgColor indexed="64"/>
      </patternFill>
    </fill>
    <fill>
      <patternFill patternType="solid">
        <fgColor rgb="FF82D398"/>
        <bgColor indexed="64"/>
      </patternFill>
    </fill>
    <fill>
      <patternFill patternType="solid">
        <fgColor rgb="FF85D495"/>
        <bgColor indexed="64"/>
      </patternFill>
    </fill>
    <fill>
      <patternFill patternType="solid">
        <fgColor rgb="FF87D594"/>
        <bgColor indexed="64"/>
      </patternFill>
    </fill>
    <fill>
      <patternFill patternType="solid">
        <fgColor rgb="FF89D593"/>
        <bgColor indexed="64"/>
      </patternFill>
    </fill>
    <fill>
      <patternFill patternType="solid">
        <fgColor rgb="FF8BD592"/>
        <bgColor indexed="64"/>
      </patternFill>
    </fill>
    <fill>
      <patternFill patternType="solid">
        <fgColor rgb="FF93D88C"/>
        <bgColor indexed="64"/>
      </patternFill>
    </fill>
    <fill>
      <patternFill patternType="solid">
        <fgColor rgb="FF95D88B"/>
        <bgColor indexed="64"/>
      </patternFill>
    </fill>
    <fill>
      <patternFill patternType="solid">
        <fgColor rgb="FF97D989"/>
        <bgColor indexed="64"/>
      </patternFill>
    </fill>
    <fill>
      <patternFill patternType="solid">
        <fgColor rgb="FF99D988"/>
        <bgColor indexed="64"/>
      </patternFill>
    </fill>
    <fill>
      <patternFill patternType="solid">
        <fgColor rgb="FFA5DD80"/>
        <bgColor indexed="64"/>
      </patternFill>
    </fill>
    <fill>
      <patternFill patternType="solid">
        <fgColor rgb="FFACDE7C"/>
        <bgColor indexed="64"/>
      </patternFill>
    </fill>
    <fill>
      <patternFill patternType="solid">
        <fgColor rgb="FFBCE371"/>
        <bgColor indexed="64"/>
      </patternFill>
    </fill>
    <fill>
      <patternFill patternType="solid">
        <fgColor rgb="FFC0E46E"/>
        <bgColor indexed="64"/>
      </patternFill>
    </fill>
    <fill>
      <patternFill patternType="solid">
        <fgColor rgb="FFC4E56B"/>
        <bgColor indexed="64"/>
      </patternFill>
    </fill>
    <fill>
      <patternFill patternType="solid">
        <fgColor rgb="FFC7E669"/>
        <bgColor indexed="64"/>
      </patternFill>
    </fill>
    <fill>
      <patternFill patternType="solid">
        <fgColor rgb="FFC9E668"/>
        <bgColor indexed="64"/>
      </patternFill>
    </fill>
    <fill>
      <patternFill patternType="solid">
        <fgColor rgb="FFDDEC5A"/>
        <bgColor indexed="64"/>
      </patternFill>
    </fill>
    <fill>
      <patternFill patternType="solid">
        <fgColor rgb="FFF1F14C"/>
        <bgColor indexed="64"/>
      </patternFill>
    </fill>
    <fill>
      <patternFill patternType="solid">
        <fgColor rgb="FFFFF443"/>
        <bgColor indexed="64"/>
      </patternFill>
    </fill>
    <fill>
      <patternFill patternType="solid">
        <fgColor rgb="FF1BB7DE"/>
        <bgColor indexed="64"/>
      </patternFill>
    </fill>
    <fill>
      <patternFill patternType="solid">
        <fgColor rgb="FF44C2C2"/>
        <bgColor indexed="64"/>
      </patternFill>
    </fill>
    <fill>
      <patternFill patternType="solid">
        <fgColor rgb="FF78D09F"/>
        <bgColor indexed="64"/>
      </patternFill>
    </fill>
    <fill>
      <patternFill patternType="solid">
        <fgColor rgb="FF4360BB"/>
        <bgColor indexed="64"/>
      </patternFill>
    </fill>
    <fill>
      <patternFill patternType="solid">
        <fgColor rgb="FF84D497"/>
        <bgColor indexed="64"/>
      </patternFill>
    </fill>
    <fill>
      <patternFill patternType="solid">
        <fgColor rgb="FF0A3D9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494D"/>
        <bgColor indexed="64"/>
      </patternFill>
    </fill>
    <fill>
      <patternFill patternType="solid">
        <fgColor rgb="FFAFDF79"/>
        <bgColor indexed="64"/>
      </patternFill>
    </fill>
    <fill>
      <patternFill patternType="solid">
        <fgColor rgb="FF34DCFE"/>
        <bgColor indexed="64"/>
      </patternFill>
    </fill>
    <fill>
      <patternFill patternType="solid">
        <fgColor rgb="FF58C8B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40B04"/>
        <bgColor indexed="64"/>
      </patternFill>
    </fill>
    <fill>
      <patternFill patternType="solid">
        <fgColor rgb="FFEFFFFF"/>
        <bgColor indexed="64"/>
      </patternFill>
    </fill>
    <fill>
      <patternFill patternType="solid">
        <fgColor rgb="FF5BC9B2"/>
        <bgColor indexed="64"/>
      </patternFill>
    </fill>
    <fill>
      <patternFill patternType="solid">
        <fgColor rgb="FF00004C"/>
        <bgColor indexed="64"/>
      </patternFill>
    </fill>
    <fill>
      <patternFill patternType="solid">
        <fgColor rgb="FF7ED29B"/>
        <bgColor indexed="64"/>
      </patternFill>
    </fill>
    <fill>
      <patternFill patternType="solid">
        <fgColor rgb="FF88D594"/>
        <bgColor indexed="64"/>
      </patternFill>
    </fill>
    <fill>
      <patternFill patternType="solid">
        <fgColor rgb="FFFFF5EB"/>
        <bgColor indexed="64"/>
      </patternFill>
    </fill>
    <fill>
      <patternFill patternType="solid">
        <fgColor rgb="FFEEF04F"/>
        <bgColor indexed="64"/>
      </patternFill>
    </fill>
    <fill>
      <patternFill patternType="solid">
        <fgColor rgb="FFABDE7C"/>
        <bgColor indexed="64"/>
      </patternFill>
    </fill>
    <fill>
      <patternFill patternType="solid">
        <fgColor rgb="FF5DC9B1"/>
        <bgColor indexed="64"/>
      </patternFill>
    </fill>
    <fill>
      <patternFill patternType="solid">
        <fgColor rgb="FF302012"/>
        <bgColor indexed="64"/>
      </patternFill>
    </fill>
    <fill>
      <patternFill patternType="solid">
        <fgColor rgb="FF83D397"/>
        <bgColor indexed="64"/>
      </patternFill>
    </fill>
    <fill>
      <patternFill patternType="solid">
        <fgColor rgb="FF534E7E"/>
        <bgColor indexed="64"/>
      </patternFill>
    </fill>
    <fill>
      <patternFill patternType="solid">
        <fgColor rgb="FF76D0A0"/>
        <bgColor indexed="64"/>
      </patternFill>
    </fill>
    <fill>
      <patternFill patternType="solid">
        <fgColor rgb="FFD9A601"/>
        <bgColor indexed="64"/>
      </patternFill>
    </fill>
    <fill>
      <patternFill patternType="solid">
        <fgColor rgb="FF00002E"/>
        <bgColor indexed="64"/>
      </patternFill>
    </fill>
    <fill>
      <patternFill patternType="solid">
        <fgColor rgb="FF30BDCF"/>
        <bgColor indexed="64"/>
      </patternFill>
    </fill>
    <fill>
      <patternFill patternType="solid">
        <fgColor rgb="FF8ED69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7CD29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0" fillId="2" borderId="14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3" xfId="0" applyFont="1" applyFill="1" applyBorder="1"/>
    <xf numFmtId="0" fontId="1" fillId="2" borderId="9" xfId="0" applyFont="1" applyFill="1" applyBorder="1"/>
    <xf numFmtId="0" fontId="5" fillId="11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21" borderId="0" xfId="0" applyNumberFormat="1" applyFont="1" applyFill="1" applyAlignment="1">
      <alignment vertical="center"/>
    </xf>
    <xf numFmtId="0" fontId="0" fillId="2" borderId="6" xfId="0" applyFill="1" applyBorder="1" applyAlignment="1">
      <alignment vertical="center"/>
    </xf>
    <xf numFmtId="49" fontId="4" fillId="0" borderId="0" xfId="0" applyNumberFormat="1" applyFont="1"/>
    <xf numFmtId="0" fontId="4" fillId="23" borderId="0" xfId="0" applyFont="1" applyFill="1"/>
    <xf numFmtId="0" fontId="4" fillId="24" borderId="0" xfId="0" applyFont="1" applyFill="1"/>
    <xf numFmtId="0" fontId="0" fillId="25" borderId="0" xfId="0" applyFill="1"/>
    <xf numFmtId="0" fontId="4" fillId="26" borderId="0" xfId="0" applyFont="1" applyFill="1"/>
    <xf numFmtId="0" fontId="4" fillId="27" borderId="0" xfId="0" applyFont="1" applyFill="1"/>
    <xf numFmtId="0" fontId="0" fillId="28" borderId="0" xfId="0" applyFill="1"/>
    <xf numFmtId="0" fontId="22" fillId="31" borderId="0" xfId="0" applyFont="1" applyFill="1" applyAlignment="1">
      <alignment vertical="center"/>
    </xf>
    <xf numFmtId="0" fontId="0" fillId="34" borderId="0" xfId="0" applyFill="1"/>
    <xf numFmtId="0" fontId="25" fillId="35" borderId="0" xfId="0" applyFont="1" applyFill="1" applyAlignment="1">
      <alignment horizontal="center"/>
    </xf>
    <xf numFmtId="0" fontId="0" fillId="36" borderId="0" xfId="0" applyFill="1"/>
    <xf numFmtId="0" fontId="26" fillId="37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2" xfId="0" applyBorder="1" applyAlignment="1">
      <alignment vertical="center"/>
    </xf>
    <xf numFmtId="0" fontId="27" fillId="38" borderId="4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29" fillId="32" borderId="1" xfId="0" applyFont="1" applyFill="1" applyBorder="1" applyAlignment="1">
      <alignment vertical="center"/>
    </xf>
    <xf numFmtId="0" fontId="24" fillId="42" borderId="0" xfId="0" applyFont="1" applyFill="1" applyAlignment="1">
      <alignment horizontal="center"/>
    </xf>
    <xf numFmtId="0" fontId="24" fillId="22" borderId="0" xfId="0" applyFont="1" applyFill="1" applyAlignment="1">
      <alignment horizontal="center"/>
    </xf>
    <xf numFmtId="0" fontId="24" fillId="40" borderId="0" xfId="0" applyFont="1" applyFill="1" applyAlignment="1">
      <alignment horizontal="center"/>
    </xf>
    <xf numFmtId="0" fontId="24" fillId="41" borderId="0" xfId="0" applyFont="1" applyFill="1" applyAlignment="1">
      <alignment horizontal="center"/>
    </xf>
    <xf numFmtId="0" fontId="33" fillId="17" borderId="1" xfId="0" applyFont="1" applyFill="1" applyBorder="1" applyAlignment="1">
      <alignment vertical="center"/>
    </xf>
    <xf numFmtId="0" fontId="31" fillId="4" borderId="4" xfId="0" applyFont="1" applyFill="1" applyBorder="1" applyAlignment="1">
      <alignment vertical="center"/>
    </xf>
    <xf numFmtId="0" fontId="35" fillId="43" borderId="4" xfId="0" applyFont="1" applyFill="1" applyBorder="1" applyAlignment="1">
      <alignment vertical="center"/>
    </xf>
    <xf numFmtId="0" fontId="37" fillId="45" borderId="4" xfId="0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0" fillId="46" borderId="0" xfId="0" applyFill="1"/>
    <xf numFmtId="0" fontId="0" fillId="36" borderId="0" xfId="0" applyFill="1" applyAlignment="1">
      <alignment horizontal="center"/>
    </xf>
    <xf numFmtId="0" fontId="0" fillId="46" borderId="0" xfId="0" applyFill="1" applyAlignment="1">
      <alignment horizontal="center"/>
    </xf>
    <xf numFmtId="0" fontId="41" fillId="47" borderId="4" xfId="0" applyFont="1" applyFill="1" applyBorder="1" applyAlignment="1">
      <alignment vertical="center"/>
    </xf>
    <xf numFmtId="0" fontId="43" fillId="48" borderId="4" xfId="0" applyFont="1" applyFill="1" applyBorder="1" applyAlignment="1">
      <alignment vertical="center"/>
    </xf>
    <xf numFmtId="0" fontId="45" fillId="4" borderId="4" xfId="0" applyFont="1" applyFill="1" applyBorder="1" applyAlignment="1">
      <alignment vertical="center"/>
    </xf>
    <xf numFmtId="0" fontId="46" fillId="50" borderId="4" xfId="0" applyFont="1" applyFill="1" applyBorder="1" applyAlignment="1">
      <alignment vertical="center"/>
    </xf>
    <xf numFmtId="0" fontId="0" fillId="0" borderId="6" xfId="0" quotePrefix="1" applyBorder="1" applyAlignment="1">
      <alignment vertical="center"/>
    </xf>
    <xf numFmtId="0" fontId="48" fillId="4" borderId="0" xfId="0" applyFont="1" applyFill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0" xfId="0" applyAlignment="1">
      <alignment wrapText="1"/>
    </xf>
    <xf numFmtId="0" fontId="50" fillId="54" borderId="1" xfId="0" applyFont="1" applyFill="1" applyBorder="1" applyAlignment="1">
      <alignment vertical="center"/>
    </xf>
    <xf numFmtId="0" fontId="52" fillId="56" borderId="1" xfId="0" applyFont="1" applyFill="1" applyBorder="1" applyAlignment="1">
      <alignment vertical="center"/>
    </xf>
    <xf numFmtId="0" fontId="56" fillId="60" borderId="0" xfId="0" applyFont="1" applyFill="1" applyAlignment="1">
      <alignment vertical="center"/>
    </xf>
    <xf numFmtId="0" fontId="58" fillId="49" borderId="8" xfId="0" applyFont="1" applyFill="1" applyBorder="1" applyAlignment="1">
      <alignment vertical="center"/>
    </xf>
    <xf numFmtId="0" fontId="60" fillId="3" borderId="0" xfId="0" applyFont="1" applyFill="1" applyAlignment="1">
      <alignment vertical="center"/>
    </xf>
    <xf numFmtId="0" fontId="51" fillId="54" borderId="0" xfId="0" applyFont="1" applyFill="1" applyAlignment="1">
      <alignment vertical="center"/>
    </xf>
    <xf numFmtId="0" fontId="62" fillId="62" borderId="0" xfId="0" applyFont="1" applyFill="1" applyAlignment="1">
      <alignment vertical="center"/>
    </xf>
    <xf numFmtId="0" fontId="64" fillId="61" borderId="8" xfId="0" applyFont="1" applyFill="1" applyBorder="1" applyAlignment="1">
      <alignment vertical="center"/>
    </xf>
    <xf numFmtId="0" fontId="66" fillId="59" borderId="0" xfId="0" applyFont="1" applyFill="1" applyAlignment="1">
      <alignment vertical="center"/>
    </xf>
    <xf numFmtId="0" fontId="68" fillId="57" borderId="4" xfId="0" applyFont="1" applyFill="1" applyBorder="1" applyAlignment="1">
      <alignment vertical="center"/>
    </xf>
    <xf numFmtId="0" fontId="50" fillId="55" borderId="4" xfId="0" applyFont="1" applyFill="1" applyBorder="1" applyAlignment="1">
      <alignment vertical="center"/>
    </xf>
    <xf numFmtId="0" fontId="70" fillId="53" borderId="4" xfId="0" applyFont="1" applyFill="1" applyBorder="1" applyAlignment="1">
      <alignment vertical="center"/>
    </xf>
    <xf numFmtId="0" fontId="72" fillId="4" borderId="4" xfId="0" applyFont="1" applyFill="1" applyBorder="1" applyAlignment="1">
      <alignment vertical="center"/>
    </xf>
    <xf numFmtId="0" fontId="74" fillId="52" borderId="1" xfId="0" applyFont="1" applyFill="1" applyBorder="1" applyAlignment="1">
      <alignment vertical="center"/>
    </xf>
    <xf numFmtId="0" fontId="76" fillId="51" borderId="1" xfId="0" applyFont="1" applyFill="1" applyBorder="1" applyAlignment="1">
      <alignment vertical="center"/>
    </xf>
    <xf numFmtId="0" fontId="78" fillId="49" borderId="1" xfId="0" applyFont="1" applyFill="1" applyBorder="1" applyAlignment="1">
      <alignment vertical="center"/>
    </xf>
    <xf numFmtId="0" fontId="80" fillId="44" borderId="4" xfId="0" applyFont="1" applyFill="1" applyBorder="1" applyAlignment="1">
      <alignment vertical="center"/>
    </xf>
    <xf numFmtId="0" fontId="82" fillId="33" borderId="4" xfId="0" applyFont="1" applyFill="1" applyBorder="1" applyAlignment="1">
      <alignment vertical="center"/>
    </xf>
    <xf numFmtId="0" fontId="84" fillId="15" borderId="4" xfId="0" applyFont="1" applyFill="1" applyBorder="1" applyAlignment="1">
      <alignment vertical="center"/>
    </xf>
    <xf numFmtId="0" fontId="50" fillId="15" borderId="4" xfId="0" applyFont="1" applyFill="1" applyBorder="1" applyAlignment="1">
      <alignment vertical="center"/>
    </xf>
    <xf numFmtId="0" fontId="76" fillId="30" borderId="4" xfId="0" applyFont="1" applyFill="1" applyBorder="1" applyAlignment="1">
      <alignment vertical="center"/>
    </xf>
    <xf numFmtId="0" fontId="86" fillId="29" borderId="1" xfId="0" applyFont="1" applyFill="1" applyBorder="1" applyAlignment="1">
      <alignment vertical="center"/>
    </xf>
    <xf numFmtId="0" fontId="52" fillId="13" borderId="4" xfId="0" applyFont="1" applyFill="1" applyBorder="1" applyAlignment="1">
      <alignment vertical="center"/>
    </xf>
    <xf numFmtId="0" fontId="88" fillId="9" borderId="4" xfId="0" applyFont="1" applyFill="1" applyBorder="1" applyAlignment="1">
      <alignment vertical="center"/>
    </xf>
    <xf numFmtId="0" fontId="90" fillId="15" borderId="4" xfId="0" applyFont="1" applyFill="1" applyBorder="1" applyAlignment="1">
      <alignment vertical="center"/>
    </xf>
    <xf numFmtId="0" fontId="92" fillId="8" borderId="1" xfId="0" applyFont="1" applyFill="1" applyBorder="1" applyAlignment="1">
      <alignment vertical="center"/>
    </xf>
    <xf numFmtId="0" fontId="94" fillId="19" borderId="1" xfId="0" applyFont="1" applyFill="1" applyBorder="1" applyAlignment="1">
      <alignment vertical="center"/>
    </xf>
    <xf numFmtId="0" fontId="96" fillId="20" borderId="1" xfId="0" applyFont="1" applyFill="1" applyBorder="1" applyAlignment="1">
      <alignment vertical="center"/>
    </xf>
    <xf numFmtId="0" fontId="98" fillId="10" borderId="1" xfId="0" applyFont="1" applyFill="1" applyBorder="1" applyAlignment="1">
      <alignment vertical="center"/>
    </xf>
    <xf numFmtId="0" fontId="72" fillId="4" borderId="1" xfId="0" applyFont="1" applyFill="1" applyBorder="1" applyAlignment="1">
      <alignment vertical="center"/>
    </xf>
    <xf numFmtId="0" fontId="100" fillId="16" borderId="1" xfId="0" applyFont="1" applyFill="1" applyBorder="1" applyAlignment="1">
      <alignment vertical="center"/>
    </xf>
    <xf numFmtId="0" fontId="98" fillId="12" borderId="1" xfId="0" applyFont="1" applyFill="1" applyBorder="1" applyAlignment="1">
      <alignment vertical="center"/>
    </xf>
    <xf numFmtId="0" fontId="102" fillId="6" borderId="1" xfId="0" applyFont="1" applyFill="1" applyBorder="1" applyAlignment="1">
      <alignment vertical="center"/>
    </xf>
    <xf numFmtId="0" fontId="92" fillId="14" borderId="1" xfId="0" applyFont="1" applyFill="1" applyBorder="1" applyAlignment="1">
      <alignment vertical="center"/>
    </xf>
    <xf numFmtId="0" fontId="104" fillId="3" borderId="1" xfId="0" applyFont="1" applyFill="1" applyBorder="1" applyAlignment="1">
      <alignment vertical="center"/>
    </xf>
    <xf numFmtId="0" fontId="106" fillId="15" borderId="4" xfId="0" applyFont="1" applyFill="1" applyBorder="1" applyAlignment="1">
      <alignment vertical="center"/>
    </xf>
    <xf numFmtId="0" fontId="108" fillId="28" borderId="4" xfId="0" applyFont="1" applyFill="1" applyBorder="1" applyAlignment="1">
      <alignment vertical="center"/>
    </xf>
    <xf numFmtId="0" fontId="110" fillId="47" borderId="4" xfId="0" applyFont="1" applyFill="1" applyBorder="1" applyAlignment="1">
      <alignment vertical="center"/>
    </xf>
    <xf numFmtId="0" fontId="112" fillId="63" borderId="0" xfId="0" applyFont="1" applyFill="1" applyAlignment="1">
      <alignment vertical="center"/>
    </xf>
    <xf numFmtId="0" fontId="114" fillId="64" borderId="0" xfId="0" applyFont="1" applyFill="1" applyAlignment="1">
      <alignment vertical="center"/>
    </xf>
    <xf numFmtId="0" fontId="77" fillId="65" borderId="0" xfId="0" applyFont="1" applyFill="1" applyAlignment="1">
      <alignment vertical="center"/>
    </xf>
    <xf numFmtId="0" fontId="64" fillId="13" borderId="0" xfId="0" applyFont="1" applyFill="1" applyAlignment="1">
      <alignment vertical="center"/>
    </xf>
    <xf numFmtId="0" fontId="116" fillId="55" borderId="0" xfId="0" applyFont="1" applyFill="1" applyAlignment="1">
      <alignment vertical="center"/>
    </xf>
    <xf numFmtId="0" fontId="118" fillId="66" borderId="0" xfId="0" applyFont="1" applyFill="1" applyAlignment="1">
      <alignment vertical="center"/>
    </xf>
    <xf numFmtId="0" fontId="0" fillId="0" borderId="13" xfId="0" applyBorder="1" applyAlignment="1">
      <alignment vertical="center"/>
    </xf>
    <xf numFmtId="0" fontId="120" fillId="0" borderId="0" xfId="0" applyFont="1" applyAlignment="1">
      <alignment vertical="center"/>
    </xf>
    <xf numFmtId="0" fontId="122" fillId="60" borderId="8" xfId="0" applyFont="1" applyFill="1" applyBorder="1" applyAlignment="1">
      <alignment vertical="center"/>
    </xf>
    <xf numFmtId="0" fontId="26" fillId="11" borderId="0" xfId="0" applyFont="1" applyFill="1" applyAlignment="1">
      <alignment horizontal="center"/>
    </xf>
    <xf numFmtId="0" fontId="54" fillId="15" borderId="4" xfId="0" applyFont="1" applyFill="1" applyBorder="1" applyAlignment="1">
      <alignment vertical="center"/>
    </xf>
    <xf numFmtId="0" fontId="61" fillId="15" borderId="4" xfId="0" applyFont="1" applyFill="1" applyBorder="1" applyAlignment="1">
      <alignment vertical="center"/>
    </xf>
    <xf numFmtId="0" fontId="124" fillId="39" borderId="4" xfId="0" applyFont="1" applyFill="1" applyBorder="1" applyAlignment="1">
      <alignment vertical="center"/>
    </xf>
    <xf numFmtId="0" fontId="26" fillId="67" borderId="0" xfId="0" applyFont="1" applyFill="1" applyAlignment="1">
      <alignment horizontal="center"/>
    </xf>
    <xf numFmtId="0" fontId="26" fillId="68" borderId="0" xfId="0" applyFont="1" applyFill="1" applyAlignment="1">
      <alignment horizontal="center"/>
    </xf>
    <xf numFmtId="0" fontId="26" fillId="69" borderId="0" xfId="0" applyFont="1" applyFill="1" applyAlignment="1">
      <alignment horizontal="center"/>
    </xf>
    <xf numFmtId="0" fontId="126" fillId="4" borderId="0" xfId="0" applyFont="1" applyFill="1" applyAlignment="1">
      <alignment vertical="center"/>
    </xf>
    <xf numFmtId="0" fontId="64" fillId="70" borderId="0" xfId="0" applyFont="1" applyFill="1" applyAlignment="1">
      <alignment vertical="center"/>
    </xf>
    <xf numFmtId="0" fontId="129" fillId="72" borderId="0" xfId="0" applyFont="1" applyFill="1"/>
    <xf numFmtId="0" fontId="0" fillId="46" borderId="0" xfId="0" applyFill="1" applyAlignment="1">
      <alignment horizontal="right"/>
    </xf>
    <xf numFmtId="0" fontId="0" fillId="36" borderId="0" xfId="0" applyFill="1" applyAlignment="1">
      <alignment horizontal="right"/>
    </xf>
    <xf numFmtId="10" fontId="0" fillId="36" borderId="0" xfId="0" applyNumberFormat="1" applyFill="1" applyAlignment="1">
      <alignment horizontal="right"/>
    </xf>
    <xf numFmtId="0" fontId="130" fillId="73" borderId="0" xfId="0" applyFont="1" applyFill="1" applyAlignment="1">
      <alignment vertical="center"/>
    </xf>
    <xf numFmtId="0" fontId="26" fillId="74" borderId="0" xfId="0" applyFont="1" applyFill="1" applyAlignment="1">
      <alignment horizontal="center"/>
    </xf>
    <xf numFmtId="0" fontId="132" fillId="75" borderId="0" xfId="0" applyFont="1" applyFill="1" applyAlignment="1">
      <alignment vertical="center"/>
    </xf>
    <xf numFmtId="0" fontId="26" fillId="77" borderId="0" xfId="0" applyFont="1" applyFill="1" applyAlignment="1">
      <alignment horizontal="center"/>
    </xf>
    <xf numFmtId="0" fontId="24" fillId="0" borderId="1" xfId="0" applyFont="1" applyBorder="1" applyAlignment="1">
      <alignment vertical="center"/>
    </xf>
    <xf numFmtId="0" fontId="54" fillId="5" borderId="1" xfId="0" applyFont="1" applyFill="1" applyBorder="1" applyAlignment="1">
      <alignment vertical="center"/>
    </xf>
    <xf numFmtId="0" fontId="136" fillId="7" borderId="1" xfId="0" applyFont="1" applyFill="1" applyBorder="1" applyAlignment="1">
      <alignment vertical="center"/>
    </xf>
    <xf numFmtId="0" fontId="138" fillId="78" borderId="0" xfId="0" applyFont="1" applyFill="1" applyAlignment="1">
      <alignment vertical="center"/>
    </xf>
    <xf numFmtId="0" fontId="26" fillId="80" borderId="0" xfId="0" applyFont="1" applyFill="1" applyAlignment="1">
      <alignment horizontal="center"/>
    </xf>
    <xf numFmtId="0" fontId="26" fillId="81" borderId="0" xfId="0" applyFont="1" applyFill="1" applyAlignment="1">
      <alignment horizontal="center"/>
    </xf>
    <xf numFmtId="0" fontId="134" fillId="79" borderId="0" xfId="0" applyFont="1" applyFill="1" applyAlignment="1">
      <alignment vertical="center"/>
    </xf>
    <xf numFmtId="0" fontId="101" fillId="82" borderId="0" xfId="0" applyFont="1" applyFill="1" applyAlignment="1">
      <alignment vertical="center"/>
    </xf>
    <xf numFmtId="0" fontId="140" fillId="50" borderId="1" xfId="0" applyFont="1" applyFill="1" applyBorder="1" applyAlignment="1">
      <alignment vertical="center"/>
    </xf>
    <xf numFmtId="0" fontId="142" fillId="83" borderId="0" xfId="0" applyFont="1" applyFill="1" applyAlignment="1">
      <alignment vertical="center"/>
    </xf>
    <xf numFmtId="0" fontId="55" fillId="84" borderId="0" xfId="0" applyFont="1" applyFill="1" applyAlignment="1">
      <alignment vertical="center"/>
    </xf>
    <xf numFmtId="0" fontId="60" fillId="0" borderId="0" xfId="0" applyFont="1" applyAlignment="1">
      <alignment vertical="center"/>
    </xf>
    <xf numFmtId="0" fontId="26" fillId="86" borderId="0" xfId="0" applyFont="1" applyFill="1" applyAlignment="1">
      <alignment horizontal="center"/>
    </xf>
    <xf numFmtId="0" fontId="146" fillId="87" borderId="0" xfId="0" applyFont="1" applyFill="1" applyAlignment="1">
      <alignment vertical="center"/>
    </xf>
    <xf numFmtId="0" fontId="148" fillId="88" borderId="1" xfId="0" applyFont="1" applyFill="1" applyBorder="1" applyAlignment="1">
      <alignment vertical="center"/>
    </xf>
    <xf numFmtId="0" fontId="150" fillId="0" borderId="0" xfId="0" applyFont="1" applyAlignment="1">
      <alignment vertical="center"/>
    </xf>
    <xf numFmtId="0" fontId="152" fillId="85" borderId="0" xfId="0" applyFont="1" applyFill="1" applyAlignment="1">
      <alignment vertical="center"/>
    </xf>
    <xf numFmtId="0" fontId="156" fillId="47" borderId="0" xfId="0" applyFont="1" applyFill="1" applyAlignment="1">
      <alignment vertical="center"/>
    </xf>
    <xf numFmtId="0" fontId="160" fillId="91" borderId="0" xfId="0" applyFont="1" applyFill="1" applyAlignment="1">
      <alignment vertical="center"/>
    </xf>
    <xf numFmtId="0" fontId="64" fillId="93" borderId="0" xfId="0" applyFont="1" applyFill="1" applyAlignment="1">
      <alignment vertical="center"/>
    </xf>
    <xf numFmtId="0" fontId="42" fillId="92" borderId="0" xfId="0" applyFont="1" applyFill="1" applyAlignment="1">
      <alignment vertical="center"/>
    </xf>
    <xf numFmtId="0" fontId="154" fillId="89" borderId="0" xfId="0" applyFont="1" applyFill="1" applyAlignment="1">
      <alignment vertical="center"/>
    </xf>
    <xf numFmtId="0" fontId="158" fillId="90" borderId="2" xfId="0" applyFont="1" applyFill="1" applyBorder="1" applyAlignment="1">
      <alignment vertical="center"/>
    </xf>
    <xf numFmtId="10" fontId="0" fillId="46" borderId="0" xfId="0" applyNumberFormat="1" applyFill="1" applyAlignment="1">
      <alignment horizontal="right"/>
    </xf>
    <xf numFmtId="0" fontId="162" fillId="94" borderId="4" xfId="0" applyFont="1" applyFill="1" applyBorder="1" applyAlignment="1">
      <alignment vertical="center"/>
    </xf>
    <xf numFmtId="0" fontId="103" fillId="95" borderId="0" xfId="0" applyFont="1" applyFill="1" applyAlignment="1">
      <alignment vertical="center"/>
    </xf>
    <xf numFmtId="0" fontId="148" fillId="0" borderId="0" xfId="0" applyFont="1" applyAlignment="1">
      <alignment vertical="center"/>
    </xf>
    <xf numFmtId="0" fontId="64" fillId="70" borderId="1" xfId="0" applyFont="1" applyFill="1" applyBorder="1" applyAlignment="1">
      <alignment vertical="center"/>
    </xf>
    <xf numFmtId="0" fontId="164" fillId="96" borderId="1" xfId="0" applyFont="1" applyFill="1" applyBorder="1" applyAlignment="1">
      <alignment vertical="center"/>
    </xf>
    <xf numFmtId="0" fontId="165" fillId="76" borderId="0" xfId="0" applyFont="1" applyFill="1" applyAlignment="1">
      <alignment vertical="center"/>
    </xf>
    <xf numFmtId="0" fontId="167" fillId="98" borderId="4" xfId="0" applyFont="1" applyFill="1" applyBorder="1" applyAlignment="1">
      <alignment vertical="center"/>
    </xf>
    <xf numFmtId="0" fontId="164" fillId="99" borderId="1" xfId="0" applyFont="1" applyFill="1" applyBorder="1" applyAlignment="1">
      <alignment vertical="center"/>
    </xf>
    <xf numFmtId="0" fontId="26" fillId="100" borderId="0" xfId="0" applyFont="1" applyFill="1" applyAlignment="1">
      <alignment horizontal="center"/>
    </xf>
    <xf numFmtId="0" fontId="26" fillId="101" borderId="0" xfId="0" applyFont="1" applyFill="1" applyAlignment="1">
      <alignment horizontal="center"/>
    </xf>
    <xf numFmtId="0" fontId="26" fillId="102" borderId="0" xfId="0" applyFont="1" applyFill="1" applyAlignment="1">
      <alignment horizontal="center"/>
    </xf>
    <xf numFmtId="0" fontId="26" fillId="103" borderId="0" xfId="0" applyFont="1" applyFill="1" applyAlignment="1">
      <alignment horizontal="center"/>
    </xf>
    <xf numFmtId="0" fontId="26" fillId="104" borderId="0" xfId="0" applyFont="1" applyFill="1" applyAlignment="1">
      <alignment horizontal="center"/>
    </xf>
    <xf numFmtId="0" fontId="26" fillId="105" borderId="0" xfId="0" applyFont="1" applyFill="1" applyAlignment="1">
      <alignment horizontal="center"/>
    </xf>
    <xf numFmtId="0" fontId="26" fillId="106" borderId="0" xfId="0" applyFont="1" applyFill="1" applyAlignment="1">
      <alignment horizontal="center"/>
    </xf>
    <xf numFmtId="0" fontId="26" fillId="107" borderId="0" xfId="0" applyFont="1" applyFill="1" applyAlignment="1">
      <alignment horizontal="center"/>
    </xf>
    <xf numFmtId="0" fontId="26" fillId="108" borderId="0" xfId="0" applyFont="1" applyFill="1" applyAlignment="1">
      <alignment horizontal="center"/>
    </xf>
    <xf numFmtId="0" fontId="26" fillId="109" borderId="0" xfId="0" applyFont="1" applyFill="1" applyAlignment="1">
      <alignment horizontal="center"/>
    </xf>
    <xf numFmtId="0" fontId="26" fillId="110" borderId="0" xfId="0" applyFont="1" applyFill="1" applyAlignment="1">
      <alignment horizontal="center"/>
    </xf>
    <xf numFmtId="0" fontId="26" fillId="111" borderId="0" xfId="0" applyFont="1" applyFill="1" applyAlignment="1">
      <alignment horizontal="center"/>
    </xf>
    <xf numFmtId="0" fontId="26" fillId="112" borderId="0" xfId="0" applyFont="1" applyFill="1" applyAlignment="1">
      <alignment horizontal="center"/>
    </xf>
    <xf numFmtId="0" fontId="26" fillId="113" borderId="0" xfId="0" applyFont="1" applyFill="1" applyAlignment="1">
      <alignment horizontal="center"/>
    </xf>
    <xf numFmtId="0" fontId="26" fillId="114" borderId="0" xfId="0" applyFont="1" applyFill="1" applyAlignment="1">
      <alignment horizontal="center"/>
    </xf>
    <xf numFmtId="0" fontId="26" fillId="115" borderId="0" xfId="0" applyFont="1" applyFill="1" applyAlignment="1">
      <alignment horizontal="center"/>
    </xf>
    <xf numFmtId="0" fontId="169" fillId="116" borderId="1" xfId="0" applyFont="1" applyFill="1" applyBorder="1" applyAlignment="1">
      <alignment vertical="center"/>
    </xf>
    <xf numFmtId="0" fontId="171" fillId="117" borderId="4" xfId="0" applyFont="1" applyFill="1" applyBorder="1" applyAlignment="1">
      <alignment vertical="center"/>
    </xf>
    <xf numFmtId="0" fontId="173" fillId="4" borderId="4" xfId="0" applyFont="1" applyFill="1" applyBorder="1" applyAlignment="1">
      <alignment vertical="center"/>
    </xf>
    <xf numFmtId="0" fontId="164" fillId="118" borderId="1" xfId="0" applyFont="1" applyFill="1" applyBorder="1" applyAlignment="1">
      <alignment vertical="center"/>
    </xf>
    <xf numFmtId="0" fontId="175" fillId="119" borderId="1" xfId="0" applyFont="1" applyFill="1" applyBorder="1" applyAlignment="1">
      <alignment vertical="center"/>
    </xf>
    <xf numFmtId="0" fontId="26" fillId="120" borderId="0" xfId="0" applyFont="1" applyFill="1" applyAlignment="1">
      <alignment horizontal="center"/>
    </xf>
    <xf numFmtId="0" fontId="177" fillId="4" borderId="1" xfId="0" applyFont="1" applyFill="1" applyBorder="1" applyAlignment="1">
      <alignment vertical="center"/>
    </xf>
    <xf numFmtId="0" fontId="26" fillId="121" borderId="0" xfId="0" applyFont="1" applyFill="1" applyAlignment="1">
      <alignment horizontal="center"/>
    </xf>
    <xf numFmtId="0" fontId="64" fillId="122" borderId="4" xfId="0" applyFont="1" applyFill="1" applyBorder="1" applyAlignment="1">
      <alignment vertical="center"/>
    </xf>
    <xf numFmtId="0" fontId="179" fillId="47" borderId="1" xfId="0" applyFont="1" applyFill="1" applyBorder="1" applyAlignment="1">
      <alignment vertical="center"/>
    </xf>
    <xf numFmtId="0" fontId="181" fillId="123" borderId="1" xfId="0" applyFont="1" applyFill="1" applyBorder="1" applyAlignment="1">
      <alignment vertical="center"/>
    </xf>
    <xf numFmtId="0" fontId="26" fillId="124" borderId="0" xfId="0" applyFont="1" applyFill="1" applyAlignment="1">
      <alignment horizontal="center"/>
    </xf>
    <xf numFmtId="0" fontId="26" fillId="125" borderId="0" xfId="0" applyFont="1" applyFill="1" applyAlignment="1">
      <alignment horizontal="center"/>
    </xf>
    <xf numFmtId="0" fontId="26" fillId="126" borderId="0" xfId="0" applyFont="1" applyFill="1" applyAlignment="1">
      <alignment horizontal="center"/>
    </xf>
    <xf numFmtId="0" fontId="26" fillId="127" borderId="0" xfId="0" applyFont="1" applyFill="1" applyAlignment="1">
      <alignment horizontal="center"/>
    </xf>
    <xf numFmtId="0" fontId="26" fillId="128" borderId="0" xfId="0" applyFont="1" applyFill="1" applyAlignment="1">
      <alignment horizontal="center"/>
    </xf>
    <xf numFmtId="0" fontId="26" fillId="129" borderId="0" xfId="0" applyFont="1" applyFill="1" applyAlignment="1">
      <alignment horizontal="center"/>
    </xf>
    <xf numFmtId="0" fontId="26" fillId="130" borderId="0" xfId="0" applyFont="1" applyFill="1" applyAlignment="1">
      <alignment horizontal="center"/>
    </xf>
    <xf numFmtId="0" fontId="26" fillId="131" borderId="0" xfId="0" applyFont="1" applyFill="1" applyAlignment="1">
      <alignment horizontal="center"/>
    </xf>
    <xf numFmtId="0" fontId="26" fillId="132" borderId="0" xfId="0" applyFont="1" applyFill="1" applyAlignment="1">
      <alignment horizontal="center"/>
    </xf>
    <xf numFmtId="0" fontId="26" fillId="133" borderId="0" xfId="0" applyFont="1" applyFill="1" applyAlignment="1">
      <alignment horizontal="center"/>
    </xf>
    <xf numFmtId="0" fontId="26" fillId="134" borderId="0" xfId="0" applyFont="1" applyFill="1" applyAlignment="1">
      <alignment horizontal="center"/>
    </xf>
    <xf numFmtId="0" fontId="26" fillId="135" borderId="0" xfId="0" applyFont="1" applyFill="1" applyAlignment="1">
      <alignment horizontal="center"/>
    </xf>
    <xf numFmtId="0" fontId="26" fillId="136" borderId="0" xfId="0" applyFont="1" applyFill="1" applyAlignment="1">
      <alignment horizontal="center"/>
    </xf>
    <xf numFmtId="0" fontId="26" fillId="137" borderId="0" xfId="0" applyFont="1" applyFill="1" applyAlignment="1">
      <alignment horizontal="center"/>
    </xf>
    <xf numFmtId="0" fontId="26" fillId="138" borderId="0" xfId="0" applyFont="1" applyFill="1" applyAlignment="1">
      <alignment horizontal="center"/>
    </xf>
    <xf numFmtId="0" fontId="26" fillId="139" borderId="0" xfId="0" applyFont="1" applyFill="1" applyAlignment="1">
      <alignment horizontal="center"/>
    </xf>
    <xf numFmtId="0" fontId="26" fillId="140" borderId="0" xfId="0" applyFont="1" applyFill="1" applyAlignment="1">
      <alignment horizontal="center"/>
    </xf>
    <xf numFmtId="0" fontId="26" fillId="141" borderId="0" xfId="0" applyFont="1" applyFill="1" applyAlignment="1">
      <alignment horizontal="center"/>
    </xf>
    <xf numFmtId="0" fontId="26" fillId="142" borderId="0" xfId="0" applyFont="1" applyFill="1" applyAlignment="1">
      <alignment horizontal="center"/>
    </xf>
    <xf numFmtId="0" fontId="26" fillId="143" borderId="0" xfId="0" applyFont="1" applyFill="1" applyAlignment="1">
      <alignment horizontal="center"/>
    </xf>
    <xf numFmtId="0" fontId="26" fillId="144" borderId="0" xfId="0" applyFont="1" applyFill="1" applyAlignment="1">
      <alignment horizontal="center"/>
    </xf>
    <xf numFmtId="0" fontId="26" fillId="145" borderId="0" xfId="0" applyFont="1" applyFill="1" applyAlignment="1">
      <alignment horizontal="center"/>
    </xf>
    <xf numFmtId="0" fontId="26" fillId="146" borderId="0" xfId="0" applyFont="1" applyFill="1" applyAlignment="1">
      <alignment horizontal="center"/>
    </xf>
    <xf numFmtId="0" fontId="26" fillId="147" borderId="0" xfId="0" applyFont="1" applyFill="1" applyAlignment="1">
      <alignment horizontal="center"/>
    </xf>
    <xf numFmtId="0" fontId="26" fillId="148" borderId="0" xfId="0" applyFont="1" applyFill="1" applyAlignment="1">
      <alignment horizontal="center"/>
    </xf>
    <xf numFmtId="0" fontId="26" fillId="149" borderId="0" xfId="0" applyFont="1" applyFill="1" applyAlignment="1">
      <alignment horizontal="center"/>
    </xf>
    <xf numFmtId="0" fontId="26" fillId="150" borderId="0" xfId="0" applyFont="1" applyFill="1" applyAlignment="1">
      <alignment horizontal="center"/>
    </xf>
    <xf numFmtId="0" fontId="26" fillId="151" borderId="0" xfId="0" applyFont="1" applyFill="1" applyAlignment="1">
      <alignment horizontal="center"/>
    </xf>
    <xf numFmtId="0" fontId="26" fillId="152" borderId="0" xfId="0" applyFont="1" applyFill="1" applyAlignment="1">
      <alignment horizontal="center"/>
    </xf>
    <xf numFmtId="0" fontId="26" fillId="153" borderId="0" xfId="0" applyFont="1" applyFill="1" applyAlignment="1">
      <alignment horizontal="center"/>
    </xf>
    <xf numFmtId="0" fontId="26" fillId="154" borderId="0" xfId="0" applyFont="1" applyFill="1" applyAlignment="1">
      <alignment horizontal="center"/>
    </xf>
    <xf numFmtId="0" fontId="26" fillId="155" borderId="0" xfId="0" applyFont="1" applyFill="1" applyAlignment="1">
      <alignment horizontal="center"/>
    </xf>
    <xf numFmtId="0" fontId="26" fillId="156" borderId="0" xfId="0" applyFont="1" applyFill="1" applyAlignment="1">
      <alignment horizontal="center"/>
    </xf>
    <xf numFmtId="0" fontId="26" fillId="157" borderId="0" xfId="0" applyFont="1" applyFill="1" applyAlignment="1">
      <alignment horizontal="center"/>
    </xf>
    <xf numFmtId="0" fontId="26" fillId="158" borderId="0" xfId="0" applyFont="1" applyFill="1" applyAlignment="1">
      <alignment horizontal="center"/>
    </xf>
    <xf numFmtId="0" fontId="26" fillId="159" borderId="0" xfId="0" applyFont="1" applyFill="1" applyAlignment="1">
      <alignment horizontal="center"/>
    </xf>
    <xf numFmtId="0" fontId="26" fillId="160" borderId="0" xfId="0" applyFont="1" applyFill="1" applyAlignment="1">
      <alignment horizontal="center"/>
    </xf>
    <xf numFmtId="0" fontId="26" fillId="161" borderId="0" xfId="0" applyFont="1" applyFill="1" applyAlignment="1">
      <alignment horizontal="center"/>
    </xf>
    <xf numFmtId="0" fontId="26" fillId="162" borderId="0" xfId="0" applyFont="1" applyFill="1" applyAlignment="1">
      <alignment horizontal="center"/>
    </xf>
    <xf numFmtId="0" fontId="26" fillId="163" borderId="0" xfId="0" applyFont="1" applyFill="1" applyAlignment="1">
      <alignment horizontal="center"/>
    </xf>
    <xf numFmtId="0" fontId="26" fillId="164" borderId="0" xfId="0" applyFont="1" applyFill="1" applyAlignment="1">
      <alignment horizontal="center"/>
    </xf>
    <xf numFmtId="0" fontId="26" fillId="165" borderId="0" xfId="0" applyFont="1" applyFill="1" applyAlignment="1">
      <alignment horizontal="center"/>
    </xf>
    <xf numFmtId="0" fontId="26" fillId="166" borderId="0" xfId="0" applyFont="1" applyFill="1" applyAlignment="1">
      <alignment horizontal="center"/>
    </xf>
    <xf numFmtId="0" fontId="26" fillId="167" borderId="0" xfId="0" applyFont="1" applyFill="1" applyAlignment="1">
      <alignment horizontal="center"/>
    </xf>
    <xf numFmtId="0" fontId="26" fillId="168" borderId="0" xfId="0" applyFont="1" applyFill="1" applyAlignment="1">
      <alignment horizontal="center"/>
    </xf>
    <xf numFmtId="0" fontId="26" fillId="169" borderId="0" xfId="0" applyFont="1" applyFill="1" applyAlignment="1">
      <alignment horizontal="center"/>
    </xf>
    <xf numFmtId="0" fontId="26" fillId="170" borderId="0" xfId="0" applyFont="1" applyFill="1" applyAlignment="1">
      <alignment horizontal="center"/>
    </xf>
    <xf numFmtId="0" fontId="109" fillId="92" borderId="1" xfId="0" applyFont="1" applyFill="1" applyBorder="1" applyAlignment="1">
      <alignment vertical="center"/>
    </xf>
    <xf numFmtId="0" fontId="183" fillId="171" borderId="1" xfId="0" applyFont="1" applyFill="1" applyBorder="1" applyAlignment="1">
      <alignment vertical="center"/>
    </xf>
    <xf numFmtId="0" fontId="26" fillId="172" borderId="0" xfId="0" applyFont="1" applyFill="1" applyAlignment="1">
      <alignment horizontal="center"/>
    </xf>
    <xf numFmtId="0" fontId="3" fillId="0" borderId="15" xfId="0" applyFont="1" applyBorder="1" applyAlignment="1">
      <alignment vertical="center"/>
    </xf>
    <xf numFmtId="0" fontId="185" fillId="174" borderId="1" xfId="0" applyFont="1" applyFill="1" applyBorder="1" applyAlignment="1">
      <alignment vertical="center"/>
    </xf>
    <xf numFmtId="0" fontId="187" fillId="0" borderId="1" xfId="0" applyFont="1" applyBorder="1" applyAlignment="1">
      <alignment vertical="center"/>
    </xf>
    <xf numFmtId="0" fontId="189" fillId="3" borderId="1" xfId="0" applyFont="1" applyFill="1" applyBorder="1" applyAlignment="1">
      <alignment vertical="center"/>
    </xf>
    <xf numFmtId="0" fontId="26" fillId="176" borderId="0" xfId="0" applyFont="1" applyFill="1" applyAlignment="1">
      <alignment horizontal="center"/>
    </xf>
    <xf numFmtId="0" fontId="26" fillId="177" borderId="0" xfId="0" applyFont="1" applyFill="1" applyAlignment="1">
      <alignment horizontal="center"/>
    </xf>
    <xf numFmtId="0" fontId="0" fillId="58" borderId="0" xfId="0" applyFill="1" applyAlignment="1">
      <alignment vertical="center"/>
    </xf>
    <xf numFmtId="0" fontId="55" fillId="175" borderId="1" xfId="0" applyFont="1" applyFill="1" applyBorder="1" applyAlignment="1">
      <alignment vertical="center"/>
    </xf>
    <xf numFmtId="0" fontId="64" fillId="173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44" fillId="44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0" fontId="160" fillId="0" borderId="4" xfId="0" applyFont="1" applyBorder="1" applyAlignment="1">
      <alignment vertical="center"/>
    </xf>
    <xf numFmtId="0" fontId="32" fillId="97" borderId="1" xfId="0" applyFont="1" applyFill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191" fillId="178" borderId="1" xfId="0" applyFont="1" applyFill="1" applyBorder="1" applyAlignment="1">
      <alignment vertical="center"/>
    </xf>
    <xf numFmtId="0" fontId="26" fillId="179" borderId="0" xfId="0" applyFont="1" applyFill="1" applyAlignment="1">
      <alignment horizontal="center"/>
    </xf>
    <xf numFmtId="0" fontId="193" fillId="180" borderId="1" xfId="0" applyFont="1" applyFill="1" applyBorder="1" applyAlignment="1">
      <alignment vertical="center"/>
    </xf>
    <xf numFmtId="0" fontId="195" fillId="181" borderId="1" xfId="0" applyFont="1" applyFill="1" applyBorder="1" applyAlignment="1">
      <alignment vertical="center"/>
    </xf>
    <xf numFmtId="0" fontId="197" fillId="182" borderId="1" xfId="0" applyFont="1" applyFill="1" applyBorder="1" applyAlignment="1">
      <alignment vertical="center"/>
    </xf>
    <xf numFmtId="0" fontId="26" fillId="183" borderId="0" xfId="0" applyFont="1" applyFill="1" applyAlignment="1">
      <alignment horizontal="center"/>
    </xf>
    <xf numFmtId="0" fontId="199" fillId="184" borderId="1" xfId="0" applyFont="1" applyFill="1" applyBorder="1" applyAlignment="1">
      <alignment vertical="center"/>
    </xf>
    <xf numFmtId="0" fontId="26" fillId="185" borderId="0" xfId="0" applyFont="1" applyFill="1" applyAlignment="1">
      <alignment horizontal="center"/>
    </xf>
    <xf numFmtId="0" fontId="26" fillId="186" borderId="0" xfId="0" applyFont="1" applyFill="1" applyAlignment="1">
      <alignment horizontal="center"/>
    </xf>
    <xf numFmtId="0" fontId="201" fillId="187" borderId="1" xfId="0" applyFont="1" applyFill="1" applyBorder="1" applyAlignment="1">
      <alignment vertical="center"/>
    </xf>
    <xf numFmtId="0" fontId="114" fillId="123" borderId="1" xfId="0" applyFont="1" applyFill="1" applyBorder="1" applyAlignment="1">
      <alignment vertical="center"/>
    </xf>
    <xf numFmtId="0" fontId="26" fillId="188" borderId="0" xfId="0" applyFont="1" applyFill="1" applyAlignment="1">
      <alignment horizontal="center"/>
    </xf>
    <xf numFmtId="0" fontId="26" fillId="189" borderId="0" xfId="0" applyFont="1" applyFill="1" applyAlignment="1">
      <alignment horizontal="center"/>
    </xf>
    <xf numFmtId="0" fontId="26" fillId="190" borderId="0" xfId="0" applyFont="1" applyFill="1" applyAlignment="1">
      <alignment horizontal="center"/>
    </xf>
    <xf numFmtId="0" fontId="203" fillId="191" borderId="1" xfId="0" applyFont="1" applyFill="1" applyBorder="1" applyAlignment="1">
      <alignment vertical="center"/>
    </xf>
    <xf numFmtId="0" fontId="26" fillId="192" borderId="0" xfId="0" applyFont="1" applyFill="1" applyAlignment="1">
      <alignment horizontal="center"/>
    </xf>
    <xf numFmtId="0" fontId="206" fillId="193" borderId="1" xfId="0" applyFont="1" applyFill="1" applyBorder="1" applyAlignment="1">
      <alignment vertical="center"/>
    </xf>
    <xf numFmtId="0" fontId="26" fillId="194" borderId="0" xfId="0" applyFont="1" applyFill="1" applyAlignment="1">
      <alignment horizontal="center"/>
    </xf>
    <xf numFmtId="0" fontId="148" fillId="195" borderId="1" xfId="0" applyFont="1" applyFill="1" applyBorder="1" applyAlignment="1">
      <alignment vertical="center"/>
    </xf>
    <xf numFmtId="0" fontId="208" fillId="196" borderId="1" xfId="0" applyFont="1" applyFill="1" applyBorder="1" applyAlignment="1">
      <alignment vertical="center"/>
    </xf>
    <xf numFmtId="0" fontId="26" fillId="197" borderId="0" xfId="0" applyFont="1" applyFill="1" applyAlignment="1">
      <alignment horizontal="center"/>
    </xf>
    <xf numFmtId="0" fontId="181" fillId="0" borderId="1" xfId="0" applyFont="1" applyBorder="1" applyAlignment="1">
      <alignment vertical="center"/>
    </xf>
    <xf numFmtId="0" fontId="26" fillId="198" borderId="0" xfId="0" applyFont="1" applyFill="1" applyAlignment="1">
      <alignment horizontal="center"/>
    </xf>
    <xf numFmtId="0" fontId="210" fillId="33" borderId="4" xfId="0" applyFont="1" applyFill="1" applyBorder="1" applyAlignment="1">
      <alignment vertical="center"/>
    </xf>
    <xf numFmtId="0" fontId="212" fillId="4" borderId="1" xfId="0" applyFont="1" applyFill="1" applyBorder="1" applyAlignment="1">
      <alignment vertical="center"/>
    </xf>
    <xf numFmtId="0" fontId="0" fillId="199" borderId="1" xfId="0" applyFill="1" applyBorder="1" applyAlignment="1">
      <alignment vertical="center"/>
    </xf>
    <xf numFmtId="0" fontId="26" fillId="200" borderId="0" xfId="0" applyFont="1" applyFill="1" applyAlignment="1">
      <alignment horizontal="center"/>
    </xf>
    <xf numFmtId="0" fontId="128" fillId="71" borderId="0" xfId="0" applyFont="1" applyFill="1" applyAlignment="1">
      <alignment horizontal="center"/>
    </xf>
    <xf numFmtId="0" fontId="0" fillId="0" borderId="8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214" fillId="20" borderId="1" xfId="0" applyFont="1" applyFill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1830"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D700"/>
        </patternFill>
      </fill>
    </dxf>
    <dxf>
      <fill>
        <patternFill>
          <bgColor rgb="FF8037B8"/>
        </patternFill>
      </fill>
    </dxf>
    <dxf>
      <fill>
        <patternFill>
          <bgColor rgb="FF00B0F0"/>
        </patternFill>
      </fill>
    </dxf>
    <dxf>
      <fill>
        <patternFill>
          <bgColor rgb="FF32D000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C0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D700"/>
        </patternFill>
      </fill>
    </dxf>
    <dxf>
      <fill>
        <patternFill>
          <bgColor rgb="FF8037B8"/>
        </patternFill>
      </fill>
    </dxf>
    <dxf>
      <fill>
        <patternFill>
          <bgColor rgb="FF00B0F0"/>
        </patternFill>
      </fill>
    </dxf>
    <dxf>
      <fill>
        <patternFill>
          <bgColor rgb="FF32D000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C0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</dxfs>
  <tableStyles count="0" defaultTableStyle="TableStyleMedium2" defaultPivotStyle="PivotStyleLight16"/>
  <colors>
    <mruColors>
      <color rgb="FFC00000"/>
      <color rgb="FFFFFFE7"/>
      <color rgb="FFFD5E1F"/>
      <color rgb="FFFD698C"/>
      <color rgb="FFFF6699"/>
      <color rgb="FF00002E"/>
      <color rgb="FFD9A601"/>
      <color rgb="FFE8D4C2"/>
      <color rgb="FF534E7E"/>
      <color rgb="FF3020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Distribución de Medias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Distribución de Medias</a:t>
          </a:r>
        </a:p>
      </cx:txPr>
    </cx:title>
    <cx:plotArea>
      <cx:plotAreaRegion>
        <cx:series layoutId="clusteredColumn" uniqueId="{856A6F65-1717-4D16-A265-8D7191D63DFD}">
          <cx:dataId val="0"/>
          <cx:layoutPr>
            <cx:binning intervalClosed="r" underflow="auto" overflow="auto">
              <cx:binCount val="35"/>
            </cx:binning>
          </cx:layoutPr>
        </cx:series>
      </cx:plotAreaRegion>
      <cx:axis id="0">
        <cx:catScaling gapWidth="0"/>
        <cx:tickLabels/>
        <cx:numFmt formatCode="#.##0,0" sourceLinked="0"/>
        <cx:spPr>
          <a:ln>
            <a:gradFill>
              <a:gsLst>
                <a:gs pos="35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>
              <a:schemeClr val="accent1">
                <a:alpha val="40000"/>
              </a:schemeClr>
            </a:glow>
          </a:effectLst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Distribución de Medias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Distribución de Medias</a:t>
          </a:r>
        </a:p>
      </cx:txPr>
    </cx:title>
    <cx:plotArea>
      <cx:plotAreaRegion>
        <cx:series layoutId="clusteredColumn" uniqueId="{856A6F65-1717-4D16-A265-8D7191D63DFD}">
          <cx:dataId val="0"/>
          <cx:layoutPr>
            <cx:binning intervalClosed="r" underflow="auto" overflow="auto">
              <cx:binCount val="35"/>
            </cx:binning>
          </cx:layoutPr>
        </cx:series>
      </cx:plotAreaRegion>
      <cx:axis id="0">
        <cx:catScaling gapWidth="0"/>
        <cx:tickLabels/>
        <cx:numFmt formatCode="#.##0,0" sourceLinked="0"/>
        <cx:spPr>
          <a:ln>
            <a:gradFill>
              <a:gsLst>
                <a:gs pos="35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>
              <a:schemeClr val="accent1">
                <a:alpha val="40000"/>
              </a:schemeClr>
            </a:glow>
          </a:effectLst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42</xdr:row>
      <xdr:rowOff>82550</xdr:rowOff>
    </xdr:from>
    <xdr:to>
      <xdr:col>39</xdr:col>
      <xdr:colOff>101600</xdr:colOff>
      <xdr:row>53</xdr:row>
      <xdr:rowOff>69850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21426D8-7AE6-1FBF-8A05-96ED37CBE8E1}"/>
            </a:ext>
          </a:extLst>
        </xdr:cNvPr>
        <xdr:cNvSpPr txBox="1"/>
      </xdr:nvSpPr>
      <xdr:spPr>
        <a:xfrm>
          <a:off x="43386375" y="8483600"/>
          <a:ext cx="2806700" cy="2187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/>
            <a:t>= B</a:t>
          </a:r>
        </a:p>
        <a:p>
          <a:r>
            <a:rPr lang="es-ES_tradnl" sz="1100"/>
            <a:t>- (D * 0.125)</a:t>
          </a:r>
        </a:p>
        <a:p>
          <a:r>
            <a:rPr lang="es-ES_tradnl" sz="1100"/>
            <a:t>+ ((C - B) * 0.2)</a:t>
          </a:r>
        </a:p>
        <a:p>
          <a:r>
            <a:rPr lang="es-ES_tradnl" sz="1100"/>
            <a:t>+ (G * 0.15)</a:t>
          </a:r>
        </a:p>
        <a:p>
          <a:r>
            <a:rPr lang="es-ES_tradnl" sz="1100"/>
            <a:t>+ ((E / F) * 0.2)</a:t>
          </a:r>
        </a:p>
        <a:p>
          <a:endParaRPr lang="es-ES_tradnl" sz="1100"/>
        </a:p>
        <a:p>
          <a:r>
            <a:rPr lang="es-ES_tradnl" sz="1100"/>
            <a:t>B = Media</a:t>
          </a:r>
        </a:p>
        <a:p>
          <a:r>
            <a:rPr lang="es-ES_tradnl" sz="1100"/>
            <a:t>C = Mediana</a:t>
          </a:r>
        </a:p>
        <a:p>
          <a:r>
            <a:rPr lang="es-ES_tradnl" sz="1100"/>
            <a:t>D = Desv. Típica</a:t>
          </a:r>
        </a:p>
        <a:p>
          <a:r>
            <a:rPr lang="es-ES_tradnl" sz="1100"/>
            <a:t>E = Notas ≥10</a:t>
          </a:r>
        </a:p>
        <a:p>
          <a:r>
            <a:rPr lang="es-ES_tradnl" sz="1100"/>
            <a:t>F = Total Canciones</a:t>
          </a:r>
        </a:p>
        <a:p>
          <a:r>
            <a:rPr lang="es-ES_tradnl" sz="1100"/>
            <a:t>G = Número de 10,5s</a:t>
          </a:r>
        </a:p>
      </xdr:txBody>
    </xdr:sp>
    <xdr:clientData/>
  </xdr:twoCellAnchor>
  <xdr:twoCellAnchor>
    <xdr:from>
      <xdr:col>39</xdr:col>
      <xdr:colOff>405765</xdr:colOff>
      <xdr:row>42</xdr:row>
      <xdr:rowOff>93583</xdr:rowOff>
    </xdr:from>
    <xdr:to>
      <xdr:col>45</xdr:col>
      <xdr:colOff>582386</xdr:colOff>
      <xdr:row>59</xdr:row>
      <xdr:rowOff>146685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6FC0C47-7BCC-1612-2947-48C558F92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301525" y="8414623"/>
              <a:ext cx="5381081" cy="3421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42</xdr:row>
      <xdr:rowOff>82550</xdr:rowOff>
    </xdr:from>
    <xdr:to>
      <xdr:col>39</xdr:col>
      <xdr:colOff>101600</xdr:colOff>
      <xdr:row>53</xdr:row>
      <xdr:rowOff>69850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21D6600-DF50-4061-A7C4-D5662FC07666}"/>
            </a:ext>
          </a:extLst>
        </xdr:cNvPr>
        <xdr:cNvSpPr txBox="1"/>
      </xdr:nvSpPr>
      <xdr:spPr>
        <a:xfrm>
          <a:off x="47053500" y="8403590"/>
          <a:ext cx="2799080" cy="2166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/>
            <a:t>= B</a:t>
          </a:r>
        </a:p>
        <a:p>
          <a:r>
            <a:rPr lang="es-ES_tradnl" sz="1100"/>
            <a:t>- (D * 0.125)</a:t>
          </a:r>
        </a:p>
        <a:p>
          <a:r>
            <a:rPr lang="es-ES_tradnl" sz="1100"/>
            <a:t>+ ((C - B) * 0.2)</a:t>
          </a:r>
        </a:p>
        <a:p>
          <a:r>
            <a:rPr lang="es-ES_tradnl" sz="1100"/>
            <a:t>+ (G * 0.15)</a:t>
          </a:r>
        </a:p>
        <a:p>
          <a:r>
            <a:rPr lang="es-ES_tradnl" sz="1100"/>
            <a:t>+ ((E / F) * 0.2)</a:t>
          </a:r>
        </a:p>
        <a:p>
          <a:endParaRPr lang="es-ES_tradnl" sz="1100"/>
        </a:p>
        <a:p>
          <a:r>
            <a:rPr lang="es-ES_tradnl" sz="1100"/>
            <a:t>B = Media</a:t>
          </a:r>
        </a:p>
        <a:p>
          <a:r>
            <a:rPr lang="es-ES_tradnl" sz="1100"/>
            <a:t>C = Mediana</a:t>
          </a:r>
        </a:p>
        <a:p>
          <a:r>
            <a:rPr lang="es-ES_tradnl" sz="1100"/>
            <a:t>D = Desv. Típica</a:t>
          </a:r>
        </a:p>
        <a:p>
          <a:r>
            <a:rPr lang="es-ES_tradnl" sz="1100"/>
            <a:t>E = Notas ≥10</a:t>
          </a:r>
        </a:p>
        <a:p>
          <a:r>
            <a:rPr lang="es-ES_tradnl" sz="1100"/>
            <a:t>F = Total Canciones</a:t>
          </a:r>
        </a:p>
        <a:p>
          <a:r>
            <a:rPr lang="es-ES_tradnl" sz="1100"/>
            <a:t>G = Número de 10,5s</a:t>
          </a:r>
        </a:p>
      </xdr:txBody>
    </xdr:sp>
    <xdr:clientData/>
  </xdr:twoCellAnchor>
  <xdr:twoCellAnchor>
    <xdr:from>
      <xdr:col>39</xdr:col>
      <xdr:colOff>405765</xdr:colOff>
      <xdr:row>42</xdr:row>
      <xdr:rowOff>93583</xdr:rowOff>
    </xdr:from>
    <xdr:to>
      <xdr:col>45</xdr:col>
      <xdr:colOff>582386</xdr:colOff>
      <xdr:row>59</xdr:row>
      <xdr:rowOff>146685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8A48498-F69F-46AB-91EC-5620AF9142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56745" y="8414623"/>
              <a:ext cx="5381081" cy="3421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1144-513A-CB48-A218-A302FC3F4F77}">
  <sheetPr>
    <pageSetUpPr fitToPage="1"/>
  </sheetPr>
  <dimension ref="A1:AO1000"/>
  <sheetViews>
    <sheetView tabSelected="1" topLeftCell="P1" zoomScale="60" zoomScaleNormal="60" workbookViewId="0">
      <pane ySplit="1" topLeftCell="A2" activePane="bottomLeft" state="frozen"/>
      <selection pane="bottomLeft" activeCell="AE13" sqref="AE13"/>
    </sheetView>
  </sheetViews>
  <sheetFormatPr defaultColWidth="11.19921875" defaultRowHeight="15.6"/>
  <cols>
    <col min="1" max="1" width="35.19921875" customWidth="1"/>
    <col min="2" max="2" width="11.296875" customWidth="1"/>
    <col min="3" max="3" width="3.796875" customWidth="1"/>
    <col min="4" max="4" width="35.19921875" customWidth="1"/>
    <col min="6" max="6" width="3.796875" customWidth="1"/>
    <col min="7" max="7" width="35" customWidth="1"/>
    <col min="9" max="9" width="3.796875" customWidth="1"/>
    <col min="10" max="10" width="34.796875" customWidth="1"/>
    <col min="12" max="12" width="3.796875" customWidth="1"/>
    <col min="13" max="13" width="35.19921875" customWidth="1"/>
    <col min="14" max="14" width="12" customWidth="1"/>
    <col min="15" max="15" width="3.796875" customWidth="1"/>
    <col min="16" max="17" width="3.69921875" customWidth="1"/>
    <col min="18" max="18" width="3.8984375" bestFit="1" customWidth="1"/>
    <col min="19" max="19" width="25.69921875" bestFit="1" customWidth="1"/>
    <col min="20" max="20" width="41.8984375" bestFit="1" customWidth="1"/>
    <col min="21" max="21" width="6" bestFit="1" customWidth="1"/>
    <col min="22" max="22" width="14.8984375" style="16" bestFit="1" customWidth="1"/>
    <col min="23" max="23" width="8.09765625" style="16" bestFit="1" customWidth="1"/>
    <col min="24" max="24" width="10.8984375" style="16" bestFit="1" customWidth="1"/>
    <col min="25" max="25" width="9.09765625" style="16" bestFit="1" customWidth="1"/>
    <col min="26" max="26" width="14.296875" style="16" bestFit="1" customWidth="1"/>
    <col min="27" max="27" width="9.8984375" bestFit="1" customWidth="1"/>
    <col min="28" max="28" width="45.3984375" bestFit="1" customWidth="1"/>
    <col min="29" max="29" width="10.296875" bestFit="1" customWidth="1"/>
    <col min="30" max="30" width="8.59765625" bestFit="1" customWidth="1"/>
    <col min="31" max="31" width="27.3984375" bestFit="1" customWidth="1"/>
    <col min="32" max="32" width="28.3984375" bestFit="1" customWidth="1"/>
    <col min="33" max="33" width="29.09765625" bestFit="1" customWidth="1"/>
    <col min="34" max="34" width="37.796875" bestFit="1" customWidth="1"/>
    <col min="35" max="35" width="13.69921875" customWidth="1"/>
    <col min="36" max="36" width="13.3984375" customWidth="1"/>
    <col min="37" max="37" width="11" bestFit="1" customWidth="1"/>
    <col min="38" max="38" width="9.69921875" bestFit="1" customWidth="1"/>
    <col min="39" max="39" width="14.69921875" bestFit="1" customWidth="1"/>
    <col min="40" max="40" width="10.5" bestFit="1" customWidth="1"/>
    <col min="45" max="45" width="13" bestFit="1" customWidth="1"/>
  </cols>
  <sheetData>
    <row r="1" spans="1:41" ht="16.05" customHeight="1" thickBo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R1" s="301" t="s">
        <v>1355</v>
      </c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G1" s="301" t="s">
        <v>1045</v>
      </c>
      <c r="AH1" s="301"/>
    </row>
    <row r="2" spans="1:41" ht="16.05" customHeight="1" thickBot="1">
      <c r="A2" s="112" t="s">
        <v>905</v>
      </c>
      <c r="B2" s="3">
        <f>ROUND(SUM(B3:B14)/COUNT(B3:B14), 2)</f>
        <v>9.89</v>
      </c>
      <c r="C2" s="4"/>
      <c r="D2" s="113" t="s">
        <v>906</v>
      </c>
      <c r="E2" s="14">
        <f>ROUND(SUM(E3:E12)/COUNT(E3:E12), 2)</f>
        <v>9.6999999999999993</v>
      </c>
      <c r="F2" s="4"/>
      <c r="G2" s="143" t="s">
        <v>1197</v>
      </c>
      <c r="H2" s="3">
        <f>ROUND(SUM(H3:H15)/COUNT(H3:H15), 2)</f>
        <v>8.73</v>
      </c>
      <c r="I2" s="4"/>
      <c r="J2" s="63" t="s">
        <v>454</v>
      </c>
      <c r="K2" s="3">
        <f>ROUND(SUM(K3:K12)/COUNT(K3:K12), 2)</f>
        <v>9.15</v>
      </c>
      <c r="L2" s="4"/>
      <c r="M2" s="27" t="s">
        <v>325</v>
      </c>
      <c r="N2" s="3">
        <f>ROUND(SUM(N3:N12)/COUNT(N3:N12), 2)</f>
        <v>9.61</v>
      </c>
      <c r="O2" s="22"/>
      <c r="R2" s="51" t="s">
        <v>361</v>
      </c>
      <c r="S2" s="51" t="s">
        <v>328</v>
      </c>
      <c r="T2" s="51" t="s">
        <v>329</v>
      </c>
      <c r="U2" s="51" t="s">
        <v>330</v>
      </c>
      <c r="V2" s="51" t="s">
        <v>2074</v>
      </c>
      <c r="W2" s="51" t="s">
        <v>524</v>
      </c>
      <c r="X2" s="51" t="s">
        <v>331</v>
      </c>
      <c r="Y2" s="51" t="s">
        <v>332</v>
      </c>
      <c r="Z2" s="51" t="s">
        <v>333</v>
      </c>
      <c r="AA2" s="51" t="s">
        <v>334</v>
      </c>
      <c r="AB2" s="51" t="s">
        <v>784</v>
      </c>
      <c r="AC2" s="51" t="s">
        <v>1994</v>
      </c>
      <c r="AD2" s="51" t="s">
        <v>1995</v>
      </c>
      <c r="AG2" s="135" t="s">
        <v>1046</v>
      </c>
      <c r="AH2" s="135"/>
    </row>
    <row r="3" spans="1:41" ht="16.05" customHeight="1">
      <c r="A3" s="6" t="s">
        <v>0</v>
      </c>
      <c r="B3" s="261">
        <v>10</v>
      </c>
      <c r="C3" s="4"/>
      <c r="D3" s="6" t="s">
        <v>12</v>
      </c>
      <c r="E3" s="261">
        <v>10</v>
      </c>
      <c r="F3" s="4"/>
      <c r="G3" s="6" t="s">
        <v>22</v>
      </c>
      <c r="H3" s="261">
        <v>8.5</v>
      </c>
      <c r="I3" s="4"/>
      <c r="J3" s="6" t="s">
        <v>35</v>
      </c>
      <c r="K3" s="261">
        <v>9.5</v>
      </c>
      <c r="L3" s="4"/>
      <c r="M3" s="6" t="s">
        <v>45</v>
      </c>
      <c r="N3" s="261"/>
      <c r="O3" s="22"/>
      <c r="R3" s="60">
        <v>1</v>
      </c>
      <c r="S3" s="52" t="s">
        <v>1010</v>
      </c>
      <c r="T3" s="52" t="s">
        <v>1008</v>
      </c>
      <c r="U3" s="69">
        <v>10.5</v>
      </c>
      <c r="V3" s="126">
        <v>10.85</v>
      </c>
      <c r="W3" s="52">
        <v>10.5</v>
      </c>
      <c r="X3" s="52">
        <v>0</v>
      </c>
      <c r="Y3" s="52">
        <v>1</v>
      </c>
      <c r="Z3" s="52">
        <v>1</v>
      </c>
      <c r="AA3" s="52">
        <v>0</v>
      </c>
      <c r="AB3" s="52" t="s">
        <v>1011</v>
      </c>
      <c r="AC3" s="69">
        <v>1996</v>
      </c>
      <c r="AD3" s="69" t="s">
        <v>1946</v>
      </c>
      <c r="AE3" s="306"/>
      <c r="AG3" s="68" t="s">
        <v>1047</v>
      </c>
      <c r="AH3" s="136">
        <v>132</v>
      </c>
      <c r="AK3" s="45"/>
      <c r="AL3" s="42"/>
      <c r="AM3" s="2" t="s">
        <v>247</v>
      </c>
      <c r="AN3" t="s">
        <v>276</v>
      </c>
    </row>
    <row r="4" spans="1:41" ht="16.05" customHeight="1">
      <c r="A4" s="6" t="s">
        <v>1</v>
      </c>
      <c r="B4" s="262"/>
      <c r="C4" s="4"/>
      <c r="D4" s="6" t="s">
        <v>13</v>
      </c>
      <c r="E4" s="262">
        <v>9</v>
      </c>
      <c r="F4" s="4"/>
      <c r="G4" s="6" t="s">
        <v>23</v>
      </c>
      <c r="H4" s="262">
        <v>9</v>
      </c>
      <c r="I4" s="4"/>
      <c r="J4" s="6" t="s">
        <v>36</v>
      </c>
      <c r="K4" s="262">
        <v>10</v>
      </c>
      <c r="L4" s="4"/>
      <c r="M4" s="6" t="s">
        <v>46</v>
      </c>
      <c r="N4" s="262">
        <v>9</v>
      </c>
      <c r="O4" s="22"/>
      <c r="R4" s="61">
        <v>2</v>
      </c>
      <c r="S4" s="68" t="s">
        <v>335</v>
      </c>
      <c r="T4" s="68" t="s">
        <v>7</v>
      </c>
      <c r="U4" s="70">
        <v>9.89</v>
      </c>
      <c r="V4" s="126">
        <v>10.52</v>
      </c>
      <c r="W4" s="68">
        <v>10</v>
      </c>
      <c r="X4" s="68">
        <v>0.61</v>
      </c>
      <c r="Y4" s="68">
        <v>5</v>
      </c>
      <c r="Z4" s="68">
        <v>12</v>
      </c>
      <c r="AA4" s="68">
        <v>3</v>
      </c>
      <c r="AB4" s="68" t="s">
        <v>765</v>
      </c>
      <c r="AC4" s="70">
        <v>2001</v>
      </c>
      <c r="AD4" s="70" t="s">
        <v>1947</v>
      </c>
      <c r="AG4" s="52" t="s">
        <v>1048</v>
      </c>
      <c r="AH4" s="137">
        <v>84</v>
      </c>
      <c r="AK4" s="43"/>
      <c r="AL4" s="42">
        <v>10</v>
      </c>
      <c r="AM4" s="2" t="s">
        <v>1816</v>
      </c>
      <c r="AN4" t="s">
        <v>249</v>
      </c>
    </row>
    <row r="5" spans="1:41" ht="16.05" customHeight="1">
      <c r="A5" s="6" t="s">
        <v>2</v>
      </c>
      <c r="B5" s="262">
        <v>9.5</v>
      </c>
      <c r="C5" s="4"/>
      <c r="D5" s="6" t="s">
        <v>14</v>
      </c>
      <c r="E5" s="262">
        <v>10.5</v>
      </c>
      <c r="F5" s="4"/>
      <c r="G5" s="6" t="s">
        <v>24</v>
      </c>
      <c r="H5" s="262">
        <v>8</v>
      </c>
      <c r="I5" s="4"/>
      <c r="J5" s="6" t="s">
        <v>37</v>
      </c>
      <c r="K5" s="262">
        <v>8.5</v>
      </c>
      <c r="L5" s="4"/>
      <c r="M5" s="6" t="s">
        <v>47</v>
      </c>
      <c r="N5" s="262">
        <v>7.5</v>
      </c>
      <c r="O5" s="22"/>
      <c r="R5" s="62">
        <v>3</v>
      </c>
      <c r="S5" s="52" t="s">
        <v>341</v>
      </c>
      <c r="T5" s="52" t="s">
        <v>1041</v>
      </c>
      <c r="U5" s="69">
        <v>10</v>
      </c>
      <c r="V5" s="126">
        <v>10.39</v>
      </c>
      <c r="W5" s="52">
        <v>10</v>
      </c>
      <c r="X5" s="52">
        <v>0.55000000000000004</v>
      </c>
      <c r="Y5" s="52">
        <v>4</v>
      </c>
      <c r="Z5" s="52">
        <v>5</v>
      </c>
      <c r="AA5" s="52">
        <v>0</v>
      </c>
      <c r="AB5" s="52" t="s">
        <v>767</v>
      </c>
      <c r="AC5" s="69">
        <v>1975</v>
      </c>
      <c r="AD5" s="69" t="s">
        <v>1948</v>
      </c>
      <c r="AG5" s="68" t="s">
        <v>1049</v>
      </c>
      <c r="AH5" s="136">
        <v>1436</v>
      </c>
      <c r="AK5" s="47"/>
      <c r="AL5" s="42" t="s">
        <v>243</v>
      </c>
      <c r="AM5" s="2" t="s">
        <v>1817</v>
      </c>
      <c r="AN5" t="s">
        <v>250</v>
      </c>
    </row>
    <row r="6" spans="1:41" ht="16.05" customHeight="1">
      <c r="A6" s="6" t="s">
        <v>3</v>
      </c>
      <c r="B6" s="262"/>
      <c r="C6" s="4"/>
      <c r="D6" s="6" t="s">
        <v>16</v>
      </c>
      <c r="E6" s="262">
        <v>10.5</v>
      </c>
      <c r="F6" s="4"/>
      <c r="G6" s="6" t="s">
        <v>25</v>
      </c>
      <c r="H6" s="262">
        <v>9.5</v>
      </c>
      <c r="I6" s="4"/>
      <c r="J6" s="6" t="s">
        <v>38</v>
      </c>
      <c r="K6" s="262">
        <v>8</v>
      </c>
      <c r="L6" s="4"/>
      <c r="M6" s="6" t="s">
        <v>48</v>
      </c>
      <c r="N6" s="262">
        <v>10.5</v>
      </c>
      <c r="O6" s="22"/>
      <c r="R6" s="59">
        <v>4</v>
      </c>
      <c r="S6" s="68" t="s">
        <v>336</v>
      </c>
      <c r="T6" s="68" t="s">
        <v>337</v>
      </c>
      <c r="U6" s="70">
        <v>9.6999999999999993</v>
      </c>
      <c r="V6" s="126">
        <v>10.37</v>
      </c>
      <c r="W6" s="68">
        <v>10</v>
      </c>
      <c r="X6" s="68">
        <v>0.87</v>
      </c>
      <c r="Y6" s="68">
        <v>6</v>
      </c>
      <c r="Z6" s="68">
        <v>10</v>
      </c>
      <c r="AA6" s="68">
        <v>0</v>
      </c>
      <c r="AB6" s="68" t="s">
        <v>766</v>
      </c>
      <c r="AC6" s="70">
        <v>2007</v>
      </c>
      <c r="AD6" s="70" t="s">
        <v>1949</v>
      </c>
      <c r="AG6" s="52" t="s">
        <v>1050</v>
      </c>
      <c r="AH6" s="137">
        <v>1373</v>
      </c>
      <c r="AK6" s="46"/>
      <c r="AL6" s="42" t="s">
        <v>244</v>
      </c>
      <c r="AM6" s="2" t="s">
        <v>1818</v>
      </c>
      <c r="AN6" t="s">
        <v>251</v>
      </c>
    </row>
    <row r="7" spans="1:41" ht="16.05" customHeight="1">
      <c r="A7" s="6" t="s">
        <v>4</v>
      </c>
      <c r="B7" s="262">
        <v>10.5</v>
      </c>
      <c r="C7" s="4"/>
      <c r="D7" s="6" t="s">
        <v>15</v>
      </c>
      <c r="E7" s="262">
        <v>10</v>
      </c>
      <c r="F7" s="4"/>
      <c r="G7" s="6" t="s">
        <v>26</v>
      </c>
      <c r="H7" s="262">
        <v>10.5</v>
      </c>
      <c r="I7" s="4"/>
      <c r="J7" s="6" t="s">
        <v>39</v>
      </c>
      <c r="K7" s="262">
        <v>10.5</v>
      </c>
      <c r="L7" s="4"/>
      <c r="M7" s="6" t="s">
        <v>49</v>
      </c>
      <c r="N7" s="262">
        <v>10.5</v>
      </c>
      <c r="O7" s="22"/>
      <c r="R7" s="59">
        <v>5</v>
      </c>
      <c r="S7" s="52" t="s">
        <v>686</v>
      </c>
      <c r="T7" s="52" t="s">
        <v>687</v>
      </c>
      <c r="U7" s="69">
        <v>9.8800000000000008</v>
      </c>
      <c r="V7" s="126">
        <v>10.220000000000001</v>
      </c>
      <c r="W7" s="52">
        <v>10</v>
      </c>
      <c r="X7" s="52">
        <v>0.65</v>
      </c>
      <c r="Y7" s="52">
        <v>2</v>
      </c>
      <c r="Z7" s="52">
        <v>4</v>
      </c>
      <c r="AA7" s="52">
        <v>0</v>
      </c>
      <c r="AB7" s="52" t="s">
        <v>1822</v>
      </c>
      <c r="AC7" s="69">
        <v>2026</v>
      </c>
      <c r="AD7" s="69" t="s">
        <v>1946</v>
      </c>
      <c r="AG7" s="68" t="s">
        <v>334</v>
      </c>
      <c r="AH7" s="136">
        <v>63</v>
      </c>
      <c r="AK7" s="44"/>
      <c r="AL7" s="42" t="s">
        <v>245</v>
      </c>
      <c r="AM7" s="2" t="s">
        <v>1819</v>
      </c>
      <c r="AN7" t="s">
        <v>252</v>
      </c>
    </row>
    <row r="8" spans="1:41" ht="16.05" customHeight="1">
      <c r="A8" s="6" t="s">
        <v>5</v>
      </c>
      <c r="B8" s="262">
        <v>10.5</v>
      </c>
      <c r="C8" s="4"/>
      <c r="D8" s="6" t="s">
        <v>17</v>
      </c>
      <c r="E8" s="262">
        <v>8.5</v>
      </c>
      <c r="F8" s="4"/>
      <c r="G8" s="6" t="s">
        <v>27</v>
      </c>
      <c r="H8" s="262">
        <v>10</v>
      </c>
      <c r="I8" s="4"/>
      <c r="J8" s="6" t="s">
        <v>40</v>
      </c>
      <c r="K8" s="262">
        <v>8.5</v>
      </c>
      <c r="L8" s="4"/>
      <c r="M8" s="6" t="s">
        <v>50</v>
      </c>
      <c r="N8" s="262">
        <v>10</v>
      </c>
      <c r="O8" s="22"/>
      <c r="R8" s="59">
        <v>6</v>
      </c>
      <c r="S8" s="68" t="s">
        <v>341</v>
      </c>
      <c r="T8" s="68" t="s">
        <v>342</v>
      </c>
      <c r="U8" s="70">
        <v>9.61</v>
      </c>
      <c r="V8" s="126">
        <v>10</v>
      </c>
      <c r="W8" s="68">
        <v>10</v>
      </c>
      <c r="X8" s="68">
        <v>0.91</v>
      </c>
      <c r="Y8" s="68">
        <v>6</v>
      </c>
      <c r="Z8" s="68">
        <v>10</v>
      </c>
      <c r="AA8" s="68">
        <v>1</v>
      </c>
      <c r="AB8" s="68" t="s">
        <v>768</v>
      </c>
      <c r="AC8" s="70">
        <v>1973</v>
      </c>
      <c r="AD8" s="70" t="s">
        <v>1949</v>
      </c>
      <c r="AG8" s="52" t="s">
        <v>1051</v>
      </c>
      <c r="AH8" s="137">
        <v>10.88</v>
      </c>
      <c r="AK8" s="50"/>
      <c r="AL8" s="42" t="s">
        <v>323</v>
      </c>
      <c r="AM8" s="2" t="s">
        <v>1820</v>
      </c>
      <c r="AN8" t="s">
        <v>324</v>
      </c>
    </row>
    <row r="9" spans="1:41" ht="16.05" customHeight="1">
      <c r="A9" s="6" t="s">
        <v>6</v>
      </c>
      <c r="B9" s="262">
        <v>9</v>
      </c>
      <c r="C9" s="4"/>
      <c r="D9" s="6" t="s">
        <v>18</v>
      </c>
      <c r="E9" s="262">
        <v>10.5</v>
      </c>
      <c r="F9" s="4"/>
      <c r="G9" s="6" t="s">
        <v>28</v>
      </c>
      <c r="H9" s="262">
        <v>9</v>
      </c>
      <c r="I9" s="4"/>
      <c r="J9" s="6" t="s">
        <v>41</v>
      </c>
      <c r="K9" s="262">
        <v>9</v>
      </c>
      <c r="L9" s="4"/>
      <c r="M9" s="6" t="s">
        <v>51</v>
      </c>
      <c r="N9" s="262">
        <v>10</v>
      </c>
      <c r="O9" s="22"/>
      <c r="R9" s="59">
        <v>7</v>
      </c>
      <c r="S9" s="52" t="s">
        <v>335</v>
      </c>
      <c r="T9" s="52" t="s">
        <v>569</v>
      </c>
      <c r="U9" s="69">
        <v>9.61</v>
      </c>
      <c r="V9" s="203">
        <v>9.99</v>
      </c>
      <c r="W9" s="52">
        <v>10</v>
      </c>
      <c r="X9" s="52">
        <v>0.74</v>
      </c>
      <c r="Y9" s="52">
        <v>5</v>
      </c>
      <c r="Z9" s="52">
        <v>11</v>
      </c>
      <c r="AA9" s="52">
        <v>2</v>
      </c>
      <c r="AB9" s="52" t="s">
        <v>765</v>
      </c>
      <c r="AC9" s="69">
        <v>2006</v>
      </c>
      <c r="AD9" s="69" t="s">
        <v>1950</v>
      </c>
      <c r="AG9" s="68" t="s">
        <v>1052</v>
      </c>
      <c r="AH9" s="166">
        <v>4.3900000000000002E-2</v>
      </c>
      <c r="AK9" s="48"/>
      <c r="AM9" s="2" t="s">
        <v>253</v>
      </c>
      <c r="AN9" t="s">
        <v>254</v>
      </c>
    </row>
    <row r="10" spans="1:41" ht="16.05" customHeight="1">
      <c r="A10" s="6" t="s">
        <v>7</v>
      </c>
      <c r="B10" s="262">
        <v>10.5</v>
      </c>
      <c r="C10" s="4"/>
      <c r="D10" s="6" t="s">
        <v>19</v>
      </c>
      <c r="E10" s="262">
        <v>9.5</v>
      </c>
      <c r="F10" s="4"/>
      <c r="G10" s="6" t="s">
        <v>29</v>
      </c>
      <c r="H10" s="262">
        <v>7.5</v>
      </c>
      <c r="I10" s="4"/>
      <c r="J10" s="6" t="s">
        <v>42</v>
      </c>
      <c r="K10" s="262">
        <v>9</v>
      </c>
      <c r="L10" s="4"/>
      <c r="M10" s="6" t="s">
        <v>52</v>
      </c>
      <c r="N10" s="262">
        <v>9</v>
      </c>
      <c r="O10" s="22"/>
      <c r="R10" s="59">
        <v>8</v>
      </c>
      <c r="S10" s="68" t="s">
        <v>335</v>
      </c>
      <c r="T10" s="68" t="s">
        <v>158</v>
      </c>
      <c r="U10" s="70">
        <v>9.61</v>
      </c>
      <c r="V10" s="204">
        <v>9.9600000000000009</v>
      </c>
      <c r="W10" s="68">
        <v>10</v>
      </c>
      <c r="X10" s="68">
        <v>0.74</v>
      </c>
      <c r="Y10" s="68">
        <v>5</v>
      </c>
      <c r="Z10" s="68">
        <v>15</v>
      </c>
      <c r="AA10" s="68">
        <v>6</v>
      </c>
      <c r="AB10" s="68" t="s">
        <v>765</v>
      </c>
      <c r="AC10" s="70">
        <v>1996</v>
      </c>
      <c r="AD10" s="70" t="s">
        <v>1951</v>
      </c>
    </row>
    <row r="11" spans="1:41" ht="16.05" customHeight="1">
      <c r="A11" s="6" t="s">
        <v>8</v>
      </c>
      <c r="B11" s="262">
        <v>9</v>
      </c>
      <c r="C11" s="4"/>
      <c r="D11" s="6" t="s">
        <v>20</v>
      </c>
      <c r="E11" s="262">
        <v>10.5</v>
      </c>
      <c r="F11" s="4"/>
      <c r="G11" s="6" t="s">
        <v>30</v>
      </c>
      <c r="H11" s="262">
        <v>7.5</v>
      </c>
      <c r="I11" s="4"/>
      <c r="J11" s="6" t="s">
        <v>43</v>
      </c>
      <c r="K11" s="262">
        <v>8.5</v>
      </c>
      <c r="L11" s="4"/>
      <c r="M11" s="6" t="s">
        <v>53</v>
      </c>
      <c r="N11" s="262">
        <v>10</v>
      </c>
      <c r="O11" s="22"/>
      <c r="R11" s="59">
        <v>9</v>
      </c>
      <c r="S11" s="52" t="s">
        <v>336</v>
      </c>
      <c r="T11" s="52" t="s">
        <v>338</v>
      </c>
      <c r="U11" s="69">
        <v>9.5500000000000007</v>
      </c>
      <c r="V11" s="205">
        <v>9.81</v>
      </c>
      <c r="W11" s="52">
        <v>9.5</v>
      </c>
      <c r="X11" s="52">
        <v>0.57999999999999996</v>
      </c>
      <c r="Y11" s="52">
        <v>3</v>
      </c>
      <c r="Z11" s="52">
        <v>12</v>
      </c>
      <c r="AA11" s="52">
        <v>1</v>
      </c>
      <c r="AB11" s="52" t="s">
        <v>766</v>
      </c>
      <c r="AC11" s="69">
        <v>1997</v>
      </c>
      <c r="AD11" s="69" t="s">
        <v>1952</v>
      </c>
      <c r="AG11" s="135" t="s">
        <v>1053</v>
      </c>
      <c r="AH11" s="135"/>
      <c r="AI11" s="78"/>
      <c r="AK11" s="17" t="s">
        <v>163</v>
      </c>
      <c r="AL11" s="17"/>
      <c r="AO11" s="18">
        <f>ROUND(CORREL(V3:V123,Z3:Z123),3)</f>
        <v>-0.218</v>
      </c>
    </row>
    <row r="12" spans="1:41" ht="16.05" customHeight="1" thickBot="1">
      <c r="A12" s="6" t="s">
        <v>9</v>
      </c>
      <c r="B12" s="262">
        <v>10.5</v>
      </c>
      <c r="C12" s="4"/>
      <c r="D12" s="9" t="s">
        <v>21</v>
      </c>
      <c r="E12" s="263">
        <v>8</v>
      </c>
      <c r="F12" s="4"/>
      <c r="G12" s="6" t="s">
        <v>31</v>
      </c>
      <c r="H12" s="262">
        <v>8</v>
      </c>
      <c r="I12" s="4"/>
      <c r="J12" s="9" t="s">
        <v>44</v>
      </c>
      <c r="K12" s="263">
        <v>10</v>
      </c>
      <c r="L12" s="4"/>
      <c r="M12" s="9" t="s">
        <v>54</v>
      </c>
      <c r="N12" s="263">
        <v>10</v>
      </c>
      <c r="O12" s="22"/>
      <c r="R12" s="59">
        <v>10</v>
      </c>
      <c r="S12" s="68" t="s">
        <v>335</v>
      </c>
      <c r="T12" s="68" t="s">
        <v>1263</v>
      </c>
      <c r="U12" s="70">
        <v>9.36</v>
      </c>
      <c r="V12" s="206">
        <v>9.73</v>
      </c>
      <c r="W12" s="68">
        <v>10</v>
      </c>
      <c r="X12" s="68">
        <v>1.1200000000000001</v>
      </c>
      <c r="Y12" s="68">
        <v>4</v>
      </c>
      <c r="Z12" s="68">
        <v>10</v>
      </c>
      <c r="AA12" s="68">
        <v>3</v>
      </c>
      <c r="AB12" s="68" t="s">
        <v>1276</v>
      </c>
      <c r="AC12" s="70">
        <v>2019</v>
      </c>
      <c r="AD12" s="70" t="s">
        <v>1953</v>
      </c>
      <c r="AG12" s="52" t="s">
        <v>1054</v>
      </c>
      <c r="AH12" s="137">
        <v>8.6</v>
      </c>
      <c r="AK12" s="17" t="s">
        <v>1814</v>
      </c>
      <c r="AL12" s="17"/>
      <c r="AM12" s="1"/>
      <c r="AN12" s="17"/>
      <c r="AO12" s="17"/>
    </row>
    <row r="13" spans="1:41" ht="16.05" customHeight="1" thickBot="1">
      <c r="A13" s="6" t="s">
        <v>10</v>
      </c>
      <c r="B13" s="262">
        <v>9.5</v>
      </c>
      <c r="C13" s="4"/>
      <c r="D13" s="4"/>
      <c r="E13" s="4"/>
      <c r="F13" s="4"/>
      <c r="G13" s="6" t="s">
        <v>32</v>
      </c>
      <c r="H13" s="262">
        <v>9</v>
      </c>
      <c r="I13" s="11"/>
      <c r="J13" s="11"/>
      <c r="K13" s="11"/>
      <c r="L13" s="11"/>
      <c r="M13" s="11"/>
      <c r="N13" s="11"/>
      <c r="O13" s="23"/>
      <c r="R13" s="59">
        <v>11</v>
      </c>
      <c r="S13" s="52" t="s">
        <v>341</v>
      </c>
      <c r="T13" s="52" t="s">
        <v>781</v>
      </c>
      <c r="U13" s="69">
        <v>9.4</v>
      </c>
      <c r="V13" s="207">
        <v>9.5500000000000007</v>
      </c>
      <c r="W13" s="52">
        <v>9.5</v>
      </c>
      <c r="X13" s="52">
        <v>0.8</v>
      </c>
      <c r="Y13" s="52">
        <v>2</v>
      </c>
      <c r="Z13" s="52">
        <v>5</v>
      </c>
      <c r="AA13" s="52">
        <v>0</v>
      </c>
      <c r="AB13" s="52" t="s">
        <v>768</v>
      </c>
      <c r="AC13" s="69">
        <v>1977</v>
      </c>
      <c r="AD13" s="69" t="s">
        <v>1954</v>
      </c>
      <c r="AG13" s="68" t="s">
        <v>1055</v>
      </c>
      <c r="AH13" s="136">
        <v>8.5</v>
      </c>
      <c r="AK13" t="s">
        <v>1815</v>
      </c>
      <c r="AL13" s="17"/>
      <c r="AM13" s="1"/>
      <c r="AN13" s="17"/>
      <c r="AO13" s="17"/>
    </row>
    <row r="14" spans="1:41" ht="16.05" customHeight="1" thickBot="1">
      <c r="A14" s="6" t="s">
        <v>11</v>
      </c>
      <c r="B14" s="263"/>
      <c r="C14" s="4"/>
      <c r="D14" s="108" t="s">
        <v>901</v>
      </c>
      <c r="E14" s="3">
        <f>ROUND(SUM(E15:E28)/COUNT(E15:E28), 2)</f>
        <v>9</v>
      </c>
      <c r="F14" s="4"/>
      <c r="G14" s="6" t="s">
        <v>33</v>
      </c>
      <c r="H14" s="262">
        <v>8.5</v>
      </c>
      <c r="I14" s="11"/>
      <c r="J14" s="110" t="s">
        <v>903</v>
      </c>
      <c r="K14" s="3">
        <f>ROUND(SUM(K15:K23)/COUNT(K15:K23), 2)</f>
        <v>8.83</v>
      </c>
      <c r="L14" s="4"/>
      <c r="M14" s="111" t="s">
        <v>904</v>
      </c>
      <c r="N14" s="3">
        <f>ROUND(SUM(N15:N26)/COUNT(N15:N26), 2)</f>
        <v>8.67</v>
      </c>
      <c r="O14" s="22"/>
      <c r="R14" s="59">
        <v>12</v>
      </c>
      <c r="S14" s="68" t="s">
        <v>339</v>
      </c>
      <c r="T14" s="68" t="s">
        <v>275</v>
      </c>
      <c r="U14" s="70">
        <v>9.3800000000000008</v>
      </c>
      <c r="V14" s="208">
        <v>9.5299999999999994</v>
      </c>
      <c r="W14" s="68">
        <v>9.5</v>
      </c>
      <c r="X14" s="68">
        <v>0.78</v>
      </c>
      <c r="Y14" s="68">
        <v>3</v>
      </c>
      <c r="Z14" s="68">
        <v>8</v>
      </c>
      <c r="AA14" s="68">
        <v>0</v>
      </c>
      <c r="AB14" s="68" t="s">
        <v>773</v>
      </c>
      <c r="AC14" s="70">
        <v>1971</v>
      </c>
      <c r="AD14" s="70" t="s">
        <v>1949</v>
      </c>
      <c r="AG14" s="52" t="s">
        <v>1056</v>
      </c>
      <c r="AH14" s="137" t="s">
        <v>2205</v>
      </c>
    </row>
    <row r="15" spans="1:41" ht="16.05" customHeight="1" thickBot="1">
      <c r="A15" s="11"/>
      <c r="B15" s="11"/>
      <c r="C15" s="4"/>
      <c r="D15" s="13" t="s">
        <v>63</v>
      </c>
      <c r="E15" s="261">
        <v>9</v>
      </c>
      <c r="F15" s="4"/>
      <c r="G15" s="9" t="s">
        <v>34</v>
      </c>
      <c r="H15" s="263">
        <v>8.5</v>
      </c>
      <c r="I15" s="11"/>
      <c r="J15" s="6" t="s">
        <v>87</v>
      </c>
      <c r="K15" s="261">
        <v>9</v>
      </c>
      <c r="L15" s="4"/>
      <c r="M15" s="6" t="s">
        <v>96</v>
      </c>
      <c r="N15" s="261">
        <v>8.5</v>
      </c>
      <c r="O15" s="22"/>
      <c r="R15" s="59">
        <v>13</v>
      </c>
      <c r="S15" s="52" t="s">
        <v>340</v>
      </c>
      <c r="T15" s="52" t="s">
        <v>1200</v>
      </c>
      <c r="U15" s="69">
        <v>9.4</v>
      </c>
      <c r="V15" s="176">
        <v>9.4600000000000009</v>
      </c>
      <c r="W15" s="52">
        <v>9</v>
      </c>
      <c r="X15" s="52">
        <v>0.73</v>
      </c>
      <c r="Y15" s="52">
        <v>2</v>
      </c>
      <c r="Z15" s="52">
        <v>5</v>
      </c>
      <c r="AA15" s="52">
        <v>0</v>
      </c>
      <c r="AB15" s="52" t="s">
        <v>767</v>
      </c>
      <c r="AC15" s="69">
        <v>1969</v>
      </c>
      <c r="AD15" s="69" t="s">
        <v>1955</v>
      </c>
      <c r="AK15" t="s">
        <v>384</v>
      </c>
    </row>
    <row r="16" spans="1:41" ht="16.05" customHeight="1" thickBot="1">
      <c r="A16" s="109" t="s">
        <v>902</v>
      </c>
      <c r="B16" s="3">
        <f>ROUND(SUM(B17:B24)/COUNT(B17:B24), 2)</f>
        <v>9.25</v>
      </c>
      <c r="C16" s="4"/>
      <c r="D16" s="6" t="s">
        <v>64</v>
      </c>
      <c r="E16" s="262">
        <v>10.5</v>
      </c>
      <c r="F16" s="11"/>
      <c r="G16" s="11"/>
      <c r="H16" s="11"/>
      <c r="I16" s="11"/>
      <c r="J16" s="6" t="s">
        <v>88</v>
      </c>
      <c r="K16" s="262">
        <v>10</v>
      </c>
      <c r="L16" s="4"/>
      <c r="M16" s="6" t="s">
        <v>97</v>
      </c>
      <c r="N16" s="262">
        <v>10</v>
      </c>
      <c r="O16" s="22"/>
      <c r="R16" s="59">
        <v>14</v>
      </c>
      <c r="S16" s="68" t="s">
        <v>2097</v>
      </c>
      <c r="T16" s="68" t="s">
        <v>2090</v>
      </c>
      <c r="U16" s="70">
        <v>9.31</v>
      </c>
      <c r="V16" s="294">
        <v>9.43</v>
      </c>
      <c r="W16" s="68">
        <v>9.25</v>
      </c>
      <c r="X16" s="68">
        <v>0.75</v>
      </c>
      <c r="Y16" s="68">
        <v>3</v>
      </c>
      <c r="Z16" s="68">
        <v>8</v>
      </c>
      <c r="AA16" s="68">
        <v>0</v>
      </c>
      <c r="AB16" s="68" t="s">
        <v>2100</v>
      </c>
      <c r="AC16" s="70">
        <v>1970</v>
      </c>
      <c r="AD16" s="70" t="s">
        <v>1954</v>
      </c>
      <c r="AG16" s="135" t="s">
        <v>1057</v>
      </c>
      <c r="AH16" s="135"/>
    </row>
    <row r="17" spans="1:37" ht="16.05" customHeight="1" thickBot="1">
      <c r="A17" s="6" t="s">
        <v>55</v>
      </c>
      <c r="B17" s="261">
        <v>9.5</v>
      </c>
      <c r="C17" s="4"/>
      <c r="D17" s="6" t="s">
        <v>65</v>
      </c>
      <c r="E17" s="262">
        <v>10</v>
      </c>
      <c r="F17" s="12"/>
      <c r="G17" s="144" t="s">
        <v>1198</v>
      </c>
      <c r="H17" s="3">
        <f>ROUND(SUM(H18:H28)/COUNT(H18:H28), 2)</f>
        <v>8.68</v>
      </c>
      <c r="I17" s="11"/>
      <c r="J17" s="6" t="s">
        <v>89</v>
      </c>
      <c r="K17" s="262">
        <v>9.5</v>
      </c>
      <c r="L17" s="4"/>
      <c r="M17" s="6" t="s">
        <v>98</v>
      </c>
      <c r="N17" s="262">
        <v>8</v>
      </c>
      <c r="O17" s="22"/>
      <c r="R17" s="59">
        <v>15</v>
      </c>
      <c r="S17" s="52" t="s">
        <v>344</v>
      </c>
      <c r="T17" s="52" t="s">
        <v>56</v>
      </c>
      <c r="U17" s="69">
        <v>9.25</v>
      </c>
      <c r="V17" s="209">
        <v>9.3699999999999992</v>
      </c>
      <c r="W17" s="52">
        <v>9.25</v>
      </c>
      <c r="X17" s="52">
        <v>0.83</v>
      </c>
      <c r="Y17" s="52">
        <v>3</v>
      </c>
      <c r="Z17" s="52">
        <v>8</v>
      </c>
      <c r="AA17" s="52">
        <v>0</v>
      </c>
      <c r="AB17" s="52" t="s">
        <v>789</v>
      </c>
      <c r="AC17" s="69">
        <v>1986</v>
      </c>
      <c r="AD17" s="69" t="s">
        <v>1956</v>
      </c>
      <c r="AG17" s="68" t="s">
        <v>1058</v>
      </c>
      <c r="AH17" s="136">
        <v>1.06</v>
      </c>
    </row>
    <row r="18" spans="1:37" ht="16.05" customHeight="1">
      <c r="A18" s="6" t="s">
        <v>56</v>
      </c>
      <c r="B18" s="262">
        <v>10</v>
      </c>
      <c r="C18" s="4"/>
      <c r="D18" s="6" t="s">
        <v>66</v>
      </c>
      <c r="E18" s="262">
        <v>9.5</v>
      </c>
      <c r="F18" s="12"/>
      <c r="G18" s="6" t="s">
        <v>76</v>
      </c>
      <c r="H18" s="261">
        <v>10</v>
      </c>
      <c r="I18" s="11"/>
      <c r="J18" s="6" t="s">
        <v>90</v>
      </c>
      <c r="K18" s="262">
        <v>8.5</v>
      </c>
      <c r="L18" s="4"/>
      <c r="M18" s="6" t="s">
        <v>99</v>
      </c>
      <c r="N18" s="262">
        <v>8.5</v>
      </c>
      <c r="O18" s="22"/>
      <c r="R18" s="59">
        <v>16</v>
      </c>
      <c r="S18" s="68" t="s">
        <v>336</v>
      </c>
      <c r="T18" s="68" t="s">
        <v>292</v>
      </c>
      <c r="U18" s="70">
        <v>9.15</v>
      </c>
      <c r="V18" s="209">
        <v>9.3699999999999992</v>
      </c>
      <c r="W18" s="68">
        <v>9</v>
      </c>
      <c r="X18" s="68">
        <v>1</v>
      </c>
      <c r="Y18" s="68">
        <v>4</v>
      </c>
      <c r="Z18" s="68">
        <v>11</v>
      </c>
      <c r="AA18" s="68">
        <v>1</v>
      </c>
      <c r="AB18" s="68" t="s">
        <v>870</v>
      </c>
      <c r="AC18" s="70">
        <v>2000</v>
      </c>
      <c r="AD18" s="70" t="s">
        <v>1957</v>
      </c>
      <c r="AG18" s="52" t="s">
        <v>1059</v>
      </c>
      <c r="AH18" s="138">
        <v>0.1234</v>
      </c>
    </row>
    <row r="19" spans="1:37" ht="16.05" customHeight="1">
      <c r="A19" s="6" t="s">
        <v>57</v>
      </c>
      <c r="B19" s="262">
        <v>8.5</v>
      </c>
      <c r="C19" s="4"/>
      <c r="D19" s="6" t="s">
        <v>67</v>
      </c>
      <c r="E19" s="262">
        <v>8.5</v>
      </c>
      <c r="F19" s="12"/>
      <c r="G19" s="6" t="s">
        <v>77</v>
      </c>
      <c r="H19" s="262">
        <v>8.5</v>
      </c>
      <c r="I19" s="11"/>
      <c r="J19" s="6" t="s">
        <v>91</v>
      </c>
      <c r="K19" s="262">
        <v>7.5</v>
      </c>
      <c r="L19" s="4"/>
      <c r="M19" s="6" t="s">
        <v>100</v>
      </c>
      <c r="N19" s="262">
        <v>8.5</v>
      </c>
      <c r="O19" s="22"/>
      <c r="R19" s="59">
        <v>17</v>
      </c>
      <c r="S19" s="52" t="s">
        <v>340</v>
      </c>
      <c r="T19" s="52" t="s">
        <v>1019</v>
      </c>
      <c r="U19" s="69">
        <v>9.3000000000000007</v>
      </c>
      <c r="V19" s="210">
        <v>9.36</v>
      </c>
      <c r="W19" s="52">
        <v>9</v>
      </c>
      <c r="X19" s="52">
        <v>0.87</v>
      </c>
      <c r="Y19" s="52">
        <v>2</v>
      </c>
      <c r="Z19" s="52">
        <v>5</v>
      </c>
      <c r="AA19" s="52">
        <v>0</v>
      </c>
      <c r="AB19" s="52" t="s">
        <v>767</v>
      </c>
      <c r="AC19" s="69">
        <v>2024</v>
      </c>
      <c r="AD19" s="69" t="s">
        <v>1958</v>
      </c>
      <c r="AG19" s="68" t="s">
        <v>1060</v>
      </c>
      <c r="AH19" s="136" t="s">
        <v>1837</v>
      </c>
    </row>
    <row r="20" spans="1:37" ht="16.05" customHeight="1">
      <c r="A20" s="6" t="s">
        <v>58</v>
      </c>
      <c r="B20" s="262">
        <v>10</v>
      </c>
      <c r="C20" s="4"/>
      <c r="D20" s="6" t="s">
        <v>68</v>
      </c>
      <c r="E20" s="262"/>
      <c r="F20" s="12"/>
      <c r="G20" s="6" t="s">
        <v>78</v>
      </c>
      <c r="H20" s="262">
        <v>10</v>
      </c>
      <c r="I20" s="11"/>
      <c r="J20" s="6" t="s">
        <v>92</v>
      </c>
      <c r="K20" s="262">
        <v>8</v>
      </c>
      <c r="L20" s="4"/>
      <c r="M20" s="6" t="s">
        <v>101</v>
      </c>
      <c r="N20" s="262">
        <v>7.5</v>
      </c>
      <c r="O20" s="22"/>
      <c r="R20" s="59">
        <v>18</v>
      </c>
      <c r="S20" s="68" t="s">
        <v>345</v>
      </c>
      <c r="T20" s="68" t="s">
        <v>189</v>
      </c>
      <c r="U20" s="70">
        <v>9.2100000000000009</v>
      </c>
      <c r="V20" s="211">
        <v>9.34</v>
      </c>
      <c r="W20" s="68">
        <v>9.25</v>
      </c>
      <c r="X20" s="68">
        <v>0.85</v>
      </c>
      <c r="Y20" s="68">
        <v>5</v>
      </c>
      <c r="Z20" s="68">
        <v>13</v>
      </c>
      <c r="AA20" s="68">
        <v>1</v>
      </c>
      <c r="AB20" s="68" t="s">
        <v>770</v>
      </c>
      <c r="AC20" s="70">
        <v>2008</v>
      </c>
      <c r="AD20" s="70" t="s">
        <v>1959</v>
      </c>
      <c r="AG20" s="52" t="s">
        <v>1061</v>
      </c>
      <c r="AH20" s="137" t="s">
        <v>1873</v>
      </c>
    </row>
    <row r="21" spans="1:37" ht="16.05" customHeight="1">
      <c r="A21" s="6" t="s">
        <v>59</v>
      </c>
      <c r="B21" s="262">
        <v>8.5</v>
      </c>
      <c r="C21" s="4"/>
      <c r="D21" s="6" t="s">
        <v>69</v>
      </c>
      <c r="E21" s="262">
        <v>9</v>
      </c>
      <c r="F21" s="12"/>
      <c r="G21" s="6" t="s">
        <v>79</v>
      </c>
      <c r="H21" s="262">
        <v>9</v>
      </c>
      <c r="I21" s="11"/>
      <c r="J21" s="6" t="s">
        <v>93</v>
      </c>
      <c r="K21" s="262">
        <v>8.5</v>
      </c>
      <c r="L21" s="4"/>
      <c r="M21" s="6" t="s">
        <v>102</v>
      </c>
      <c r="N21" s="262">
        <v>10</v>
      </c>
      <c r="O21" s="22"/>
      <c r="R21" s="59">
        <v>19</v>
      </c>
      <c r="S21" s="52" t="s">
        <v>343</v>
      </c>
      <c r="T21" s="52" t="s">
        <v>132</v>
      </c>
      <c r="U21" s="69">
        <v>9.2100000000000009</v>
      </c>
      <c r="V21" s="212">
        <v>9.2799999999999994</v>
      </c>
      <c r="W21" s="52">
        <v>9</v>
      </c>
      <c r="X21" s="52">
        <v>0.8</v>
      </c>
      <c r="Y21" s="52">
        <v>2</v>
      </c>
      <c r="Z21" s="52">
        <v>7</v>
      </c>
      <c r="AA21" s="52">
        <v>0</v>
      </c>
      <c r="AB21" s="52" t="s">
        <v>790</v>
      </c>
      <c r="AC21" s="69">
        <v>2001</v>
      </c>
      <c r="AD21" s="69" t="s">
        <v>1947</v>
      </c>
      <c r="AK21" t="s">
        <v>278</v>
      </c>
    </row>
    <row r="22" spans="1:37" ht="16.05" customHeight="1">
      <c r="A22" s="6" t="s">
        <v>60</v>
      </c>
      <c r="B22" s="262">
        <v>9</v>
      </c>
      <c r="C22" s="4"/>
      <c r="D22" s="6" t="s">
        <v>70</v>
      </c>
      <c r="E22" s="262">
        <v>8</v>
      </c>
      <c r="F22" s="12"/>
      <c r="G22" s="6" t="s">
        <v>80</v>
      </c>
      <c r="H22" s="262">
        <v>8</v>
      </c>
      <c r="I22" s="11"/>
      <c r="J22" s="6" t="s">
        <v>94</v>
      </c>
      <c r="K22" s="262">
        <v>8</v>
      </c>
      <c r="L22" s="4"/>
      <c r="M22" s="6" t="s">
        <v>103</v>
      </c>
      <c r="N22" s="262">
        <v>9</v>
      </c>
      <c r="O22" s="22"/>
      <c r="R22" s="59">
        <v>20</v>
      </c>
      <c r="S22" s="68" t="s">
        <v>455</v>
      </c>
      <c r="T22" s="68" t="s">
        <v>36</v>
      </c>
      <c r="U22" s="70">
        <v>9.15</v>
      </c>
      <c r="V22" s="130">
        <v>9.23</v>
      </c>
      <c r="W22" s="68">
        <v>9</v>
      </c>
      <c r="X22" s="68">
        <v>0.78</v>
      </c>
      <c r="Y22" s="68">
        <v>3</v>
      </c>
      <c r="Z22" s="68">
        <v>10</v>
      </c>
      <c r="AA22" s="68">
        <v>0</v>
      </c>
      <c r="AB22" s="68" t="s">
        <v>767</v>
      </c>
      <c r="AC22" s="70">
        <v>1982</v>
      </c>
      <c r="AD22" s="70" t="s">
        <v>1949</v>
      </c>
      <c r="AG22" s="135" t="s">
        <v>1062</v>
      </c>
      <c r="AH22" s="135"/>
      <c r="AK22" t="s">
        <v>279</v>
      </c>
    </row>
    <row r="23" spans="1:37" ht="16.05" customHeight="1" thickBot="1">
      <c r="A23" s="6" t="s">
        <v>61</v>
      </c>
      <c r="B23" s="262">
        <v>10.5</v>
      </c>
      <c r="C23" s="4"/>
      <c r="D23" s="6" t="s">
        <v>71</v>
      </c>
      <c r="E23" s="262">
        <v>10</v>
      </c>
      <c r="F23" s="12"/>
      <c r="G23" s="6" t="s">
        <v>81</v>
      </c>
      <c r="H23" s="262">
        <v>8.5</v>
      </c>
      <c r="I23" s="11"/>
      <c r="J23" s="9" t="s">
        <v>95</v>
      </c>
      <c r="K23" s="262">
        <v>10.5</v>
      </c>
      <c r="L23" s="4"/>
      <c r="M23" s="6" t="s">
        <v>104</v>
      </c>
      <c r="N23" s="262">
        <v>8.5</v>
      </c>
      <c r="O23" s="22"/>
      <c r="R23" s="59">
        <v>21</v>
      </c>
      <c r="S23" s="52" t="s">
        <v>491</v>
      </c>
      <c r="T23" s="52" t="s">
        <v>509</v>
      </c>
      <c r="U23" s="69">
        <v>9.17</v>
      </c>
      <c r="V23" s="130">
        <v>9.23</v>
      </c>
      <c r="W23" s="52">
        <v>9</v>
      </c>
      <c r="X23" s="52">
        <v>0.69</v>
      </c>
      <c r="Y23" s="52">
        <v>1</v>
      </c>
      <c r="Z23" s="52">
        <v>6</v>
      </c>
      <c r="AA23" s="52">
        <v>0</v>
      </c>
      <c r="AB23" s="52" t="s">
        <v>769</v>
      </c>
      <c r="AC23" s="69">
        <v>2007</v>
      </c>
      <c r="AD23" s="69" t="s">
        <v>1960</v>
      </c>
      <c r="AG23" s="68" t="s">
        <v>1063</v>
      </c>
      <c r="AH23" s="136" t="s">
        <v>2174</v>
      </c>
      <c r="AK23" t="s">
        <v>280</v>
      </c>
    </row>
    <row r="24" spans="1:37" ht="16.05" customHeight="1" thickBot="1">
      <c r="A24" s="9" t="s">
        <v>62</v>
      </c>
      <c r="B24" s="263">
        <v>8</v>
      </c>
      <c r="C24" s="4"/>
      <c r="D24" s="6" t="s">
        <v>72</v>
      </c>
      <c r="E24" s="262">
        <v>8.5</v>
      </c>
      <c r="F24" s="12"/>
      <c r="G24" s="6" t="s">
        <v>82</v>
      </c>
      <c r="H24" s="262">
        <v>8</v>
      </c>
      <c r="I24" s="11"/>
      <c r="J24" s="11"/>
      <c r="K24" s="11"/>
      <c r="L24" s="11"/>
      <c r="M24" s="6" t="s">
        <v>105</v>
      </c>
      <c r="N24" s="262">
        <v>7.5</v>
      </c>
      <c r="O24" s="22"/>
      <c r="R24" s="59">
        <v>22</v>
      </c>
      <c r="S24" s="68" t="s">
        <v>344</v>
      </c>
      <c r="T24" s="68" t="s">
        <v>706</v>
      </c>
      <c r="U24" s="70">
        <v>9.1300000000000008</v>
      </c>
      <c r="V24" s="213">
        <v>9.2100000000000009</v>
      </c>
      <c r="W24" s="68">
        <v>9</v>
      </c>
      <c r="X24" s="68">
        <v>0.93</v>
      </c>
      <c r="Y24" s="68">
        <v>3</v>
      </c>
      <c r="Z24" s="68">
        <v>8</v>
      </c>
      <c r="AA24" s="68">
        <v>0</v>
      </c>
      <c r="AB24" s="68" t="s">
        <v>789</v>
      </c>
      <c r="AC24" s="70">
        <v>1984</v>
      </c>
      <c r="AD24" s="70" t="s">
        <v>1957</v>
      </c>
      <c r="AG24" s="52" t="s">
        <v>1064</v>
      </c>
      <c r="AH24" s="137" t="s">
        <v>2199</v>
      </c>
    </row>
    <row r="25" spans="1:37" ht="16.05" customHeight="1" thickBot="1">
      <c r="A25" s="4"/>
      <c r="B25" s="4"/>
      <c r="C25" s="4"/>
      <c r="D25" s="6" t="s">
        <v>73</v>
      </c>
      <c r="E25" s="262">
        <v>9.5</v>
      </c>
      <c r="F25" s="12"/>
      <c r="G25" s="6" t="s">
        <v>83</v>
      </c>
      <c r="H25" s="262">
        <v>9.5</v>
      </c>
      <c r="I25" s="11"/>
      <c r="J25" s="107" t="s">
        <v>900</v>
      </c>
      <c r="K25" s="3">
        <f>ROUND(SUM(K26:K38)/COUNT(K26:K38), 2)</f>
        <v>8.42</v>
      </c>
      <c r="L25" s="4"/>
      <c r="M25" s="6" t="s">
        <v>106</v>
      </c>
      <c r="N25" s="262">
        <v>9</v>
      </c>
      <c r="O25" s="22"/>
      <c r="R25" s="59">
        <v>23</v>
      </c>
      <c r="S25" s="52" t="s">
        <v>922</v>
      </c>
      <c r="T25" s="52" t="s">
        <v>913</v>
      </c>
      <c r="U25" s="69">
        <v>9.06</v>
      </c>
      <c r="V25" s="140">
        <v>9.1</v>
      </c>
      <c r="W25" s="52">
        <v>8.75</v>
      </c>
      <c r="X25" s="52">
        <v>0.92</v>
      </c>
      <c r="Y25" s="52">
        <v>3</v>
      </c>
      <c r="Z25" s="52">
        <v>9</v>
      </c>
      <c r="AA25" s="52">
        <v>1</v>
      </c>
      <c r="AB25" s="52" t="s">
        <v>923</v>
      </c>
      <c r="AC25" s="69">
        <v>2021</v>
      </c>
      <c r="AD25" s="69" t="s">
        <v>1946</v>
      </c>
      <c r="AK25" t="s">
        <v>1821</v>
      </c>
    </row>
    <row r="26" spans="1:37" ht="16.05" customHeight="1" thickBot="1">
      <c r="A26" s="145" t="s">
        <v>1199</v>
      </c>
      <c r="B26" s="3">
        <f>ROUND(SUM(B27:B31)/COUNT(B27:B31), 2)</f>
        <v>9.4</v>
      </c>
      <c r="C26" s="4"/>
      <c r="D26" s="6" t="s">
        <v>74</v>
      </c>
      <c r="E26" s="262">
        <v>8</v>
      </c>
      <c r="F26" s="12"/>
      <c r="G26" s="6" t="s">
        <v>84</v>
      </c>
      <c r="H26" s="262">
        <v>7.5</v>
      </c>
      <c r="I26" s="11"/>
      <c r="J26" s="6" t="s">
        <v>113</v>
      </c>
      <c r="K26" s="261">
        <v>10</v>
      </c>
      <c r="L26" s="4"/>
      <c r="M26" s="9" t="s">
        <v>107</v>
      </c>
      <c r="N26" s="263">
        <v>9</v>
      </c>
      <c r="O26" s="22"/>
      <c r="R26" s="59">
        <v>24</v>
      </c>
      <c r="S26" s="68" t="s">
        <v>346</v>
      </c>
      <c r="T26" s="68" t="s">
        <v>159</v>
      </c>
      <c r="U26" s="70">
        <v>9</v>
      </c>
      <c r="V26" s="140">
        <v>9.09</v>
      </c>
      <c r="W26" s="68">
        <v>9</v>
      </c>
      <c r="X26" s="68">
        <v>0.85</v>
      </c>
      <c r="Y26" s="68">
        <v>3</v>
      </c>
      <c r="Z26" s="68">
        <v>14</v>
      </c>
      <c r="AA26" s="68">
        <v>1</v>
      </c>
      <c r="AB26" s="68" t="s">
        <v>771</v>
      </c>
      <c r="AC26" s="70">
        <v>2001</v>
      </c>
      <c r="AD26" s="70" t="s">
        <v>1961</v>
      </c>
      <c r="AG26" s="135" t="s">
        <v>1065</v>
      </c>
      <c r="AH26" s="135"/>
      <c r="AK26" t="s">
        <v>290</v>
      </c>
    </row>
    <row r="27" spans="1:37" ht="16.05" customHeight="1" thickBot="1">
      <c r="A27" s="6" t="s">
        <v>108</v>
      </c>
      <c r="B27" s="261">
        <v>10</v>
      </c>
      <c r="C27" s="4"/>
      <c r="D27" s="6" t="s">
        <v>75</v>
      </c>
      <c r="E27" s="262">
        <v>9</v>
      </c>
      <c r="F27" s="12"/>
      <c r="G27" s="6" t="s">
        <v>85</v>
      </c>
      <c r="H27" s="262">
        <v>8.5</v>
      </c>
      <c r="I27" s="11"/>
      <c r="J27" s="6" t="s">
        <v>114</v>
      </c>
      <c r="K27" s="262">
        <v>9.5</v>
      </c>
      <c r="L27" s="4"/>
      <c r="M27" s="4"/>
      <c r="N27" s="4"/>
      <c r="O27" s="22"/>
      <c r="R27" s="59">
        <v>25</v>
      </c>
      <c r="S27" s="52" t="s">
        <v>347</v>
      </c>
      <c r="T27" s="52" t="s">
        <v>265</v>
      </c>
      <c r="U27" s="69">
        <v>9</v>
      </c>
      <c r="V27" s="140">
        <v>9.09</v>
      </c>
      <c r="W27" s="52">
        <v>9</v>
      </c>
      <c r="X27" s="52">
        <v>0.82</v>
      </c>
      <c r="Y27" s="52">
        <v>2</v>
      </c>
      <c r="Z27" s="52">
        <v>9</v>
      </c>
      <c r="AA27" s="52">
        <v>0</v>
      </c>
      <c r="AB27" s="52" t="s">
        <v>789</v>
      </c>
      <c r="AC27" s="69">
        <v>1990</v>
      </c>
      <c r="AD27" s="69" t="s">
        <v>1962</v>
      </c>
      <c r="AG27" s="68" t="s">
        <v>1066</v>
      </c>
      <c r="AH27" s="136" t="s">
        <v>2206</v>
      </c>
    </row>
    <row r="28" spans="1:37" ht="16.05" customHeight="1" thickBot="1">
      <c r="A28" s="6" t="s">
        <v>109</v>
      </c>
      <c r="B28" s="262">
        <v>9</v>
      </c>
      <c r="C28" s="11"/>
      <c r="D28" s="9" t="s">
        <v>1909</v>
      </c>
      <c r="E28" s="263">
        <v>7.5</v>
      </c>
      <c r="F28" s="11"/>
      <c r="G28" s="9" t="s">
        <v>86</v>
      </c>
      <c r="H28" s="263">
        <v>8</v>
      </c>
      <c r="I28" s="11"/>
      <c r="J28" s="6" t="s">
        <v>115</v>
      </c>
      <c r="K28" s="262">
        <v>8.5</v>
      </c>
      <c r="L28" s="4"/>
      <c r="M28" s="26" t="s">
        <v>326</v>
      </c>
      <c r="N28" s="14">
        <f>ROUND(SUM(N29:N37)/COUNT(N29:N37), 2)</f>
        <v>8.89</v>
      </c>
      <c r="O28" s="22"/>
      <c r="R28" s="59">
        <v>26</v>
      </c>
      <c r="S28" s="68" t="s">
        <v>344</v>
      </c>
      <c r="T28" s="68" t="s">
        <v>1144</v>
      </c>
      <c r="U28" s="70">
        <v>9</v>
      </c>
      <c r="V28" s="214">
        <v>9.08</v>
      </c>
      <c r="W28" s="68">
        <v>9</v>
      </c>
      <c r="X28" s="68">
        <v>0.88</v>
      </c>
      <c r="Y28" s="68">
        <v>2</v>
      </c>
      <c r="Z28" s="68">
        <v>9</v>
      </c>
      <c r="AA28" s="68">
        <v>0</v>
      </c>
      <c r="AB28" s="68" t="s">
        <v>789</v>
      </c>
      <c r="AC28" s="70">
        <v>1988</v>
      </c>
      <c r="AD28" s="70" t="s">
        <v>1963</v>
      </c>
      <c r="AG28" s="52" t="s">
        <v>1067</v>
      </c>
      <c r="AH28" s="137" t="s">
        <v>2207</v>
      </c>
      <c r="AK28" s="15"/>
    </row>
    <row r="29" spans="1:37" ht="16.05" customHeight="1" thickBot="1">
      <c r="A29" s="6" t="s">
        <v>441</v>
      </c>
      <c r="B29" s="262">
        <v>10.5</v>
      </c>
      <c r="C29" s="11"/>
      <c r="D29" s="11"/>
      <c r="E29" s="11"/>
      <c r="F29" s="4"/>
      <c r="G29" s="12"/>
      <c r="H29" s="12"/>
      <c r="I29" s="11"/>
      <c r="J29" s="6" t="s">
        <v>116</v>
      </c>
      <c r="K29" s="262">
        <v>8.5</v>
      </c>
      <c r="L29" s="4"/>
      <c r="M29" s="7" t="s">
        <v>133</v>
      </c>
      <c r="N29" s="261">
        <v>10</v>
      </c>
      <c r="O29" s="22"/>
      <c r="R29" s="59">
        <v>27</v>
      </c>
      <c r="S29" s="52" t="s">
        <v>491</v>
      </c>
      <c r="T29" s="52" t="s">
        <v>661</v>
      </c>
      <c r="U29" s="69">
        <v>8.94</v>
      </c>
      <c r="V29" s="215">
        <v>9.0399999999999991</v>
      </c>
      <c r="W29" s="52">
        <v>9</v>
      </c>
      <c r="X29" s="52">
        <v>0.86</v>
      </c>
      <c r="Y29" s="52">
        <v>2</v>
      </c>
      <c r="Z29" s="52">
        <v>9</v>
      </c>
      <c r="AA29" s="52">
        <v>0</v>
      </c>
      <c r="AB29" s="52" t="s">
        <v>769</v>
      </c>
      <c r="AC29" s="69">
        <v>2005</v>
      </c>
      <c r="AD29" s="69" t="s">
        <v>1964</v>
      </c>
      <c r="AG29" s="68" t="s">
        <v>1068</v>
      </c>
      <c r="AH29" s="136" t="s">
        <v>2208</v>
      </c>
      <c r="AK29" s="67" t="s">
        <v>525</v>
      </c>
    </row>
    <row r="30" spans="1:37" ht="16.05" customHeight="1" thickBot="1">
      <c r="A30" s="6" t="s">
        <v>111</v>
      </c>
      <c r="B30" s="262">
        <v>8.5</v>
      </c>
      <c r="C30" s="11"/>
      <c r="D30" s="104" t="s">
        <v>897</v>
      </c>
      <c r="E30" s="3">
        <f>ROUND(SUM(E31:E37)/COUNT(E31:E37), 2)</f>
        <v>9.2100000000000009</v>
      </c>
      <c r="F30" s="4"/>
      <c r="G30" s="102" t="s">
        <v>895</v>
      </c>
      <c r="H30" s="3">
        <f>ROUND(SUM(H31:H45)/COUNT(H31:H45), 2)</f>
        <v>9.61</v>
      </c>
      <c r="I30" s="11"/>
      <c r="J30" s="6" t="s">
        <v>117</v>
      </c>
      <c r="K30" s="262">
        <v>9.5</v>
      </c>
      <c r="L30" s="4"/>
      <c r="M30" s="8" t="s">
        <v>134</v>
      </c>
      <c r="N30" s="262">
        <v>9</v>
      </c>
      <c r="O30" s="22"/>
      <c r="R30" s="59">
        <v>28</v>
      </c>
      <c r="S30" s="68" t="s">
        <v>343</v>
      </c>
      <c r="T30" s="68" t="s">
        <v>981</v>
      </c>
      <c r="U30" s="70">
        <v>9</v>
      </c>
      <c r="V30" s="215">
        <v>9.0399999999999991</v>
      </c>
      <c r="W30" s="68">
        <v>8.75</v>
      </c>
      <c r="X30" s="68">
        <v>0.87</v>
      </c>
      <c r="Y30" s="68">
        <v>2</v>
      </c>
      <c r="Z30" s="68">
        <v>8</v>
      </c>
      <c r="AA30" s="68">
        <v>0</v>
      </c>
      <c r="AB30" s="68" t="s">
        <v>790</v>
      </c>
      <c r="AC30" s="70">
        <v>2005</v>
      </c>
      <c r="AD30" s="70" t="s">
        <v>1965</v>
      </c>
      <c r="AG30" s="52" t="s">
        <v>1069</v>
      </c>
      <c r="AH30" s="137" t="s">
        <v>2209</v>
      </c>
      <c r="AK30" s="15"/>
    </row>
    <row r="31" spans="1:37" ht="16.05" customHeight="1" thickBot="1">
      <c r="A31" s="9" t="s">
        <v>112</v>
      </c>
      <c r="B31" s="263">
        <v>9</v>
      </c>
      <c r="C31" s="11"/>
      <c r="D31" s="6" t="s">
        <v>126</v>
      </c>
      <c r="E31" s="261">
        <v>9</v>
      </c>
      <c r="F31" s="4"/>
      <c r="G31" s="7" t="s">
        <v>143</v>
      </c>
      <c r="H31" s="261">
        <v>10</v>
      </c>
      <c r="I31" s="11"/>
      <c r="J31" s="6" t="s">
        <v>118</v>
      </c>
      <c r="K31" s="262">
        <v>8.5</v>
      </c>
      <c r="L31" s="4"/>
      <c r="M31" s="8" t="s">
        <v>135</v>
      </c>
      <c r="N31" s="262">
        <v>8</v>
      </c>
      <c r="O31" s="22"/>
      <c r="R31" s="59">
        <v>29</v>
      </c>
      <c r="S31" s="52" t="s">
        <v>336</v>
      </c>
      <c r="T31" s="52" t="s">
        <v>443</v>
      </c>
      <c r="U31" s="69">
        <v>8.9600000000000009</v>
      </c>
      <c r="V31" s="155">
        <v>9.01</v>
      </c>
      <c r="W31" s="52">
        <v>8.75</v>
      </c>
      <c r="X31" s="52">
        <v>0.83</v>
      </c>
      <c r="Y31" s="52">
        <v>3</v>
      </c>
      <c r="Z31" s="52">
        <v>12</v>
      </c>
      <c r="AA31" s="52">
        <v>0</v>
      </c>
      <c r="AB31" s="52" t="s">
        <v>787</v>
      </c>
      <c r="AC31" s="69">
        <v>1995</v>
      </c>
      <c r="AD31" s="69" t="s">
        <v>1966</v>
      </c>
      <c r="AG31" s="68" t="s">
        <v>1070</v>
      </c>
      <c r="AH31" s="136" t="s">
        <v>2210</v>
      </c>
      <c r="AK31" s="54" t="s">
        <v>364</v>
      </c>
    </row>
    <row r="32" spans="1:37" ht="16.05" customHeight="1" thickBot="1">
      <c r="A32" s="4"/>
      <c r="B32" s="4"/>
      <c r="C32" s="11"/>
      <c r="D32" s="6" t="s">
        <v>127</v>
      </c>
      <c r="E32" s="262">
        <v>10</v>
      </c>
      <c r="F32" s="4"/>
      <c r="G32" s="8" t="s">
        <v>144</v>
      </c>
      <c r="H32" s="262">
        <v>10.5</v>
      </c>
      <c r="I32" s="4"/>
      <c r="J32" s="6" t="s">
        <v>119</v>
      </c>
      <c r="K32" s="262">
        <v>7.5</v>
      </c>
      <c r="L32" s="4"/>
      <c r="M32" s="8" t="s">
        <v>136</v>
      </c>
      <c r="N32" s="262">
        <v>8.5</v>
      </c>
      <c r="O32" s="22"/>
      <c r="R32" s="59">
        <v>30</v>
      </c>
      <c r="S32" s="68" t="s">
        <v>1578</v>
      </c>
      <c r="T32" s="68" t="s">
        <v>1579</v>
      </c>
      <c r="U32" s="70">
        <v>8.67</v>
      </c>
      <c r="V32" s="216">
        <v>9</v>
      </c>
      <c r="W32" s="68">
        <v>8.5</v>
      </c>
      <c r="X32" s="68">
        <v>0.98</v>
      </c>
      <c r="Y32" s="68">
        <v>5</v>
      </c>
      <c r="Z32" s="68">
        <v>26</v>
      </c>
      <c r="AA32" s="68">
        <v>0</v>
      </c>
      <c r="AB32" s="68" t="s">
        <v>1580</v>
      </c>
      <c r="AC32" s="70">
        <v>2017</v>
      </c>
      <c r="AD32" s="70" t="s">
        <v>1955</v>
      </c>
      <c r="AG32" s="52" t="s">
        <v>1071</v>
      </c>
      <c r="AH32" s="137" t="s">
        <v>2211</v>
      </c>
      <c r="AK32" t="s">
        <v>365</v>
      </c>
    </row>
    <row r="33" spans="1:37" ht="16.05" customHeight="1" thickBot="1">
      <c r="A33" s="103" t="s">
        <v>896</v>
      </c>
      <c r="B33" s="14">
        <f>ROUND(SUM(B34:B45)/COUNT(B34:B45), 2)</f>
        <v>9.5500000000000007</v>
      </c>
      <c r="C33" s="11"/>
      <c r="D33" s="6" t="s">
        <v>128</v>
      </c>
      <c r="E33" s="262">
        <v>9</v>
      </c>
      <c r="F33" s="4"/>
      <c r="G33" s="6" t="s">
        <v>145</v>
      </c>
      <c r="H33" s="262">
        <v>10</v>
      </c>
      <c r="I33" s="4"/>
      <c r="J33" s="6" t="s">
        <v>120</v>
      </c>
      <c r="K33" s="262">
        <v>9</v>
      </c>
      <c r="L33" s="4"/>
      <c r="M33" s="8" t="s">
        <v>137</v>
      </c>
      <c r="N33" s="262">
        <v>9</v>
      </c>
      <c r="O33" s="22"/>
      <c r="R33" s="59">
        <v>31</v>
      </c>
      <c r="S33" s="52" t="s">
        <v>341</v>
      </c>
      <c r="T33" s="52" t="s">
        <v>1851</v>
      </c>
      <c r="U33" s="69">
        <v>8.92</v>
      </c>
      <c r="V33" s="275">
        <v>8.9700000000000006</v>
      </c>
      <c r="W33" s="52">
        <v>8.75</v>
      </c>
      <c r="X33" s="52">
        <v>0.79</v>
      </c>
      <c r="Y33" s="52">
        <v>1</v>
      </c>
      <c r="Z33" s="52">
        <v>6</v>
      </c>
      <c r="AA33" s="52">
        <v>0</v>
      </c>
      <c r="AB33" s="52" t="s">
        <v>1090</v>
      </c>
      <c r="AC33" s="69">
        <v>1971</v>
      </c>
      <c r="AD33" s="69" t="s">
        <v>1967</v>
      </c>
      <c r="AK33" t="s">
        <v>366</v>
      </c>
    </row>
    <row r="34" spans="1:37" ht="16.05" customHeight="1">
      <c r="A34" s="13" t="s">
        <v>146</v>
      </c>
      <c r="B34" s="261">
        <v>9</v>
      </c>
      <c r="C34" s="11"/>
      <c r="D34" s="6" t="s">
        <v>129</v>
      </c>
      <c r="E34" s="262">
        <v>10.5</v>
      </c>
      <c r="F34" s="4"/>
      <c r="G34" s="6" t="s">
        <v>201</v>
      </c>
      <c r="H34" s="262"/>
      <c r="I34" s="4"/>
      <c r="J34" s="6" t="s">
        <v>121</v>
      </c>
      <c r="K34" s="262">
        <v>8</v>
      </c>
      <c r="L34" s="4"/>
      <c r="M34" s="8" t="s">
        <v>138</v>
      </c>
      <c r="N34" s="262">
        <v>8</v>
      </c>
      <c r="O34" s="22"/>
      <c r="R34" s="59">
        <v>32</v>
      </c>
      <c r="S34" s="68" t="s">
        <v>354</v>
      </c>
      <c r="T34" s="68" t="s">
        <v>1645</v>
      </c>
      <c r="U34" s="70">
        <v>8.94</v>
      </c>
      <c r="V34" s="217">
        <v>8.9499999999999993</v>
      </c>
      <c r="W34" s="68">
        <v>8.5</v>
      </c>
      <c r="X34" s="68">
        <v>0.76</v>
      </c>
      <c r="Y34" s="68">
        <v>2</v>
      </c>
      <c r="Z34" s="68">
        <v>10</v>
      </c>
      <c r="AA34" s="68">
        <v>1</v>
      </c>
      <c r="AB34" s="68" t="s">
        <v>1663</v>
      </c>
      <c r="AC34" s="70">
        <v>2000</v>
      </c>
      <c r="AD34" s="70" t="s">
        <v>1954</v>
      </c>
      <c r="AG34" s="135" t="s">
        <v>1072</v>
      </c>
      <c r="AH34" s="135"/>
      <c r="AK34" t="s">
        <v>367</v>
      </c>
    </row>
    <row r="35" spans="1:37" ht="16.05" customHeight="1">
      <c r="A35" s="6" t="s">
        <v>147</v>
      </c>
      <c r="B35" s="262">
        <v>10.5</v>
      </c>
      <c r="C35" s="11"/>
      <c r="D35" s="6" t="s">
        <v>130</v>
      </c>
      <c r="E35" s="262">
        <v>9.5</v>
      </c>
      <c r="F35" s="4"/>
      <c r="G35" s="6" t="s">
        <v>202</v>
      </c>
      <c r="H35" s="262">
        <v>10.5</v>
      </c>
      <c r="I35" s="4"/>
      <c r="J35" s="6" t="s">
        <v>122</v>
      </c>
      <c r="K35" s="262">
        <v>7</v>
      </c>
      <c r="L35" s="4"/>
      <c r="M35" s="8" t="s">
        <v>139</v>
      </c>
      <c r="N35" s="262">
        <v>9</v>
      </c>
      <c r="O35" s="22"/>
      <c r="R35" s="59">
        <v>33</v>
      </c>
      <c r="S35" s="52" t="s">
        <v>355</v>
      </c>
      <c r="T35" s="52" t="s">
        <v>1888</v>
      </c>
      <c r="U35" s="69">
        <v>8.9600000000000009</v>
      </c>
      <c r="V35" s="279">
        <v>8.93</v>
      </c>
      <c r="W35" s="52">
        <v>9</v>
      </c>
      <c r="X35" s="52">
        <v>0.59</v>
      </c>
      <c r="Y35" s="52">
        <v>2</v>
      </c>
      <c r="Z35" s="52">
        <v>12</v>
      </c>
      <c r="AA35" s="52">
        <v>0</v>
      </c>
      <c r="AB35" s="52" t="s">
        <v>1889</v>
      </c>
      <c r="AC35" s="69">
        <v>2003</v>
      </c>
      <c r="AD35" s="69" t="s">
        <v>1968</v>
      </c>
      <c r="AG35" s="68" t="s">
        <v>1073</v>
      </c>
      <c r="AH35" s="136" t="s">
        <v>1074</v>
      </c>
      <c r="AK35" t="s">
        <v>368</v>
      </c>
    </row>
    <row r="36" spans="1:37" ht="16.05" customHeight="1">
      <c r="A36" s="6" t="s">
        <v>148</v>
      </c>
      <c r="B36" s="262">
        <v>9.5</v>
      </c>
      <c r="C36" s="11"/>
      <c r="D36" s="6" t="s">
        <v>131</v>
      </c>
      <c r="E36" s="262">
        <v>8</v>
      </c>
      <c r="F36" s="4"/>
      <c r="G36" s="6" t="s">
        <v>203</v>
      </c>
      <c r="H36" s="262"/>
      <c r="I36" s="4"/>
      <c r="J36" s="6" t="s">
        <v>123</v>
      </c>
      <c r="K36" s="262"/>
      <c r="L36" s="4"/>
      <c r="M36" s="8" t="s">
        <v>140</v>
      </c>
      <c r="N36" s="262">
        <v>8.5</v>
      </c>
      <c r="O36" s="22"/>
      <c r="R36" s="59">
        <v>34</v>
      </c>
      <c r="S36" s="68" t="s">
        <v>1356</v>
      </c>
      <c r="T36" s="68" t="s">
        <v>1347</v>
      </c>
      <c r="U36" s="70">
        <v>8.9499999999999993</v>
      </c>
      <c r="V36" s="287">
        <v>8.91</v>
      </c>
      <c r="W36" s="68">
        <v>9</v>
      </c>
      <c r="X36" s="68">
        <v>0.54</v>
      </c>
      <c r="Y36" s="68">
        <v>1</v>
      </c>
      <c r="Z36" s="68">
        <v>11</v>
      </c>
      <c r="AA36" s="68">
        <v>0</v>
      </c>
      <c r="AB36" s="68" t="s">
        <v>1360</v>
      </c>
      <c r="AC36" s="70">
        <v>2025</v>
      </c>
      <c r="AD36" s="70" t="s">
        <v>1972</v>
      </c>
      <c r="AG36" s="52" t="s">
        <v>1075</v>
      </c>
      <c r="AH36" s="137" t="s">
        <v>1838</v>
      </c>
      <c r="AK36" t="s">
        <v>420</v>
      </c>
    </row>
    <row r="37" spans="1:37" ht="16.05" customHeight="1" thickBot="1">
      <c r="A37" s="6" t="s">
        <v>149</v>
      </c>
      <c r="B37" s="262">
        <v>9.5</v>
      </c>
      <c r="C37" s="11"/>
      <c r="D37" s="9" t="s">
        <v>132</v>
      </c>
      <c r="E37" s="263">
        <v>8.5</v>
      </c>
      <c r="F37" s="4"/>
      <c r="G37" s="6" t="s">
        <v>204</v>
      </c>
      <c r="H37" s="262">
        <v>8.5</v>
      </c>
      <c r="I37" s="4"/>
      <c r="J37" s="6" t="s">
        <v>124</v>
      </c>
      <c r="K37" s="262">
        <v>7.5</v>
      </c>
      <c r="L37" s="4"/>
      <c r="M37" s="10" t="s">
        <v>141</v>
      </c>
      <c r="N37" s="263">
        <v>10</v>
      </c>
      <c r="O37" s="22"/>
      <c r="R37" s="59">
        <v>35</v>
      </c>
      <c r="S37" s="52" t="s">
        <v>1196</v>
      </c>
      <c r="T37" s="52" t="s">
        <v>2155</v>
      </c>
      <c r="U37" s="69">
        <v>8.7200000000000006</v>
      </c>
      <c r="V37" s="287">
        <v>8.91</v>
      </c>
      <c r="W37" s="52">
        <v>8.5</v>
      </c>
      <c r="X37" s="52">
        <v>0.85</v>
      </c>
      <c r="Y37" s="52">
        <v>5</v>
      </c>
      <c r="Z37" s="52">
        <v>30</v>
      </c>
      <c r="AA37" s="52">
        <v>1</v>
      </c>
      <c r="AB37" s="52" t="s">
        <v>1580</v>
      </c>
      <c r="AC37" s="69">
        <v>2013</v>
      </c>
      <c r="AD37" s="69" t="s">
        <v>2159</v>
      </c>
      <c r="AG37" s="68" t="s">
        <v>1076</v>
      </c>
      <c r="AH37" s="136" t="s">
        <v>2060</v>
      </c>
      <c r="AK37" t="s">
        <v>1275</v>
      </c>
    </row>
    <row r="38" spans="1:37" ht="16.05" customHeight="1" thickBot="1">
      <c r="A38" s="6" t="s">
        <v>150</v>
      </c>
      <c r="B38" s="262">
        <v>10.5</v>
      </c>
      <c r="C38" s="4"/>
      <c r="D38" s="4"/>
      <c r="E38" s="4"/>
      <c r="F38" s="4"/>
      <c r="G38" s="6" t="s">
        <v>205</v>
      </c>
      <c r="H38" s="262"/>
      <c r="I38" s="4"/>
      <c r="J38" s="9" t="s">
        <v>125</v>
      </c>
      <c r="K38" s="263">
        <v>7.5</v>
      </c>
      <c r="L38" s="4"/>
      <c r="M38" s="21"/>
      <c r="N38" s="21"/>
      <c r="O38" s="22"/>
      <c r="R38" s="59">
        <v>36</v>
      </c>
      <c r="S38" s="68" t="s">
        <v>1196</v>
      </c>
      <c r="T38" s="68" t="s">
        <v>1577</v>
      </c>
      <c r="U38" s="70">
        <v>8.7200000000000006</v>
      </c>
      <c r="V38" s="53">
        <v>8.89</v>
      </c>
      <c r="W38" s="68">
        <v>8.5</v>
      </c>
      <c r="X38" s="68">
        <v>1.03</v>
      </c>
      <c r="Y38" s="68">
        <v>5</v>
      </c>
      <c r="Z38" s="68">
        <v>24</v>
      </c>
      <c r="AA38" s="68">
        <v>1</v>
      </c>
      <c r="AB38" s="68" t="s">
        <v>1580</v>
      </c>
      <c r="AC38" s="70">
        <v>2011</v>
      </c>
      <c r="AD38" s="70" t="s">
        <v>1969</v>
      </c>
      <c r="AG38" s="52" t="s">
        <v>1077</v>
      </c>
      <c r="AH38" s="137" t="s">
        <v>1839</v>
      </c>
    </row>
    <row r="39" spans="1:37" ht="16.05" customHeight="1" thickBot="1">
      <c r="A39" s="6" t="s">
        <v>151</v>
      </c>
      <c r="B39" s="262">
        <v>9.5</v>
      </c>
      <c r="C39" s="4"/>
      <c r="D39" s="101" t="s">
        <v>894</v>
      </c>
      <c r="E39" s="3">
        <f>ROUND(SUM(E40:E52)/COUNT(E40:E52), 2)</f>
        <v>8.65</v>
      </c>
      <c r="F39" s="4"/>
      <c r="G39" s="6" t="s">
        <v>206</v>
      </c>
      <c r="H39" s="262">
        <v>9</v>
      </c>
      <c r="I39" s="4"/>
      <c r="J39" s="21"/>
      <c r="K39" s="21"/>
      <c r="L39" s="4"/>
      <c r="M39" s="28" t="s">
        <v>327</v>
      </c>
      <c r="N39" s="14">
        <f>ROUND(SUM(N40:N52)/COUNT(N40:N52), 2)</f>
        <v>9.2100000000000009</v>
      </c>
      <c r="O39" s="22"/>
      <c r="R39" s="59">
        <v>37</v>
      </c>
      <c r="S39" s="52" t="s">
        <v>730</v>
      </c>
      <c r="T39" s="52" t="s">
        <v>1451</v>
      </c>
      <c r="U39" s="69">
        <v>8.8800000000000008</v>
      </c>
      <c r="V39" s="53">
        <v>8.89</v>
      </c>
      <c r="W39" s="52">
        <v>8.5</v>
      </c>
      <c r="X39" s="52">
        <v>0.74</v>
      </c>
      <c r="Y39" s="52">
        <v>2</v>
      </c>
      <c r="Z39" s="52">
        <v>15</v>
      </c>
      <c r="AA39" s="52">
        <v>2</v>
      </c>
      <c r="AB39" s="52" t="s">
        <v>1452</v>
      </c>
      <c r="AC39" s="69">
        <v>2005</v>
      </c>
      <c r="AD39" s="69" t="s">
        <v>1960</v>
      </c>
      <c r="AK39" t="s">
        <v>798</v>
      </c>
    </row>
    <row r="40" spans="1:37" ht="16.05" customHeight="1" thickBot="1">
      <c r="A40" s="6" t="s">
        <v>152</v>
      </c>
      <c r="B40" s="262"/>
      <c r="C40" s="4"/>
      <c r="D40" s="7" t="s">
        <v>164</v>
      </c>
      <c r="E40" s="261">
        <v>8.5</v>
      </c>
      <c r="F40" s="4"/>
      <c r="G40" s="6" t="s">
        <v>207</v>
      </c>
      <c r="H40" s="262"/>
      <c r="I40" s="4"/>
      <c r="J40" s="105" t="s">
        <v>898</v>
      </c>
      <c r="K40" s="14">
        <f>ROUND(SUM(K41:K52)/COUNT(K41:K52), 2)</f>
        <v>8.3800000000000008</v>
      </c>
      <c r="L40" s="4"/>
      <c r="M40" s="6" t="s">
        <v>176</v>
      </c>
      <c r="N40" s="261">
        <v>10</v>
      </c>
      <c r="O40" s="22"/>
      <c r="R40" s="59">
        <v>38</v>
      </c>
      <c r="S40" s="68" t="s">
        <v>1396</v>
      </c>
      <c r="T40" s="68" t="s">
        <v>1397</v>
      </c>
      <c r="U40" s="70">
        <v>8.82</v>
      </c>
      <c r="V40" s="218">
        <v>8.8800000000000008</v>
      </c>
      <c r="W40" s="68">
        <v>8.75</v>
      </c>
      <c r="X40" s="68">
        <v>0.92</v>
      </c>
      <c r="Y40" s="68">
        <v>3</v>
      </c>
      <c r="Z40" s="68">
        <v>16</v>
      </c>
      <c r="AA40" s="68">
        <v>2</v>
      </c>
      <c r="AB40" s="68" t="s">
        <v>1398</v>
      </c>
      <c r="AC40" s="70">
        <v>2015</v>
      </c>
      <c r="AD40" s="70" t="s">
        <v>1970</v>
      </c>
      <c r="AG40" s="135" t="s">
        <v>1078</v>
      </c>
      <c r="AH40" s="135"/>
    </row>
    <row r="41" spans="1:37" ht="16.05" customHeight="1">
      <c r="A41" s="6" t="s">
        <v>153</v>
      </c>
      <c r="B41" s="262">
        <v>9</v>
      </c>
      <c r="C41" s="4"/>
      <c r="D41" s="8" t="s">
        <v>165</v>
      </c>
      <c r="E41" s="262">
        <v>9</v>
      </c>
      <c r="F41" s="4"/>
      <c r="G41" s="6" t="s">
        <v>208</v>
      </c>
      <c r="H41" s="262">
        <v>10</v>
      </c>
      <c r="I41" s="4"/>
      <c r="J41" s="13" t="s">
        <v>190</v>
      </c>
      <c r="K41" s="261">
        <v>9</v>
      </c>
      <c r="L41" s="4"/>
      <c r="M41" s="6" t="s">
        <v>177</v>
      </c>
      <c r="N41" s="262">
        <v>9.5</v>
      </c>
      <c r="O41" s="22"/>
      <c r="R41" s="59">
        <v>39</v>
      </c>
      <c r="S41" s="52" t="s">
        <v>1515</v>
      </c>
      <c r="T41" s="52" t="s">
        <v>1516</v>
      </c>
      <c r="U41" s="69">
        <v>8.93</v>
      </c>
      <c r="V41" s="218">
        <v>8.8800000000000008</v>
      </c>
      <c r="W41" s="52">
        <v>9</v>
      </c>
      <c r="X41" s="52">
        <v>0.73</v>
      </c>
      <c r="Y41" s="52">
        <v>1</v>
      </c>
      <c r="Z41" s="52">
        <v>7</v>
      </c>
      <c r="AA41" s="52">
        <v>0</v>
      </c>
      <c r="AB41" s="52" t="s">
        <v>1519</v>
      </c>
      <c r="AC41" s="69">
        <v>2000</v>
      </c>
      <c r="AD41" s="69" t="s">
        <v>1966</v>
      </c>
      <c r="AG41" s="68" t="s">
        <v>1079</v>
      </c>
      <c r="AH41" s="136" t="s">
        <v>2212</v>
      </c>
    </row>
    <row r="42" spans="1:37" ht="16.05" customHeight="1">
      <c r="A42" s="6" t="s">
        <v>154</v>
      </c>
      <c r="B42" s="262">
        <v>9.5</v>
      </c>
      <c r="C42" s="4"/>
      <c r="D42" s="8" t="s">
        <v>166</v>
      </c>
      <c r="E42" s="262">
        <v>8.5</v>
      </c>
      <c r="F42" s="4"/>
      <c r="G42" s="6" t="s">
        <v>209</v>
      </c>
      <c r="H42" s="262"/>
      <c r="I42" s="4"/>
      <c r="J42" s="6" t="s">
        <v>191</v>
      </c>
      <c r="K42" s="262">
        <v>8.5</v>
      </c>
      <c r="L42" s="4"/>
      <c r="M42" s="6" t="s">
        <v>178</v>
      </c>
      <c r="N42" s="262">
        <v>9</v>
      </c>
      <c r="O42" s="22"/>
      <c r="R42" s="59">
        <v>40</v>
      </c>
      <c r="S42" s="68" t="s">
        <v>1619</v>
      </c>
      <c r="T42" s="68" t="s">
        <v>1620</v>
      </c>
      <c r="U42" s="70">
        <v>8.9</v>
      </c>
      <c r="V42" s="218">
        <v>8.8800000000000008</v>
      </c>
      <c r="W42" s="68">
        <v>9</v>
      </c>
      <c r="X42" s="68">
        <v>0.66</v>
      </c>
      <c r="Y42" s="68">
        <v>1</v>
      </c>
      <c r="Z42" s="68">
        <v>5</v>
      </c>
      <c r="AA42" s="68">
        <v>0</v>
      </c>
      <c r="AB42" s="68" t="s">
        <v>1621</v>
      </c>
      <c r="AC42" s="70">
        <v>1974</v>
      </c>
      <c r="AD42" s="70" t="s">
        <v>1955</v>
      </c>
      <c r="AG42" s="52" t="s">
        <v>1080</v>
      </c>
      <c r="AH42" s="137">
        <v>88</v>
      </c>
      <c r="AK42" t="s">
        <v>1017</v>
      </c>
    </row>
    <row r="43" spans="1:37" ht="16.05" customHeight="1">
      <c r="A43" s="6" t="s">
        <v>155</v>
      </c>
      <c r="B43" s="262">
        <v>9.5</v>
      </c>
      <c r="C43" s="4"/>
      <c r="D43" s="8" t="s">
        <v>167</v>
      </c>
      <c r="E43" s="262">
        <v>10</v>
      </c>
      <c r="F43" s="4"/>
      <c r="G43" s="6" t="s">
        <v>210</v>
      </c>
      <c r="H43" s="262">
        <v>9.5</v>
      </c>
      <c r="I43" s="4"/>
      <c r="J43" s="6" t="s">
        <v>192</v>
      </c>
      <c r="K43" s="262">
        <v>9</v>
      </c>
      <c r="L43" s="4"/>
      <c r="M43" s="6" t="s">
        <v>179</v>
      </c>
      <c r="N43" s="262">
        <v>10.5</v>
      </c>
      <c r="O43" s="22"/>
      <c r="R43" s="59">
        <v>41</v>
      </c>
      <c r="S43" s="52" t="s">
        <v>1774</v>
      </c>
      <c r="T43" s="52" t="s">
        <v>1775</v>
      </c>
      <c r="U43" s="69">
        <v>8.91</v>
      </c>
      <c r="V43" s="218">
        <v>8.8800000000000008</v>
      </c>
      <c r="W43" s="52">
        <v>9</v>
      </c>
      <c r="X43" s="52">
        <v>0.67</v>
      </c>
      <c r="Y43" s="52">
        <v>2</v>
      </c>
      <c r="Z43" s="52">
        <v>11</v>
      </c>
      <c r="AA43" s="52">
        <v>0</v>
      </c>
      <c r="AB43" s="52" t="s">
        <v>1110</v>
      </c>
      <c r="AC43" s="69">
        <v>1994</v>
      </c>
      <c r="AD43" s="69" t="s">
        <v>1971</v>
      </c>
      <c r="AG43" s="68" t="s">
        <v>1081</v>
      </c>
      <c r="AH43" s="136" t="s">
        <v>2072</v>
      </c>
    </row>
    <row r="44" spans="1:37" ht="16.05" customHeight="1">
      <c r="A44" s="6" t="s">
        <v>156</v>
      </c>
      <c r="B44" s="262">
        <v>10</v>
      </c>
      <c r="C44" s="4"/>
      <c r="D44" s="8" t="s">
        <v>168</v>
      </c>
      <c r="E44" s="262">
        <v>9</v>
      </c>
      <c r="F44" s="4"/>
      <c r="G44" s="6" t="s">
        <v>211</v>
      </c>
      <c r="H44" s="262"/>
      <c r="I44" s="4"/>
      <c r="J44" s="6" t="s">
        <v>193</v>
      </c>
      <c r="K44" s="262">
        <v>9.5</v>
      </c>
      <c r="L44" s="4"/>
      <c r="M44" s="6" t="s">
        <v>180</v>
      </c>
      <c r="N44" s="262">
        <v>8.5</v>
      </c>
      <c r="O44" s="22"/>
      <c r="R44" s="59">
        <v>42</v>
      </c>
      <c r="S44" s="68" t="s">
        <v>348</v>
      </c>
      <c r="T44" s="68" t="s">
        <v>349</v>
      </c>
      <c r="U44" s="70">
        <v>8.89</v>
      </c>
      <c r="V44" s="219">
        <v>8.8699999999999992</v>
      </c>
      <c r="W44" s="68">
        <v>9</v>
      </c>
      <c r="X44" s="68">
        <v>0.7</v>
      </c>
      <c r="Y44" s="68">
        <v>2</v>
      </c>
      <c r="Z44" s="68">
        <v>9</v>
      </c>
      <c r="AA44" s="68">
        <v>0</v>
      </c>
      <c r="AB44" s="68" t="s">
        <v>772</v>
      </c>
      <c r="AC44" s="70">
        <v>2020</v>
      </c>
      <c r="AD44" s="70" t="s">
        <v>1972</v>
      </c>
      <c r="AG44" s="52" t="s">
        <v>1082</v>
      </c>
      <c r="AH44" s="137" t="s">
        <v>2200</v>
      </c>
    </row>
    <row r="45" spans="1:37" ht="16.05" customHeight="1" thickBot="1">
      <c r="A45" s="9" t="s">
        <v>157</v>
      </c>
      <c r="B45" s="263">
        <v>8.5</v>
      </c>
      <c r="C45" s="4"/>
      <c r="D45" s="8" t="s">
        <v>160</v>
      </c>
      <c r="E45" s="262">
        <v>8</v>
      </c>
      <c r="F45" s="4"/>
      <c r="G45" s="6" t="s">
        <v>212</v>
      </c>
      <c r="H45" s="263">
        <v>8.5</v>
      </c>
      <c r="I45" s="4"/>
      <c r="J45" s="6" t="s">
        <v>194</v>
      </c>
      <c r="K45" s="262">
        <v>7.5</v>
      </c>
      <c r="L45" s="4"/>
      <c r="M45" s="6" t="s">
        <v>181</v>
      </c>
      <c r="N45" s="262">
        <v>8</v>
      </c>
      <c r="O45" s="22"/>
      <c r="R45" s="59">
        <v>43</v>
      </c>
      <c r="S45" s="52" t="s">
        <v>350</v>
      </c>
      <c r="T45" s="52" t="s">
        <v>350</v>
      </c>
      <c r="U45" s="69">
        <v>8.83</v>
      </c>
      <c r="V45" s="177">
        <v>8.86</v>
      </c>
      <c r="W45" s="52">
        <v>8.5</v>
      </c>
      <c r="X45" s="52">
        <v>0.82</v>
      </c>
      <c r="Y45" s="52">
        <v>2</v>
      </c>
      <c r="Z45" s="52">
        <v>9</v>
      </c>
      <c r="AA45" s="52">
        <v>0</v>
      </c>
      <c r="AB45" s="52" t="s">
        <v>1228</v>
      </c>
      <c r="AC45" s="69">
        <v>1978</v>
      </c>
      <c r="AD45" s="69" t="s">
        <v>1954</v>
      </c>
      <c r="AG45" s="68" t="s">
        <v>1083</v>
      </c>
      <c r="AH45" s="136" t="s">
        <v>1084</v>
      </c>
    </row>
    <row r="46" spans="1:37" ht="16.05" customHeight="1" thickBot="1">
      <c r="A46" s="19"/>
      <c r="B46" s="19"/>
      <c r="C46" s="4"/>
      <c r="D46" s="8" t="s">
        <v>169</v>
      </c>
      <c r="E46" s="262">
        <v>9</v>
      </c>
      <c r="F46" s="4"/>
      <c r="G46" s="19"/>
      <c r="H46" s="19"/>
      <c r="I46" s="4"/>
      <c r="J46" s="6" t="s">
        <v>195</v>
      </c>
      <c r="K46" s="262">
        <v>10</v>
      </c>
      <c r="L46" s="4"/>
      <c r="M46" s="6" t="s">
        <v>182</v>
      </c>
      <c r="N46" s="262">
        <v>8.5</v>
      </c>
      <c r="O46" s="22"/>
      <c r="R46" s="59">
        <v>44</v>
      </c>
      <c r="S46" s="68" t="s">
        <v>354</v>
      </c>
      <c r="T46" s="68" t="s">
        <v>1006</v>
      </c>
      <c r="U46" s="70">
        <v>8.73</v>
      </c>
      <c r="V46" s="178">
        <v>8.85</v>
      </c>
      <c r="W46" s="68">
        <v>9</v>
      </c>
      <c r="X46" s="68">
        <v>0.96</v>
      </c>
      <c r="Y46" s="68">
        <v>2</v>
      </c>
      <c r="Z46" s="68">
        <v>11</v>
      </c>
      <c r="AA46" s="68">
        <v>0</v>
      </c>
      <c r="AB46" s="68" t="s">
        <v>1012</v>
      </c>
      <c r="AC46" s="70">
        <v>2002</v>
      </c>
      <c r="AD46" s="70" t="s">
        <v>1956</v>
      </c>
    </row>
    <row r="47" spans="1:37" ht="16.05" customHeight="1" thickBot="1">
      <c r="A47" s="100" t="s">
        <v>893</v>
      </c>
      <c r="B47" s="14">
        <f>ROUND(SUM(B48:B57)/COUNT(B48:B57), 2)</f>
        <v>8.7799999999999994</v>
      </c>
      <c r="C47" s="4"/>
      <c r="D47" s="8" t="s">
        <v>170</v>
      </c>
      <c r="E47" s="262">
        <v>8.5</v>
      </c>
      <c r="F47" s="22"/>
      <c r="G47" s="106" t="s">
        <v>899</v>
      </c>
      <c r="H47" s="3">
        <f>ROUND(SUM(H48:H55)/COUNT(H48:H55), 2)</f>
        <v>9.3800000000000008</v>
      </c>
      <c r="I47" s="4"/>
      <c r="J47" s="6" t="s">
        <v>196</v>
      </c>
      <c r="K47" s="262">
        <v>8</v>
      </c>
      <c r="L47" s="4"/>
      <c r="M47" s="6" t="s">
        <v>183</v>
      </c>
      <c r="N47" s="262">
        <v>8.5</v>
      </c>
      <c r="O47" s="22"/>
      <c r="R47" s="59">
        <v>45</v>
      </c>
      <c r="S47" s="52" t="s">
        <v>350</v>
      </c>
      <c r="T47" s="52" t="s">
        <v>95</v>
      </c>
      <c r="U47" s="69">
        <v>8.83</v>
      </c>
      <c r="V47" s="220">
        <v>8.84</v>
      </c>
      <c r="W47" s="52">
        <v>8.5</v>
      </c>
      <c r="X47" s="52">
        <v>0.94</v>
      </c>
      <c r="Y47" s="52">
        <v>2</v>
      </c>
      <c r="Z47" s="52">
        <v>9</v>
      </c>
      <c r="AA47" s="52">
        <v>0</v>
      </c>
      <c r="AB47" s="52" t="s">
        <v>773</v>
      </c>
      <c r="AC47" s="69">
        <v>1985</v>
      </c>
      <c r="AD47" s="69" t="s">
        <v>1956</v>
      </c>
      <c r="AG47" s="135" t="s">
        <v>1085</v>
      </c>
      <c r="AH47" s="135"/>
    </row>
    <row r="48" spans="1:37" ht="16.05" customHeight="1">
      <c r="A48" s="7" t="s">
        <v>255</v>
      </c>
      <c r="B48" s="261"/>
      <c r="C48" s="4"/>
      <c r="D48" s="8" t="s">
        <v>171</v>
      </c>
      <c r="E48" s="262">
        <v>8</v>
      </c>
      <c r="F48" s="4"/>
      <c r="G48" s="7" t="s">
        <v>213</v>
      </c>
      <c r="H48" s="261">
        <v>10</v>
      </c>
      <c r="I48" s="4"/>
      <c r="J48" s="6" t="s">
        <v>162</v>
      </c>
      <c r="K48" s="262">
        <v>7.5</v>
      </c>
      <c r="L48" s="4"/>
      <c r="M48" s="6" t="s">
        <v>184</v>
      </c>
      <c r="N48" s="262">
        <v>10</v>
      </c>
      <c r="O48" s="22"/>
      <c r="R48" s="59">
        <v>46</v>
      </c>
      <c r="S48" s="68" t="s">
        <v>1548</v>
      </c>
      <c r="T48" s="68" t="s">
        <v>1549</v>
      </c>
      <c r="U48" s="70">
        <v>8.82</v>
      </c>
      <c r="V48" s="220">
        <v>8.84</v>
      </c>
      <c r="W48" s="68">
        <v>8.5</v>
      </c>
      <c r="X48" s="68">
        <v>0.81</v>
      </c>
      <c r="Y48" s="68">
        <v>2</v>
      </c>
      <c r="Z48" s="68">
        <v>12</v>
      </c>
      <c r="AA48" s="68">
        <v>1</v>
      </c>
      <c r="AB48" s="68" t="s">
        <v>790</v>
      </c>
      <c r="AC48" s="70">
        <v>2005</v>
      </c>
      <c r="AD48" s="70" t="s">
        <v>1965</v>
      </c>
      <c r="AG48" s="52" t="s">
        <v>1086</v>
      </c>
      <c r="AH48" s="137" t="s">
        <v>2201</v>
      </c>
    </row>
    <row r="49" spans="1:34" ht="16.05" customHeight="1">
      <c r="A49" s="8" t="s">
        <v>256</v>
      </c>
      <c r="B49" s="262">
        <v>10</v>
      </c>
      <c r="C49" s="4"/>
      <c r="D49" s="8" t="s">
        <v>172</v>
      </c>
      <c r="E49" s="262">
        <v>10</v>
      </c>
      <c r="F49" s="4"/>
      <c r="G49" s="8" t="s">
        <v>214</v>
      </c>
      <c r="H49" s="262">
        <v>9.5</v>
      </c>
      <c r="I49" s="4"/>
      <c r="J49" s="6" t="s">
        <v>197</v>
      </c>
      <c r="K49" s="262">
        <v>7</v>
      </c>
      <c r="L49" s="4"/>
      <c r="M49" s="6" t="s">
        <v>185</v>
      </c>
      <c r="N49" s="262"/>
      <c r="O49" s="22"/>
      <c r="R49" s="59">
        <v>47</v>
      </c>
      <c r="S49" s="52" t="s">
        <v>1407</v>
      </c>
      <c r="T49" s="52" t="s">
        <v>1400</v>
      </c>
      <c r="U49" s="69">
        <v>8.86</v>
      </c>
      <c r="V49" s="220">
        <v>8.83</v>
      </c>
      <c r="W49" s="52">
        <v>9</v>
      </c>
      <c r="X49" s="52">
        <v>0.69</v>
      </c>
      <c r="Y49" s="52">
        <v>1</v>
      </c>
      <c r="Z49" s="52">
        <v>7</v>
      </c>
      <c r="AA49" s="52">
        <v>0</v>
      </c>
      <c r="AB49" s="52" t="s">
        <v>1409</v>
      </c>
      <c r="AC49" s="69">
        <v>1971</v>
      </c>
      <c r="AD49" s="69" t="s">
        <v>1973</v>
      </c>
      <c r="AG49" s="68" t="s">
        <v>1092</v>
      </c>
      <c r="AH49" s="136" t="s">
        <v>1152</v>
      </c>
    </row>
    <row r="50" spans="1:34" ht="16.05" customHeight="1">
      <c r="A50" s="8" t="s">
        <v>257</v>
      </c>
      <c r="B50" s="262">
        <v>9</v>
      </c>
      <c r="C50" s="4"/>
      <c r="D50" s="8" t="s">
        <v>173</v>
      </c>
      <c r="E50" s="262">
        <v>8.5</v>
      </c>
      <c r="F50" s="4"/>
      <c r="G50" s="8" t="s">
        <v>215</v>
      </c>
      <c r="H50" s="262">
        <v>9.5</v>
      </c>
      <c r="I50" s="4"/>
      <c r="J50" s="6" t="s">
        <v>198</v>
      </c>
      <c r="K50" s="262">
        <v>7</v>
      </c>
      <c r="L50" s="4"/>
      <c r="M50" s="6" t="s">
        <v>186</v>
      </c>
      <c r="N50" s="262">
        <v>8</v>
      </c>
      <c r="O50" s="22"/>
      <c r="R50" s="59">
        <v>48</v>
      </c>
      <c r="S50" s="68" t="s">
        <v>1724</v>
      </c>
      <c r="T50" s="68" t="s">
        <v>2189</v>
      </c>
      <c r="U50" s="70">
        <v>8.81</v>
      </c>
      <c r="V50" s="220">
        <v>8.83</v>
      </c>
      <c r="W50" s="68">
        <v>8.5</v>
      </c>
      <c r="X50" s="68">
        <v>0.79</v>
      </c>
      <c r="Y50" s="68">
        <v>1</v>
      </c>
      <c r="Z50" s="68">
        <v>8</v>
      </c>
      <c r="AA50" s="68">
        <v>0</v>
      </c>
      <c r="AB50" s="68" t="s">
        <v>1378</v>
      </c>
      <c r="AC50" s="70">
        <v>1988</v>
      </c>
      <c r="AD50" s="70" t="s">
        <v>1948</v>
      </c>
      <c r="AG50" s="52" t="s">
        <v>1088</v>
      </c>
      <c r="AH50" s="137" t="s">
        <v>1089</v>
      </c>
    </row>
    <row r="51" spans="1:34" ht="16.05" customHeight="1">
      <c r="A51" s="8" t="s">
        <v>258</v>
      </c>
      <c r="B51" s="262">
        <v>9</v>
      </c>
      <c r="C51" s="4"/>
      <c r="D51" s="8" t="s">
        <v>174</v>
      </c>
      <c r="E51" s="262">
        <v>8</v>
      </c>
      <c r="F51" s="4"/>
      <c r="G51" s="8" t="s">
        <v>216</v>
      </c>
      <c r="H51" s="262">
        <v>10.5</v>
      </c>
      <c r="I51" s="4"/>
      <c r="J51" s="6" t="s">
        <v>199</v>
      </c>
      <c r="K51" s="262">
        <v>7.5</v>
      </c>
      <c r="L51" s="4"/>
      <c r="M51" s="6" t="s">
        <v>187</v>
      </c>
      <c r="N51" s="262">
        <v>10</v>
      </c>
      <c r="O51" s="22"/>
      <c r="R51" s="59">
        <v>49</v>
      </c>
      <c r="S51" s="52" t="s">
        <v>597</v>
      </c>
      <c r="T51" s="52" t="s">
        <v>598</v>
      </c>
      <c r="U51" s="69">
        <v>8.7799999999999994</v>
      </c>
      <c r="V51" s="179">
        <v>8.7899999999999991</v>
      </c>
      <c r="W51" s="52">
        <v>8.5</v>
      </c>
      <c r="X51" s="52">
        <v>0.97</v>
      </c>
      <c r="Y51" s="52">
        <v>2</v>
      </c>
      <c r="Z51" s="52">
        <v>9</v>
      </c>
      <c r="AA51" s="52">
        <v>0</v>
      </c>
      <c r="AB51" s="52" t="s">
        <v>833</v>
      </c>
      <c r="AC51" s="69">
        <v>1983</v>
      </c>
      <c r="AD51" s="69" t="s">
        <v>1957</v>
      </c>
      <c r="AG51" s="68" t="s">
        <v>1091</v>
      </c>
      <c r="AH51" s="136" t="s">
        <v>2015</v>
      </c>
    </row>
    <row r="52" spans="1:34" ht="16.05" customHeight="1" thickBot="1">
      <c r="A52" s="8" t="s">
        <v>259</v>
      </c>
      <c r="B52" s="262">
        <v>8</v>
      </c>
      <c r="C52" s="4"/>
      <c r="D52" s="10" t="s">
        <v>175</v>
      </c>
      <c r="E52" s="263">
        <v>7.5</v>
      </c>
      <c r="F52" s="4"/>
      <c r="G52" s="8" t="s">
        <v>217</v>
      </c>
      <c r="H52" s="262">
        <v>8.5</v>
      </c>
      <c r="I52" s="4"/>
      <c r="J52" s="9" t="s">
        <v>200</v>
      </c>
      <c r="K52" s="263">
        <v>10</v>
      </c>
      <c r="L52" s="4"/>
      <c r="M52" s="9" t="s">
        <v>188</v>
      </c>
      <c r="N52" s="263">
        <v>10</v>
      </c>
      <c r="O52" s="22"/>
      <c r="R52" s="59">
        <v>50</v>
      </c>
      <c r="S52" s="68" t="s">
        <v>346</v>
      </c>
      <c r="T52" s="68" t="s">
        <v>640</v>
      </c>
      <c r="U52" s="70">
        <v>8.77</v>
      </c>
      <c r="V52" s="179">
        <v>8.7899999999999991</v>
      </c>
      <c r="W52" s="68">
        <v>8.5</v>
      </c>
      <c r="X52" s="68">
        <v>0.99</v>
      </c>
      <c r="Y52" s="68">
        <v>3</v>
      </c>
      <c r="Z52" s="68">
        <v>13</v>
      </c>
      <c r="AA52" s="68">
        <v>0</v>
      </c>
      <c r="AB52" s="68" t="s">
        <v>771</v>
      </c>
      <c r="AC52" s="70">
        <v>2013</v>
      </c>
      <c r="AD52" s="70" t="s">
        <v>1974</v>
      </c>
      <c r="AG52" s="52" t="s">
        <v>1114</v>
      </c>
      <c r="AH52" s="137" t="s">
        <v>1823</v>
      </c>
    </row>
    <row r="53" spans="1:34" ht="16.05" customHeight="1" thickBot="1">
      <c r="A53" s="8" t="s">
        <v>260</v>
      </c>
      <c r="B53" s="262">
        <v>8</v>
      </c>
      <c r="C53" s="4"/>
      <c r="D53" s="19"/>
      <c r="E53" s="21"/>
      <c r="F53" s="4"/>
      <c r="G53" s="8" t="s">
        <v>218</v>
      </c>
      <c r="H53" s="262">
        <v>8</v>
      </c>
      <c r="I53" s="4"/>
      <c r="J53" s="21"/>
      <c r="K53" s="21"/>
      <c r="L53" s="4"/>
      <c r="M53" s="21"/>
      <c r="N53" s="21"/>
      <c r="O53" s="22"/>
      <c r="R53" s="59">
        <v>51</v>
      </c>
      <c r="S53" s="52" t="s">
        <v>830</v>
      </c>
      <c r="T53" s="52" t="s">
        <v>831</v>
      </c>
      <c r="U53" s="69">
        <v>8.82</v>
      </c>
      <c r="V53" s="179">
        <v>8.7899999999999991</v>
      </c>
      <c r="W53" s="52">
        <v>9</v>
      </c>
      <c r="X53" s="52">
        <v>0.86</v>
      </c>
      <c r="Y53" s="52">
        <v>3</v>
      </c>
      <c r="Z53" s="52">
        <v>13</v>
      </c>
      <c r="AA53" s="52">
        <v>2</v>
      </c>
      <c r="AB53" s="52" t="s">
        <v>832</v>
      </c>
      <c r="AC53" s="69">
        <v>2010</v>
      </c>
      <c r="AD53" s="69" t="s">
        <v>1975</v>
      </c>
      <c r="AG53" s="68" t="s">
        <v>1093</v>
      </c>
      <c r="AH53" s="136" t="s">
        <v>1094</v>
      </c>
    </row>
    <row r="54" spans="1:34" ht="16.05" customHeight="1" thickBot="1">
      <c r="A54" s="8" t="s">
        <v>261</v>
      </c>
      <c r="B54" s="262">
        <v>8</v>
      </c>
      <c r="C54" s="4"/>
      <c r="D54" s="99" t="s">
        <v>892</v>
      </c>
      <c r="E54" s="14">
        <f>ROUND(SUM(E55:E63)/COUNT(E55:E63), 2)</f>
        <v>9</v>
      </c>
      <c r="F54" s="4"/>
      <c r="G54" s="8" t="s">
        <v>219</v>
      </c>
      <c r="H54" s="262">
        <v>9</v>
      </c>
      <c r="I54" s="22"/>
      <c r="J54" s="58" t="s">
        <v>407</v>
      </c>
      <c r="K54" s="3">
        <f>ROUND(SUM(K55:K64)/COUNT(K55:K64), 2)</f>
        <v>8.35</v>
      </c>
      <c r="L54" s="4"/>
      <c r="M54" s="98" t="s">
        <v>891</v>
      </c>
      <c r="N54" s="14">
        <f>ROUND(SUM(N55:N65)/COUNT(N55:N65), 2)</f>
        <v>9.15</v>
      </c>
      <c r="O54" s="22"/>
      <c r="R54" s="59">
        <v>52</v>
      </c>
      <c r="S54" s="68" t="s">
        <v>1301</v>
      </c>
      <c r="T54" s="68" t="s">
        <v>1302</v>
      </c>
      <c r="U54" s="70">
        <v>8.67</v>
      </c>
      <c r="V54" s="179">
        <v>8.7899999999999991</v>
      </c>
      <c r="W54" s="68">
        <v>9</v>
      </c>
      <c r="X54" s="68">
        <v>1.08</v>
      </c>
      <c r="Y54" s="68">
        <v>2</v>
      </c>
      <c r="Z54" s="68">
        <v>9</v>
      </c>
      <c r="AA54" s="68">
        <v>0</v>
      </c>
      <c r="AB54" s="68" t="s">
        <v>1306</v>
      </c>
      <c r="AC54" s="70">
        <v>2008</v>
      </c>
      <c r="AD54" s="70" t="s">
        <v>1976</v>
      </c>
      <c r="AG54" s="52" t="s">
        <v>1095</v>
      </c>
      <c r="AH54" s="137" t="s">
        <v>1094</v>
      </c>
    </row>
    <row r="55" spans="1:34" ht="16.05" customHeight="1" thickBot="1">
      <c r="A55" s="8" t="s">
        <v>262</v>
      </c>
      <c r="B55" s="262">
        <v>8</v>
      </c>
      <c r="C55" s="4"/>
      <c r="D55" s="7" t="s">
        <v>266</v>
      </c>
      <c r="E55" s="261">
        <v>10</v>
      </c>
      <c r="F55" s="4"/>
      <c r="G55" s="10" t="s">
        <v>220</v>
      </c>
      <c r="H55" s="263">
        <v>10</v>
      </c>
      <c r="I55" s="4"/>
      <c r="J55" s="7" t="s">
        <v>302</v>
      </c>
      <c r="K55" s="261">
        <v>10</v>
      </c>
      <c r="L55" s="4"/>
      <c r="M55" s="7" t="s">
        <v>291</v>
      </c>
      <c r="N55" s="261">
        <v>10</v>
      </c>
      <c r="O55" s="22"/>
      <c r="R55" s="59">
        <v>53</v>
      </c>
      <c r="S55" s="52" t="s">
        <v>1701</v>
      </c>
      <c r="T55" s="52" t="s">
        <v>1700</v>
      </c>
      <c r="U55" s="69">
        <v>8.85</v>
      </c>
      <c r="V55" s="221">
        <v>8.7799999999999994</v>
      </c>
      <c r="W55" s="52">
        <v>8.75</v>
      </c>
      <c r="X55" s="52">
        <v>0.55000000000000004</v>
      </c>
      <c r="Y55" s="52">
        <v>1</v>
      </c>
      <c r="Z55" s="52">
        <v>10</v>
      </c>
      <c r="AA55" s="52">
        <v>0</v>
      </c>
      <c r="AB55" s="52" t="s">
        <v>1702</v>
      </c>
      <c r="AC55" s="69">
        <v>2014</v>
      </c>
      <c r="AD55" s="69" t="s">
        <v>1977</v>
      </c>
      <c r="AG55" s="68" t="s">
        <v>1087</v>
      </c>
      <c r="AH55" s="136" t="s">
        <v>1891</v>
      </c>
    </row>
    <row r="56" spans="1:34" ht="16.05" customHeight="1" thickBot="1">
      <c r="A56" s="8" t="s">
        <v>263</v>
      </c>
      <c r="B56" s="262">
        <v>10</v>
      </c>
      <c r="C56" s="4"/>
      <c r="D56" s="8" t="s">
        <v>267</v>
      </c>
      <c r="E56" s="262">
        <v>9.5</v>
      </c>
      <c r="F56" s="4"/>
      <c r="G56" s="21"/>
      <c r="H56" s="21"/>
      <c r="I56" s="4"/>
      <c r="J56" s="8" t="s">
        <v>303</v>
      </c>
      <c r="K56" s="262">
        <v>9</v>
      </c>
      <c r="L56" s="4"/>
      <c r="M56" s="8" t="s">
        <v>292</v>
      </c>
      <c r="N56" s="262">
        <v>8.5</v>
      </c>
      <c r="O56" s="22"/>
      <c r="R56" s="59">
        <v>54</v>
      </c>
      <c r="S56" s="68" t="s">
        <v>340</v>
      </c>
      <c r="T56" s="68" t="s">
        <v>1417</v>
      </c>
      <c r="U56" s="70">
        <v>8.83</v>
      </c>
      <c r="V56" s="180">
        <v>8.77</v>
      </c>
      <c r="W56" s="68">
        <v>8.75</v>
      </c>
      <c r="X56" s="68">
        <v>0.62</v>
      </c>
      <c r="Y56" s="68">
        <v>1</v>
      </c>
      <c r="Z56" s="68">
        <v>6</v>
      </c>
      <c r="AA56" s="68">
        <v>0</v>
      </c>
      <c r="AB56" s="68" t="s">
        <v>1420</v>
      </c>
      <c r="AC56" s="70">
        <v>2023</v>
      </c>
      <c r="AD56" s="70" t="s">
        <v>1978</v>
      </c>
      <c r="AG56" s="52" t="s">
        <v>1090</v>
      </c>
      <c r="AH56" s="137" t="s">
        <v>2193</v>
      </c>
    </row>
    <row r="57" spans="1:34" ht="16.05" customHeight="1" thickBot="1">
      <c r="A57" s="10" t="s">
        <v>264</v>
      </c>
      <c r="B57" s="263">
        <v>9</v>
      </c>
      <c r="C57" s="4"/>
      <c r="D57" s="8" t="s">
        <v>268</v>
      </c>
      <c r="E57" s="262">
        <v>8</v>
      </c>
      <c r="F57" s="22"/>
      <c r="G57" s="297" t="s">
        <v>2124</v>
      </c>
      <c r="H57" s="3">
        <f>ROUND(SUM(H58:H67)/COUNT(H58:H67), 2)</f>
        <v>8.35</v>
      </c>
      <c r="I57" s="4"/>
      <c r="J57" s="8" t="s">
        <v>304</v>
      </c>
      <c r="K57" s="262">
        <v>8</v>
      </c>
      <c r="L57" s="4"/>
      <c r="M57" s="8" t="s">
        <v>293</v>
      </c>
      <c r="N57" s="262">
        <v>9</v>
      </c>
      <c r="O57" s="22"/>
      <c r="R57" s="59">
        <v>55</v>
      </c>
      <c r="S57" s="52" t="s">
        <v>1808</v>
      </c>
      <c r="T57" s="52" t="s">
        <v>1809</v>
      </c>
      <c r="U57" s="69">
        <v>8.83</v>
      </c>
      <c r="V57" s="180">
        <v>8.77</v>
      </c>
      <c r="W57" s="52">
        <v>8.75</v>
      </c>
      <c r="X57" s="52">
        <v>0.62</v>
      </c>
      <c r="Y57" s="52">
        <v>1</v>
      </c>
      <c r="Z57" s="52">
        <v>6</v>
      </c>
      <c r="AA57" s="52">
        <v>0</v>
      </c>
      <c r="AB57" s="52" t="s">
        <v>1813</v>
      </c>
      <c r="AC57" s="69">
        <v>1991</v>
      </c>
      <c r="AD57" s="69" t="s">
        <v>1978</v>
      </c>
      <c r="AG57" s="68" t="s">
        <v>773</v>
      </c>
      <c r="AH57" s="136" t="s">
        <v>1153</v>
      </c>
    </row>
    <row r="58" spans="1:34" ht="16.05" customHeight="1" thickBot="1">
      <c r="A58" s="21"/>
      <c r="B58" s="21"/>
      <c r="C58" s="4"/>
      <c r="D58" s="8" t="s">
        <v>269</v>
      </c>
      <c r="E58" s="262">
        <v>8.5</v>
      </c>
      <c r="F58" s="4"/>
      <c r="G58" s="7" t="s">
        <v>313</v>
      </c>
      <c r="H58" s="261">
        <v>8</v>
      </c>
      <c r="I58" s="4"/>
      <c r="J58" s="8" t="s">
        <v>305</v>
      </c>
      <c r="K58" s="262">
        <v>7</v>
      </c>
      <c r="L58" s="4"/>
      <c r="M58" s="8" t="s">
        <v>294</v>
      </c>
      <c r="N58" s="262">
        <v>10.5</v>
      </c>
      <c r="O58" s="22"/>
      <c r="R58" s="59">
        <v>56</v>
      </c>
      <c r="S58" s="68" t="s">
        <v>355</v>
      </c>
      <c r="T58" s="68" t="s">
        <v>1201</v>
      </c>
      <c r="U58" s="70">
        <v>8.73</v>
      </c>
      <c r="V58" s="131">
        <v>8.76</v>
      </c>
      <c r="W58" s="68">
        <v>8.5</v>
      </c>
      <c r="X58" s="68">
        <v>0.87</v>
      </c>
      <c r="Y58" s="68">
        <v>2</v>
      </c>
      <c r="Z58" s="68">
        <v>13</v>
      </c>
      <c r="AA58" s="68">
        <v>0</v>
      </c>
      <c r="AB58" s="68" t="s">
        <v>1203</v>
      </c>
      <c r="AC58" s="70">
        <v>2009</v>
      </c>
      <c r="AD58" s="70" t="s">
        <v>1979</v>
      </c>
      <c r="AG58" s="52" t="s">
        <v>2121</v>
      </c>
      <c r="AH58" s="137" t="s">
        <v>2183</v>
      </c>
    </row>
    <row r="59" spans="1:34" ht="16.05" customHeight="1" thickBot="1">
      <c r="A59" s="49" t="s">
        <v>360</v>
      </c>
      <c r="B59" s="14">
        <f>ROUND(SUM(B60:B69)/COUNT(B60:B69), 2)</f>
        <v>8.33</v>
      </c>
      <c r="C59" s="4"/>
      <c r="D59" s="8" t="s">
        <v>270</v>
      </c>
      <c r="E59" s="262">
        <v>9</v>
      </c>
      <c r="F59" s="4"/>
      <c r="G59" s="8" t="s">
        <v>314</v>
      </c>
      <c r="H59" s="262">
        <v>10</v>
      </c>
      <c r="I59" s="4"/>
      <c r="J59" s="8" t="s">
        <v>306</v>
      </c>
      <c r="K59" s="262">
        <v>8</v>
      </c>
      <c r="L59" s="4"/>
      <c r="M59" s="8" t="s">
        <v>295</v>
      </c>
      <c r="N59" s="262">
        <v>8</v>
      </c>
      <c r="O59" s="22"/>
      <c r="R59" s="59">
        <v>57</v>
      </c>
      <c r="S59" s="52" t="s">
        <v>351</v>
      </c>
      <c r="T59" s="52" t="s">
        <v>277</v>
      </c>
      <c r="U59" s="69">
        <v>8.7799999999999994</v>
      </c>
      <c r="V59" s="131">
        <v>8.76</v>
      </c>
      <c r="W59" s="52">
        <v>9</v>
      </c>
      <c r="X59" s="52">
        <v>0.79</v>
      </c>
      <c r="Y59" s="52">
        <v>2</v>
      </c>
      <c r="Z59" s="52">
        <v>10</v>
      </c>
      <c r="AA59" s="52">
        <v>1</v>
      </c>
      <c r="AB59" s="52" t="s">
        <v>774</v>
      </c>
      <c r="AC59" s="69">
        <v>1994</v>
      </c>
      <c r="AD59" s="69" t="s">
        <v>1978</v>
      </c>
      <c r="AG59" s="68" t="s">
        <v>1892</v>
      </c>
      <c r="AH59" s="136" t="s">
        <v>1893</v>
      </c>
    </row>
    <row r="60" spans="1:34" ht="16.05" customHeight="1">
      <c r="A60" s="7" t="s">
        <v>281</v>
      </c>
      <c r="B60" s="261">
        <v>8</v>
      </c>
      <c r="C60" s="4"/>
      <c r="D60" s="8" t="s">
        <v>271</v>
      </c>
      <c r="E60" s="262">
        <v>9</v>
      </c>
      <c r="F60" s="4"/>
      <c r="G60" s="8" t="s">
        <v>315</v>
      </c>
      <c r="H60" s="262">
        <v>10</v>
      </c>
      <c r="I60" s="4"/>
      <c r="J60" s="8" t="s">
        <v>307</v>
      </c>
      <c r="K60" s="262">
        <v>8</v>
      </c>
      <c r="L60" s="4"/>
      <c r="M60" s="8" t="s">
        <v>296</v>
      </c>
      <c r="N60" s="262">
        <v>8.5</v>
      </c>
      <c r="O60" s="22"/>
      <c r="R60" s="59">
        <v>58</v>
      </c>
      <c r="S60" s="68" t="s">
        <v>851</v>
      </c>
      <c r="T60" s="68" t="s">
        <v>846</v>
      </c>
      <c r="U60" s="70">
        <v>8.7100000000000009</v>
      </c>
      <c r="V60" s="131">
        <v>8.76</v>
      </c>
      <c r="W60" s="68">
        <v>8.5</v>
      </c>
      <c r="X60" s="68">
        <v>0.75</v>
      </c>
      <c r="Y60" s="68">
        <v>2</v>
      </c>
      <c r="Z60" s="68">
        <v>14</v>
      </c>
      <c r="AA60" s="68">
        <v>0</v>
      </c>
      <c r="AB60" s="68" t="s">
        <v>852</v>
      </c>
      <c r="AC60" s="70">
        <v>2005</v>
      </c>
      <c r="AD60" s="70" t="s">
        <v>1980</v>
      </c>
      <c r="AG60" s="52" t="s">
        <v>1634</v>
      </c>
      <c r="AH60" s="137" t="s">
        <v>1635</v>
      </c>
    </row>
    <row r="61" spans="1:34" ht="16.05" customHeight="1">
      <c r="A61" s="8" t="s">
        <v>282</v>
      </c>
      <c r="B61" s="262">
        <v>7</v>
      </c>
      <c r="C61" s="4"/>
      <c r="D61" s="8" t="s">
        <v>272</v>
      </c>
      <c r="E61" s="262">
        <v>10.5</v>
      </c>
      <c r="F61" s="4"/>
      <c r="G61" s="8" t="s">
        <v>316</v>
      </c>
      <c r="H61" s="262">
        <v>9</v>
      </c>
      <c r="I61" s="4"/>
      <c r="J61" s="8" t="s">
        <v>308</v>
      </c>
      <c r="K61" s="262">
        <v>9</v>
      </c>
      <c r="L61" s="4"/>
      <c r="M61" s="8" t="s">
        <v>297</v>
      </c>
      <c r="N61" s="262">
        <v>7.5</v>
      </c>
      <c r="O61" s="22"/>
      <c r="R61" s="59">
        <v>59</v>
      </c>
      <c r="S61" s="52" t="s">
        <v>1504</v>
      </c>
      <c r="T61" s="52" t="s">
        <v>1505</v>
      </c>
      <c r="U61" s="69">
        <v>8.73</v>
      </c>
      <c r="V61" s="131">
        <v>8.76</v>
      </c>
      <c r="W61" s="52">
        <v>8.5</v>
      </c>
      <c r="X61" s="52">
        <v>0.75</v>
      </c>
      <c r="Y61" s="52">
        <v>1</v>
      </c>
      <c r="Z61" s="52">
        <v>13</v>
      </c>
      <c r="AA61" s="52">
        <v>0</v>
      </c>
      <c r="AB61" s="52" t="s">
        <v>1506</v>
      </c>
      <c r="AC61" s="69">
        <v>1992</v>
      </c>
      <c r="AD61" s="69" t="s">
        <v>1974</v>
      </c>
      <c r="AG61" s="68" t="s">
        <v>1097</v>
      </c>
      <c r="AH61" s="136" t="s">
        <v>1098</v>
      </c>
    </row>
    <row r="62" spans="1:34" ht="16.05" customHeight="1">
      <c r="A62" s="8" t="s">
        <v>283</v>
      </c>
      <c r="B62" s="262">
        <v>7.5</v>
      </c>
      <c r="C62" s="4"/>
      <c r="D62" s="8" t="s">
        <v>273</v>
      </c>
      <c r="E62" s="262">
        <v>8</v>
      </c>
      <c r="F62" s="4"/>
      <c r="G62" s="8" t="s">
        <v>317</v>
      </c>
      <c r="H62" s="262">
        <v>7</v>
      </c>
      <c r="I62" s="4"/>
      <c r="J62" s="8" t="s">
        <v>309</v>
      </c>
      <c r="K62" s="262">
        <v>8</v>
      </c>
      <c r="L62" s="4"/>
      <c r="M62" s="8" t="s">
        <v>298</v>
      </c>
      <c r="N62" s="262">
        <v>10</v>
      </c>
      <c r="O62" s="22"/>
      <c r="R62" s="59">
        <v>60</v>
      </c>
      <c r="S62" s="68" t="s">
        <v>336</v>
      </c>
      <c r="T62" s="68" t="s">
        <v>570</v>
      </c>
      <c r="U62" s="70">
        <v>8.77</v>
      </c>
      <c r="V62" s="222">
        <v>8.75</v>
      </c>
      <c r="W62" s="68">
        <v>9</v>
      </c>
      <c r="X62" s="68">
        <v>0.72</v>
      </c>
      <c r="Y62" s="68">
        <v>1</v>
      </c>
      <c r="Z62" s="68">
        <v>11</v>
      </c>
      <c r="AA62" s="68">
        <v>0</v>
      </c>
      <c r="AB62" s="68" t="s">
        <v>766</v>
      </c>
      <c r="AC62" s="70">
        <v>2016</v>
      </c>
      <c r="AD62" s="70" t="s">
        <v>1976</v>
      </c>
      <c r="AG62" s="52" t="s">
        <v>1378</v>
      </c>
      <c r="AH62" s="137" t="s">
        <v>2122</v>
      </c>
    </row>
    <row r="63" spans="1:34" ht="16.05" customHeight="1" thickBot="1">
      <c r="A63" s="8" t="s">
        <v>284</v>
      </c>
      <c r="B63" s="262">
        <v>8.5</v>
      </c>
      <c r="C63" s="4"/>
      <c r="D63" s="10" t="s">
        <v>274</v>
      </c>
      <c r="E63" s="263">
        <v>8.5</v>
      </c>
      <c r="F63" s="4"/>
      <c r="G63" s="8" t="s">
        <v>318</v>
      </c>
      <c r="H63" s="262">
        <v>8.5</v>
      </c>
      <c r="I63" s="4"/>
      <c r="J63" s="8" t="s">
        <v>310</v>
      </c>
      <c r="K63" s="262">
        <v>8.5</v>
      </c>
      <c r="L63" s="4"/>
      <c r="M63" s="8" t="s">
        <v>299</v>
      </c>
      <c r="N63" s="262">
        <v>9</v>
      </c>
      <c r="O63" s="22"/>
      <c r="R63" s="59">
        <v>61</v>
      </c>
      <c r="S63" s="52" t="s">
        <v>730</v>
      </c>
      <c r="T63" s="52" t="s">
        <v>726</v>
      </c>
      <c r="U63" s="69">
        <v>8.67</v>
      </c>
      <c r="V63" s="222">
        <v>8.75</v>
      </c>
      <c r="W63" s="52">
        <v>8</v>
      </c>
      <c r="X63" s="52">
        <v>1.04</v>
      </c>
      <c r="Y63" s="52">
        <v>4</v>
      </c>
      <c r="Z63" s="52">
        <v>16</v>
      </c>
      <c r="AA63" s="52">
        <v>1</v>
      </c>
      <c r="AB63" s="52" t="s">
        <v>791</v>
      </c>
      <c r="AC63" s="69">
        <v>2010</v>
      </c>
      <c r="AD63" s="69" t="s">
        <v>1981</v>
      </c>
      <c r="AG63" s="68" t="s">
        <v>1418</v>
      </c>
      <c r="AH63" s="136" t="s">
        <v>1419</v>
      </c>
    </row>
    <row r="64" spans="1:34" ht="16.05" customHeight="1" thickBot="1">
      <c r="A64" s="8" t="s">
        <v>285</v>
      </c>
      <c r="B64" s="262">
        <v>9</v>
      </c>
      <c r="C64" s="4"/>
      <c r="D64" s="19"/>
      <c r="E64" s="21"/>
      <c r="F64" s="4"/>
      <c r="G64" s="8" t="s">
        <v>319</v>
      </c>
      <c r="H64" s="262">
        <v>7.5</v>
      </c>
      <c r="I64" s="4"/>
      <c r="J64" s="10" t="s">
        <v>311</v>
      </c>
      <c r="K64" s="263">
        <v>8</v>
      </c>
      <c r="L64" s="4"/>
      <c r="M64" s="8" t="s">
        <v>300</v>
      </c>
      <c r="N64" s="262">
        <v>10.5</v>
      </c>
      <c r="O64" s="22"/>
      <c r="R64" s="59">
        <v>62</v>
      </c>
      <c r="S64" s="68" t="s">
        <v>752</v>
      </c>
      <c r="T64" s="68" t="s">
        <v>753</v>
      </c>
      <c r="U64" s="70">
        <v>8.86</v>
      </c>
      <c r="V64" s="222">
        <v>8.75</v>
      </c>
      <c r="W64" s="68">
        <v>8.5</v>
      </c>
      <c r="X64" s="68">
        <v>0.77</v>
      </c>
      <c r="Y64" s="68">
        <v>3</v>
      </c>
      <c r="Z64" s="68">
        <v>11</v>
      </c>
      <c r="AA64" s="68">
        <v>0</v>
      </c>
      <c r="AB64" s="68" t="s">
        <v>853</v>
      </c>
      <c r="AC64" s="70">
        <v>2002</v>
      </c>
      <c r="AD64" s="70" t="s">
        <v>1971</v>
      </c>
      <c r="AG64" s="52" t="s">
        <v>1104</v>
      </c>
      <c r="AH64" s="137" t="s">
        <v>1676</v>
      </c>
    </row>
    <row r="65" spans="1:34" ht="16.05" customHeight="1" thickBot="1">
      <c r="A65" s="8" t="s">
        <v>286</v>
      </c>
      <c r="B65" s="262">
        <v>9.5</v>
      </c>
      <c r="C65" s="22"/>
      <c r="D65" s="97" t="s">
        <v>890</v>
      </c>
      <c r="E65" s="3">
        <f>ROUND(SUM(E66:E78)/COUNT(E66:E78), 2)</f>
        <v>8.4600000000000009</v>
      </c>
      <c r="F65" s="4"/>
      <c r="G65" s="8" t="s">
        <v>320</v>
      </c>
      <c r="H65" s="262">
        <v>10</v>
      </c>
      <c r="I65" s="4"/>
      <c r="J65" s="21"/>
      <c r="K65" s="21"/>
      <c r="L65" s="4"/>
      <c r="M65" s="10" t="s">
        <v>301</v>
      </c>
      <c r="N65" s="263"/>
      <c r="O65" s="22"/>
      <c r="R65" s="59">
        <v>63</v>
      </c>
      <c r="S65" s="52" t="s">
        <v>343</v>
      </c>
      <c r="T65" s="52" t="s">
        <v>911</v>
      </c>
      <c r="U65" s="69">
        <v>8.7100000000000009</v>
      </c>
      <c r="V65" s="181">
        <v>8.73</v>
      </c>
      <c r="W65" s="52">
        <v>8.5</v>
      </c>
      <c r="X65" s="52">
        <v>0.96</v>
      </c>
      <c r="Y65" s="52">
        <v>1</v>
      </c>
      <c r="Z65" s="52">
        <v>7</v>
      </c>
      <c r="AA65" s="52">
        <v>0</v>
      </c>
      <c r="AB65" s="52" t="s">
        <v>790</v>
      </c>
      <c r="AC65" s="69">
        <v>1999</v>
      </c>
      <c r="AD65" s="69" t="s">
        <v>1982</v>
      </c>
      <c r="AG65" s="68" t="s">
        <v>789</v>
      </c>
      <c r="AH65" s="136" t="s">
        <v>1154</v>
      </c>
    </row>
    <row r="66" spans="1:34" ht="16.05" customHeight="1" thickBot="1">
      <c r="A66" s="8" t="s">
        <v>287</v>
      </c>
      <c r="B66" s="262">
        <v>10</v>
      </c>
      <c r="C66" s="22"/>
      <c r="D66" s="5" t="s">
        <v>369</v>
      </c>
      <c r="E66" s="262">
        <v>8</v>
      </c>
      <c r="F66" s="4"/>
      <c r="G66" s="8" t="s">
        <v>321</v>
      </c>
      <c r="H66" s="262">
        <v>7.5</v>
      </c>
      <c r="I66" s="22"/>
      <c r="J66" s="56" t="s">
        <v>394</v>
      </c>
      <c r="K66" s="3">
        <f>ROUND(SUM(K67:K75)/COUNT(K67:K75), 2)</f>
        <v>8</v>
      </c>
      <c r="L66" s="4"/>
      <c r="M66" s="21"/>
      <c r="N66" s="21"/>
      <c r="O66" s="22"/>
      <c r="R66" s="59">
        <v>64</v>
      </c>
      <c r="S66" s="68" t="s">
        <v>406</v>
      </c>
      <c r="T66" s="68" t="s">
        <v>400</v>
      </c>
      <c r="U66" s="70">
        <v>8.6999999999999993</v>
      </c>
      <c r="V66" s="147">
        <v>8.7200000000000006</v>
      </c>
      <c r="W66" s="68">
        <v>8.5</v>
      </c>
      <c r="X66" s="68">
        <v>1.08</v>
      </c>
      <c r="Y66" s="68">
        <v>2</v>
      </c>
      <c r="Z66" s="68">
        <v>10</v>
      </c>
      <c r="AA66" s="68">
        <v>0</v>
      </c>
      <c r="AB66" s="68" t="s">
        <v>775</v>
      </c>
      <c r="AC66" s="70">
        <v>1990</v>
      </c>
      <c r="AD66" s="70" t="s">
        <v>1983</v>
      </c>
      <c r="AG66" s="52" t="s">
        <v>1245</v>
      </c>
      <c r="AH66" s="137" t="s">
        <v>1246</v>
      </c>
    </row>
    <row r="67" spans="1:34" ht="16.05" customHeight="1" thickBot="1">
      <c r="A67" s="8" t="s">
        <v>288</v>
      </c>
      <c r="B67" s="262">
        <v>8</v>
      </c>
      <c r="C67" s="22"/>
      <c r="D67" s="5" t="s">
        <v>370</v>
      </c>
      <c r="E67" s="262">
        <v>10</v>
      </c>
      <c r="F67" s="4"/>
      <c r="G67" s="10" t="s">
        <v>322</v>
      </c>
      <c r="H67" s="263">
        <v>6</v>
      </c>
      <c r="I67" s="4"/>
      <c r="J67" s="7" t="s">
        <v>385</v>
      </c>
      <c r="K67" s="261"/>
      <c r="L67" s="22"/>
      <c r="M67" s="129" t="s">
        <v>1015</v>
      </c>
      <c r="N67" s="3">
        <f>ROUND(SUM(N68:N77)/COUNT(N68:N77), 2)</f>
        <v>8.6999999999999993</v>
      </c>
      <c r="O67" s="22"/>
      <c r="R67" s="59">
        <v>65</v>
      </c>
      <c r="S67" s="52" t="s">
        <v>1463</v>
      </c>
      <c r="T67" s="52" t="s">
        <v>1464</v>
      </c>
      <c r="U67" s="69">
        <v>8.83</v>
      </c>
      <c r="V67" s="147">
        <v>8.7200000000000006</v>
      </c>
      <c r="W67" s="52">
        <v>8.5</v>
      </c>
      <c r="X67" s="52">
        <v>0.57999999999999996</v>
      </c>
      <c r="Y67" s="52">
        <v>1</v>
      </c>
      <c r="Z67" s="52">
        <v>9</v>
      </c>
      <c r="AA67" s="52">
        <v>0</v>
      </c>
      <c r="AB67" s="52" t="s">
        <v>1467</v>
      </c>
      <c r="AC67" s="69">
        <v>2016</v>
      </c>
      <c r="AD67" s="69" t="s">
        <v>1975</v>
      </c>
      <c r="AG67" s="68" t="s">
        <v>1247</v>
      </c>
      <c r="AH67" s="136" t="s">
        <v>1246</v>
      </c>
    </row>
    <row r="68" spans="1:34" ht="16.05" customHeight="1" thickBot="1">
      <c r="A68" s="10" t="s">
        <v>289</v>
      </c>
      <c r="B68" s="263">
        <v>7.5</v>
      </c>
      <c r="C68" s="22"/>
      <c r="D68" s="5" t="s">
        <v>371</v>
      </c>
      <c r="E68" s="262">
        <v>9</v>
      </c>
      <c r="F68" s="4"/>
      <c r="G68" s="21"/>
      <c r="H68" s="21"/>
      <c r="I68" s="4"/>
      <c r="J68" s="8" t="s">
        <v>386</v>
      </c>
      <c r="K68" s="262">
        <v>7</v>
      </c>
      <c r="L68" s="22"/>
      <c r="M68" s="5" t="s">
        <v>396</v>
      </c>
      <c r="N68" s="262">
        <v>10.5</v>
      </c>
      <c r="O68" s="22"/>
      <c r="R68" s="59">
        <v>66</v>
      </c>
      <c r="S68" s="68" t="s">
        <v>419</v>
      </c>
      <c r="T68" s="68" t="s">
        <v>417</v>
      </c>
      <c r="U68" s="70">
        <v>8.67</v>
      </c>
      <c r="V68" s="142">
        <v>8.7100000000000009</v>
      </c>
      <c r="W68" s="68">
        <v>8.5</v>
      </c>
      <c r="X68" s="68">
        <v>0.85</v>
      </c>
      <c r="Y68" s="68">
        <v>2</v>
      </c>
      <c r="Z68" s="68">
        <v>12</v>
      </c>
      <c r="AA68" s="68">
        <v>0</v>
      </c>
      <c r="AB68" s="68" t="s">
        <v>833</v>
      </c>
      <c r="AC68" s="70">
        <v>1989</v>
      </c>
      <c r="AD68" s="70" t="s">
        <v>1984</v>
      </c>
      <c r="AG68" s="52" t="s">
        <v>1422</v>
      </c>
      <c r="AH68" s="137" t="s">
        <v>1246</v>
      </c>
    </row>
    <row r="69" spans="1:34" ht="16.05" customHeight="1" thickBot="1">
      <c r="A69" s="21"/>
      <c r="B69" s="21"/>
      <c r="C69" s="22"/>
      <c r="D69" s="5" t="s">
        <v>372</v>
      </c>
      <c r="E69" s="262">
        <v>8.5</v>
      </c>
      <c r="F69" s="22"/>
      <c r="G69" s="96" t="s">
        <v>889</v>
      </c>
      <c r="H69" s="3">
        <f>ROUND(SUM(H70:H81)/COUNT(H70:H81), 2)</f>
        <v>8.67</v>
      </c>
      <c r="I69" s="4"/>
      <c r="J69" s="8" t="s">
        <v>387</v>
      </c>
      <c r="K69" s="262">
        <v>8.5</v>
      </c>
      <c r="L69" s="22"/>
      <c r="M69" s="5" t="s">
        <v>397</v>
      </c>
      <c r="N69" s="262">
        <v>9.5</v>
      </c>
      <c r="O69" s="22"/>
      <c r="R69" s="59">
        <v>67</v>
      </c>
      <c r="S69" s="52" t="s">
        <v>1530</v>
      </c>
      <c r="T69" s="52" t="s">
        <v>1531</v>
      </c>
      <c r="U69" s="69">
        <v>8.75</v>
      </c>
      <c r="V69" s="148">
        <v>8.6999999999999993</v>
      </c>
      <c r="W69" s="52">
        <v>8.75</v>
      </c>
      <c r="X69" s="52">
        <v>0.75</v>
      </c>
      <c r="Y69" s="52">
        <v>2</v>
      </c>
      <c r="Z69" s="52">
        <v>10</v>
      </c>
      <c r="AA69" s="52">
        <v>0</v>
      </c>
      <c r="AB69" s="52" t="s">
        <v>1532</v>
      </c>
      <c r="AC69" s="69">
        <v>1998</v>
      </c>
      <c r="AD69" s="69" t="s">
        <v>1985</v>
      </c>
      <c r="AG69" s="68" t="s">
        <v>1824</v>
      </c>
      <c r="AH69" s="136" t="s">
        <v>1246</v>
      </c>
    </row>
    <row r="70" spans="1:34" ht="16.05" customHeight="1" thickBot="1">
      <c r="A70" s="64" t="s">
        <v>475</v>
      </c>
      <c r="B70" s="3">
        <f>ROUND(SUM(B71:B77)/COUNT(B71:B77), 2)</f>
        <v>7.29</v>
      </c>
      <c r="C70" s="22"/>
      <c r="D70" s="5" t="s">
        <v>373</v>
      </c>
      <c r="E70" s="262">
        <v>10</v>
      </c>
      <c r="F70" s="22"/>
      <c r="G70" s="5" t="s">
        <v>408</v>
      </c>
      <c r="H70" s="262">
        <v>8.5</v>
      </c>
      <c r="I70" s="4"/>
      <c r="J70" s="8" t="s">
        <v>388</v>
      </c>
      <c r="K70" s="262">
        <v>8.5</v>
      </c>
      <c r="L70" s="22"/>
      <c r="M70" s="5" t="s">
        <v>398</v>
      </c>
      <c r="N70" s="262">
        <v>8</v>
      </c>
      <c r="O70" s="22"/>
      <c r="R70" s="59">
        <v>68</v>
      </c>
      <c r="S70" s="68" t="s">
        <v>1724</v>
      </c>
      <c r="T70" s="68" t="s">
        <v>1720</v>
      </c>
      <c r="U70" s="70">
        <v>8.81</v>
      </c>
      <c r="V70" s="148">
        <v>8.6999999999999993</v>
      </c>
      <c r="W70" s="68">
        <v>8.5</v>
      </c>
      <c r="X70" s="68">
        <v>0.83</v>
      </c>
      <c r="Y70" s="68">
        <v>2</v>
      </c>
      <c r="Z70" s="68">
        <v>8</v>
      </c>
      <c r="AA70" s="68">
        <v>0</v>
      </c>
      <c r="AB70" s="68" t="s">
        <v>1378</v>
      </c>
      <c r="AC70" s="70">
        <v>1982</v>
      </c>
      <c r="AD70" s="70" t="s">
        <v>1962</v>
      </c>
      <c r="AG70" s="52" t="s">
        <v>1484</v>
      </c>
      <c r="AH70" s="137" t="s">
        <v>1246</v>
      </c>
    </row>
    <row r="71" spans="1:34" ht="16.05" customHeight="1">
      <c r="A71" s="13" t="s">
        <v>421</v>
      </c>
      <c r="B71" s="261">
        <v>8</v>
      </c>
      <c r="C71" s="22"/>
      <c r="D71" s="5" t="s">
        <v>374</v>
      </c>
      <c r="E71" s="262">
        <v>8</v>
      </c>
      <c r="F71" s="22"/>
      <c r="G71" s="5" t="s">
        <v>409</v>
      </c>
      <c r="H71" s="262">
        <v>9</v>
      </c>
      <c r="I71" s="4"/>
      <c r="J71" s="8" t="s">
        <v>389</v>
      </c>
      <c r="K71" s="262">
        <v>8</v>
      </c>
      <c r="L71" s="22"/>
      <c r="M71" s="5" t="s">
        <v>399</v>
      </c>
      <c r="N71" s="262">
        <v>8.5</v>
      </c>
      <c r="O71" s="22"/>
      <c r="R71" s="59">
        <v>69</v>
      </c>
      <c r="S71" s="52" t="s">
        <v>1483</v>
      </c>
      <c r="T71" s="52" t="s">
        <v>1488</v>
      </c>
      <c r="U71" s="69">
        <v>8.8000000000000007</v>
      </c>
      <c r="V71" s="198">
        <v>8.68</v>
      </c>
      <c r="W71" s="52">
        <v>8.5</v>
      </c>
      <c r="X71" s="52">
        <v>0.7</v>
      </c>
      <c r="Y71" s="52">
        <v>2</v>
      </c>
      <c r="Z71" s="52">
        <v>15</v>
      </c>
      <c r="AA71" s="52">
        <v>0</v>
      </c>
      <c r="AB71" s="52" t="s">
        <v>1485</v>
      </c>
      <c r="AC71" s="69">
        <v>2012</v>
      </c>
      <c r="AD71" s="69" t="s">
        <v>1961</v>
      </c>
      <c r="AG71" s="68" t="s">
        <v>1408</v>
      </c>
      <c r="AH71" s="136" t="s">
        <v>1100</v>
      </c>
    </row>
    <row r="72" spans="1:34" ht="16.05" customHeight="1">
      <c r="A72" s="6" t="s">
        <v>422</v>
      </c>
      <c r="B72" s="262">
        <v>7</v>
      </c>
      <c r="C72" s="22"/>
      <c r="D72" s="5" t="s">
        <v>375</v>
      </c>
      <c r="E72" s="262">
        <v>7.5</v>
      </c>
      <c r="F72" s="22"/>
      <c r="G72" s="5" t="s">
        <v>410</v>
      </c>
      <c r="H72" s="262">
        <v>8.5</v>
      </c>
      <c r="I72" s="4"/>
      <c r="J72" s="8" t="s">
        <v>390</v>
      </c>
      <c r="K72" s="262">
        <v>8.5</v>
      </c>
      <c r="L72" s="22"/>
      <c r="M72" s="5" t="s">
        <v>400</v>
      </c>
      <c r="N72" s="262">
        <v>10</v>
      </c>
      <c r="O72" s="22"/>
      <c r="R72" s="59">
        <v>70</v>
      </c>
      <c r="S72" s="68" t="s">
        <v>1357</v>
      </c>
      <c r="T72" s="68" t="s">
        <v>1358</v>
      </c>
      <c r="U72" s="70">
        <v>8.77</v>
      </c>
      <c r="V72" s="202">
        <v>8.65</v>
      </c>
      <c r="W72" s="68">
        <v>8.5</v>
      </c>
      <c r="X72" s="68">
        <v>0.75</v>
      </c>
      <c r="Y72" s="68">
        <v>2</v>
      </c>
      <c r="Z72" s="68">
        <v>14</v>
      </c>
      <c r="AA72" s="68">
        <v>1</v>
      </c>
      <c r="AB72" s="68" t="s">
        <v>1361</v>
      </c>
      <c r="AC72" s="70">
        <v>2002</v>
      </c>
      <c r="AD72" s="70" t="s">
        <v>1963</v>
      </c>
      <c r="AG72" s="52" t="s">
        <v>1101</v>
      </c>
      <c r="AH72" s="137" t="s">
        <v>1100</v>
      </c>
    </row>
    <row r="73" spans="1:34" ht="16.05" customHeight="1">
      <c r="A73" s="6" t="s">
        <v>423</v>
      </c>
      <c r="B73" s="262">
        <v>6.5</v>
      </c>
      <c r="C73" s="22"/>
      <c r="D73" s="5" t="s">
        <v>376</v>
      </c>
      <c r="E73" s="262">
        <v>9</v>
      </c>
      <c r="F73" s="22"/>
      <c r="G73" s="5" t="s">
        <v>411</v>
      </c>
      <c r="H73" s="262">
        <v>10</v>
      </c>
      <c r="I73" s="4"/>
      <c r="J73" s="8" t="s">
        <v>391</v>
      </c>
      <c r="K73" s="262">
        <v>8.5</v>
      </c>
      <c r="L73" s="22"/>
      <c r="M73" s="5" t="s">
        <v>401</v>
      </c>
      <c r="N73" s="262">
        <v>8.5</v>
      </c>
      <c r="O73" s="22"/>
      <c r="R73" s="59">
        <v>71</v>
      </c>
      <c r="S73" s="52" t="s">
        <v>344</v>
      </c>
      <c r="T73" s="52" t="s">
        <v>344</v>
      </c>
      <c r="U73" s="69">
        <v>8.4600000000000009</v>
      </c>
      <c r="V73" s="202">
        <v>8.65</v>
      </c>
      <c r="W73" s="52">
        <v>8.5</v>
      </c>
      <c r="X73" s="52">
        <v>1.33</v>
      </c>
      <c r="Y73" s="52">
        <v>3</v>
      </c>
      <c r="Z73" s="52">
        <v>12</v>
      </c>
      <c r="AA73" s="52">
        <v>0</v>
      </c>
      <c r="AB73" s="52" t="s">
        <v>1378</v>
      </c>
      <c r="AC73" s="69">
        <v>2021</v>
      </c>
      <c r="AD73" s="69" t="s">
        <v>1982</v>
      </c>
      <c r="AG73" s="68" t="s">
        <v>1262</v>
      </c>
      <c r="AH73" s="136" t="s">
        <v>1726</v>
      </c>
    </row>
    <row r="74" spans="1:34" ht="16.05" customHeight="1">
      <c r="A74" s="6" t="s">
        <v>424</v>
      </c>
      <c r="B74" s="262">
        <v>7</v>
      </c>
      <c r="C74" s="22"/>
      <c r="D74" s="5" t="s">
        <v>377</v>
      </c>
      <c r="E74" s="262">
        <v>7</v>
      </c>
      <c r="F74" s="22"/>
      <c r="G74" s="5" t="s">
        <v>412</v>
      </c>
      <c r="H74" s="262">
        <v>8.5</v>
      </c>
      <c r="I74" s="4"/>
      <c r="J74" s="8" t="s">
        <v>392</v>
      </c>
      <c r="K74" s="262">
        <v>7.5</v>
      </c>
      <c r="L74" s="22"/>
      <c r="M74" s="5" t="s">
        <v>402</v>
      </c>
      <c r="N74" s="262">
        <v>7.5</v>
      </c>
      <c r="O74" s="22"/>
      <c r="R74" s="59">
        <v>72</v>
      </c>
      <c r="S74" s="68" t="s">
        <v>1674</v>
      </c>
      <c r="T74" s="68" t="s">
        <v>1670</v>
      </c>
      <c r="U74" s="70">
        <v>8.75</v>
      </c>
      <c r="V74" s="202">
        <v>8.65</v>
      </c>
      <c r="W74" s="68">
        <v>8.5</v>
      </c>
      <c r="X74" s="68">
        <v>0.56000000000000005</v>
      </c>
      <c r="Y74" s="68">
        <v>1</v>
      </c>
      <c r="Z74" s="68">
        <v>9</v>
      </c>
      <c r="AA74" s="68">
        <v>1</v>
      </c>
      <c r="AB74" s="68" t="s">
        <v>1677</v>
      </c>
      <c r="AC74" s="70">
        <v>2000</v>
      </c>
      <c r="AD74" s="70" t="s">
        <v>1950</v>
      </c>
      <c r="AG74" s="52" t="s">
        <v>1110</v>
      </c>
      <c r="AH74" s="137" t="s">
        <v>1778</v>
      </c>
    </row>
    <row r="75" spans="1:34" ht="16.05" customHeight="1" thickBot="1">
      <c r="A75" s="6" t="s">
        <v>425</v>
      </c>
      <c r="B75" s="262">
        <v>8</v>
      </c>
      <c r="C75" s="22"/>
      <c r="D75" s="5" t="s">
        <v>378</v>
      </c>
      <c r="E75" s="262">
        <v>8.5</v>
      </c>
      <c r="F75" s="22"/>
      <c r="G75" s="5" t="s">
        <v>413</v>
      </c>
      <c r="H75" s="262">
        <v>10.5</v>
      </c>
      <c r="I75" s="4"/>
      <c r="J75" s="10" t="s">
        <v>393</v>
      </c>
      <c r="K75" s="263">
        <v>7.5</v>
      </c>
      <c r="L75" s="22"/>
      <c r="M75" s="5" t="s">
        <v>403</v>
      </c>
      <c r="N75" s="262">
        <v>8</v>
      </c>
      <c r="O75" s="22"/>
      <c r="R75" s="59">
        <v>73</v>
      </c>
      <c r="S75" s="52" t="s">
        <v>1258</v>
      </c>
      <c r="T75" s="52" t="s">
        <v>1252</v>
      </c>
      <c r="U75" s="69">
        <v>8.75</v>
      </c>
      <c r="V75" s="223">
        <v>8.6300000000000008</v>
      </c>
      <c r="W75" s="52">
        <v>8.5</v>
      </c>
      <c r="X75" s="52">
        <v>0.8</v>
      </c>
      <c r="Y75" s="52">
        <v>1</v>
      </c>
      <c r="Z75" s="52">
        <v>7</v>
      </c>
      <c r="AA75" s="52">
        <v>1</v>
      </c>
      <c r="AB75" s="52" t="s">
        <v>1259</v>
      </c>
      <c r="AC75" s="69">
        <v>2013</v>
      </c>
      <c r="AD75" s="69" t="s">
        <v>1964</v>
      </c>
      <c r="AG75" s="68" t="s">
        <v>1117</v>
      </c>
      <c r="AH75" s="136" t="s">
        <v>1489</v>
      </c>
    </row>
    <row r="76" spans="1:34" ht="16.05" customHeight="1" thickBot="1">
      <c r="A76" s="6" t="s">
        <v>426</v>
      </c>
      <c r="B76" s="262">
        <v>7.5</v>
      </c>
      <c r="C76" s="22"/>
      <c r="D76" s="5" t="s">
        <v>379</v>
      </c>
      <c r="E76" s="262">
        <v>8</v>
      </c>
      <c r="F76" s="22"/>
      <c r="G76" s="5" t="s">
        <v>414</v>
      </c>
      <c r="H76" s="262">
        <v>9</v>
      </c>
      <c r="I76" s="4"/>
      <c r="J76" s="21"/>
      <c r="K76" s="21"/>
      <c r="L76" s="22"/>
      <c r="M76" s="5" t="s">
        <v>404</v>
      </c>
      <c r="N76" s="262">
        <v>7</v>
      </c>
      <c r="O76" s="22"/>
      <c r="R76" s="59">
        <v>74</v>
      </c>
      <c r="S76" s="68" t="s">
        <v>1633</v>
      </c>
      <c r="T76" s="68" t="s">
        <v>1626</v>
      </c>
      <c r="U76" s="70">
        <v>8.75</v>
      </c>
      <c r="V76" s="223">
        <v>8.6300000000000008</v>
      </c>
      <c r="W76" s="68">
        <v>8.5</v>
      </c>
      <c r="X76" s="68">
        <v>0.87</v>
      </c>
      <c r="Y76" s="68">
        <v>2</v>
      </c>
      <c r="Z76" s="68">
        <v>10</v>
      </c>
      <c r="AA76" s="68">
        <v>0</v>
      </c>
      <c r="AB76" s="68" t="s">
        <v>1636</v>
      </c>
      <c r="AC76" s="70">
        <v>1979</v>
      </c>
      <c r="AD76" s="70" t="s">
        <v>1967</v>
      </c>
      <c r="AG76" s="52" t="s">
        <v>1107</v>
      </c>
      <c r="AH76" s="137" t="s">
        <v>1489</v>
      </c>
    </row>
    <row r="77" spans="1:34" ht="16.05" customHeight="1" thickBot="1">
      <c r="A77" s="9" t="s">
        <v>427</v>
      </c>
      <c r="B77" s="263">
        <v>7</v>
      </c>
      <c r="C77" s="22"/>
      <c r="D77" s="5" t="s">
        <v>381</v>
      </c>
      <c r="E77" s="262">
        <v>8.5</v>
      </c>
      <c r="F77" s="22"/>
      <c r="G77" s="5" t="s">
        <v>415</v>
      </c>
      <c r="H77" s="262">
        <v>8.5</v>
      </c>
      <c r="I77" s="22"/>
      <c r="J77" s="114" t="s">
        <v>907</v>
      </c>
      <c r="K77" s="3">
        <f>ROUND(SUM(K78:K88)/COUNT(K78:K88), 2)</f>
        <v>7.77</v>
      </c>
      <c r="L77" s="22"/>
      <c r="M77" s="57" t="s">
        <v>405</v>
      </c>
      <c r="N77" s="263">
        <v>9.5</v>
      </c>
      <c r="O77" s="22"/>
      <c r="R77" s="59">
        <v>75</v>
      </c>
      <c r="S77" s="52" t="s">
        <v>1169</v>
      </c>
      <c r="T77" s="52" t="s">
        <v>1735</v>
      </c>
      <c r="U77" s="69">
        <v>8.57</v>
      </c>
      <c r="V77" s="223">
        <v>8.6300000000000008</v>
      </c>
      <c r="W77" s="52">
        <v>8.5</v>
      </c>
      <c r="X77" s="52">
        <v>0.78</v>
      </c>
      <c r="Y77" s="52">
        <v>3</v>
      </c>
      <c r="Z77" s="52">
        <v>28</v>
      </c>
      <c r="AA77" s="52">
        <v>1</v>
      </c>
      <c r="AB77" s="52" t="s">
        <v>1762</v>
      </c>
      <c r="AC77" s="69">
        <v>1995</v>
      </c>
      <c r="AD77" s="69" t="s">
        <v>1977</v>
      </c>
      <c r="AG77" s="68" t="s">
        <v>1362</v>
      </c>
      <c r="AH77" s="136" t="s">
        <v>1363</v>
      </c>
    </row>
    <row r="78" spans="1:34" ht="16.05" customHeight="1" thickBot="1">
      <c r="A78" s="21"/>
      <c r="B78" s="21"/>
      <c r="C78" s="22"/>
      <c r="D78" s="55" t="s">
        <v>380</v>
      </c>
      <c r="E78" s="263">
        <v>8</v>
      </c>
      <c r="F78" s="22"/>
      <c r="G78" s="5" t="s">
        <v>416</v>
      </c>
      <c r="H78" s="264">
        <v>7.5</v>
      </c>
      <c r="I78" s="4"/>
      <c r="J78" s="7" t="s">
        <v>430</v>
      </c>
      <c r="K78" s="261">
        <v>8.5</v>
      </c>
      <c r="L78" s="4"/>
      <c r="M78" s="21"/>
      <c r="N78" s="21"/>
      <c r="O78" s="22"/>
      <c r="R78" s="59">
        <v>76</v>
      </c>
      <c r="S78" s="68" t="s">
        <v>612</v>
      </c>
      <c r="T78" s="68" t="s">
        <v>613</v>
      </c>
      <c r="U78" s="70">
        <v>8.73</v>
      </c>
      <c r="V78" s="196">
        <v>8.6199999999999992</v>
      </c>
      <c r="W78" s="68">
        <v>8.5</v>
      </c>
      <c r="X78" s="68">
        <v>0.89</v>
      </c>
      <c r="Y78" s="68">
        <v>3</v>
      </c>
      <c r="Z78" s="68">
        <v>13</v>
      </c>
      <c r="AA78" s="68">
        <v>2</v>
      </c>
      <c r="AB78" s="68" t="s">
        <v>834</v>
      </c>
      <c r="AC78" s="70">
        <v>2015</v>
      </c>
      <c r="AD78" s="70" t="s">
        <v>1960</v>
      </c>
      <c r="AG78" s="52" t="s">
        <v>1102</v>
      </c>
      <c r="AH78" s="137" t="s">
        <v>2016</v>
      </c>
    </row>
    <row r="79" spans="1:34" ht="16.05" customHeight="1" thickBot="1">
      <c r="A79" s="65" t="s">
        <v>490</v>
      </c>
      <c r="B79" s="3">
        <f>ROUND(SUM(B80:B91)/COUNT(B80:B91), 2)</f>
        <v>8.9600000000000009</v>
      </c>
      <c r="C79" s="4"/>
      <c r="D79" s="19"/>
      <c r="E79" s="21"/>
      <c r="F79" s="22"/>
      <c r="G79" s="5" t="s">
        <v>417</v>
      </c>
      <c r="H79" s="262">
        <v>8.5</v>
      </c>
      <c r="I79" s="4"/>
      <c r="J79" s="8" t="s">
        <v>431</v>
      </c>
      <c r="K79" s="262">
        <v>8.5</v>
      </c>
      <c r="L79" s="22"/>
      <c r="M79" s="128" t="s">
        <v>1014</v>
      </c>
      <c r="N79" s="3">
        <f>ROUND(SUM(N80:N91)/COUNT(N80:N91), 2)</f>
        <v>8.67</v>
      </c>
      <c r="O79" s="22"/>
      <c r="R79" s="59">
        <v>77</v>
      </c>
      <c r="S79" s="52" t="s">
        <v>1463</v>
      </c>
      <c r="T79" s="52" t="s">
        <v>1712</v>
      </c>
      <c r="U79" s="69">
        <v>8.7100000000000009</v>
      </c>
      <c r="V79" s="196">
        <v>8.6199999999999992</v>
      </c>
      <c r="W79" s="52">
        <v>8.5</v>
      </c>
      <c r="X79" s="52">
        <v>0.65</v>
      </c>
      <c r="Y79" s="52">
        <v>1</v>
      </c>
      <c r="Z79" s="52">
        <v>8</v>
      </c>
      <c r="AA79" s="52">
        <v>1</v>
      </c>
      <c r="AB79" s="52" t="s">
        <v>1713</v>
      </c>
      <c r="AC79" s="69">
        <v>2016</v>
      </c>
      <c r="AD79" s="69" t="s">
        <v>1986</v>
      </c>
      <c r="AG79" s="68" t="s">
        <v>1533</v>
      </c>
      <c r="AH79" s="136" t="s">
        <v>1261</v>
      </c>
    </row>
    <row r="80" spans="1:34" ht="16.05" customHeight="1" thickBot="1">
      <c r="A80" s="7" t="s">
        <v>442</v>
      </c>
      <c r="B80" s="261">
        <v>8.5</v>
      </c>
      <c r="C80" s="4"/>
      <c r="D80" s="95" t="s">
        <v>888</v>
      </c>
      <c r="E80" s="3">
        <f>ROUND(SUM(E81:E99)/COUNT(E81:E99), 2)</f>
        <v>8.18</v>
      </c>
      <c r="F80" s="22"/>
      <c r="G80" s="5" t="s">
        <v>418</v>
      </c>
      <c r="H80" s="262">
        <v>8</v>
      </c>
      <c r="I80" s="4"/>
      <c r="J80" s="8" t="s">
        <v>432</v>
      </c>
      <c r="K80" s="262">
        <v>7.5</v>
      </c>
      <c r="L80" s="22"/>
      <c r="M80" s="5" t="s">
        <v>478</v>
      </c>
      <c r="N80" s="262">
        <v>10</v>
      </c>
      <c r="O80" s="22"/>
      <c r="R80" s="59">
        <v>78</v>
      </c>
      <c r="S80" s="68" t="s">
        <v>2068</v>
      </c>
      <c r="T80" s="68" t="s">
        <v>2069</v>
      </c>
      <c r="U80" s="70">
        <v>8.67</v>
      </c>
      <c r="V80" s="291">
        <v>8.61</v>
      </c>
      <c r="W80" s="68">
        <v>8.75</v>
      </c>
      <c r="X80" s="68">
        <v>0.62</v>
      </c>
      <c r="Y80" s="68">
        <v>0</v>
      </c>
      <c r="Z80" s="68">
        <v>6</v>
      </c>
      <c r="AA80" s="68">
        <v>0</v>
      </c>
      <c r="AB80" s="68" t="s">
        <v>1090</v>
      </c>
      <c r="AC80" s="70">
        <v>2013</v>
      </c>
      <c r="AD80" s="70" t="s">
        <v>1956</v>
      </c>
      <c r="AG80" s="52" t="s">
        <v>1678</v>
      </c>
      <c r="AH80" s="137" t="s">
        <v>1261</v>
      </c>
    </row>
    <row r="81" spans="1:34" ht="16.05" customHeight="1" thickBot="1">
      <c r="A81" s="8" t="s">
        <v>443</v>
      </c>
      <c r="B81" s="262">
        <v>9</v>
      </c>
      <c r="C81" s="4"/>
      <c r="D81" s="13" t="s">
        <v>456</v>
      </c>
      <c r="E81" s="261">
        <v>10</v>
      </c>
      <c r="F81" s="22"/>
      <c r="G81" s="55" t="s">
        <v>301</v>
      </c>
      <c r="H81" s="263">
        <v>7.5</v>
      </c>
      <c r="I81" s="4"/>
      <c r="J81" s="8" t="s">
        <v>433</v>
      </c>
      <c r="K81" s="262">
        <v>7</v>
      </c>
      <c r="L81" s="22"/>
      <c r="M81" s="5" t="s">
        <v>479</v>
      </c>
      <c r="N81" s="262">
        <v>10</v>
      </c>
      <c r="O81" s="22"/>
      <c r="R81" s="59">
        <v>79</v>
      </c>
      <c r="S81" s="52" t="s">
        <v>945</v>
      </c>
      <c r="T81" s="52" t="s">
        <v>926</v>
      </c>
      <c r="U81" s="69">
        <v>8.5500000000000007</v>
      </c>
      <c r="V81" s="224">
        <v>8.6</v>
      </c>
      <c r="W81" s="52">
        <v>8.5</v>
      </c>
      <c r="X81" s="52">
        <v>0.96</v>
      </c>
      <c r="Y81" s="52">
        <v>3</v>
      </c>
      <c r="Z81" s="52">
        <v>19</v>
      </c>
      <c r="AA81" s="52">
        <v>0</v>
      </c>
      <c r="AB81" s="52" t="s">
        <v>946</v>
      </c>
      <c r="AC81" s="69">
        <v>1979</v>
      </c>
      <c r="AD81" s="69" t="s">
        <v>1963</v>
      </c>
      <c r="AG81" s="68" t="s">
        <v>1679</v>
      </c>
      <c r="AH81" s="136" t="s">
        <v>1261</v>
      </c>
    </row>
    <row r="82" spans="1:34" ht="16.05" customHeight="1" thickBot="1">
      <c r="A82" s="8" t="s">
        <v>444</v>
      </c>
      <c r="B82" s="262">
        <v>10</v>
      </c>
      <c r="C82" s="4"/>
      <c r="D82" s="6" t="s">
        <v>457</v>
      </c>
      <c r="E82" s="262">
        <v>8</v>
      </c>
      <c r="F82" s="4"/>
      <c r="G82" s="21"/>
      <c r="H82" s="21"/>
      <c r="I82" s="4"/>
      <c r="J82" s="8" t="s">
        <v>434</v>
      </c>
      <c r="K82" s="262">
        <v>8</v>
      </c>
      <c r="L82" s="22"/>
      <c r="M82" s="5" t="s">
        <v>480</v>
      </c>
      <c r="N82" s="262">
        <v>8</v>
      </c>
      <c r="O82" s="22"/>
      <c r="R82" s="59">
        <v>80</v>
      </c>
      <c r="S82" s="68" t="s">
        <v>352</v>
      </c>
      <c r="T82" s="68" t="s">
        <v>246</v>
      </c>
      <c r="U82" s="70">
        <v>8.68</v>
      </c>
      <c r="V82" s="183">
        <v>8.58</v>
      </c>
      <c r="W82" s="68">
        <v>8.5</v>
      </c>
      <c r="X82" s="68">
        <v>0.81</v>
      </c>
      <c r="Y82" s="68">
        <v>2</v>
      </c>
      <c r="Z82" s="68">
        <v>11</v>
      </c>
      <c r="AA82" s="68">
        <v>0</v>
      </c>
      <c r="AB82" s="68" t="s">
        <v>776</v>
      </c>
      <c r="AC82" s="70">
        <v>1998</v>
      </c>
      <c r="AD82" s="70" t="s">
        <v>1980</v>
      </c>
      <c r="AG82" s="52" t="s">
        <v>1260</v>
      </c>
      <c r="AH82" s="137" t="s">
        <v>1261</v>
      </c>
    </row>
    <row r="83" spans="1:34" ht="16.05" customHeight="1" thickBot="1">
      <c r="A83" s="8" t="s">
        <v>445</v>
      </c>
      <c r="B83" s="262">
        <v>10.5</v>
      </c>
      <c r="C83" s="4"/>
      <c r="D83" s="6" t="s">
        <v>458</v>
      </c>
      <c r="E83" s="262">
        <v>8.5</v>
      </c>
      <c r="F83" s="22"/>
      <c r="G83" s="66" t="s">
        <v>493</v>
      </c>
      <c r="H83" s="3">
        <f>ROUND(SUM(H84:H95)/COUNT(H84:H95), 2)</f>
        <v>7.67</v>
      </c>
      <c r="I83" s="4"/>
      <c r="J83" s="8" t="s">
        <v>435</v>
      </c>
      <c r="K83" s="262">
        <v>7.5</v>
      </c>
      <c r="L83" s="22"/>
      <c r="M83" s="5" t="s">
        <v>481</v>
      </c>
      <c r="N83" s="262">
        <v>9</v>
      </c>
      <c r="O83" s="22"/>
      <c r="R83" s="59">
        <v>81</v>
      </c>
      <c r="S83" s="52" t="s">
        <v>740</v>
      </c>
      <c r="T83" s="52" t="s">
        <v>741</v>
      </c>
      <c r="U83" s="69">
        <v>8.67</v>
      </c>
      <c r="V83" s="183">
        <v>8.58</v>
      </c>
      <c r="W83" s="52">
        <v>8.5</v>
      </c>
      <c r="X83" s="52">
        <v>0.62</v>
      </c>
      <c r="Y83" s="52">
        <v>1</v>
      </c>
      <c r="Z83" s="52">
        <v>9</v>
      </c>
      <c r="AA83" s="52">
        <v>0</v>
      </c>
      <c r="AB83" s="52" t="s">
        <v>792</v>
      </c>
      <c r="AC83" s="69">
        <v>1992</v>
      </c>
      <c r="AD83" s="69" t="s">
        <v>1972</v>
      </c>
      <c r="AG83" s="68" t="s">
        <v>1637</v>
      </c>
      <c r="AH83" s="136" t="s">
        <v>1261</v>
      </c>
    </row>
    <row r="84" spans="1:34" ht="16.05" customHeight="1">
      <c r="A84" s="8" t="s">
        <v>446</v>
      </c>
      <c r="B84" s="262">
        <v>8</v>
      </c>
      <c r="C84" s="4"/>
      <c r="D84" s="6" t="s">
        <v>459</v>
      </c>
      <c r="E84" s="262">
        <v>10</v>
      </c>
      <c r="F84" s="22"/>
      <c r="G84" s="5" t="s">
        <v>494</v>
      </c>
      <c r="H84" s="261">
        <v>8</v>
      </c>
      <c r="I84" s="4"/>
      <c r="J84" s="8" t="s">
        <v>436</v>
      </c>
      <c r="K84" s="262">
        <v>7.5</v>
      </c>
      <c r="L84" s="22"/>
      <c r="M84" s="5" t="s">
        <v>482</v>
      </c>
      <c r="N84" s="262">
        <v>8</v>
      </c>
      <c r="O84" s="22"/>
      <c r="R84" s="59">
        <v>82</v>
      </c>
      <c r="S84" s="68" t="s">
        <v>353</v>
      </c>
      <c r="T84" s="68" t="s">
        <v>161</v>
      </c>
      <c r="U84" s="70">
        <v>8.67</v>
      </c>
      <c r="V84" s="225">
        <v>8.57</v>
      </c>
      <c r="W84" s="68">
        <v>8.5</v>
      </c>
      <c r="X84" s="68">
        <v>0.77</v>
      </c>
      <c r="Y84" s="68">
        <v>2</v>
      </c>
      <c r="Z84" s="68">
        <v>12</v>
      </c>
      <c r="AA84" s="68">
        <v>0</v>
      </c>
      <c r="AB84" s="68" t="s">
        <v>777</v>
      </c>
      <c r="AC84" s="70">
        <v>1977</v>
      </c>
      <c r="AD84" s="70" t="s">
        <v>1978</v>
      </c>
      <c r="AG84" s="52" t="s">
        <v>1103</v>
      </c>
      <c r="AH84" s="137" t="s">
        <v>1874</v>
      </c>
    </row>
    <row r="85" spans="1:34" ht="16.05" customHeight="1">
      <c r="A85" s="8" t="s">
        <v>447</v>
      </c>
      <c r="B85" s="262">
        <v>8.5</v>
      </c>
      <c r="C85" s="4"/>
      <c r="D85" s="6" t="s">
        <v>460</v>
      </c>
      <c r="E85" s="262">
        <v>8.5</v>
      </c>
      <c r="F85" s="22"/>
      <c r="G85" s="5" t="s">
        <v>495</v>
      </c>
      <c r="H85" s="262">
        <v>8</v>
      </c>
      <c r="I85" s="4"/>
      <c r="J85" s="8" t="s">
        <v>437</v>
      </c>
      <c r="K85" s="262">
        <v>7.5</v>
      </c>
      <c r="L85" s="22"/>
      <c r="M85" s="5" t="s">
        <v>483</v>
      </c>
      <c r="N85" s="262">
        <v>8</v>
      </c>
      <c r="O85" s="22"/>
      <c r="R85" s="59">
        <v>83</v>
      </c>
      <c r="S85" s="52" t="s">
        <v>491</v>
      </c>
      <c r="T85" s="52" t="s">
        <v>492</v>
      </c>
      <c r="U85" s="69">
        <v>8.67</v>
      </c>
      <c r="V85" s="225">
        <v>8.57</v>
      </c>
      <c r="W85" s="52">
        <v>8.5</v>
      </c>
      <c r="X85" s="52">
        <v>0.92</v>
      </c>
      <c r="Y85" s="52">
        <v>3</v>
      </c>
      <c r="Z85" s="52">
        <v>12</v>
      </c>
      <c r="AA85" s="52">
        <v>0</v>
      </c>
      <c r="AB85" s="52" t="s">
        <v>769</v>
      </c>
      <c r="AC85" s="69">
        <v>2002</v>
      </c>
      <c r="AD85" s="69" t="s">
        <v>1975</v>
      </c>
      <c r="AG85" s="68" t="s">
        <v>1096</v>
      </c>
      <c r="AH85" s="136" t="s">
        <v>1662</v>
      </c>
    </row>
    <row r="86" spans="1:34" ht="16.05" customHeight="1">
      <c r="A86" s="8" t="s">
        <v>448</v>
      </c>
      <c r="B86" s="262">
        <v>9</v>
      </c>
      <c r="C86" s="4"/>
      <c r="D86" s="6" t="s">
        <v>461</v>
      </c>
      <c r="E86" s="262">
        <v>7</v>
      </c>
      <c r="F86" s="22"/>
      <c r="G86" s="5" t="s">
        <v>496</v>
      </c>
      <c r="H86" s="262">
        <v>8</v>
      </c>
      <c r="I86" s="4"/>
      <c r="J86" s="8" t="s">
        <v>438</v>
      </c>
      <c r="K86" s="262">
        <v>7</v>
      </c>
      <c r="L86" s="22"/>
      <c r="M86" s="5" t="s">
        <v>484</v>
      </c>
      <c r="N86" s="262">
        <v>8.5</v>
      </c>
      <c r="O86" s="22"/>
      <c r="R86" s="59">
        <v>84</v>
      </c>
      <c r="S86" s="68" t="s">
        <v>782</v>
      </c>
      <c r="T86" s="68" t="s">
        <v>783</v>
      </c>
      <c r="U86" s="70">
        <v>8.67</v>
      </c>
      <c r="V86" s="225">
        <v>8.57</v>
      </c>
      <c r="W86" s="68">
        <v>8.5</v>
      </c>
      <c r="X86" s="68">
        <v>0.75</v>
      </c>
      <c r="Y86" s="68">
        <v>1</v>
      </c>
      <c r="Z86" s="68">
        <v>6</v>
      </c>
      <c r="AA86" s="68">
        <v>0</v>
      </c>
      <c r="AB86" s="68" t="s">
        <v>785</v>
      </c>
      <c r="AC86" s="70">
        <v>2024</v>
      </c>
      <c r="AD86" s="70" t="s">
        <v>1985</v>
      </c>
      <c r="AG86" s="52" t="s">
        <v>788</v>
      </c>
      <c r="AH86" s="137" t="s">
        <v>2073</v>
      </c>
    </row>
    <row r="87" spans="1:34" ht="16.05" customHeight="1">
      <c r="A87" s="8" t="s">
        <v>449</v>
      </c>
      <c r="B87" s="262">
        <v>8</v>
      </c>
      <c r="C87" s="4"/>
      <c r="D87" s="6" t="s">
        <v>462</v>
      </c>
      <c r="E87" s="262">
        <v>7.5</v>
      </c>
      <c r="F87" s="22"/>
      <c r="G87" s="5" t="s">
        <v>497</v>
      </c>
      <c r="H87" s="262">
        <v>8.5</v>
      </c>
      <c r="I87" s="4"/>
      <c r="J87" s="8" t="s">
        <v>439</v>
      </c>
      <c r="K87" s="262">
        <v>7.5</v>
      </c>
      <c r="L87" s="22"/>
      <c r="M87" s="5" t="s">
        <v>485</v>
      </c>
      <c r="N87" s="262">
        <v>9</v>
      </c>
      <c r="O87" s="22"/>
      <c r="R87" s="59">
        <v>85</v>
      </c>
      <c r="S87" s="52" t="s">
        <v>354</v>
      </c>
      <c r="T87" s="52" t="s">
        <v>160</v>
      </c>
      <c r="U87" s="69">
        <v>8.65</v>
      </c>
      <c r="V87" s="132">
        <v>8.56</v>
      </c>
      <c r="W87" s="52">
        <v>8.5</v>
      </c>
      <c r="X87" s="52">
        <v>0.72</v>
      </c>
      <c r="Y87" s="52">
        <v>2</v>
      </c>
      <c r="Z87" s="52">
        <v>13</v>
      </c>
      <c r="AA87" s="52">
        <v>0</v>
      </c>
      <c r="AB87" s="52" t="s">
        <v>796</v>
      </c>
      <c r="AC87" s="69">
        <v>2005</v>
      </c>
      <c r="AD87" s="69" t="s">
        <v>1982</v>
      </c>
      <c r="AG87" s="68" t="s">
        <v>1215</v>
      </c>
      <c r="AH87" s="136" t="s">
        <v>1105</v>
      </c>
    </row>
    <row r="88" spans="1:34" ht="16.05" customHeight="1" thickBot="1">
      <c r="A88" s="8" t="s">
        <v>450</v>
      </c>
      <c r="B88" s="262">
        <v>8.5</v>
      </c>
      <c r="C88" s="4"/>
      <c r="D88" s="6" t="s">
        <v>463</v>
      </c>
      <c r="E88" s="262">
        <v>9</v>
      </c>
      <c r="F88" s="22"/>
      <c r="G88" s="5" t="s">
        <v>498</v>
      </c>
      <c r="H88" s="262">
        <v>7</v>
      </c>
      <c r="I88" s="4"/>
      <c r="J88" s="10" t="s">
        <v>440</v>
      </c>
      <c r="K88" s="263">
        <v>9</v>
      </c>
      <c r="L88" s="22"/>
      <c r="M88" s="5" t="s">
        <v>486</v>
      </c>
      <c r="N88" s="262">
        <v>8</v>
      </c>
      <c r="O88" s="22"/>
      <c r="R88" s="59">
        <v>86</v>
      </c>
      <c r="S88" s="68" t="s">
        <v>336</v>
      </c>
      <c r="T88" s="68" t="s">
        <v>869</v>
      </c>
      <c r="U88" s="70">
        <v>8.5</v>
      </c>
      <c r="V88" s="132">
        <v>8.56</v>
      </c>
      <c r="W88" s="68">
        <v>8.5</v>
      </c>
      <c r="X88" s="68">
        <v>0.96</v>
      </c>
      <c r="Y88" s="68">
        <v>2</v>
      </c>
      <c r="Z88" s="68">
        <v>14</v>
      </c>
      <c r="AA88" s="68">
        <v>1</v>
      </c>
      <c r="AB88" s="68" t="s">
        <v>766</v>
      </c>
      <c r="AC88" s="70">
        <v>2003</v>
      </c>
      <c r="AD88" s="70" t="s">
        <v>1981</v>
      </c>
      <c r="AG88" s="52" t="s">
        <v>1517</v>
      </c>
      <c r="AH88" s="137" t="s">
        <v>1105</v>
      </c>
    </row>
    <row r="89" spans="1:34" ht="16.05" customHeight="1" thickBot="1">
      <c r="A89" s="8" t="s">
        <v>451</v>
      </c>
      <c r="B89" s="262">
        <v>9.5</v>
      </c>
      <c r="C89" s="4"/>
      <c r="D89" s="6" t="s">
        <v>464</v>
      </c>
      <c r="E89" s="262">
        <v>7</v>
      </c>
      <c r="F89" s="22"/>
      <c r="G89" s="5" t="s">
        <v>499</v>
      </c>
      <c r="H89" s="262">
        <v>8</v>
      </c>
      <c r="I89" s="4"/>
      <c r="J89" s="21"/>
      <c r="K89" s="21"/>
      <c r="L89" s="22"/>
      <c r="M89" s="5" t="s">
        <v>487</v>
      </c>
      <c r="N89" s="262">
        <v>7</v>
      </c>
      <c r="O89" s="22"/>
      <c r="R89" s="59">
        <v>87</v>
      </c>
      <c r="S89" s="52" t="s">
        <v>970</v>
      </c>
      <c r="T89" s="52" t="s">
        <v>968</v>
      </c>
      <c r="U89" s="69">
        <v>8.67</v>
      </c>
      <c r="V89" s="132">
        <v>8.56</v>
      </c>
      <c r="W89" s="52">
        <v>8.5</v>
      </c>
      <c r="X89" s="52">
        <v>0.71</v>
      </c>
      <c r="Y89" s="52">
        <v>1</v>
      </c>
      <c r="Z89" s="52">
        <v>10</v>
      </c>
      <c r="AA89" s="52">
        <v>1</v>
      </c>
      <c r="AB89" s="52" t="s">
        <v>971</v>
      </c>
      <c r="AC89" s="69">
        <v>1999</v>
      </c>
      <c r="AD89" s="69" t="s">
        <v>1987</v>
      </c>
      <c r="AG89" s="68" t="s">
        <v>1518</v>
      </c>
      <c r="AH89" s="136" t="s">
        <v>1105</v>
      </c>
    </row>
    <row r="90" spans="1:34" ht="16.05" customHeight="1" thickBot="1">
      <c r="A90" s="8" t="s">
        <v>452</v>
      </c>
      <c r="B90" s="262">
        <v>8</v>
      </c>
      <c r="C90" s="4"/>
      <c r="D90" s="6" t="s">
        <v>465</v>
      </c>
      <c r="E90" s="262">
        <v>8</v>
      </c>
      <c r="F90" s="22"/>
      <c r="G90" s="5" t="s">
        <v>500</v>
      </c>
      <c r="H90" s="262">
        <v>7</v>
      </c>
      <c r="I90" s="22"/>
      <c r="J90" s="73" t="s">
        <v>508</v>
      </c>
      <c r="K90" s="3">
        <f>ROUND(SUM(K91:K96)/COUNT(K91:K96), 2)</f>
        <v>9.17</v>
      </c>
      <c r="L90" s="22"/>
      <c r="M90" s="5" t="s">
        <v>488</v>
      </c>
      <c r="N90" s="262">
        <v>8.5</v>
      </c>
      <c r="O90" s="22"/>
      <c r="R90" s="59">
        <v>88</v>
      </c>
      <c r="S90" s="68" t="s">
        <v>339</v>
      </c>
      <c r="T90" s="68" t="s">
        <v>2171</v>
      </c>
      <c r="U90" s="70">
        <v>8.6</v>
      </c>
      <c r="V90" s="300">
        <v>8.5399999999999991</v>
      </c>
      <c r="W90" s="68">
        <v>8</v>
      </c>
      <c r="X90" s="68">
        <v>1.02</v>
      </c>
      <c r="Y90" s="68">
        <v>2</v>
      </c>
      <c r="Z90" s="68">
        <v>10</v>
      </c>
      <c r="AA90" s="68">
        <v>0</v>
      </c>
      <c r="AB90" s="68" t="s">
        <v>2180</v>
      </c>
      <c r="AC90" s="70">
        <v>1970</v>
      </c>
      <c r="AD90" s="70" t="s">
        <v>1985</v>
      </c>
      <c r="AG90" s="52" t="s">
        <v>1106</v>
      </c>
      <c r="AH90" s="137" t="s">
        <v>1105</v>
      </c>
    </row>
    <row r="91" spans="1:34" ht="16.05" customHeight="1" thickBot="1">
      <c r="A91" s="10" t="s">
        <v>453</v>
      </c>
      <c r="B91" s="263">
        <v>10</v>
      </c>
      <c r="C91" s="4"/>
      <c r="D91" s="6" t="s">
        <v>466</v>
      </c>
      <c r="E91" s="262">
        <v>7.5</v>
      </c>
      <c r="F91" s="22"/>
      <c r="G91" s="5" t="s">
        <v>501</v>
      </c>
      <c r="H91" s="262">
        <v>8</v>
      </c>
      <c r="I91" s="4"/>
      <c r="J91" s="7" t="s">
        <v>509</v>
      </c>
      <c r="K91" s="261">
        <v>9.5</v>
      </c>
      <c r="L91" s="22"/>
      <c r="M91" s="55" t="s">
        <v>489</v>
      </c>
      <c r="N91" s="263">
        <v>10</v>
      </c>
      <c r="O91" s="22"/>
      <c r="R91" s="59">
        <v>89</v>
      </c>
      <c r="S91" s="52" t="s">
        <v>1905</v>
      </c>
      <c r="T91" s="52" t="s">
        <v>1906</v>
      </c>
      <c r="U91" s="69">
        <v>8.6</v>
      </c>
      <c r="V91" s="281">
        <v>8.52</v>
      </c>
      <c r="W91" s="52">
        <v>8.5</v>
      </c>
      <c r="X91" s="52">
        <v>0.66</v>
      </c>
      <c r="Y91" s="52">
        <v>1</v>
      </c>
      <c r="Z91" s="52">
        <v>10</v>
      </c>
      <c r="AA91" s="52">
        <v>0</v>
      </c>
      <c r="AB91" s="52" t="s">
        <v>1907</v>
      </c>
      <c r="AC91" s="69">
        <v>2024</v>
      </c>
      <c r="AD91" s="69" t="s">
        <v>1985</v>
      </c>
      <c r="AG91" s="68" t="s">
        <v>1111</v>
      </c>
      <c r="AH91" s="136" t="s">
        <v>1534</v>
      </c>
    </row>
    <row r="92" spans="1:34" ht="16.05" customHeight="1" thickBot="1">
      <c r="A92" s="21"/>
      <c r="B92" s="21"/>
      <c r="C92" s="4"/>
      <c r="D92" s="6" t="s">
        <v>467</v>
      </c>
      <c r="E92" s="262">
        <v>8.5</v>
      </c>
      <c r="F92" s="22"/>
      <c r="G92" s="5" t="s">
        <v>502</v>
      </c>
      <c r="H92" s="262">
        <v>7</v>
      </c>
      <c r="I92" s="4"/>
      <c r="J92" s="8" t="s">
        <v>510</v>
      </c>
      <c r="K92" s="262">
        <v>8.5</v>
      </c>
      <c r="L92" s="4"/>
      <c r="M92" s="21"/>
      <c r="N92" s="21"/>
      <c r="O92" s="22"/>
      <c r="R92" s="59">
        <v>90</v>
      </c>
      <c r="S92" s="68" t="s">
        <v>1660</v>
      </c>
      <c r="T92" s="68" t="s">
        <v>1661</v>
      </c>
      <c r="U92" s="70">
        <v>8.6</v>
      </c>
      <c r="V92" s="226">
        <v>8.5</v>
      </c>
      <c r="W92" s="68">
        <v>8.5</v>
      </c>
      <c r="X92" s="68">
        <v>0.83</v>
      </c>
      <c r="Y92" s="68">
        <v>1</v>
      </c>
      <c r="Z92" s="68">
        <v>10</v>
      </c>
      <c r="AA92" s="68">
        <v>0</v>
      </c>
      <c r="AB92" s="68" t="s">
        <v>775</v>
      </c>
      <c r="AC92" s="70">
        <v>1993</v>
      </c>
      <c r="AD92" s="70" t="s">
        <v>1962</v>
      </c>
      <c r="AG92" s="52" t="s">
        <v>1109</v>
      </c>
      <c r="AH92" s="137" t="s">
        <v>1108</v>
      </c>
    </row>
    <row r="93" spans="1:34" ht="16.05" customHeight="1" thickBot="1">
      <c r="A93" s="115" t="s">
        <v>908</v>
      </c>
      <c r="B93" s="14">
        <f>ROUND(SUM(B94:B101)/COUNT(B94:B101), 2)</f>
        <v>8.5</v>
      </c>
      <c r="C93" s="4"/>
      <c r="D93" s="6" t="s">
        <v>468</v>
      </c>
      <c r="E93" s="262">
        <v>8</v>
      </c>
      <c r="F93" s="22"/>
      <c r="G93" s="5" t="s">
        <v>503</v>
      </c>
      <c r="H93" s="262">
        <v>8</v>
      </c>
      <c r="I93" s="4"/>
      <c r="J93" s="8" t="s">
        <v>511</v>
      </c>
      <c r="K93" s="262">
        <v>10.5</v>
      </c>
      <c r="L93" s="22"/>
      <c r="M93" s="127" t="s">
        <v>1013</v>
      </c>
      <c r="N93" s="3">
        <f>ROUND(SUM(N94:N110)/COUNT(N94:N110), 2)</f>
        <v>8.5</v>
      </c>
      <c r="O93" s="22"/>
      <c r="R93" s="59">
        <v>91</v>
      </c>
      <c r="S93" s="52" t="s">
        <v>1036</v>
      </c>
      <c r="T93" s="52" t="s">
        <v>1037</v>
      </c>
      <c r="U93" s="69">
        <v>8.5500000000000007</v>
      </c>
      <c r="V93" s="227">
        <v>8.4700000000000006</v>
      </c>
      <c r="W93" s="52">
        <v>8.5</v>
      </c>
      <c r="X93" s="52">
        <v>0.69</v>
      </c>
      <c r="Y93" s="52">
        <v>1</v>
      </c>
      <c r="Z93" s="52">
        <v>12</v>
      </c>
      <c r="AA93" s="52">
        <v>1</v>
      </c>
      <c r="AB93" s="52" t="s">
        <v>788</v>
      </c>
      <c r="AC93" s="69">
        <v>1999</v>
      </c>
      <c r="AD93" s="69" t="s">
        <v>1951</v>
      </c>
      <c r="AG93" s="68" t="s">
        <v>787</v>
      </c>
      <c r="AH93" s="136" t="s">
        <v>1777</v>
      </c>
    </row>
    <row r="94" spans="1:34" ht="16.05" customHeight="1">
      <c r="A94" s="13" t="s">
        <v>515</v>
      </c>
      <c r="B94" s="261">
        <v>10</v>
      </c>
      <c r="C94" s="4"/>
      <c r="D94" s="6" t="s">
        <v>469</v>
      </c>
      <c r="E94" s="262">
        <v>8</v>
      </c>
      <c r="F94" s="22"/>
      <c r="G94" s="5" t="s">
        <v>504</v>
      </c>
      <c r="H94" s="262">
        <v>6.5</v>
      </c>
      <c r="I94" s="4"/>
      <c r="J94" s="8" t="s">
        <v>512</v>
      </c>
      <c r="K94" s="262">
        <v>9</v>
      </c>
      <c r="L94" s="4"/>
      <c r="M94" s="7" t="s">
        <v>527</v>
      </c>
      <c r="N94" s="261">
        <v>8</v>
      </c>
      <c r="O94" s="22"/>
      <c r="R94" s="59">
        <v>92</v>
      </c>
      <c r="S94" s="68" t="s">
        <v>343</v>
      </c>
      <c r="T94" s="68" t="s">
        <v>2059</v>
      </c>
      <c r="U94" s="70">
        <v>8.5</v>
      </c>
      <c r="V94" s="289">
        <v>8.4600000000000009</v>
      </c>
      <c r="W94" s="68">
        <v>8.5</v>
      </c>
      <c r="X94" s="68">
        <v>0.35</v>
      </c>
      <c r="Y94" s="68">
        <v>0</v>
      </c>
      <c r="Z94" s="68">
        <v>8</v>
      </c>
      <c r="AA94" s="68">
        <v>0</v>
      </c>
      <c r="AB94" s="68" t="s">
        <v>788</v>
      </c>
      <c r="AC94" s="70">
        <v>2024</v>
      </c>
      <c r="AD94" s="70" t="s">
        <v>1993</v>
      </c>
      <c r="AG94" s="52" t="s">
        <v>1202</v>
      </c>
      <c r="AH94" s="137" t="s">
        <v>2175</v>
      </c>
    </row>
    <row r="95" spans="1:34" ht="16.05" customHeight="1" thickBot="1">
      <c r="A95" s="6" t="s">
        <v>516</v>
      </c>
      <c r="B95" s="262">
        <v>9.5</v>
      </c>
      <c r="C95" s="4"/>
      <c r="D95" s="6" t="s">
        <v>470</v>
      </c>
      <c r="E95" s="262">
        <v>7</v>
      </c>
      <c r="F95" s="22"/>
      <c r="G95" s="9" t="s">
        <v>505</v>
      </c>
      <c r="H95" s="263">
        <v>8</v>
      </c>
      <c r="I95" s="4"/>
      <c r="J95" s="8" t="s">
        <v>513</v>
      </c>
      <c r="K95" s="262">
        <v>9</v>
      </c>
      <c r="L95" s="4"/>
      <c r="M95" s="8" t="s">
        <v>528</v>
      </c>
      <c r="N95" s="262">
        <v>8</v>
      </c>
      <c r="O95" s="22"/>
      <c r="R95" s="59">
        <v>93</v>
      </c>
      <c r="S95" s="52" t="s">
        <v>1243</v>
      </c>
      <c r="T95" s="52" t="s">
        <v>1244</v>
      </c>
      <c r="U95" s="69">
        <v>8.5299999999999994</v>
      </c>
      <c r="V95" s="251">
        <v>8.4499999999999993</v>
      </c>
      <c r="W95" s="52">
        <v>8.5</v>
      </c>
      <c r="X95" s="52">
        <v>0.96</v>
      </c>
      <c r="Y95" s="52">
        <v>3</v>
      </c>
      <c r="Z95" s="52">
        <v>15</v>
      </c>
      <c r="AA95" s="52">
        <v>0</v>
      </c>
      <c r="AB95" s="52" t="s">
        <v>1248</v>
      </c>
      <c r="AC95" s="69">
        <v>2024</v>
      </c>
      <c r="AD95" s="69" t="s">
        <v>1954</v>
      </c>
      <c r="AG95" s="68" t="s">
        <v>1581</v>
      </c>
      <c r="AH95" s="136" t="s">
        <v>2175</v>
      </c>
    </row>
    <row r="96" spans="1:34" ht="16.05" customHeight="1" thickBot="1">
      <c r="A96" s="6" t="s">
        <v>517</v>
      </c>
      <c r="B96" s="262">
        <v>8.5</v>
      </c>
      <c r="C96" s="4"/>
      <c r="D96" s="6" t="s">
        <v>471</v>
      </c>
      <c r="E96" s="262">
        <v>8.5</v>
      </c>
      <c r="F96" s="4"/>
      <c r="G96" s="21"/>
      <c r="H96" s="21"/>
      <c r="I96" s="4"/>
      <c r="J96" s="10" t="s">
        <v>514</v>
      </c>
      <c r="K96" s="263">
        <v>8.5</v>
      </c>
      <c r="L96" s="4"/>
      <c r="M96" s="8" t="s">
        <v>529</v>
      </c>
      <c r="N96" s="262">
        <v>9</v>
      </c>
      <c r="O96" s="22"/>
      <c r="R96" s="59">
        <v>94</v>
      </c>
      <c r="S96" s="68" t="s">
        <v>1799</v>
      </c>
      <c r="T96" s="68" t="s">
        <v>1800</v>
      </c>
      <c r="U96" s="70">
        <v>8.5</v>
      </c>
      <c r="V96" s="251">
        <v>8.4499999999999993</v>
      </c>
      <c r="W96" s="68">
        <v>8.5</v>
      </c>
      <c r="X96" s="68">
        <v>0.41</v>
      </c>
      <c r="Y96" s="68">
        <v>0</v>
      </c>
      <c r="Z96" s="68">
        <v>9</v>
      </c>
      <c r="AA96" s="68">
        <v>0</v>
      </c>
      <c r="AB96" s="68" t="s">
        <v>1248</v>
      </c>
      <c r="AC96" s="70">
        <v>2026</v>
      </c>
      <c r="AD96" s="70" t="s">
        <v>1988</v>
      </c>
      <c r="AG96" s="52" t="s">
        <v>1118</v>
      </c>
      <c r="AH96" s="137" t="s">
        <v>1842</v>
      </c>
    </row>
    <row r="97" spans="1:34" ht="16.05" customHeight="1" thickBot="1">
      <c r="A97" s="6" t="s">
        <v>518</v>
      </c>
      <c r="B97" s="262">
        <v>8</v>
      </c>
      <c r="C97" s="4"/>
      <c r="D97" s="6" t="s">
        <v>472</v>
      </c>
      <c r="E97" s="262">
        <v>8.5</v>
      </c>
      <c r="F97" s="22"/>
      <c r="G97" s="71" t="s">
        <v>556</v>
      </c>
      <c r="H97" s="3">
        <f>ROUND(SUM(H98:H108)/COUNT(H98:H109), 2)</f>
        <v>8.77</v>
      </c>
      <c r="I97" s="4"/>
      <c r="J97" s="21"/>
      <c r="K97" s="21"/>
      <c r="L97" s="4"/>
      <c r="M97" s="8" t="s">
        <v>530</v>
      </c>
      <c r="N97" s="262"/>
      <c r="O97" s="22"/>
      <c r="R97" s="59">
        <v>95</v>
      </c>
      <c r="S97" s="52" t="s">
        <v>544</v>
      </c>
      <c r="T97" s="52" t="s">
        <v>545</v>
      </c>
      <c r="U97" s="69">
        <v>8.5</v>
      </c>
      <c r="V97" s="228">
        <v>8.43</v>
      </c>
      <c r="W97" s="52">
        <v>8.5</v>
      </c>
      <c r="X97" s="52">
        <v>0.59</v>
      </c>
      <c r="Y97" s="52">
        <v>0</v>
      </c>
      <c r="Z97" s="52">
        <v>17</v>
      </c>
      <c r="AA97" s="52">
        <v>4</v>
      </c>
      <c r="AB97" s="52" t="s">
        <v>797</v>
      </c>
      <c r="AC97" s="69">
        <v>2016</v>
      </c>
      <c r="AD97" s="69" t="s">
        <v>1986</v>
      </c>
      <c r="AG97" s="68" t="s">
        <v>1307</v>
      </c>
      <c r="AH97" s="136" t="s">
        <v>1113</v>
      </c>
    </row>
    <row r="98" spans="1:34" ht="16.05" customHeight="1" thickBot="1">
      <c r="A98" s="6" t="s">
        <v>519</v>
      </c>
      <c r="B98" s="262">
        <v>8.5</v>
      </c>
      <c r="C98" s="4"/>
      <c r="D98" s="6" t="s">
        <v>473</v>
      </c>
      <c r="E98" s="262">
        <v>7</v>
      </c>
      <c r="F98" s="4"/>
      <c r="G98" s="7" t="s">
        <v>546</v>
      </c>
      <c r="H98" s="261">
        <v>9.5</v>
      </c>
      <c r="I98" s="22"/>
      <c r="J98" s="72" t="s">
        <v>557</v>
      </c>
      <c r="K98" s="3">
        <f>ROUND(SUM(K99:K109)/COUNT(K99:K109), 2)</f>
        <v>9.61</v>
      </c>
      <c r="L98" s="4"/>
      <c r="M98" s="8" t="s">
        <v>531</v>
      </c>
      <c r="N98" s="262">
        <v>8.5</v>
      </c>
      <c r="O98" s="22"/>
      <c r="R98" s="59">
        <v>96</v>
      </c>
      <c r="S98" s="68" t="s">
        <v>343</v>
      </c>
      <c r="T98" s="68" t="s">
        <v>523</v>
      </c>
      <c r="U98" s="70">
        <v>8.5</v>
      </c>
      <c r="V98" s="229">
        <v>8.41</v>
      </c>
      <c r="W98" s="68">
        <v>8.5</v>
      </c>
      <c r="X98" s="68">
        <v>0.94</v>
      </c>
      <c r="Y98" s="68">
        <v>1</v>
      </c>
      <c r="Z98" s="68">
        <v>8</v>
      </c>
      <c r="AA98" s="68">
        <v>0</v>
      </c>
      <c r="AB98" s="68" t="s">
        <v>790</v>
      </c>
      <c r="AC98" s="70">
        <v>2003</v>
      </c>
      <c r="AD98" s="70" t="s">
        <v>1985</v>
      </c>
      <c r="AG98" s="52" t="s">
        <v>792</v>
      </c>
      <c r="AH98" s="137" t="s">
        <v>1113</v>
      </c>
    </row>
    <row r="99" spans="1:34" ht="16.05" customHeight="1" thickBot="1">
      <c r="A99" s="6" t="s">
        <v>520</v>
      </c>
      <c r="B99" s="262">
        <v>7.5</v>
      </c>
      <c r="C99" s="4"/>
      <c r="D99" s="9" t="s">
        <v>474</v>
      </c>
      <c r="E99" s="263">
        <v>9</v>
      </c>
      <c r="F99" s="4"/>
      <c r="G99" s="8" t="s">
        <v>547</v>
      </c>
      <c r="H99" s="262">
        <v>8.5</v>
      </c>
      <c r="I99" s="4"/>
      <c r="J99" s="7" t="s">
        <v>558</v>
      </c>
      <c r="K99" s="261">
        <v>10.5</v>
      </c>
      <c r="L99" s="4"/>
      <c r="M99" s="8" t="s">
        <v>532</v>
      </c>
      <c r="N99" s="262">
        <v>7.5</v>
      </c>
      <c r="O99" s="22"/>
      <c r="R99" s="59">
        <v>97</v>
      </c>
      <c r="S99" s="52" t="s">
        <v>382</v>
      </c>
      <c r="T99" s="52" t="s">
        <v>383</v>
      </c>
      <c r="U99" s="69">
        <v>8.4600000000000009</v>
      </c>
      <c r="V99" s="230">
        <v>8.39</v>
      </c>
      <c r="W99" s="52">
        <v>8.5</v>
      </c>
      <c r="X99" s="52">
        <v>0.84</v>
      </c>
      <c r="Y99" s="52">
        <v>2</v>
      </c>
      <c r="Z99" s="52">
        <v>13</v>
      </c>
      <c r="AA99" s="52">
        <v>0</v>
      </c>
      <c r="AB99" s="52" t="s">
        <v>794</v>
      </c>
      <c r="AC99" s="69">
        <v>2018</v>
      </c>
      <c r="AD99" s="69" t="s">
        <v>1969</v>
      </c>
      <c r="AG99" s="68" t="s">
        <v>1115</v>
      </c>
      <c r="AH99" s="136" t="s">
        <v>1113</v>
      </c>
    </row>
    <row r="100" spans="1:34" ht="16.05" customHeight="1" thickBot="1">
      <c r="A100" s="6" t="s">
        <v>521</v>
      </c>
      <c r="B100" s="262">
        <v>9</v>
      </c>
      <c r="C100" s="4"/>
      <c r="D100" s="19"/>
      <c r="E100" s="21"/>
      <c r="F100" s="4"/>
      <c r="G100" s="8" t="s">
        <v>548</v>
      </c>
      <c r="H100" s="262">
        <v>8.5</v>
      </c>
      <c r="I100" s="4"/>
      <c r="J100" s="8" t="s">
        <v>559</v>
      </c>
      <c r="K100" s="262">
        <v>10</v>
      </c>
      <c r="L100" s="4"/>
      <c r="M100" s="8" t="s">
        <v>533</v>
      </c>
      <c r="N100" s="262">
        <v>9.5</v>
      </c>
      <c r="O100" s="22"/>
      <c r="R100" s="59">
        <v>98</v>
      </c>
      <c r="S100" s="68" t="s">
        <v>1290</v>
      </c>
      <c r="T100" s="68" t="s">
        <v>1280</v>
      </c>
      <c r="U100" s="70">
        <v>8.4499999999999993</v>
      </c>
      <c r="V100" s="185">
        <v>8.3800000000000008</v>
      </c>
      <c r="W100" s="68">
        <v>8.5</v>
      </c>
      <c r="X100" s="68">
        <v>0.78</v>
      </c>
      <c r="Y100" s="68">
        <v>1</v>
      </c>
      <c r="Z100" s="68">
        <v>11</v>
      </c>
      <c r="AA100" s="68">
        <v>0</v>
      </c>
      <c r="AB100" s="68" t="s">
        <v>1291</v>
      </c>
      <c r="AC100" s="70">
        <v>2024</v>
      </c>
      <c r="AD100" s="70" t="s">
        <v>1988</v>
      </c>
      <c r="AG100" s="52" t="s">
        <v>1119</v>
      </c>
      <c r="AH100" s="137" t="s">
        <v>1910</v>
      </c>
    </row>
    <row r="101" spans="1:34" ht="16.05" customHeight="1" thickBot="1">
      <c r="A101" s="9" t="s">
        <v>522</v>
      </c>
      <c r="B101" s="263">
        <v>7</v>
      </c>
      <c r="C101" s="4"/>
      <c r="D101" s="94" t="s">
        <v>887</v>
      </c>
      <c r="E101" s="3">
        <f>ROUND(SUM(E102:E115)/COUNT(E102:E115), 2)</f>
        <v>8.31</v>
      </c>
      <c r="F101" s="4"/>
      <c r="G101" s="8" t="s">
        <v>549</v>
      </c>
      <c r="H101" s="262">
        <v>8</v>
      </c>
      <c r="I101" s="4"/>
      <c r="J101" s="8" t="s">
        <v>560</v>
      </c>
      <c r="K101" s="262">
        <v>8.5</v>
      </c>
      <c r="L101" s="4"/>
      <c r="M101" s="8" t="s">
        <v>543</v>
      </c>
      <c r="N101" s="262"/>
      <c r="O101" s="22"/>
      <c r="R101" s="59">
        <v>99</v>
      </c>
      <c r="S101" s="52" t="s">
        <v>2085</v>
      </c>
      <c r="T101" s="52" t="s">
        <v>2086</v>
      </c>
      <c r="U101" s="69">
        <v>8.43</v>
      </c>
      <c r="V101" s="185">
        <v>8.3800000000000008</v>
      </c>
      <c r="W101" s="52">
        <v>8.5</v>
      </c>
      <c r="X101" s="52">
        <v>0.49</v>
      </c>
      <c r="Y101" s="52">
        <v>0</v>
      </c>
      <c r="Z101" s="52">
        <v>8</v>
      </c>
      <c r="AA101" s="52">
        <v>1</v>
      </c>
      <c r="AB101" s="52" t="s">
        <v>2087</v>
      </c>
      <c r="AC101" s="69">
        <v>2026</v>
      </c>
      <c r="AD101" s="69" t="s">
        <v>1980</v>
      </c>
      <c r="AG101" s="68" t="s">
        <v>2184</v>
      </c>
      <c r="AH101" s="136" t="s">
        <v>1908</v>
      </c>
    </row>
    <row r="102" spans="1:34" ht="16.05" customHeight="1" thickBot="1">
      <c r="A102" s="21"/>
      <c r="B102" s="21"/>
      <c r="C102" s="22"/>
      <c r="D102" s="7" t="s">
        <v>572</v>
      </c>
      <c r="E102" s="265"/>
      <c r="F102" s="4"/>
      <c r="G102" s="8" t="s">
        <v>550</v>
      </c>
      <c r="H102" s="262">
        <v>9</v>
      </c>
      <c r="I102" s="4"/>
      <c r="J102" s="8" t="s">
        <v>561</v>
      </c>
      <c r="K102" s="262">
        <v>9.5</v>
      </c>
      <c r="L102" s="4"/>
      <c r="M102" s="8" t="s">
        <v>534</v>
      </c>
      <c r="N102" s="262">
        <v>9</v>
      </c>
      <c r="O102" s="22"/>
      <c r="R102" s="59">
        <v>100</v>
      </c>
      <c r="S102" s="68" t="s">
        <v>1686</v>
      </c>
      <c r="T102" s="68" t="s">
        <v>1687</v>
      </c>
      <c r="U102" s="70">
        <v>8.4</v>
      </c>
      <c r="V102" s="231">
        <v>8.3699999999999992</v>
      </c>
      <c r="W102" s="68">
        <v>8.5</v>
      </c>
      <c r="X102" s="68">
        <v>0.37</v>
      </c>
      <c r="Y102" s="68">
        <v>0</v>
      </c>
      <c r="Z102" s="68">
        <v>5</v>
      </c>
      <c r="AA102" s="68">
        <v>0</v>
      </c>
      <c r="AB102" s="68" t="s">
        <v>1688</v>
      </c>
      <c r="AC102" s="70">
        <v>2026</v>
      </c>
      <c r="AD102" s="70" t="s">
        <v>1960</v>
      </c>
      <c r="AG102" s="52" t="s">
        <v>1907</v>
      </c>
      <c r="AH102" s="137" t="s">
        <v>1908</v>
      </c>
    </row>
    <row r="103" spans="1:34" ht="16.05" customHeight="1" thickBot="1">
      <c r="A103" s="74" t="s">
        <v>587</v>
      </c>
      <c r="B103" s="3">
        <f>ROUND(SUM(B104:B112)/COUNT(B104:B112), 2)</f>
        <v>8.7799999999999994</v>
      </c>
      <c r="C103" s="22"/>
      <c r="D103" s="20" t="s">
        <v>573</v>
      </c>
      <c r="E103" s="262">
        <v>8</v>
      </c>
      <c r="F103" s="4"/>
      <c r="G103" s="8" t="s">
        <v>551</v>
      </c>
      <c r="H103" s="262">
        <v>8</v>
      </c>
      <c r="I103" s="4"/>
      <c r="J103" s="8" t="s">
        <v>562</v>
      </c>
      <c r="K103" s="262">
        <v>10</v>
      </c>
      <c r="L103" s="4"/>
      <c r="M103" s="8" t="s">
        <v>535</v>
      </c>
      <c r="N103" s="262"/>
      <c r="O103" s="22"/>
      <c r="R103" s="59">
        <v>101</v>
      </c>
      <c r="S103" s="52" t="s">
        <v>358</v>
      </c>
      <c r="T103" s="52" t="s">
        <v>359</v>
      </c>
      <c r="U103" s="69">
        <v>8.42</v>
      </c>
      <c r="V103" s="186">
        <v>8.34</v>
      </c>
      <c r="W103" s="52">
        <v>8.5</v>
      </c>
      <c r="X103" s="52">
        <v>0.91</v>
      </c>
      <c r="Y103" s="52">
        <v>1</v>
      </c>
      <c r="Z103" s="52">
        <v>13</v>
      </c>
      <c r="AA103" s="52">
        <v>1</v>
      </c>
      <c r="AB103" s="52" t="s">
        <v>779</v>
      </c>
      <c r="AC103" s="69">
        <v>2000</v>
      </c>
      <c r="AD103" s="69" t="s">
        <v>1983</v>
      </c>
      <c r="AG103" s="68" t="s">
        <v>1120</v>
      </c>
      <c r="AH103" s="136" t="s">
        <v>1121</v>
      </c>
    </row>
    <row r="104" spans="1:34" ht="16.05" customHeight="1">
      <c r="A104" s="5" t="s">
        <v>588</v>
      </c>
      <c r="B104" s="262">
        <v>9.5</v>
      </c>
      <c r="C104" s="41"/>
      <c r="D104" s="20" t="s">
        <v>574</v>
      </c>
      <c r="E104" s="262">
        <v>9</v>
      </c>
      <c r="F104" s="4"/>
      <c r="G104" s="8" t="s">
        <v>552</v>
      </c>
      <c r="H104" s="262">
        <v>9.5</v>
      </c>
      <c r="I104" s="4"/>
      <c r="J104" s="8" t="s">
        <v>563</v>
      </c>
      <c r="K104" s="262"/>
      <c r="L104" s="4"/>
      <c r="M104" s="8" t="s">
        <v>536</v>
      </c>
      <c r="N104" s="262">
        <v>8</v>
      </c>
      <c r="O104" s="22"/>
      <c r="R104" s="59">
        <v>102</v>
      </c>
      <c r="S104" s="68" t="s">
        <v>1548</v>
      </c>
      <c r="T104" s="68" t="s">
        <v>1604</v>
      </c>
      <c r="U104" s="70">
        <v>8.44</v>
      </c>
      <c r="V104" s="186">
        <v>8.34</v>
      </c>
      <c r="W104" s="68">
        <v>8.5</v>
      </c>
      <c r="X104" s="68">
        <v>1.28</v>
      </c>
      <c r="Y104" s="68">
        <v>2</v>
      </c>
      <c r="Z104" s="68">
        <v>10</v>
      </c>
      <c r="AA104" s="68">
        <v>1</v>
      </c>
      <c r="AB104" s="68" t="s">
        <v>1609</v>
      </c>
      <c r="AC104" s="70">
        <v>2016</v>
      </c>
      <c r="AD104" s="70" t="s">
        <v>1985</v>
      </c>
      <c r="AG104" s="52" t="s">
        <v>1486</v>
      </c>
      <c r="AH104" s="137" t="s">
        <v>2156</v>
      </c>
    </row>
    <row r="105" spans="1:34" ht="16.05" customHeight="1">
      <c r="A105" s="5" t="s">
        <v>589</v>
      </c>
      <c r="B105" s="262">
        <v>9</v>
      </c>
      <c r="C105" s="4"/>
      <c r="D105" s="8" t="s">
        <v>575</v>
      </c>
      <c r="E105" s="262">
        <v>8.5</v>
      </c>
      <c r="F105" s="4"/>
      <c r="G105" s="8" t="s">
        <v>553</v>
      </c>
      <c r="H105" s="262">
        <v>10</v>
      </c>
      <c r="I105" s="4"/>
      <c r="J105" s="8" t="s">
        <v>564</v>
      </c>
      <c r="K105" s="262">
        <v>9</v>
      </c>
      <c r="L105" s="4"/>
      <c r="M105" s="8" t="s">
        <v>537</v>
      </c>
      <c r="N105" s="262"/>
      <c r="O105" s="22"/>
      <c r="R105" s="59">
        <v>103</v>
      </c>
      <c r="S105" s="52" t="s">
        <v>2120</v>
      </c>
      <c r="T105" s="52" t="s">
        <v>2106</v>
      </c>
      <c r="U105" s="69">
        <v>8.3800000000000008</v>
      </c>
      <c r="V105" s="296">
        <v>8.33</v>
      </c>
      <c r="W105" s="52">
        <v>8.5</v>
      </c>
      <c r="X105" s="52">
        <v>0.78</v>
      </c>
      <c r="Y105" s="52">
        <v>2</v>
      </c>
      <c r="Z105" s="52">
        <v>19</v>
      </c>
      <c r="AA105" s="52">
        <v>2</v>
      </c>
      <c r="AB105" s="52" t="s">
        <v>2123</v>
      </c>
      <c r="AC105" s="69">
        <v>1994</v>
      </c>
      <c r="AD105" s="69" t="s">
        <v>1947</v>
      </c>
      <c r="AG105" s="68" t="s">
        <v>1116</v>
      </c>
      <c r="AH105" s="136" t="s">
        <v>1466</v>
      </c>
    </row>
    <row r="106" spans="1:34" ht="16.05" customHeight="1">
      <c r="A106" s="5" t="s">
        <v>590</v>
      </c>
      <c r="B106" s="262">
        <v>10</v>
      </c>
      <c r="C106" s="4"/>
      <c r="D106" s="8" t="s">
        <v>576</v>
      </c>
      <c r="E106" s="262">
        <v>7.5</v>
      </c>
      <c r="F106" s="4"/>
      <c r="G106" s="8" t="s">
        <v>554</v>
      </c>
      <c r="H106" s="262">
        <v>9</v>
      </c>
      <c r="I106" s="4"/>
      <c r="J106" s="8" t="s">
        <v>565</v>
      </c>
      <c r="K106" s="262">
        <v>10.5</v>
      </c>
      <c r="L106" s="4"/>
      <c r="M106" s="8" t="s">
        <v>538</v>
      </c>
      <c r="N106" s="262">
        <v>8</v>
      </c>
      <c r="O106" s="22"/>
      <c r="R106" s="59">
        <v>104</v>
      </c>
      <c r="S106" s="68" t="s">
        <v>1169</v>
      </c>
      <c r="T106" s="68" t="s">
        <v>1170</v>
      </c>
      <c r="U106" s="70">
        <v>8.4600000000000009</v>
      </c>
      <c r="V106" s="232">
        <v>8.27</v>
      </c>
      <c r="W106" s="68">
        <v>8</v>
      </c>
      <c r="X106" s="68">
        <v>1.1299999999999999</v>
      </c>
      <c r="Y106" s="68">
        <v>3</v>
      </c>
      <c r="Z106" s="68">
        <v>13</v>
      </c>
      <c r="AA106" s="68">
        <v>1</v>
      </c>
      <c r="AB106" s="68" t="s">
        <v>1171</v>
      </c>
      <c r="AC106" s="70">
        <v>1993</v>
      </c>
      <c r="AD106" s="70" t="s">
        <v>1982</v>
      </c>
      <c r="AG106" s="52" t="s">
        <v>1122</v>
      </c>
      <c r="AH106" s="137" t="s">
        <v>1911</v>
      </c>
    </row>
    <row r="107" spans="1:34" ht="16.05" customHeight="1">
      <c r="A107" s="5" t="s">
        <v>591</v>
      </c>
      <c r="B107" s="262">
        <v>8.5</v>
      </c>
      <c r="C107" s="4"/>
      <c r="D107" s="8" t="s">
        <v>577</v>
      </c>
      <c r="E107" s="262">
        <v>7.5</v>
      </c>
      <c r="F107" s="4"/>
      <c r="G107" s="8" t="s">
        <v>555</v>
      </c>
      <c r="H107" s="262">
        <v>7.5</v>
      </c>
      <c r="I107" s="4"/>
      <c r="J107" s="8" t="s">
        <v>566</v>
      </c>
      <c r="K107" s="264">
        <v>8.5</v>
      </c>
      <c r="L107" s="4"/>
      <c r="M107" s="8" t="s">
        <v>539</v>
      </c>
      <c r="N107" s="262">
        <v>9</v>
      </c>
      <c r="O107" s="22"/>
      <c r="R107" s="59">
        <v>105</v>
      </c>
      <c r="S107" s="52" t="s">
        <v>343</v>
      </c>
      <c r="T107" s="52" t="s">
        <v>1872</v>
      </c>
      <c r="U107" s="69">
        <v>8.2899999999999991</v>
      </c>
      <c r="V107" s="232">
        <v>8.27</v>
      </c>
      <c r="W107" s="52">
        <v>8.5</v>
      </c>
      <c r="X107" s="52">
        <v>0.45</v>
      </c>
      <c r="Y107" s="52">
        <v>0</v>
      </c>
      <c r="Z107" s="52">
        <v>9</v>
      </c>
      <c r="AA107" s="52">
        <v>2</v>
      </c>
      <c r="AB107" s="52" t="s">
        <v>790</v>
      </c>
      <c r="AC107" s="69">
        <v>1998</v>
      </c>
      <c r="AD107" s="69" t="s">
        <v>1982</v>
      </c>
      <c r="AG107" s="68" t="s">
        <v>1112</v>
      </c>
      <c r="AH107" s="136" t="s">
        <v>1811</v>
      </c>
    </row>
    <row r="108" spans="1:34" ht="16.05" customHeight="1" thickBot="1">
      <c r="A108" s="5" t="s">
        <v>592</v>
      </c>
      <c r="B108" s="262">
        <v>8</v>
      </c>
      <c r="C108" s="4"/>
      <c r="D108" s="8" t="s">
        <v>578</v>
      </c>
      <c r="E108" s="262">
        <v>10</v>
      </c>
      <c r="F108" s="4"/>
      <c r="G108" s="10" t="s">
        <v>571</v>
      </c>
      <c r="H108" s="263">
        <v>9</v>
      </c>
      <c r="I108" s="4"/>
      <c r="J108" s="8" t="s">
        <v>567</v>
      </c>
      <c r="K108" s="262">
        <v>10</v>
      </c>
      <c r="L108" s="4"/>
      <c r="M108" s="8" t="s">
        <v>540</v>
      </c>
      <c r="N108" s="262">
        <v>9</v>
      </c>
      <c r="O108" s="22"/>
      <c r="R108" s="59">
        <v>106</v>
      </c>
      <c r="S108" s="68" t="s">
        <v>356</v>
      </c>
      <c r="T108" s="68" t="s">
        <v>162</v>
      </c>
      <c r="U108" s="70">
        <v>8.3800000000000008</v>
      </c>
      <c r="V108" s="233">
        <v>8.25</v>
      </c>
      <c r="W108" s="68">
        <v>8.25</v>
      </c>
      <c r="X108" s="68">
        <v>1.06</v>
      </c>
      <c r="Y108" s="68">
        <v>2</v>
      </c>
      <c r="Z108" s="68">
        <v>12</v>
      </c>
      <c r="AA108" s="68">
        <v>0</v>
      </c>
      <c r="AB108" s="68" t="s">
        <v>835</v>
      </c>
      <c r="AC108" s="70">
        <v>1992</v>
      </c>
      <c r="AD108" s="70" t="s">
        <v>1979</v>
      </c>
      <c r="AG108" s="52" t="s">
        <v>1099</v>
      </c>
      <c r="AH108" s="137" t="s">
        <v>1124</v>
      </c>
    </row>
    <row r="109" spans="1:34" ht="16.05" customHeight="1" thickBot="1">
      <c r="A109" s="5" t="s">
        <v>593</v>
      </c>
      <c r="B109" s="262">
        <v>7.5</v>
      </c>
      <c r="C109" s="4"/>
      <c r="D109" s="8" t="s">
        <v>50</v>
      </c>
      <c r="E109" s="262">
        <v>9</v>
      </c>
      <c r="F109" s="4"/>
      <c r="G109" s="21"/>
      <c r="H109" s="21"/>
      <c r="I109" s="4"/>
      <c r="J109" s="10" t="s">
        <v>568</v>
      </c>
      <c r="K109" s="263"/>
      <c r="L109" s="4"/>
      <c r="M109" s="8" t="s">
        <v>541</v>
      </c>
      <c r="N109" s="262">
        <v>9</v>
      </c>
      <c r="O109" s="22"/>
      <c r="R109" s="59">
        <v>107</v>
      </c>
      <c r="S109" s="52" t="s">
        <v>343</v>
      </c>
      <c r="T109" s="52" t="s">
        <v>1733</v>
      </c>
      <c r="U109" s="69">
        <v>8.4</v>
      </c>
      <c r="V109" s="233">
        <v>8.25</v>
      </c>
      <c r="W109" s="52">
        <v>8</v>
      </c>
      <c r="X109" s="52">
        <v>0.86</v>
      </c>
      <c r="Y109" s="52">
        <v>1</v>
      </c>
      <c r="Z109" s="52">
        <v>5</v>
      </c>
      <c r="AA109" s="52">
        <v>0</v>
      </c>
      <c r="AB109" s="52" t="s">
        <v>788</v>
      </c>
      <c r="AC109" s="69">
        <v>1996</v>
      </c>
      <c r="AD109" s="69" t="s">
        <v>1974</v>
      </c>
      <c r="AG109" s="68" t="s">
        <v>1123</v>
      </c>
      <c r="AH109" s="136" t="s">
        <v>1124</v>
      </c>
    </row>
    <row r="110" spans="1:34" ht="16.05" customHeight="1" thickBot="1">
      <c r="A110" s="5" t="s">
        <v>594</v>
      </c>
      <c r="B110" s="262">
        <v>8</v>
      </c>
      <c r="C110" s="4"/>
      <c r="D110" s="8" t="s">
        <v>579</v>
      </c>
      <c r="E110" s="262">
        <v>8</v>
      </c>
      <c r="F110" s="22"/>
      <c r="G110" s="93" t="s">
        <v>886</v>
      </c>
      <c r="H110" s="3">
        <f>ROUND(SUM(H111:H124)/COUNT(H111:H124), 2)</f>
        <v>8.73</v>
      </c>
      <c r="I110" s="4"/>
      <c r="J110" s="21"/>
      <c r="K110" s="21"/>
      <c r="L110" s="4"/>
      <c r="M110" s="10" t="s">
        <v>542</v>
      </c>
      <c r="N110" s="263">
        <v>8</v>
      </c>
      <c r="O110" s="22"/>
      <c r="R110" s="59">
        <v>108</v>
      </c>
      <c r="S110" s="68" t="s">
        <v>335</v>
      </c>
      <c r="T110" s="68" t="s">
        <v>319</v>
      </c>
      <c r="U110" s="70">
        <v>8.35</v>
      </c>
      <c r="V110" s="234">
        <v>8.2200000000000006</v>
      </c>
      <c r="W110" s="68">
        <v>8.25</v>
      </c>
      <c r="X110" s="68">
        <v>1.32</v>
      </c>
      <c r="Y110" s="68">
        <v>3</v>
      </c>
      <c r="Z110" s="68">
        <v>10</v>
      </c>
      <c r="AA110" s="68">
        <v>0</v>
      </c>
      <c r="AB110" s="68" t="s">
        <v>786</v>
      </c>
      <c r="AC110" s="70">
        <v>1993</v>
      </c>
      <c r="AD110" s="70" t="s">
        <v>1975</v>
      </c>
      <c r="AG110" s="52" t="s">
        <v>1125</v>
      </c>
      <c r="AH110" s="137" t="s">
        <v>1124</v>
      </c>
    </row>
    <row r="111" spans="1:34" ht="16.05" customHeight="1" thickBot="1">
      <c r="A111" s="5" t="s">
        <v>595</v>
      </c>
      <c r="B111" s="262">
        <v>8</v>
      </c>
      <c r="C111" s="4"/>
      <c r="D111" s="8" t="s">
        <v>580</v>
      </c>
      <c r="E111" s="262">
        <v>7.5</v>
      </c>
      <c r="F111" s="4"/>
      <c r="G111" s="7" t="s">
        <v>599</v>
      </c>
      <c r="H111" s="261">
        <v>10</v>
      </c>
      <c r="I111" s="22"/>
      <c r="J111" s="92" t="s">
        <v>885</v>
      </c>
      <c r="K111" s="3">
        <f>ROUND(SUM(K112:K125)/COUNT(K112:K125), 2)</f>
        <v>7.96</v>
      </c>
      <c r="L111" s="4"/>
      <c r="M111" s="21"/>
      <c r="N111" s="21"/>
      <c r="O111" s="22"/>
      <c r="R111" s="59">
        <v>109</v>
      </c>
      <c r="S111" s="52" t="s">
        <v>357</v>
      </c>
      <c r="T111" s="52" t="s">
        <v>312</v>
      </c>
      <c r="U111" s="69">
        <v>8.35</v>
      </c>
      <c r="V111" s="235">
        <v>8.1999999999999993</v>
      </c>
      <c r="W111" s="52">
        <v>8</v>
      </c>
      <c r="X111" s="52">
        <v>0.78</v>
      </c>
      <c r="Y111" s="52">
        <v>1</v>
      </c>
      <c r="Z111" s="52">
        <v>10</v>
      </c>
      <c r="AA111" s="52">
        <v>0</v>
      </c>
      <c r="AB111" s="52" t="s">
        <v>837</v>
      </c>
      <c r="AC111" s="69">
        <v>1979</v>
      </c>
      <c r="AD111" s="69" t="s">
        <v>1978</v>
      </c>
      <c r="AG111" s="68" t="s">
        <v>1689</v>
      </c>
      <c r="AH111" s="136" t="s">
        <v>1124</v>
      </c>
    </row>
    <row r="112" spans="1:34" ht="16.05" customHeight="1" thickBot="1">
      <c r="A112" s="57" t="s">
        <v>596</v>
      </c>
      <c r="B112" s="263">
        <v>10.5</v>
      </c>
      <c r="C112" s="4"/>
      <c r="D112" s="8" t="s">
        <v>581</v>
      </c>
      <c r="E112" s="262">
        <v>7.5</v>
      </c>
      <c r="F112" s="4"/>
      <c r="G112" s="8" t="s">
        <v>600</v>
      </c>
      <c r="H112" s="262">
        <v>8</v>
      </c>
      <c r="I112" s="22"/>
      <c r="J112" s="5" t="s">
        <v>614</v>
      </c>
      <c r="K112" s="262">
        <v>8</v>
      </c>
      <c r="L112" s="22"/>
      <c r="M112" s="76" t="s">
        <v>626</v>
      </c>
      <c r="N112" s="3">
        <f>ROUND(SUM(N113:N125)/COUNT(N113:N125), 2)</f>
        <v>8.77</v>
      </c>
      <c r="O112" s="22"/>
      <c r="R112" s="59">
        <v>110</v>
      </c>
      <c r="S112" s="68" t="s">
        <v>362</v>
      </c>
      <c r="T112" s="68" t="s">
        <v>363</v>
      </c>
      <c r="U112" s="70">
        <v>8.33</v>
      </c>
      <c r="V112" s="187">
        <v>8.17</v>
      </c>
      <c r="W112" s="68">
        <v>8</v>
      </c>
      <c r="X112" s="68">
        <v>0.94</v>
      </c>
      <c r="Y112" s="68">
        <v>1</v>
      </c>
      <c r="Z112" s="68">
        <v>9</v>
      </c>
      <c r="AA112" s="68">
        <v>0</v>
      </c>
      <c r="AB112" s="68" t="s">
        <v>774</v>
      </c>
      <c r="AC112" s="70">
        <v>1993</v>
      </c>
      <c r="AD112" s="70" t="s">
        <v>1973</v>
      </c>
      <c r="AG112" s="52" t="s">
        <v>1126</v>
      </c>
      <c r="AH112" s="137" t="s">
        <v>1127</v>
      </c>
    </row>
    <row r="113" spans="1:34" ht="16.05" customHeight="1" thickBot="1">
      <c r="A113" s="21"/>
      <c r="B113" s="21"/>
      <c r="C113" s="22"/>
      <c r="D113" s="20" t="s">
        <v>582</v>
      </c>
      <c r="E113" s="262">
        <v>8</v>
      </c>
      <c r="F113" s="4"/>
      <c r="G113" s="8" t="s">
        <v>601</v>
      </c>
      <c r="H113" s="262">
        <v>8.5</v>
      </c>
      <c r="I113" s="22"/>
      <c r="J113" s="5" t="s">
        <v>615</v>
      </c>
      <c r="K113" s="262">
        <v>10.5</v>
      </c>
      <c r="L113" s="22"/>
      <c r="M113" s="5" t="s">
        <v>627</v>
      </c>
      <c r="N113" s="262">
        <v>9</v>
      </c>
      <c r="O113" s="22"/>
      <c r="R113" s="59">
        <v>111</v>
      </c>
      <c r="S113" s="52" t="s">
        <v>585</v>
      </c>
      <c r="T113" s="52" t="s">
        <v>586</v>
      </c>
      <c r="U113" s="69">
        <v>8.31</v>
      </c>
      <c r="V113" s="187">
        <v>8.16</v>
      </c>
      <c r="W113" s="52">
        <v>8</v>
      </c>
      <c r="X113" s="52">
        <v>0.89</v>
      </c>
      <c r="Y113" s="52">
        <v>2</v>
      </c>
      <c r="Z113" s="52">
        <v>14</v>
      </c>
      <c r="AA113" s="52">
        <v>1</v>
      </c>
      <c r="AB113" s="52" t="s">
        <v>778</v>
      </c>
      <c r="AC113" s="69">
        <v>2016</v>
      </c>
      <c r="AD113" s="69" t="s">
        <v>1969</v>
      </c>
      <c r="AG113" s="68" t="s">
        <v>1128</v>
      </c>
      <c r="AH113" s="136" t="s">
        <v>1129</v>
      </c>
    </row>
    <row r="114" spans="1:34" ht="16.05" customHeight="1" thickBot="1">
      <c r="A114" s="91" t="s">
        <v>884</v>
      </c>
      <c r="B114" s="3">
        <f>ROUND(SUM(B115:B132)/COUNT(B115:B132), 2)</f>
        <v>7.72</v>
      </c>
      <c r="C114" s="22"/>
      <c r="D114" s="20" t="s">
        <v>583</v>
      </c>
      <c r="E114" s="262">
        <v>7.5</v>
      </c>
      <c r="F114" s="4"/>
      <c r="G114" s="8" t="s">
        <v>602</v>
      </c>
      <c r="H114" s="262">
        <v>9</v>
      </c>
      <c r="I114" s="22"/>
      <c r="J114" s="5" t="s">
        <v>616</v>
      </c>
      <c r="K114" s="262">
        <v>6</v>
      </c>
      <c r="L114" s="22"/>
      <c r="M114" s="5" t="s">
        <v>628</v>
      </c>
      <c r="N114" s="262">
        <v>8.5</v>
      </c>
      <c r="O114" s="22"/>
      <c r="R114" s="59">
        <v>112</v>
      </c>
      <c r="S114" s="68" t="s">
        <v>815</v>
      </c>
      <c r="T114" s="68" t="s">
        <v>816</v>
      </c>
      <c r="U114" s="70">
        <v>8.33</v>
      </c>
      <c r="V114" s="187">
        <v>8.16</v>
      </c>
      <c r="W114" s="68">
        <v>8</v>
      </c>
      <c r="X114" s="68">
        <v>1.1599999999999999</v>
      </c>
      <c r="Y114" s="68">
        <v>3</v>
      </c>
      <c r="Z114" s="68">
        <v>15</v>
      </c>
      <c r="AA114" s="68">
        <v>0</v>
      </c>
      <c r="AB114" s="68" t="s">
        <v>836</v>
      </c>
      <c r="AC114" s="70">
        <v>2003</v>
      </c>
      <c r="AD114" s="70" t="s">
        <v>1989</v>
      </c>
      <c r="AG114" s="52" t="s">
        <v>778</v>
      </c>
      <c r="AH114" s="137" t="s">
        <v>1812</v>
      </c>
    </row>
    <row r="115" spans="1:34" ht="16.05" customHeight="1" thickBot="1">
      <c r="A115" s="7" t="s">
        <v>641</v>
      </c>
      <c r="B115" s="262">
        <v>7.5</v>
      </c>
      <c r="C115" s="4"/>
      <c r="D115" s="10" t="s">
        <v>584</v>
      </c>
      <c r="E115" s="263">
        <v>10</v>
      </c>
      <c r="F115" s="4"/>
      <c r="G115" s="8" t="s">
        <v>603</v>
      </c>
      <c r="H115" s="262">
        <v>10</v>
      </c>
      <c r="I115" s="22"/>
      <c r="J115" s="5" t="s">
        <v>617</v>
      </c>
      <c r="K115" s="262">
        <v>9</v>
      </c>
      <c r="L115" s="22"/>
      <c r="M115" s="5" t="s">
        <v>629</v>
      </c>
      <c r="N115" s="262">
        <v>9</v>
      </c>
      <c r="O115" s="22"/>
      <c r="R115" s="59">
        <v>113</v>
      </c>
      <c r="S115" s="52" t="s">
        <v>1860</v>
      </c>
      <c r="T115" s="52" t="s">
        <v>1860</v>
      </c>
      <c r="U115" s="69">
        <v>8.2899999999999991</v>
      </c>
      <c r="V115" s="187">
        <v>8.16</v>
      </c>
      <c r="W115" s="52">
        <v>8</v>
      </c>
      <c r="X115" s="52">
        <v>0.52</v>
      </c>
      <c r="Y115" s="52">
        <v>0</v>
      </c>
      <c r="Z115" s="52">
        <v>7</v>
      </c>
      <c r="AA115" s="52">
        <v>0</v>
      </c>
      <c r="AB115" s="52" t="s">
        <v>1861</v>
      </c>
      <c r="AC115" s="69">
        <v>2018</v>
      </c>
      <c r="AD115" s="69" t="s">
        <v>1990</v>
      </c>
      <c r="AG115" s="68" t="s">
        <v>1303</v>
      </c>
      <c r="AH115" s="136" t="s">
        <v>1304</v>
      </c>
    </row>
    <row r="116" spans="1:34" ht="16.05" customHeight="1" thickBot="1">
      <c r="A116" s="8" t="s">
        <v>642</v>
      </c>
      <c r="B116" s="262">
        <v>8</v>
      </c>
      <c r="C116" s="4"/>
      <c r="D116" s="19"/>
      <c r="E116" s="19"/>
      <c r="F116" s="4"/>
      <c r="G116" s="8" t="s">
        <v>604</v>
      </c>
      <c r="H116" s="262"/>
      <c r="I116" s="22"/>
      <c r="J116" s="5" t="s">
        <v>618</v>
      </c>
      <c r="K116" s="262">
        <v>8.5</v>
      </c>
      <c r="L116" s="22"/>
      <c r="M116" s="5" t="s">
        <v>630</v>
      </c>
      <c r="N116" s="262">
        <v>8</v>
      </c>
      <c r="O116" s="22"/>
      <c r="R116" s="59">
        <v>114</v>
      </c>
      <c r="S116" s="68" t="s">
        <v>336</v>
      </c>
      <c r="T116" s="68" t="s">
        <v>625</v>
      </c>
      <c r="U116" s="70">
        <v>8.0500000000000007</v>
      </c>
      <c r="V116" s="175">
        <v>8.11</v>
      </c>
      <c r="W116" s="68">
        <v>8.25</v>
      </c>
      <c r="X116" s="68">
        <v>1.19</v>
      </c>
      <c r="Y116" s="68">
        <v>1</v>
      </c>
      <c r="Z116" s="68">
        <v>11</v>
      </c>
      <c r="AA116" s="68">
        <v>1</v>
      </c>
      <c r="AB116" s="68" t="s">
        <v>766</v>
      </c>
      <c r="AC116" s="70">
        <v>2001</v>
      </c>
      <c r="AD116" s="70" t="s">
        <v>1985</v>
      </c>
      <c r="AG116" s="52" t="s">
        <v>1305</v>
      </c>
      <c r="AH116" s="137" t="s">
        <v>1304</v>
      </c>
    </row>
    <row r="117" spans="1:34" ht="16.05" customHeight="1" thickBot="1">
      <c r="A117" s="8" t="s">
        <v>643</v>
      </c>
      <c r="B117" s="262">
        <v>8</v>
      </c>
      <c r="C117" s="22"/>
      <c r="D117" s="90" t="s">
        <v>883</v>
      </c>
      <c r="E117" s="3">
        <f>ROUND(SUM(E118:E131)/COUNT(E118:E131), 2)</f>
        <v>8.76</v>
      </c>
      <c r="F117" s="4"/>
      <c r="G117" s="8" t="s">
        <v>605</v>
      </c>
      <c r="H117" s="262">
        <v>10</v>
      </c>
      <c r="I117" s="22"/>
      <c r="J117" s="5" t="s">
        <v>619</v>
      </c>
      <c r="K117" s="262">
        <v>8.5</v>
      </c>
      <c r="L117" s="22"/>
      <c r="M117" s="5" t="s">
        <v>631</v>
      </c>
      <c r="N117" s="262">
        <v>10</v>
      </c>
      <c r="O117" s="22"/>
      <c r="R117" s="59">
        <v>115</v>
      </c>
      <c r="S117" s="52" t="s">
        <v>476</v>
      </c>
      <c r="T117" s="52" t="s">
        <v>477</v>
      </c>
      <c r="U117" s="69">
        <v>8.18</v>
      </c>
      <c r="V117" s="236">
        <v>8.06</v>
      </c>
      <c r="W117" s="52">
        <v>8</v>
      </c>
      <c r="X117" s="52">
        <v>0.89</v>
      </c>
      <c r="Y117" s="52">
        <v>2</v>
      </c>
      <c r="Z117" s="52">
        <v>19</v>
      </c>
      <c r="AA117" s="52">
        <v>0</v>
      </c>
      <c r="AB117" s="52" t="s">
        <v>793</v>
      </c>
      <c r="AC117" s="69">
        <v>2023</v>
      </c>
      <c r="AD117" s="69" t="s">
        <v>1968</v>
      </c>
      <c r="AG117" s="68" t="s">
        <v>1611</v>
      </c>
      <c r="AH117" s="136" t="s">
        <v>1612</v>
      </c>
    </row>
    <row r="118" spans="1:34" ht="16.05" customHeight="1">
      <c r="A118" s="8" t="s">
        <v>644</v>
      </c>
      <c r="B118" s="262">
        <v>7</v>
      </c>
      <c r="C118" s="22"/>
      <c r="D118" s="5" t="s">
        <v>661</v>
      </c>
      <c r="E118" s="262">
        <v>9</v>
      </c>
      <c r="F118" s="4"/>
      <c r="G118" s="8" t="s">
        <v>606</v>
      </c>
      <c r="H118" s="262">
        <v>7.5</v>
      </c>
      <c r="I118" s="22"/>
      <c r="J118" s="5" t="s">
        <v>620</v>
      </c>
      <c r="K118" s="262">
        <v>7.5</v>
      </c>
      <c r="L118" s="22"/>
      <c r="M118" s="5" t="s">
        <v>632</v>
      </c>
      <c r="N118" s="262">
        <v>9.5</v>
      </c>
      <c r="O118" s="22"/>
      <c r="R118" s="59">
        <v>116</v>
      </c>
      <c r="S118" s="68" t="s">
        <v>348</v>
      </c>
      <c r="T118" s="68" t="s">
        <v>1913</v>
      </c>
      <c r="U118" s="70">
        <v>8.18</v>
      </c>
      <c r="V118" s="236">
        <v>8.06</v>
      </c>
      <c r="W118" s="68">
        <v>8</v>
      </c>
      <c r="X118" s="68">
        <v>0.86</v>
      </c>
      <c r="Y118" s="68">
        <v>1</v>
      </c>
      <c r="Z118" s="68">
        <v>11</v>
      </c>
      <c r="AA118" s="68">
        <v>0</v>
      </c>
      <c r="AB118" s="68" t="s">
        <v>1923</v>
      </c>
      <c r="AC118" s="70">
        <v>2001</v>
      </c>
      <c r="AD118" s="70" t="s">
        <v>1946</v>
      </c>
      <c r="AG118" s="52" t="s">
        <v>2087</v>
      </c>
      <c r="AH118" s="137" t="s">
        <v>2098</v>
      </c>
    </row>
    <row r="119" spans="1:34" ht="16.05" customHeight="1">
      <c r="A119" s="8" t="s">
        <v>645</v>
      </c>
      <c r="B119" s="262">
        <v>7.5</v>
      </c>
      <c r="C119" s="22"/>
      <c r="D119" s="5" t="s">
        <v>662</v>
      </c>
      <c r="E119" s="262">
        <v>9.5</v>
      </c>
      <c r="F119" s="4"/>
      <c r="G119" s="8" t="s">
        <v>607</v>
      </c>
      <c r="H119" s="262"/>
      <c r="I119" s="22"/>
      <c r="J119" s="5" t="s">
        <v>621</v>
      </c>
      <c r="K119" s="262">
        <v>7</v>
      </c>
      <c r="L119" s="22"/>
      <c r="M119" s="5" t="s">
        <v>633</v>
      </c>
      <c r="N119" s="262">
        <v>10.5</v>
      </c>
      <c r="O119" s="22"/>
      <c r="R119" s="59">
        <v>117</v>
      </c>
      <c r="S119" s="52" t="s">
        <v>730</v>
      </c>
      <c r="T119" s="52" t="s">
        <v>1309</v>
      </c>
      <c r="U119" s="69">
        <v>8.11</v>
      </c>
      <c r="V119" s="188">
        <v>8</v>
      </c>
      <c r="W119" s="52">
        <v>8</v>
      </c>
      <c r="X119" s="52">
        <v>0.71</v>
      </c>
      <c r="Y119" s="52">
        <v>0</v>
      </c>
      <c r="Z119" s="52">
        <v>15</v>
      </c>
      <c r="AA119" s="52">
        <v>1</v>
      </c>
      <c r="AB119" s="52" t="s">
        <v>1325</v>
      </c>
      <c r="AC119" s="69">
        <v>2026</v>
      </c>
      <c r="AD119" s="69" t="s">
        <v>1965</v>
      </c>
      <c r="AG119" s="68" t="s">
        <v>1133</v>
      </c>
      <c r="AH119" s="136" t="s">
        <v>1308</v>
      </c>
    </row>
    <row r="120" spans="1:34" ht="16.05" customHeight="1">
      <c r="A120" s="8" t="s">
        <v>646</v>
      </c>
      <c r="B120" s="262">
        <v>8</v>
      </c>
      <c r="C120" s="22"/>
      <c r="D120" s="5" t="s">
        <v>500</v>
      </c>
      <c r="E120" s="262">
        <v>10</v>
      </c>
      <c r="F120" s="4"/>
      <c r="G120" s="75" t="s">
        <v>608</v>
      </c>
      <c r="H120" s="262">
        <v>8</v>
      </c>
      <c r="I120" s="22"/>
      <c r="J120" s="5" t="s">
        <v>622</v>
      </c>
      <c r="K120" s="262"/>
      <c r="L120" s="22"/>
      <c r="M120" s="5" t="s">
        <v>634</v>
      </c>
      <c r="N120" s="262">
        <v>10</v>
      </c>
      <c r="O120" s="22"/>
      <c r="R120" s="59">
        <v>118</v>
      </c>
      <c r="S120" s="68" t="s">
        <v>395</v>
      </c>
      <c r="T120" s="68" t="s">
        <v>388</v>
      </c>
      <c r="U120" s="70">
        <v>8</v>
      </c>
      <c r="V120" s="237">
        <v>7.98</v>
      </c>
      <c r="W120" s="68">
        <v>8.25</v>
      </c>
      <c r="X120" s="68">
        <v>0.56000000000000005</v>
      </c>
      <c r="Y120" s="68">
        <v>0</v>
      </c>
      <c r="Z120" s="68">
        <v>9</v>
      </c>
      <c r="AA120" s="68">
        <v>1</v>
      </c>
      <c r="AB120" s="68" t="s">
        <v>769</v>
      </c>
      <c r="AC120" s="70">
        <v>2005</v>
      </c>
      <c r="AD120" s="70" t="s">
        <v>1980</v>
      </c>
      <c r="AG120" s="52" t="s">
        <v>1134</v>
      </c>
      <c r="AH120" s="137" t="s">
        <v>1308</v>
      </c>
    </row>
    <row r="121" spans="1:34" ht="16.05" customHeight="1">
      <c r="A121" s="8" t="s">
        <v>647</v>
      </c>
      <c r="B121" s="262">
        <v>8</v>
      </c>
      <c r="C121" s="22"/>
      <c r="D121" s="5" t="s">
        <v>663</v>
      </c>
      <c r="E121" s="262">
        <v>8</v>
      </c>
      <c r="F121" s="4"/>
      <c r="G121" s="8" t="s">
        <v>609</v>
      </c>
      <c r="H121" s="262">
        <v>8</v>
      </c>
      <c r="I121" s="22"/>
      <c r="J121" s="5" t="s">
        <v>623</v>
      </c>
      <c r="K121" s="262">
        <v>7</v>
      </c>
      <c r="L121" s="22"/>
      <c r="M121" s="5" t="s">
        <v>635</v>
      </c>
      <c r="N121" s="262">
        <v>8.5</v>
      </c>
      <c r="O121" s="22"/>
      <c r="R121" s="59">
        <v>119</v>
      </c>
      <c r="S121" s="52" t="s">
        <v>346</v>
      </c>
      <c r="T121" s="52" t="s">
        <v>704</v>
      </c>
      <c r="U121" s="69">
        <v>8.07</v>
      </c>
      <c r="V121" s="189">
        <v>7.95</v>
      </c>
      <c r="W121" s="52">
        <v>8</v>
      </c>
      <c r="X121" s="52">
        <v>1.07</v>
      </c>
      <c r="Y121" s="52">
        <v>2</v>
      </c>
      <c r="Z121" s="52">
        <v>16</v>
      </c>
      <c r="AA121" s="52">
        <v>2</v>
      </c>
      <c r="AB121" s="52" t="s">
        <v>771</v>
      </c>
      <c r="AC121" s="69">
        <v>1997</v>
      </c>
      <c r="AD121" s="69" t="s">
        <v>1974</v>
      </c>
      <c r="AG121" s="68" t="s">
        <v>2157</v>
      </c>
      <c r="AH121" s="136" t="s">
        <v>1131</v>
      </c>
    </row>
    <row r="122" spans="1:34" ht="16.05" customHeight="1" thickBot="1">
      <c r="A122" s="8" t="s">
        <v>648</v>
      </c>
      <c r="B122" s="262">
        <v>8</v>
      </c>
      <c r="C122" s="22"/>
      <c r="D122" s="5" t="s">
        <v>664</v>
      </c>
      <c r="E122" s="262">
        <v>10.5</v>
      </c>
      <c r="F122" s="4"/>
      <c r="G122" s="8" t="s">
        <v>610</v>
      </c>
      <c r="H122" s="262">
        <v>8</v>
      </c>
      <c r="I122" s="22"/>
      <c r="J122" s="9" t="s">
        <v>624</v>
      </c>
      <c r="K122" s="263">
        <v>8.5</v>
      </c>
      <c r="L122" s="22"/>
      <c r="M122" s="5" t="s">
        <v>636</v>
      </c>
      <c r="N122" s="262">
        <v>7.5</v>
      </c>
      <c r="O122" s="22"/>
      <c r="R122" s="59">
        <v>120</v>
      </c>
      <c r="S122" s="68" t="s">
        <v>1433</v>
      </c>
      <c r="T122" s="68" t="s">
        <v>1434</v>
      </c>
      <c r="U122" s="70">
        <v>8.0500000000000007</v>
      </c>
      <c r="V122" s="189">
        <v>7.95</v>
      </c>
      <c r="W122" s="68">
        <v>8</v>
      </c>
      <c r="X122" s="68">
        <v>0.72</v>
      </c>
      <c r="Y122" s="68">
        <v>0</v>
      </c>
      <c r="Z122" s="68">
        <v>10</v>
      </c>
      <c r="AA122" s="68">
        <v>0</v>
      </c>
      <c r="AB122" s="68" t="s">
        <v>765</v>
      </c>
      <c r="AC122" s="70">
        <v>2026</v>
      </c>
      <c r="AD122" s="70" t="s">
        <v>1980</v>
      </c>
      <c r="AG122" s="52" t="s">
        <v>1130</v>
      </c>
      <c r="AH122" s="137" t="s">
        <v>1131</v>
      </c>
    </row>
    <row r="123" spans="1:34" ht="16.05" customHeight="1" thickBot="1">
      <c r="A123" s="8" t="s">
        <v>649</v>
      </c>
      <c r="B123" s="262">
        <v>6.5</v>
      </c>
      <c r="C123" s="22"/>
      <c r="D123" s="5" t="s">
        <v>665</v>
      </c>
      <c r="E123" s="262">
        <v>8</v>
      </c>
      <c r="F123" s="4"/>
      <c r="G123" s="10" t="s">
        <v>611</v>
      </c>
      <c r="H123" s="263">
        <v>9</v>
      </c>
      <c r="I123" s="4"/>
      <c r="J123" s="21"/>
      <c r="K123" s="21"/>
      <c r="L123" s="22"/>
      <c r="M123" s="5" t="s">
        <v>637</v>
      </c>
      <c r="N123" s="262">
        <v>8</v>
      </c>
      <c r="O123" s="22"/>
      <c r="R123" s="59">
        <v>121</v>
      </c>
      <c r="S123" s="52" t="s">
        <v>343</v>
      </c>
      <c r="T123" s="52" t="s">
        <v>1788</v>
      </c>
      <c r="U123" s="69">
        <v>8.06</v>
      </c>
      <c r="V123" s="189">
        <v>7.95</v>
      </c>
      <c r="W123" s="52">
        <v>8</v>
      </c>
      <c r="X123" s="52">
        <v>0.81</v>
      </c>
      <c r="Y123" s="52">
        <v>0</v>
      </c>
      <c r="Z123" s="52">
        <v>8</v>
      </c>
      <c r="AA123" s="52">
        <v>0</v>
      </c>
      <c r="AB123" s="52" t="s">
        <v>1090</v>
      </c>
      <c r="AC123" s="69">
        <v>2014</v>
      </c>
      <c r="AD123" s="69" t="s">
        <v>1989</v>
      </c>
      <c r="AG123" s="68" t="s">
        <v>1132</v>
      </c>
      <c r="AH123" s="136" t="s">
        <v>1131</v>
      </c>
    </row>
    <row r="124" spans="1:34" ht="16.05" customHeight="1" thickBot="1">
      <c r="A124" s="8" t="s">
        <v>650</v>
      </c>
      <c r="B124" s="262">
        <v>7.5</v>
      </c>
      <c r="C124" s="22"/>
      <c r="D124" s="5" t="s">
        <v>666</v>
      </c>
      <c r="E124" s="262">
        <v>9</v>
      </c>
      <c r="F124" s="4"/>
      <c r="G124" s="21"/>
      <c r="H124" s="21"/>
      <c r="I124" s="4"/>
      <c r="J124" s="79" t="s">
        <v>679</v>
      </c>
      <c r="K124" s="3">
        <f>ROUND(SUM(K125:K134)/COUNT(K125:K134), 2)</f>
        <v>7.06</v>
      </c>
      <c r="L124" s="22"/>
      <c r="M124" s="5" t="s">
        <v>638</v>
      </c>
      <c r="N124" s="262">
        <v>8.5</v>
      </c>
      <c r="O124" s="22"/>
      <c r="R124" s="59">
        <v>122</v>
      </c>
      <c r="S124" s="68" t="s">
        <v>346</v>
      </c>
      <c r="T124" s="68" t="s">
        <v>1582</v>
      </c>
      <c r="U124" s="70">
        <v>8</v>
      </c>
      <c r="V124" s="238">
        <v>7.79</v>
      </c>
      <c r="W124" s="68">
        <v>7.5</v>
      </c>
      <c r="X124" s="68">
        <v>0.88</v>
      </c>
      <c r="Y124" s="68">
        <v>0</v>
      </c>
      <c r="Z124" s="68">
        <v>10</v>
      </c>
      <c r="AA124" s="68">
        <v>1</v>
      </c>
      <c r="AB124" s="68" t="s">
        <v>1593</v>
      </c>
      <c r="AC124" s="70">
        <v>2005</v>
      </c>
      <c r="AD124" s="70" t="s">
        <v>1972</v>
      </c>
      <c r="AG124" s="52" t="s">
        <v>1137</v>
      </c>
      <c r="AH124" s="137" t="s">
        <v>1703</v>
      </c>
    </row>
    <row r="125" spans="1:34" ht="16.05" customHeight="1" thickBot="1">
      <c r="A125" s="8" t="s">
        <v>651</v>
      </c>
      <c r="B125" s="262">
        <v>7</v>
      </c>
      <c r="C125" s="22"/>
      <c r="D125" s="5" t="s">
        <v>667</v>
      </c>
      <c r="E125" s="262">
        <v>8.5</v>
      </c>
      <c r="F125" s="22"/>
      <c r="G125" s="151" t="s">
        <v>1257</v>
      </c>
      <c r="H125" s="3">
        <f>ROUND(SUM(H126:H129)/COUNT(H126:H129), 2)</f>
        <v>9.8800000000000008</v>
      </c>
      <c r="I125" s="4"/>
      <c r="J125" s="13" t="s">
        <v>669</v>
      </c>
      <c r="K125" s="262"/>
      <c r="L125" s="22"/>
      <c r="M125" s="55" t="s">
        <v>639</v>
      </c>
      <c r="N125" s="263">
        <v>7</v>
      </c>
      <c r="O125" s="22"/>
      <c r="R125" s="59">
        <v>123</v>
      </c>
      <c r="S125" s="52" t="s">
        <v>336</v>
      </c>
      <c r="T125" s="52" t="s">
        <v>956</v>
      </c>
      <c r="U125" s="69">
        <v>7.88</v>
      </c>
      <c r="V125" s="239">
        <v>7.74</v>
      </c>
      <c r="W125" s="52">
        <v>7.75</v>
      </c>
      <c r="X125" s="52">
        <v>0.86</v>
      </c>
      <c r="Y125" s="52">
        <v>0</v>
      </c>
      <c r="Z125" s="52">
        <v>8</v>
      </c>
      <c r="AA125" s="52">
        <v>0</v>
      </c>
      <c r="AB125" s="52" t="s">
        <v>957</v>
      </c>
      <c r="AC125" s="69">
        <v>2011</v>
      </c>
      <c r="AD125" s="69" t="s">
        <v>1983</v>
      </c>
      <c r="AG125" s="68" t="s">
        <v>794</v>
      </c>
      <c r="AH125" s="136" t="s">
        <v>1135</v>
      </c>
    </row>
    <row r="126" spans="1:34" ht="16.05" customHeight="1" thickBot="1">
      <c r="A126" s="8" t="s">
        <v>652</v>
      </c>
      <c r="B126" s="262">
        <v>8</v>
      </c>
      <c r="C126" s="4"/>
      <c r="D126" s="9" t="s">
        <v>668</v>
      </c>
      <c r="E126" s="263">
        <v>8</v>
      </c>
      <c r="F126" s="4"/>
      <c r="G126" s="13" t="s">
        <v>682</v>
      </c>
      <c r="H126" s="261">
        <v>10.5</v>
      </c>
      <c r="I126" s="4"/>
      <c r="J126" s="6" t="s">
        <v>670</v>
      </c>
      <c r="K126" s="262">
        <v>7.5</v>
      </c>
      <c r="L126" s="4"/>
      <c r="M126" s="21"/>
      <c r="N126" s="21"/>
      <c r="O126" s="22"/>
      <c r="R126" s="59">
        <v>124</v>
      </c>
      <c r="S126" s="68" t="s">
        <v>659</v>
      </c>
      <c r="T126" s="68" t="s">
        <v>660</v>
      </c>
      <c r="U126" s="70">
        <v>7.72</v>
      </c>
      <c r="V126" s="240">
        <v>7.7</v>
      </c>
      <c r="W126" s="68">
        <v>8</v>
      </c>
      <c r="X126" s="68">
        <v>0.57999999999999996</v>
      </c>
      <c r="Y126" s="68">
        <v>0</v>
      </c>
      <c r="Z126" s="68">
        <v>18</v>
      </c>
      <c r="AA126" s="68">
        <v>0</v>
      </c>
      <c r="AB126" s="68" t="s">
        <v>794</v>
      </c>
      <c r="AC126" s="70">
        <v>2026</v>
      </c>
      <c r="AD126" s="70" t="s">
        <v>1971</v>
      </c>
      <c r="AG126" s="52" t="s">
        <v>786</v>
      </c>
      <c r="AH126" s="137" t="s">
        <v>1843</v>
      </c>
    </row>
    <row r="127" spans="1:34" ht="16.05" customHeight="1" thickBot="1">
      <c r="A127" s="8" t="s">
        <v>653</v>
      </c>
      <c r="B127" s="262">
        <v>7</v>
      </c>
      <c r="C127" s="4"/>
      <c r="D127" s="19"/>
      <c r="E127" s="21"/>
      <c r="F127" s="4"/>
      <c r="G127" s="6" t="s">
        <v>683</v>
      </c>
      <c r="H127" s="262">
        <v>9.5</v>
      </c>
      <c r="I127" s="41"/>
      <c r="J127" s="6" t="s">
        <v>671</v>
      </c>
      <c r="K127" s="262">
        <v>7</v>
      </c>
      <c r="L127" s="22"/>
      <c r="M127" s="80" t="s">
        <v>713</v>
      </c>
      <c r="N127" s="3">
        <f>ROUND(SUM(N128:N135)/COUNT(N128:N135), 2)</f>
        <v>9.1300000000000008</v>
      </c>
      <c r="O127" s="22"/>
      <c r="R127" s="59">
        <v>125</v>
      </c>
      <c r="S127" s="52" t="s">
        <v>506</v>
      </c>
      <c r="T127" s="52" t="s">
        <v>507</v>
      </c>
      <c r="U127" s="69">
        <v>7.67</v>
      </c>
      <c r="V127" s="241">
        <v>7.66</v>
      </c>
      <c r="W127" s="52">
        <v>8</v>
      </c>
      <c r="X127" s="52">
        <v>0.59</v>
      </c>
      <c r="Y127" s="52">
        <v>0</v>
      </c>
      <c r="Z127" s="52">
        <v>12</v>
      </c>
      <c r="AA127" s="52">
        <v>0</v>
      </c>
      <c r="AB127" s="52" t="s">
        <v>780</v>
      </c>
      <c r="AC127" s="69">
        <v>2021</v>
      </c>
      <c r="AD127" s="69" t="s">
        <v>1986</v>
      </c>
      <c r="AG127" s="68" t="s">
        <v>1944</v>
      </c>
      <c r="AH127" s="136" t="s">
        <v>1945</v>
      </c>
    </row>
    <row r="128" spans="1:34" ht="16.05" customHeight="1" thickBot="1">
      <c r="A128" s="8" t="s">
        <v>654</v>
      </c>
      <c r="B128" s="262">
        <v>8</v>
      </c>
      <c r="C128" s="4"/>
      <c r="D128" s="89" t="s">
        <v>882</v>
      </c>
      <c r="E128" s="3">
        <f>ROUND(SUM(E129:E144)/COUNT(E129:E144), 2)</f>
        <v>8.07</v>
      </c>
      <c r="F128" s="4"/>
      <c r="G128" s="6" t="s">
        <v>684</v>
      </c>
      <c r="H128" s="262">
        <v>10.5</v>
      </c>
      <c r="I128" s="4"/>
      <c r="J128" s="6" t="s">
        <v>672</v>
      </c>
      <c r="K128" s="262">
        <v>7</v>
      </c>
      <c r="L128" s="4"/>
      <c r="M128" s="13" t="s">
        <v>705</v>
      </c>
      <c r="N128" s="261">
        <v>8.5</v>
      </c>
      <c r="O128" s="22"/>
      <c r="R128" s="59">
        <v>126</v>
      </c>
      <c r="S128" s="68" t="s">
        <v>347</v>
      </c>
      <c r="T128" s="68" t="s">
        <v>347</v>
      </c>
      <c r="U128" s="70">
        <v>7.77</v>
      </c>
      <c r="V128" s="242">
        <v>7.64</v>
      </c>
      <c r="W128" s="68">
        <v>7.5</v>
      </c>
      <c r="X128" s="68">
        <v>0.62</v>
      </c>
      <c r="Y128" s="68">
        <v>0</v>
      </c>
      <c r="Z128" s="68">
        <v>11</v>
      </c>
      <c r="AA128" s="68">
        <v>0</v>
      </c>
      <c r="AB128" s="68" t="s">
        <v>789</v>
      </c>
      <c r="AC128" s="70">
        <v>2026</v>
      </c>
      <c r="AD128" s="70" t="s">
        <v>1957</v>
      </c>
      <c r="AG128" s="52" t="s">
        <v>1326</v>
      </c>
      <c r="AH128" s="137" t="s">
        <v>1327</v>
      </c>
    </row>
    <row r="129" spans="1:34" ht="16.05" customHeight="1" thickBot="1">
      <c r="A129" s="8" t="s">
        <v>655</v>
      </c>
      <c r="B129" s="262">
        <v>8.5</v>
      </c>
      <c r="C129" s="4"/>
      <c r="D129" s="13" t="s">
        <v>688</v>
      </c>
      <c r="E129" s="261">
        <v>7.5</v>
      </c>
      <c r="F129" s="4"/>
      <c r="G129" s="9" t="s">
        <v>685</v>
      </c>
      <c r="H129" s="263">
        <v>9</v>
      </c>
      <c r="I129" s="4"/>
      <c r="J129" s="6" t="s">
        <v>673</v>
      </c>
      <c r="K129" s="262">
        <v>6.5</v>
      </c>
      <c r="L129" s="4"/>
      <c r="M129" s="6" t="s">
        <v>706</v>
      </c>
      <c r="N129" s="262">
        <v>10</v>
      </c>
      <c r="O129" s="22"/>
      <c r="R129" s="59">
        <v>127</v>
      </c>
      <c r="S129" s="52" t="s">
        <v>1213</v>
      </c>
      <c r="T129" s="52" t="s">
        <v>1214</v>
      </c>
      <c r="U129" s="69">
        <v>7.71</v>
      </c>
      <c r="V129" s="190">
        <v>7.61</v>
      </c>
      <c r="W129" s="52">
        <v>7.5</v>
      </c>
      <c r="X129" s="52">
        <v>0.45</v>
      </c>
      <c r="Y129" s="52">
        <v>0</v>
      </c>
      <c r="Z129" s="52">
        <v>8</v>
      </c>
      <c r="AA129" s="52">
        <v>1</v>
      </c>
      <c r="AB129" s="52" t="s">
        <v>1216</v>
      </c>
      <c r="AC129" s="69">
        <v>2020</v>
      </c>
      <c r="AD129" s="69" t="s">
        <v>1991</v>
      </c>
      <c r="AG129" s="68" t="s">
        <v>1595</v>
      </c>
      <c r="AH129" s="136" t="s">
        <v>1596</v>
      </c>
    </row>
    <row r="130" spans="1:34" ht="16.05" customHeight="1" thickBot="1">
      <c r="A130" s="8" t="s">
        <v>656</v>
      </c>
      <c r="B130" s="262">
        <v>8</v>
      </c>
      <c r="C130" s="4"/>
      <c r="D130" s="6" t="s">
        <v>689</v>
      </c>
      <c r="E130" s="262"/>
      <c r="F130" s="4"/>
      <c r="G130" s="21"/>
      <c r="H130" s="21"/>
      <c r="I130" s="4"/>
      <c r="J130" s="6" t="s">
        <v>674</v>
      </c>
      <c r="K130" s="262">
        <v>8</v>
      </c>
      <c r="L130" s="4"/>
      <c r="M130" s="6" t="s">
        <v>707</v>
      </c>
      <c r="N130" s="262">
        <v>10</v>
      </c>
      <c r="O130" s="22"/>
      <c r="R130" s="59">
        <v>128</v>
      </c>
      <c r="S130" s="68" t="s">
        <v>336</v>
      </c>
      <c r="T130" s="68" t="s">
        <v>995</v>
      </c>
      <c r="U130" s="70">
        <v>7.5</v>
      </c>
      <c r="V130" s="243">
        <v>7.4</v>
      </c>
      <c r="W130" s="68">
        <v>7.5</v>
      </c>
      <c r="X130" s="68">
        <v>0.76</v>
      </c>
      <c r="Y130" s="68">
        <v>0</v>
      </c>
      <c r="Z130" s="68">
        <v>12</v>
      </c>
      <c r="AA130" s="68">
        <v>0</v>
      </c>
      <c r="AB130" s="68" t="s">
        <v>787</v>
      </c>
      <c r="AC130" s="70">
        <v>1993</v>
      </c>
      <c r="AD130" s="70" t="s">
        <v>1949</v>
      </c>
      <c r="AG130" s="52" t="s">
        <v>1597</v>
      </c>
      <c r="AH130" s="137" t="s">
        <v>1596</v>
      </c>
    </row>
    <row r="131" spans="1:34" ht="16.05" customHeight="1" thickBot="1">
      <c r="A131" s="8" t="s">
        <v>657</v>
      </c>
      <c r="B131" s="262">
        <v>9</v>
      </c>
      <c r="C131" s="4"/>
      <c r="D131" s="6" t="s">
        <v>690</v>
      </c>
      <c r="E131" s="262">
        <v>9</v>
      </c>
      <c r="F131" s="22"/>
      <c r="G131" s="88" t="s">
        <v>881</v>
      </c>
      <c r="H131" s="3">
        <f>ROUND(SUM(H132:H147)/COUNT(H132:H147), 2)</f>
        <v>8.67</v>
      </c>
      <c r="I131" s="4"/>
      <c r="J131" s="6" t="s">
        <v>675</v>
      </c>
      <c r="K131" s="262">
        <v>6.5</v>
      </c>
      <c r="L131" s="4"/>
      <c r="M131" s="6" t="s">
        <v>708</v>
      </c>
      <c r="N131" s="262">
        <v>10.5</v>
      </c>
      <c r="O131" s="22"/>
      <c r="R131" s="59">
        <v>129</v>
      </c>
      <c r="S131" s="52" t="s">
        <v>830</v>
      </c>
      <c r="T131" s="52" t="s">
        <v>1932</v>
      </c>
      <c r="U131" s="69">
        <v>7.31</v>
      </c>
      <c r="V131" s="285">
        <v>7.2</v>
      </c>
      <c r="W131" s="52">
        <v>7.25</v>
      </c>
      <c r="X131" s="52">
        <v>0.73</v>
      </c>
      <c r="Y131" s="52">
        <v>0</v>
      </c>
      <c r="Z131" s="52">
        <v>18</v>
      </c>
      <c r="AA131" s="52">
        <v>0</v>
      </c>
      <c r="AB131" s="52" t="s">
        <v>1136</v>
      </c>
      <c r="AC131" s="69">
        <v>2026</v>
      </c>
      <c r="AD131" s="69" t="s">
        <v>1949</v>
      </c>
      <c r="AG131" s="68" t="s">
        <v>1136</v>
      </c>
      <c r="AH131" s="136" t="s">
        <v>2017</v>
      </c>
    </row>
    <row r="132" spans="1:34" ht="16.05" customHeight="1" thickBot="1">
      <c r="A132" s="8" t="s">
        <v>658</v>
      </c>
      <c r="B132" s="262">
        <v>7.5</v>
      </c>
      <c r="C132" s="4"/>
      <c r="D132" s="6" t="s">
        <v>691</v>
      </c>
      <c r="E132" s="262">
        <v>10</v>
      </c>
      <c r="F132" s="4"/>
      <c r="G132" s="13" t="s">
        <v>714</v>
      </c>
      <c r="H132" s="261"/>
      <c r="I132" s="4"/>
      <c r="J132" s="6" t="s">
        <v>676</v>
      </c>
      <c r="K132" s="262">
        <v>7</v>
      </c>
      <c r="L132" s="4"/>
      <c r="M132" s="6" t="s">
        <v>709</v>
      </c>
      <c r="N132" s="262">
        <v>8.5</v>
      </c>
      <c r="O132" s="22"/>
      <c r="R132" s="59">
        <v>130</v>
      </c>
      <c r="S132" s="68" t="s">
        <v>428</v>
      </c>
      <c r="T132" s="68" t="s">
        <v>429</v>
      </c>
      <c r="U132" s="70">
        <v>7.29</v>
      </c>
      <c r="V132" s="244">
        <v>7.16</v>
      </c>
      <c r="W132" s="68">
        <v>7</v>
      </c>
      <c r="X132" s="68">
        <v>0.52</v>
      </c>
      <c r="Y132" s="68">
        <v>0</v>
      </c>
      <c r="Z132" s="68">
        <v>7</v>
      </c>
      <c r="AA132" s="68">
        <v>0</v>
      </c>
      <c r="AB132" s="68" t="s">
        <v>795</v>
      </c>
      <c r="AC132" s="70">
        <v>2021</v>
      </c>
      <c r="AD132" s="70" t="s">
        <v>1992</v>
      </c>
      <c r="AG132" s="52" t="s">
        <v>1216</v>
      </c>
      <c r="AH132" s="137" t="s">
        <v>1227</v>
      </c>
    </row>
    <row r="133" spans="1:34" ht="16.05" customHeight="1" thickBot="1">
      <c r="A133" s="77"/>
      <c r="B133" s="19"/>
      <c r="C133" s="4"/>
      <c r="D133" s="6" t="s">
        <v>692</v>
      </c>
      <c r="E133" s="262">
        <v>8</v>
      </c>
      <c r="F133" s="4"/>
      <c r="G133" s="6" t="s">
        <v>715</v>
      </c>
      <c r="H133" s="262">
        <v>8</v>
      </c>
      <c r="I133" s="4"/>
      <c r="J133" s="6" t="s">
        <v>677</v>
      </c>
      <c r="K133" s="262">
        <v>7</v>
      </c>
      <c r="L133" s="4"/>
      <c r="M133" s="6" t="s">
        <v>710</v>
      </c>
      <c r="N133" s="262">
        <v>7.5</v>
      </c>
      <c r="O133" s="22"/>
      <c r="R133" s="59">
        <v>131</v>
      </c>
      <c r="S133" s="52" t="s">
        <v>680</v>
      </c>
      <c r="T133" s="52" t="s">
        <v>681</v>
      </c>
      <c r="U133" s="69">
        <v>7.06</v>
      </c>
      <c r="V133" s="245">
        <v>6.99</v>
      </c>
      <c r="W133" s="52">
        <v>7</v>
      </c>
      <c r="X133" s="52">
        <v>0.44</v>
      </c>
      <c r="Y133" s="52">
        <v>0</v>
      </c>
      <c r="Z133" s="52">
        <v>10</v>
      </c>
      <c r="AA133" s="52">
        <v>1</v>
      </c>
      <c r="AB133" s="52" t="s">
        <v>788</v>
      </c>
      <c r="AC133" s="69">
        <v>2026</v>
      </c>
      <c r="AD133" s="69" t="s">
        <v>1993</v>
      </c>
      <c r="AG133" s="68" t="s">
        <v>1138</v>
      </c>
      <c r="AH133" s="136" t="s">
        <v>1139</v>
      </c>
    </row>
    <row r="134" spans="1:34" ht="16.05" customHeight="1" thickBot="1">
      <c r="A134" s="116" t="s">
        <v>909</v>
      </c>
      <c r="B134" s="3">
        <f>ROUND(SUM(B135:B143)/COUNT(B135:B143), 2)</f>
        <v>8.67</v>
      </c>
      <c r="C134" s="4"/>
      <c r="D134" s="6" t="s">
        <v>693</v>
      </c>
      <c r="E134" s="262">
        <v>8.5</v>
      </c>
      <c r="F134" s="4"/>
      <c r="G134" s="6" t="s">
        <v>716</v>
      </c>
      <c r="H134" s="262">
        <v>8</v>
      </c>
      <c r="I134" s="4"/>
      <c r="J134" s="9" t="s">
        <v>678</v>
      </c>
      <c r="K134" s="263">
        <v>7</v>
      </c>
      <c r="L134" s="4"/>
      <c r="M134" s="6" t="s">
        <v>711</v>
      </c>
      <c r="N134" s="262">
        <v>9</v>
      </c>
      <c r="O134" s="22"/>
      <c r="R134" s="59">
        <v>132</v>
      </c>
      <c r="S134" s="68" t="s">
        <v>344</v>
      </c>
      <c r="T134" s="68" t="s">
        <v>1827</v>
      </c>
      <c r="U134" s="70">
        <v>3.68</v>
      </c>
      <c r="V134" s="256">
        <v>3.37</v>
      </c>
      <c r="W134" s="68">
        <v>3</v>
      </c>
      <c r="X134" s="68">
        <v>1.37</v>
      </c>
      <c r="Y134" s="68">
        <v>0</v>
      </c>
      <c r="Z134" s="68">
        <v>11</v>
      </c>
      <c r="AA134" s="68">
        <v>0</v>
      </c>
      <c r="AB134" s="68" t="s">
        <v>786</v>
      </c>
      <c r="AC134" s="70">
        <v>2003</v>
      </c>
      <c r="AD134" s="70" t="s">
        <v>1950</v>
      </c>
      <c r="AG134" s="52" t="s">
        <v>1140</v>
      </c>
      <c r="AH134" s="137" t="s">
        <v>1139</v>
      </c>
    </row>
    <row r="135" spans="1:34" ht="16.05" customHeight="1" thickBot="1">
      <c r="A135" s="13" t="s">
        <v>731</v>
      </c>
      <c r="B135" s="261">
        <v>9</v>
      </c>
      <c r="C135" s="4"/>
      <c r="D135" s="6" t="s">
        <v>694</v>
      </c>
      <c r="E135" s="262">
        <v>10</v>
      </c>
      <c r="F135" s="4"/>
      <c r="G135" s="6" t="s">
        <v>717</v>
      </c>
      <c r="H135" s="262">
        <v>10</v>
      </c>
      <c r="I135" s="4"/>
      <c r="J135" s="21"/>
      <c r="K135" s="21"/>
      <c r="L135" s="4"/>
      <c r="M135" s="9" t="s">
        <v>712</v>
      </c>
      <c r="N135" s="263">
        <v>9</v>
      </c>
      <c r="O135" s="22"/>
      <c r="V135"/>
      <c r="W135"/>
      <c r="X135"/>
      <c r="Y135"/>
      <c r="Z135"/>
      <c r="AG135" s="68" t="s">
        <v>795</v>
      </c>
      <c r="AH135" s="136" t="s">
        <v>1141</v>
      </c>
    </row>
    <row r="136" spans="1:34" ht="16.05" customHeight="1" thickBot="1">
      <c r="A136" s="6" t="s">
        <v>732</v>
      </c>
      <c r="B136" s="262">
        <v>9</v>
      </c>
      <c r="C136" s="4"/>
      <c r="D136" s="6" t="s">
        <v>695</v>
      </c>
      <c r="E136" s="262">
        <v>8</v>
      </c>
      <c r="F136" s="4"/>
      <c r="G136" s="6" t="s">
        <v>718</v>
      </c>
      <c r="H136" s="262">
        <v>9</v>
      </c>
      <c r="I136" s="22"/>
      <c r="J136" s="258" t="s">
        <v>1840</v>
      </c>
      <c r="K136" s="14">
        <f>ROUND(SUM(K137:K147)/COUNT(K137:K147), 2)</f>
        <v>8.86</v>
      </c>
      <c r="L136" s="4"/>
      <c r="M136" s="21"/>
      <c r="N136" s="21"/>
      <c r="O136" s="22"/>
      <c r="R136" s="301" t="s">
        <v>1359</v>
      </c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</row>
    <row r="137" spans="1:34" ht="16.05" customHeight="1" thickBot="1">
      <c r="A137" s="6" t="s">
        <v>733</v>
      </c>
      <c r="B137" s="262">
        <v>8.5</v>
      </c>
      <c r="C137" s="4"/>
      <c r="D137" s="6" t="s">
        <v>696</v>
      </c>
      <c r="E137" s="262">
        <v>8</v>
      </c>
      <c r="F137" s="4"/>
      <c r="G137" s="6" t="s">
        <v>719</v>
      </c>
      <c r="H137" s="262">
        <v>8.5</v>
      </c>
      <c r="I137" s="22"/>
      <c r="J137" s="13" t="s">
        <v>301</v>
      </c>
      <c r="K137" s="261">
        <v>10</v>
      </c>
      <c r="L137" s="22"/>
      <c r="M137" s="87" t="s">
        <v>880</v>
      </c>
      <c r="N137" s="14">
        <f>ROUND(SUM(N138:N142)/COUNT(N138:N142), 2)</f>
        <v>9.4</v>
      </c>
      <c r="O137" s="22"/>
      <c r="R137" s="51" t="s">
        <v>361</v>
      </c>
      <c r="S137" s="51" t="s">
        <v>328</v>
      </c>
      <c r="T137" s="51" t="s">
        <v>526</v>
      </c>
      <c r="U137" s="51" t="s">
        <v>330</v>
      </c>
      <c r="V137" s="51" t="s">
        <v>1016</v>
      </c>
      <c r="W137" s="51" t="s">
        <v>524</v>
      </c>
      <c r="X137" s="51" t="s">
        <v>331</v>
      </c>
      <c r="Y137" s="51" t="s">
        <v>332</v>
      </c>
      <c r="Z137" s="51" t="s">
        <v>333</v>
      </c>
      <c r="AA137" s="51" t="s">
        <v>334</v>
      </c>
      <c r="AB137" s="51" t="s">
        <v>924</v>
      </c>
      <c r="AC137" s="51" t="s">
        <v>1994</v>
      </c>
      <c r="AD137" s="51" t="s">
        <v>1995</v>
      </c>
      <c r="AG137" s="135" t="s">
        <v>2018</v>
      </c>
      <c r="AH137" s="135"/>
    </row>
    <row r="138" spans="1:34" ht="16.05" customHeight="1">
      <c r="A138" s="6" t="s">
        <v>734</v>
      </c>
      <c r="B138" s="262">
        <v>9</v>
      </c>
      <c r="C138" s="4"/>
      <c r="D138" s="6" t="s">
        <v>697</v>
      </c>
      <c r="E138" s="262">
        <v>7</v>
      </c>
      <c r="F138" s="4"/>
      <c r="G138" s="6" t="s">
        <v>720</v>
      </c>
      <c r="H138" s="262">
        <v>10.5</v>
      </c>
      <c r="I138" s="22"/>
      <c r="J138" s="6" t="s">
        <v>742</v>
      </c>
      <c r="K138" s="262">
        <v>10</v>
      </c>
      <c r="L138" s="22"/>
      <c r="M138" s="13" t="s">
        <v>754</v>
      </c>
      <c r="N138" s="261">
        <v>8.5</v>
      </c>
      <c r="O138" s="22"/>
      <c r="R138" s="60">
        <v>1</v>
      </c>
      <c r="S138" s="52" t="s">
        <v>341</v>
      </c>
      <c r="T138" s="69">
        <v>4</v>
      </c>
      <c r="U138" s="69">
        <v>9.48</v>
      </c>
      <c r="V138" s="206">
        <v>9.73</v>
      </c>
      <c r="W138" s="52">
        <v>9.56</v>
      </c>
      <c r="X138" s="52">
        <v>0.76</v>
      </c>
      <c r="Y138" s="52">
        <v>13</v>
      </c>
      <c r="Z138" s="52">
        <v>26</v>
      </c>
      <c r="AA138" s="52">
        <v>1</v>
      </c>
      <c r="AB138" s="52" t="s">
        <v>1044</v>
      </c>
      <c r="AC138" s="52" t="s">
        <v>1996</v>
      </c>
      <c r="AD138" s="52" t="s">
        <v>1985</v>
      </c>
      <c r="AG138" s="52" t="s">
        <v>2019</v>
      </c>
      <c r="AH138" s="137" t="s">
        <v>2212</v>
      </c>
    </row>
    <row r="139" spans="1:34" ht="16.05" customHeight="1">
      <c r="A139" s="6" t="s">
        <v>735</v>
      </c>
      <c r="B139" s="262">
        <v>10</v>
      </c>
      <c r="C139" s="4"/>
      <c r="D139" s="6" t="s">
        <v>698</v>
      </c>
      <c r="E139" s="262">
        <v>6.5</v>
      </c>
      <c r="F139" s="4"/>
      <c r="G139" s="6" t="s">
        <v>721</v>
      </c>
      <c r="H139" s="262">
        <v>8</v>
      </c>
      <c r="I139" s="22"/>
      <c r="J139" s="6" t="s">
        <v>743</v>
      </c>
      <c r="K139" s="262">
        <v>8.5</v>
      </c>
      <c r="L139" s="22"/>
      <c r="M139" s="6" t="s">
        <v>755</v>
      </c>
      <c r="N139" s="262">
        <v>10.5</v>
      </c>
      <c r="O139" s="22"/>
      <c r="R139" s="61">
        <v>2</v>
      </c>
      <c r="S139" s="68" t="s">
        <v>335</v>
      </c>
      <c r="T139" s="70">
        <v>5</v>
      </c>
      <c r="U139" s="70">
        <v>9.36</v>
      </c>
      <c r="V139" s="246">
        <v>9.68</v>
      </c>
      <c r="W139" s="68">
        <v>9.65</v>
      </c>
      <c r="X139" s="68">
        <v>0.91</v>
      </c>
      <c r="Y139" s="68">
        <v>22</v>
      </c>
      <c r="Z139" s="68">
        <v>58</v>
      </c>
      <c r="AA139" s="68">
        <v>14</v>
      </c>
      <c r="AB139" s="68" t="s">
        <v>1277</v>
      </c>
      <c r="AC139" s="68" t="s">
        <v>1997</v>
      </c>
      <c r="AD139" s="68" t="s">
        <v>1947</v>
      </c>
      <c r="AG139" s="68" t="s">
        <v>2020</v>
      </c>
      <c r="AH139" s="136">
        <v>1969</v>
      </c>
    </row>
    <row r="140" spans="1:34" ht="16.05" customHeight="1">
      <c r="A140" s="6" t="s">
        <v>736</v>
      </c>
      <c r="B140" s="262">
        <v>8</v>
      </c>
      <c r="C140" s="4"/>
      <c r="D140" s="6" t="s">
        <v>699</v>
      </c>
      <c r="E140" s="262">
        <v>7</v>
      </c>
      <c r="F140" s="4"/>
      <c r="G140" s="6" t="s">
        <v>722</v>
      </c>
      <c r="H140" s="262">
        <v>8</v>
      </c>
      <c r="I140" s="22"/>
      <c r="J140" s="6" t="s">
        <v>744</v>
      </c>
      <c r="K140" s="262">
        <v>10</v>
      </c>
      <c r="L140" s="22"/>
      <c r="M140" s="6" t="s">
        <v>756</v>
      </c>
      <c r="N140" s="262">
        <v>10</v>
      </c>
      <c r="O140" s="22"/>
      <c r="R140" s="62">
        <v>3</v>
      </c>
      <c r="S140" s="52" t="s">
        <v>340</v>
      </c>
      <c r="T140" s="69">
        <v>3</v>
      </c>
      <c r="U140" s="69">
        <v>9.18</v>
      </c>
      <c r="V140" s="247">
        <v>9.1999999999999993</v>
      </c>
      <c r="W140" s="52">
        <v>8.92</v>
      </c>
      <c r="X140" s="52">
        <v>0.74</v>
      </c>
      <c r="Y140" s="52">
        <v>5</v>
      </c>
      <c r="Z140" s="52">
        <v>16</v>
      </c>
      <c r="AA140" s="52">
        <v>0</v>
      </c>
      <c r="AB140" s="52" t="s">
        <v>1421</v>
      </c>
      <c r="AC140" s="52" t="s">
        <v>1998</v>
      </c>
      <c r="AD140" s="52" t="s">
        <v>1966</v>
      </c>
      <c r="AG140" s="52" t="s">
        <v>2021</v>
      </c>
      <c r="AH140" s="137">
        <v>2026</v>
      </c>
    </row>
    <row r="141" spans="1:34" ht="16.05" customHeight="1">
      <c r="A141" s="6" t="s">
        <v>737</v>
      </c>
      <c r="B141" s="262">
        <v>8.5</v>
      </c>
      <c r="C141" s="4"/>
      <c r="D141" s="6" t="s">
        <v>700</v>
      </c>
      <c r="E141" s="262">
        <v>7.5</v>
      </c>
      <c r="F141" s="4"/>
      <c r="G141" s="6" t="s">
        <v>723</v>
      </c>
      <c r="H141" s="262">
        <v>10.5</v>
      </c>
      <c r="I141" s="22"/>
      <c r="J141" s="6" t="s">
        <v>745</v>
      </c>
      <c r="K141" s="262">
        <v>9</v>
      </c>
      <c r="L141" s="22"/>
      <c r="M141" s="6" t="s">
        <v>757</v>
      </c>
      <c r="N141" s="262">
        <v>9.5</v>
      </c>
      <c r="O141" s="22"/>
      <c r="R141" s="59">
        <v>4</v>
      </c>
      <c r="S141" s="68" t="s">
        <v>339</v>
      </c>
      <c r="T141" s="70">
        <v>2</v>
      </c>
      <c r="U141" s="70">
        <v>8.99</v>
      </c>
      <c r="V141" s="215">
        <v>9.0399999999999991</v>
      </c>
      <c r="W141" s="68">
        <v>8.75</v>
      </c>
      <c r="X141" s="68">
        <v>0.9</v>
      </c>
      <c r="Y141" s="68">
        <v>5</v>
      </c>
      <c r="Z141" s="68">
        <v>18</v>
      </c>
      <c r="AA141" s="68">
        <v>0</v>
      </c>
      <c r="AB141" s="68" t="s">
        <v>2181</v>
      </c>
      <c r="AC141" s="68" t="s">
        <v>2182</v>
      </c>
      <c r="AD141" s="68" t="s">
        <v>1985</v>
      </c>
      <c r="AG141" s="68" t="s">
        <v>2022</v>
      </c>
      <c r="AH141" s="136" t="s">
        <v>2023</v>
      </c>
    </row>
    <row r="142" spans="1:34" ht="16.05" customHeight="1" thickBot="1">
      <c r="A142" s="6" t="s">
        <v>738</v>
      </c>
      <c r="B142" s="262">
        <v>8</v>
      </c>
      <c r="C142" s="4"/>
      <c r="D142" s="6" t="s">
        <v>701</v>
      </c>
      <c r="E142" s="262">
        <v>7</v>
      </c>
      <c r="F142" s="4"/>
      <c r="G142" s="6" t="s">
        <v>724</v>
      </c>
      <c r="H142" s="262">
        <v>8</v>
      </c>
      <c r="I142" s="22"/>
      <c r="J142" s="6" t="s">
        <v>746</v>
      </c>
      <c r="K142" s="262">
        <v>8.5</v>
      </c>
      <c r="L142" s="22"/>
      <c r="M142" s="9" t="s">
        <v>758</v>
      </c>
      <c r="N142" s="263">
        <v>8.5</v>
      </c>
      <c r="O142" s="22"/>
      <c r="R142" s="59">
        <v>5</v>
      </c>
      <c r="S142" s="52" t="s">
        <v>491</v>
      </c>
      <c r="T142" s="69">
        <v>3</v>
      </c>
      <c r="U142" s="69">
        <v>8.93</v>
      </c>
      <c r="V142" s="217">
        <v>8.9499999999999993</v>
      </c>
      <c r="W142" s="52">
        <v>8.83</v>
      </c>
      <c r="X142" s="52">
        <v>0.82</v>
      </c>
      <c r="Y142" s="52">
        <v>6</v>
      </c>
      <c r="Z142" s="52">
        <v>27</v>
      </c>
      <c r="AA142" s="52">
        <v>0</v>
      </c>
      <c r="AB142" s="52" t="s">
        <v>769</v>
      </c>
      <c r="AC142" s="52" t="s">
        <v>1999</v>
      </c>
      <c r="AD142" s="52" t="s">
        <v>1964</v>
      </c>
      <c r="AG142" s="52" t="s">
        <v>2024</v>
      </c>
      <c r="AH142" s="137" t="s">
        <v>2025</v>
      </c>
    </row>
    <row r="143" spans="1:34" ht="16.05" customHeight="1" thickBot="1">
      <c r="A143" s="9" t="s">
        <v>739</v>
      </c>
      <c r="B143" s="263">
        <v>8</v>
      </c>
      <c r="C143" s="4"/>
      <c r="D143" s="6" t="s">
        <v>702</v>
      </c>
      <c r="E143" s="262">
        <v>9</v>
      </c>
      <c r="F143" s="4"/>
      <c r="G143" s="6" t="s">
        <v>725</v>
      </c>
      <c r="H143" s="262">
        <v>7</v>
      </c>
      <c r="I143" s="22"/>
      <c r="J143" s="6" t="s">
        <v>747</v>
      </c>
      <c r="K143" s="262">
        <v>8</v>
      </c>
      <c r="L143" s="4"/>
      <c r="M143" s="21"/>
      <c r="N143" s="21"/>
      <c r="O143" s="22"/>
      <c r="R143" s="59">
        <v>6</v>
      </c>
      <c r="S143" s="68" t="s">
        <v>1196</v>
      </c>
      <c r="T143" s="70">
        <v>2</v>
      </c>
      <c r="U143" s="70">
        <v>8.7200000000000006</v>
      </c>
      <c r="V143" s="287">
        <v>8.9</v>
      </c>
      <c r="W143" s="68">
        <v>8.5</v>
      </c>
      <c r="X143" s="68">
        <v>0.94</v>
      </c>
      <c r="Y143" s="68">
        <v>10</v>
      </c>
      <c r="Z143" s="68">
        <v>54</v>
      </c>
      <c r="AA143" s="68">
        <v>2</v>
      </c>
      <c r="AB143" s="68" t="s">
        <v>1580</v>
      </c>
      <c r="AC143" s="68" t="s">
        <v>2172</v>
      </c>
      <c r="AD143" s="68" t="s">
        <v>2173</v>
      </c>
    </row>
    <row r="144" spans="1:34" ht="16.05" customHeight="1" thickBot="1">
      <c r="A144" s="21"/>
      <c r="B144" s="21"/>
      <c r="C144" s="4"/>
      <c r="D144" s="9" t="s">
        <v>703</v>
      </c>
      <c r="E144" s="263"/>
      <c r="F144" s="4"/>
      <c r="G144" s="6" t="s">
        <v>726</v>
      </c>
      <c r="H144" s="262">
        <v>10</v>
      </c>
      <c r="I144" s="22"/>
      <c r="J144" s="6" t="s">
        <v>748</v>
      </c>
      <c r="K144" s="262">
        <v>8.5</v>
      </c>
      <c r="L144" s="22"/>
      <c r="M144" s="81" t="s">
        <v>799</v>
      </c>
      <c r="N144" s="14">
        <f>ROUND(SUM(N145:N150)/COUNT(N145:N150), 2)</f>
        <v>8.67</v>
      </c>
      <c r="O144" s="22"/>
      <c r="R144" s="59">
        <v>7</v>
      </c>
      <c r="S144" s="52" t="s">
        <v>350</v>
      </c>
      <c r="T144" s="69">
        <v>2</v>
      </c>
      <c r="U144" s="69">
        <v>8.83</v>
      </c>
      <c r="V144" s="178">
        <v>8.85</v>
      </c>
      <c r="W144" s="52">
        <v>8.5</v>
      </c>
      <c r="X144" s="52">
        <v>0.88</v>
      </c>
      <c r="Y144" s="52">
        <v>4</v>
      </c>
      <c r="Z144" s="52">
        <v>18</v>
      </c>
      <c r="AA144" s="52">
        <v>0</v>
      </c>
      <c r="AB144" s="52" t="s">
        <v>2075</v>
      </c>
      <c r="AC144" s="52" t="s">
        <v>2001</v>
      </c>
      <c r="AD144" s="52" t="s">
        <v>1966</v>
      </c>
      <c r="AG144" s="135" t="s">
        <v>2026</v>
      </c>
      <c r="AH144" s="135"/>
    </row>
    <row r="145" spans="1:34" ht="16.05" customHeight="1" thickBot="1">
      <c r="A145" s="86" t="s">
        <v>879</v>
      </c>
      <c r="B145" s="14">
        <f>ROUND(SUM(B146:B160)/COUNT(B146:B160), 2)</f>
        <v>8.33</v>
      </c>
      <c r="C145" s="4"/>
      <c r="D145" s="19"/>
      <c r="E145" s="21"/>
      <c r="F145" s="4"/>
      <c r="G145" s="6" t="s">
        <v>727</v>
      </c>
      <c r="H145" s="262">
        <v>8.5</v>
      </c>
      <c r="I145" s="22"/>
      <c r="J145" s="6" t="s">
        <v>749</v>
      </c>
      <c r="K145" s="262">
        <v>8</v>
      </c>
      <c r="L145" s="4"/>
      <c r="M145" s="13" t="s">
        <v>759</v>
      </c>
      <c r="N145" s="261">
        <v>10</v>
      </c>
      <c r="O145" s="22"/>
      <c r="R145" s="59">
        <v>8</v>
      </c>
      <c r="S145" s="68" t="s">
        <v>355</v>
      </c>
      <c r="T145" s="70">
        <v>2</v>
      </c>
      <c r="U145" s="70">
        <v>8.85</v>
      </c>
      <c r="V145" s="220">
        <v>8.84</v>
      </c>
      <c r="W145" s="68">
        <v>8.75</v>
      </c>
      <c r="X145" s="68">
        <v>0.73</v>
      </c>
      <c r="Y145" s="68">
        <v>4</v>
      </c>
      <c r="Z145" s="68">
        <v>25</v>
      </c>
      <c r="AA145" s="68">
        <v>0</v>
      </c>
      <c r="AB145" s="68" t="s">
        <v>1890</v>
      </c>
      <c r="AC145" s="68" t="s">
        <v>2000</v>
      </c>
      <c r="AD145" s="68" t="s">
        <v>1963</v>
      </c>
      <c r="AG145" s="68" t="s">
        <v>2027</v>
      </c>
      <c r="AH145" s="136" t="s">
        <v>2028</v>
      </c>
    </row>
    <row r="146" spans="1:34" ht="16.05" customHeight="1" thickBot="1">
      <c r="A146" s="13" t="s">
        <v>800</v>
      </c>
      <c r="B146" s="261">
        <v>8</v>
      </c>
      <c r="C146" s="22"/>
      <c r="D146" s="82" t="s">
        <v>829</v>
      </c>
      <c r="E146" s="14">
        <f>ROUND(SUM(E147:E159)/COUNT(E147:E159), 2)</f>
        <v>8.82</v>
      </c>
      <c r="F146" s="4"/>
      <c r="G146" s="6" t="s">
        <v>728</v>
      </c>
      <c r="H146" s="262">
        <v>8</v>
      </c>
      <c r="I146" s="22"/>
      <c r="J146" s="6" t="s">
        <v>750</v>
      </c>
      <c r="K146" s="262">
        <v>8</v>
      </c>
      <c r="L146" s="4"/>
      <c r="M146" s="6" t="s">
        <v>760</v>
      </c>
      <c r="N146" s="262">
        <v>8</v>
      </c>
      <c r="O146" s="22"/>
      <c r="R146" s="59">
        <v>9</v>
      </c>
      <c r="S146" s="52" t="s">
        <v>336</v>
      </c>
      <c r="T146" s="69">
        <v>9</v>
      </c>
      <c r="U146" s="69">
        <v>8.67</v>
      </c>
      <c r="V146" s="179">
        <v>8.7899999999999991</v>
      </c>
      <c r="W146" s="52">
        <v>8.69</v>
      </c>
      <c r="X146" s="52">
        <v>0.86</v>
      </c>
      <c r="Y146" s="52">
        <v>20</v>
      </c>
      <c r="Z146" s="52">
        <v>101</v>
      </c>
      <c r="AA146" s="52">
        <v>4</v>
      </c>
      <c r="AB146" s="52" t="s">
        <v>958</v>
      </c>
      <c r="AC146" s="52" t="s">
        <v>2004</v>
      </c>
      <c r="AD146" s="52" t="s">
        <v>1957</v>
      </c>
      <c r="AG146" s="52" t="s">
        <v>2029</v>
      </c>
      <c r="AH146" s="137" t="s">
        <v>2194</v>
      </c>
    </row>
    <row r="147" spans="1:34" ht="16.05" customHeight="1" thickBot="1">
      <c r="A147" s="6" t="s">
        <v>801</v>
      </c>
      <c r="B147" s="262">
        <v>9</v>
      </c>
      <c r="C147" s="22"/>
      <c r="D147" s="13" t="s">
        <v>817</v>
      </c>
      <c r="E147" s="261">
        <v>9</v>
      </c>
      <c r="F147" s="4"/>
      <c r="G147" s="9" t="s">
        <v>729</v>
      </c>
      <c r="H147" s="263">
        <v>8</v>
      </c>
      <c r="I147" s="22"/>
      <c r="J147" s="9" t="s">
        <v>751</v>
      </c>
      <c r="K147" s="263">
        <v>9</v>
      </c>
      <c r="L147" s="4"/>
      <c r="M147" s="6" t="s">
        <v>761</v>
      </c>
      <c r="N147" s="262">
        <v>9</v>
      </c>
      <c r="O147" s="22"/>
      <c r="R147" s="59">
        <v>10</v>
      </c>
      <c r="S147" s="68" t="s">
        <v>354</v>
      </c>
      <c r="T147" s="70">
        <v>3</v>
      </c>
      <c r="U147" s="70">
        <v>8.77</v>
      </c>
      <c r="V147" s="179">
        <v>8.7899999999999991</v>
      </c>
      <c r="W147" s="68">
        <v>8.67</v>
      </c>
      <c r="X147" s="68">
        <v>0.81</v>
      </c>
      <c r="Y147" s="68">
        <v>6</v>
      </c>
      <c r="Z147" s="68">
        <v>34</v>
      </c>
      <c r="AA147" s="68">
        <v>1</v>
      </c>
      <c r="AB147" s="68" t="s">
        <v>1675</v>
      </c>
      <c r="AC147" s="68" t="s">
        <v>2002</v>
      </c>
      <c r="AD147" s="68" t="s">
        <v>1976</v>
      </c>
      <c r="AG147" s="68" t="s">
        <v>2030</v>
      </c>
      <c r="AH147" s="136" t="s">
        <v>2031</v>
      </c>
    </row>
    <row r="148" spans="1:34" ht="16.05" customHeight="1" thickBot="1">
      <c r="A148" s="6" t="s">
        <v>802</v>
      </c>
      <c r="B148" s="262">
        <v>10</v>
      </c>
      <c r="C148" s="22"/>
      <c r="D148" s="6" t="s">
        <v>818</v>
      </c>
      <c r="E148" s="262">
        <v>8.5</v>
      </c>
      <c r="F148" s="4"/>
      <c r="G148" s="21"/>
      <c r="H148" s="21"/>
      <c r="I148" s="4"/>
      <c r="J148" s="21"/>
      <c r="K148" s="21"/>
      <c r="L148" s="4"/>
      <c r="M148" s="6" t="s">
        <v>762</v>
      </c>
      <c r="N148" s="262">
        <v>8</v>
      </c>
      <c r="O148" s="22"/>
      <c r="R148" s="59">
        <v>11</v>
      </c>
      <c r="S148" s="52" t="s">
        <v>1724</v>
      </c>
      <c r="T148" s="69">
        <v>2</v>
      </c>
      <c r="U148" s="69">
        <v>8.81</v>
      </c>
      <c r="V148" s="180">
        <v>8.77</v>
      </c>
      <c r="W148" s="52">
        <v>8.5</v>
      </c>
      <c r="X148" s="52">
        <v>0.81</v>
      </c>
      <c r="Y148" s="52">
        <v>3</v>
      </c>
      <c r="Z148" s="52">
        <v>16</v>
      </c>
      <c r="AA148" s="52">
        <v>0</v>
      </c>
      <c r="AB148" s="52" t="s">
        <v>2204</v>
      </c>
      <c r="AC148" s="52">
        <v>1982</v>
      </c>
      <c r="AD148" s="52" t="s">
        <v>1962</v>
      </c>
      <c r="AG148" s="52" t="s">
        <v>2032</v>
      </c>
      <c r="AH148" s="137" t="s">
        <v>2158</v>
      </c>
    </row>
    <row r="149" spans="1:34" ht="16.05" customHeight="1" thickBot="1">
      <c r="A149" s="6" t="s">
        <v>803</v>
      </c>
      <c r="B149" s="262">
        <v>8</v>
      </c>
      <c r="C149" s="22"/>
      <c r="D149" s="6" t="s">
        <v>819</v>
      </c>
      <c r="E149" s="262">
        <v>10</v>
      </c>
      <c r="F149" s="22"/>
      <c r="G149" s="85" t="s">
        <v>878</v>
      </c>
      <c r="H149" s="14">
        <f>ROUND(SUM(H150:H163)/COUNT(H150:H163), 2)</f>
        <v>8.7100000000000009</v>
      </c>
      <c r="I149" s="22"/>
      <c r="J149" s="83" t="s">
        <v>854</v>
      </c>
      <c r="K149" s="14">
        <f>ROUND(SUM(K150:K163)/COUNT(K150:K163), 2)</f>
        <v>8.5</v>
      </c>
      <c r="L149" s="4"/>
      <c r="M149" s="6" t="s">
        <v>763</v>
      </c>
      <c r="N149" s="262">
        <v>8</v>
      </c>
      <c r="O149" s="22"/>
      <c r="R149" s="59">
        <v>12</v>
      </c>
      <c r="S149" s="68" t="s">
        <v>1463</v>
      </c>
      <c r="T149" s="70">
        <v>2</v>
      </c>
      <c r="U149" s="70">
        <v>8.77</v>
      </c>
      <c r="V149" s="182">
        <v>8.67</v>
      </c>
      <c r="W149" s="68">
        <v>8.5</v>
      </c>
      <c r="X149" s="68">
        <v>0.62</v>
      </c>
      <c r="Y149" s="68">
        <v>2</v>
      </c>
      <c r="Z149" s="68">
        <v>17</v>
      </c>
      <c r="AA149" s="68">
        <v>1</v>
      </c>
      <c r="AB149" s="68" t="s">
        <v>1725</v>
      </c>
      <c r="AC149" s="68">
        <v>2016</v>
      </c>
      <c r="AD149" s="68" t="s">
        <v>2003</v>
      </c>
      <c r="AG149" s="68" t="s">
        <v>2033</v>
      </c>
      <c r="AH149" s="136" t="s">
        <v>2034</v>
      </c>
    </row>
    <row r="150" spans="1:34" ht="16.05" customHeight="1" thickBot="1">
      <c r="A150" s="6" t="s">
        <v>804</v>
      </c>
      <c r="B150" s="262">
        <v>7</v>
      </c>
      <c r="C150" s="22"/>
      <c r="D150" s="6" t="s">
        <v>820</v>
      </c>
      <c r="E150" s="262"/>
      <c r="F150" s="4"/>
      <c r="G150" s="13" t="s">
        <v>838</v>
      </c>
      <c r="H150" s="261">
        <v>10</v>
      </c>
      <c r="I150" s="22"/>
      <c r="J150" s="13" t="s">
        <v>855</v>
      </c>
      <c r="K150" s="261">
        <v>10</v>
      </c>
      <c r="L150" s="4"/>
      <c r="M150" s="9" t="s">
        <v>764</v>
      </c>
      <c r="N150" s="263">
        <v>9</v>
      </c>
      <c r="O150" s="22"/>
      <c r="R150" s="59">
        <v>13</v>
      </c>
      <c r="S150" s="52" t="s">
        <v>1548</v>
      </c>
      <c r="T150" s="69">
        <v>2</v>
      </c>
      <c r="U150" s="69">
        <v>8.6300000000000008</v>
      </c>
      <c r="V150" s="248">
        <v>8.59</v>
      </c>
      <c r="W150" s="52">
        <v>8.5</v>
      </c>
      <c r="X150" s="52">
        <v>1.05</v>
      </c>
      <c r="Y150" s="52">
        <v>4</v>
      </c>
      <c r="Z150" s="52">
        <v>22</v>
      </c>
      <c r="AA150" s="52">
        <v>2</v>
      </c>
      <c r="AB150" s="52" t="s">
        <v>1610</v>
      </c>
      <c r="AC150" s="52" t="s">
        <v>2005</v>
      </c>
      <c r="AD150" s="52" t="s">
        <v>1989</v>
      </c>
      <c r="AG150" s="52" t="s">
        <v>2035</v>
      </c>
      <c r="AH150" s="137" t="s">
        <v>2176</v>
      </c>
    </row>
    <row r="151" spans="1:34" ht="16.05" customHeight="1" thickBot="1">
      <c r="A151" s="6" t="s">
        <v>805</v>
      </c>
      <c r="B151" s="262">
        <v>9.5</v>
      </c>
      <c r="C151" s="22"/>
      <c r="D151" s="6" t="s">
        <v>821</v>
      </c>
      <c r="E151" s="262">
        <v>9</v>
      </c>
      <c r="F151" s="4"/>
      <c r="G151" s="6" t="s">
        <v>839</v>
      </c>
      <c r="H151" s="262">
        <v>9</v>
      </c>
      <c r="I151" s="22"/>
      <c r="J151" s="6" t="s">
        <v>856</v>
      </c>
      <c r="K151" s="262">
        <v>9</v>
      </c>
      <c r="L151" s="4"/>
      <c r="M151" s="21"/>
      <c r="N151" s="21"/>
      <c r="O151" s="22"/>
      <c r="R151" s="59">
        <v>14</v>
      </c>
      <c r="S151" s="68" t="s">
        <v>343</v>
      </c>
      <c r="T151" s="70">
        <v>8</v>
      </c>
      <c r="U151" s="70">
        <v>8.58</v>
      </c>
      <c r="V151" s="184">
        <v>8.5500000000000007</v>
      </c>
      <c r="W151" s="68">
        <v>8.4700000000000006</v>
      </c>
      <c r="X151" s="68">
        <v>0.76</v>
      </c>
      <c r="Y151" s="68">
        <v>7</v>
      </c>
      <c r="Z151" s="68">
        <v>60</v>
      </c>
      <c r="AA151" s="68">
        <v>2</v>
      </c>
      <c r="AB151" s="68" t="s">
        <v>2070</v>
      </c>
      <c r="AC151" s="68" t="s">
        <v>2071</v>
      </c>
      <c r="AD151" s="68" t="s">
        <v>1961</v>
      </c>
      <c r="AG151" s="68" t="s">
        <v>2036</v>
      </c>
      <c r="AH151" s="136" t="s">
        <v>2099</v>
      </c>
    </row>
    <row r="152" spans="1:34" ht="16.05" customHeight="1" thickBot="1">
      <c r="A152" s="6" t="s">
        <v>806</v>
      </c>
      <c r="B152" s="262">
        <v>8.5</v>
      </c>
      <c r="C152" s="22"/>
      <c r="D152" s="6" t="s">
        <v>822</v>
      </c>
      <c r="E152" s="262">
        <v>7.5</v>
      </c>
      <c r="F152" s="4"/>
      <c r="G152" s="6" t="s">
        <v>840</v>
      </c>
      <c r="H152" s="262">
        <v>8.5</v>
      </c>
      <c r="I152" s="22"/>
      <c r="J152" s="6" t="s">
        <v>857</v>
      </c>
      <c r="K152" s="262">
        <v>9</v>
      </c>
      <c r="L152" s="22"/>
      <c r="M152" s="84" t="s">
        <v>871</v>
      </c>
      <c r="N152" s="14">
        <f>ROUND(SUM(N153:N159)/COUNT(N153:N159), 2)</f>
        <v>8.7100000000000009</v>
      </c>
      <c r="O152" s="22"/>
      <c r="R152" s="59">
        <v>15</v>
      </c>
      <c r="S152" s="52" t="s">
        <v>730</v>
      </c>
      <c r="T152" s="69">
        <v>3</v>
      </c>
      <c r="U152" s="69">
        <v>8.5500000000000007</v>
      </c>
      <c r="V152" s="184">
        <v>8.5500000000000007</v>
      </c>
      <c r="W152" s="52">
        <v>8.17</v>
      </c>
      <c r="X152" s="52">
        <v>0.83</v>
      </c>
      <c r="Y152" s="52">
        <v>6</v>
      </c>
      <c r="Z152" s="52">
        <v>46</v>
      </c>
      <c r="AA152" s="52">
        <v>4</v>
      </c>
      <c r="AB152" s="52" t="s">
        <v>1465</v>
      </c>
      <c r="AC152" s="52" t="s">
        <v>2006</v>
      </c>
      <c r="AD152" s="52" t="s">
        <v>1969</v>
      </c>
    </row>
    <row r="153" spans="1:34" ht="16.05" customHeight="1">
      <c r="A153" s="6" t="s">
        <v>807</v>
      </c>
      <c r="B153" s="262">
        <v>8</v>
      </c>
      <c r="C153" s="22"/>
      <c r="D153" s="6" t="s">
        <v>823</v>
      </c>
      <c r="E153" s="262">
        <v>8</v>
      </c>
      <c r="F153" s="4"/>
      <c r="G153" s="6" t="s">
        <v>841</v>
      </c>
      <c r="H153" s="262">
        <v>10.5</v>
      </c>
      <c r="I153" s="22"/>
      <c r="J153" s="6" t="s">
        <v>858</v>
      </c>
      <c r="K153" s="262">
        <v>8.5</v>
      </c>
      <c r="L153" s="22"/>
      <c r="M153" s="13" t="s">
        <v>872</v>
      </c>
      <c r="N153" s="261">
        <v>9</v>
      </c>
      <c r="O153" s="22"/>
      <c r="R153" s="59">
        <v>16</v>
      </c>
      <c r="S153" s="68" t="s">
        <v>348</v>
      </c>
      <c r="T153" s="70">
        <v>2</v>
      </c>
      <c r="U153" s="70">
        <v>8.5399999999999991</v>
      </c>
      <c r="V153" s="227">
        <v>8.4700000000000006</v>
      </c>
      <c r="W153" s="68">
        <v>8.5</v>
      </c>
      <c r="X153" s="68">
        <v>0.78</v>
      </c>
      <c r="Y153" s="68">
        <v>3</v>
      </c>
      <c r="Z153" s="68">
        <v>20</v>
      </c>
      <c r="AA153" s="68">
        <v>0</v>
      </c>
      <c r="AB153" s="68" t="s">
        <v>1943</v>
      </c>
      <c r="AC153" s="68" t="s">
        <v>2007</v>
      </c>
      <c r="AD153" s="68" t="s">
        <v>1962</v>
      </c>
      <c r="AG153" s="135" t="s">
        <v>2037</v>
      </c>
      <c r="AH153" s="135"/>
    </row>
    <row r="154" spans="1:34" ht="16.05" customHeight="1">
      <c r="A154" s="6" t="s">
        <v>808</v>
      </c>
      <c r="B154" s="262">
        <v>7.5</v>
      </c>
      <c r="C154" s="22"/>
      <c r="D154" s="6" t="s">
        <v>824</v>
      </c>
      <c r="E154" s="262">
        <v>10</v>
      </c>
      <c r="F154" s="4"/>
      <c r="G154" s="6" t="s">
        <v>842</v>
      </c>
      <c r="H154" s="262">
        <v>8</v>
      </c>
      <c r="I154" s="22"/>
      <c r="J154" s="6" t="s">
        <v>859</v>
      </c>
      <c r="K154" s="262">
        <v>8</v>
      </c>
      <c r="L154" s="22"/>
      <c r="M154" s="6" t="s">
        <v>873</v>
      </c>
      <c r="N154" s="262">
        <v>8</v>
      </c>
      <c r="O154" s="22"/>
      <c r="R154" s="59">
        <v>17</v>
      </c>
      <c r="S154" s="52" t="s">
        <v>1169</v>
      </c>
      <c r="T154" s="69">
        <v>2</v>
      </c>
      <c r="U154" s="69">
        <v>8.52</v>
      </c>
      <c r="V154" s="251">
        <v>8.4499999999999993</v>
      </c>
      <c r="W154" s="52">
        <v>8.25</v>
      </c>
      <c r="X154" s="52">
        <v>0.96</v>
      </c>
      <c r="Y154" s="52">
        <v>6</v>
      </c>
      <c r="Z154" s="52">
        <v>41</v>
      </c>
      <c r="AA154" s="52">
        <v>2</v>
      </c>
      <c r="AB154" s="52" t="s">
        <v>1776</v>
      </c>
      <c r="AC154" s="52" t="s">
        <v>2008</v>
      </c>
      <c r="AD154" s="52" t="s">
        <v>2009</v>
      </c>
      <c r="AG154" s="52" t="s">
        <v>2038</v>
      </c>
      <c r="AH154" s="137" t="s">
        <v>2212</v>
      </c>
    </row>
    <row r="155" spans="1:34" ht="16.05" customHeight="1">
      <c r="A155" s="6" t="s">
        <v>809</v>
      </c>
      <c r="B155" s="262">
        <v>8</v>
      </c>
      <c r="C155" s="22"/>
      <c r="D155" s="6" t="s">
        <v>118</v>
      </c>
      <c r="E155" s="262">
        <v>10</v>
      </c>
      <c r="F155" s="4"/>
      <c r="G155" s="6" t="s">
        <v>54</v>
      </c>
      <c r="H155" s="262">
        <v>8</v>
      </c>
      <c r="I155" s="22"/>
      <c r="J155" s="6" t="s">
        <v>860</v>
      </c>
      <c r="K155" s="262">
        <v>8</v>
      </c>
      <c r="L155" s="22"/>
      <c r="M155" s="6" t="s">
        <v>874</v>
      </c>
      <c r="N155" s="262">
        <v>9.5</v>
      </c>
      <c r="O155" s="22"/>
      <c r="R155" s="59">
        <v>18</v>
      </c>
      <c r="S155" s="68" t="s">
        <v>346</v>
      </c>
      <c r="T155" s="70">
        <v>4</v>
      </c>
      <c r="U155" s="70">
        <v>8.4600000000000009</v>
      </c>
      <c r="V155" s="282">
        <v>8.4</v>
      </c>
      <c r="W155" s="68">
        <v>8.25</v>
      </c>
      <c r="X155" s="68">
        <v>0.95</v>
      </c>
      <c r="Y155" s="68">
        <v>8</v>
      </c>
      <c r="Z155" s="68">
        <v>53</v>
      </c>
      <c r="AA155" s="68">
        <v>4</v>
      </c>
      <c r="AB155" s="68" t="s">
        <v>1594</v>
      </c>
      <c r="AC155" s="68" t="s">
        <v>2010</v>
      </c>
      <c r="AD155" s="68" t="s">
        <v>2003</v>
      </c>
      <c r="AG155" s="68" t="s">
        <v>2039</v>
      </c>
      <c r="AH155" s="136" t="s">
        <v>1989</v>
      </c>
    </row>
    <row r="156" spans="1:34" ht="16.05" customHeight="1">
      <c r="A156" s="6" t="s">
        <v>810</v>
      </c>
      <c r="B156" s="262">
        <v>10</v>
      </c>
      <c r="C156" s="22"/>
      <c r="D156" s="6" t="s">
        <v>825</v>
      </c>
      <c r="E156" s="262">
        <v>8</v>
      </c>
      <c r="F156" s="4"/>
      <c r="G156" s="6" t="s">
        <v>843</v>
      </c>
      <c r="H156" s="262">
        <v>8</v>
      </c>
      <c r="I156" s="22"/>
      <c r="J156" s="6" t="s">
        <v>861</v>
      </c>
      <c r="K156" s="262">
        <v>7.5</v>
      </c>
      <c r="L156" s="22"/>
      <c r="M156" s="6" t="s">
        <v>875</v>
      </c>
      <c r="N156" s="262">
        <v>8.5</v>
      </c>
      <c r="O156" s="22"/>
      <c r="R156" s="59">
        <v>19</v>
      </c>
      <c r="S156" s="52" t="s">
        <v>347</v>
      </c>
      <c r="T156" s="69">
        <v>2</v>
      </c>
      <c r="U156" s="69">
        <v>8.39</v>
      </c>
      <c r="V156" s="231">
        <v>8.3699999999999992</v>
      </c>
      <c r="W156" s="52">
        <v>8.25</v>
      </c>
      <c r="X156" s="52">
        <v>0.72</v>
      </c>
      <c r="Y156" s="52">
        <v>2</v>
      </c>
      <c r="Z156" s="52">
        <v>20</v>
      </c>
      <c r="AA156" s="52">
        <v>0</v>
      </c>
      <c r="AB156" s="52" t="s">
        <v>789</v>
      </c>
      <c r="AC156" s="52" t="s">
        <v>2011</v>
      </c>
      <c r="AD156" s="52" t="s">
        <v>1948</v>
      </c>
      <c r="AG156" s="52" t="s">
        <v>2040</v>
      </c>
      <c r="AH156" s="137" t="s">
        <v>2177</v>
      </c>
    </row>
    <row r="157" spans="1:34" ht="16.05" customHeight="1">
      <c r="A157" s="6" t="s">
        <v>811</v>
      </c>
      <c r="B157" s="262">
        <v>6</v>
      </c>
      <c r="C157" s="22"/>
      <c r="D157" s="6" t="s">
        <v>826</v>
      </c>
      <c r="E157" s="262">
        <v>9</v>
      </c>
      <c r="F157" s="4"/>
      <c r="G157" s="6" t="s">
        <v>844</v>
      </c>
      <c r="H157" s="262">
        <v>9</v>
      </c>
      <c r="I157" s="22"/>
      <c r="J157" s="6" t="s">
        <v>862</v>
      </c>
      <c r="K157" s="262">
        <v>7</v>
      </c>
      <c r="L157" s="22"/>
      <c r="M157" s="6" t="s">
        <v>910</v>
      </c>
      <c r="N157" s="262">
        <v>10.5</v>
      </c>
      <c r="O157" s="22"/>
      <c r="R157" s="59">
        <v>20</v>
      </c>
      <c r="S157" s="68" t="s">
        <v>830</v>
      </c>
      <c r="T157" s="70">
        <v>2</v>
      </c>
      <c r="U157" s="70">
        <v>8.07</v>
      </c>
      <c r="V157" s="286">
        <v>7.99</v>
      </c>
      <c r="W157" s="68">
        <v>8.1300000000000008</v>
      </c>
      <c r="X157" s="68">
        <v>0.8</v>
      </c>
      <c r="Y157" s="68">
        <v>3</v>
      </c>
      <c r="Z157" s="68">
        <v>31</v>
      </c>
      <c r="AA157" s="68">
        <v>2</v>
      </c>
      <c r="AB157" s="68" t="s">
        <v>2012</v>
      </c>
      <c r="AC157" s="68" t="s">
        <v>2013</v>
      </c>
      <c r="AD157" s="68" t="s">
        <v>1989</v>
      </c>
      <c r="AG157" s="68" t="s">
        <v>2041</v>
      </c>
      <c r="AH157" s="136" t="s">
        <v>2042</v>
      </c>
    </row>
    <row r="158" spans="1:34" ht="16.05" customHeight="1">
      <c r="A158" s="6" t="s">
        <v>812</v>
      </c>
      <c r="B158" s="262">
        <v>7</v>
      </c>
      <c r="C158" s="22"/>
      <c r="D158" s="6" t="s">
        <v>827</v>
      </c>
      <c r="E158" s="262">
        <v>8</v>
      </c>
      <c r="F158" s="4"/>
      <c r="G158" s="6" t="s">
        <v>845</v>
      </c>
      <c r="H158" s="262">
        <v>9</v>
      </c>
      <c r="I158" s="22"/>
      <c r="J158" s="6" t="s">
        <v>863</v>
      </c>
      <c r="K158" s="262">
        <v>10.5</v>
      </c>
      <c r="L158" s="22"/>
      <c r="M158" s="6" t="s">
        <v>876</v>
      </c>
      <c r="N158" s="262">
        <v>8</v>
      </c>
      <c r="O158" s="22"/>
      <c r="R158" s="59">
        <v>21</v>
      </c>
      <c r="S158" s="52" t="s">
        <v>344</v>
      </c>
      <c r="T158" s="69">
        <v>5</v>
      </c>
      <c r="U158" s="69">
        <v>7.9</v>
      </c>
      <c r="V158" s="257">
        <v>7.94</v>
      </c>
      <c r="W158" s="52">
        <v>7.75</v>
      </c>
      <c r="X158" s="52">
        <v>1.07</v>
      </c>
      <c r="Y158" s="52">
        <v>11</v>
      </c>
      <c r="Z158" s="52">
        <v>48</v>
      </c>
      <c r="AA158" s="52">
        <v>0</v>
      </c>
      <c r="AB158" s="52" t="s">
        <v>1841</v>
      </c>
      <c r="AC158" s="52" t="s">
        <v>2014</v>
      </c>
      <c r="AD158" s="52" t="s">
        <v>1961</v>
      </c>
    </row>
    <row r="159" spans="1:34" ht="16.05" customHeight="1" thickBot="1">
      <c r="A159" s="6" t="s">
        <v>813</v>
      </c>
      <c r="B159" s="262">
        <v>10</v>
      </c>
      <c r="C159" s="4"/>
      <c r="D159" s="9" t="s">
        <v>828</v>
      </c>
      <c r="E159" s="263"/>
      <c r="F159" s="4"/>
      <c r="G159" s="6" t="s">
        <v>846</v>
      </c>
      <c r="H159" s="262">
        <v>8.5</v>
      </c>
      <c r="I159" s="22"/>
      <c r="J159" s="6" t="s">
        <v>864</v>
      </c>
      <c r="K159" s="262"/>
      <c r="L159" s="22"/>
      <c r="M159" s="9" t="s">
        <v>877</v>
      </c>
      <c r="N159" s="263">
        <v>7.5</v>
      </c>
      <c r="O159" s="22"/>
      <c r="V159"/>
      <c r="W159"/>
      <c r="X159"/>
      <c r="Y159"/>
      <c r="Z159"/>
      <c r="AG159" s="135" t="s">
        <v>2043</v>
      </c>
      <c r="AH159" s="135"/>
    </row>
    <row r="160" spans="1:34" ht="16.05" customHeight="1" thickBot="1">
      <c r="A160" s="9" t="s">
        <v>814</v>
      </c>
      <c r="B160" s="263">
        <v>8.5</v>
      </c>
      <c r="C160" s="4"/>
      <c r="D160" s="19"/>
      <c r="E160" s="21"/>
      <c r="F160" s="4"/>
      <c r="G160" s="6" t="s">
        <v>847</v>
      </c>
      <c r="H160" s="262">
        <v>8</v>
      </c>
      <c r="I160" s="22"/>
      <c r="J160" s="6" t="s">
        <v>865</v>
      </c>
      <c r="K160" s="262">
        <v>8.5</v>
      </c>
      <c r="L160" s="4"/>
      <c r="M160" s="21"/>
      <c r="N160" s="21"/>
      <c r="O160" s="22"/>
      <c r="R160" s="301" t="s">
        <v>1810</v>
      </c>
      <c r="S160" s="301"/>
      <c r="T160" s="301"/>
      <c r="U160" s="301"/>
      <c r="V160" s="301"/>
      <c r="W160"/>
      <c r="X160"/>
      <c r="Y160"/>
      <c r="Z160"/>
      <c r="AG160" s="52" t="s">
        <v>2044</v>
      </c>
      <c r="AH160" s="137"/>
    </row>
    <row r="161" spans="1:34" ht="16.05" customHeight="1" thickBot="1">
      <c r="A161" s="21"/>
      <c r="B161" s="21"/>
      <c r="C161" s="22"/>
      <c r="D161" s="117" t="s">
        <v>912</v>
      </c>
      <c r="E161" s="14">
        <f>ROUND(SUM(E162:E170)/COUNT(E162:E170), 2)</f>
        <v>9.06</v>
      </c>
      <c r="F161" s="4"/>
      <c r="G161" s="6" t="s">
        <v>848</v>
      </c>
      <c r="H161" s="262">
        <v>8.5</v>
      </c>
      <c r="I161" s="22"/>
      <c r="J161" s="6" t="s">
        <v>866</v>
      </c>
      <c r="K161" s="262">
        <v>8</v>
      </c>
      <c r="L161" s="22"/>
      <c r="M161" s="118" t="s">
        <v>925</v>
      </c>
      <c r="N161" s="14">
        <f>ROUND(SUM(N162:N180)/COUNT(N162:N180), 2)</f>
        <v>8.5500000000000007</v>
      </c>
      <c r="O161" s="22"/>
      <c r="R161" s="51" t="s">
        <v>361</v>
      </c>
      <c r="S161" s="51" t="s">
        <v>328</v>
      </c>
      <c r="T161" s="51" t="s">
        <v>329</v>
      </c>
      <c r="U161" s="51" t="s">
        <v>330</v>
      </c>
      <c r="V161" s="51" t="s">
        <v>1016</v>
      </c>
      <c r="W161"/>
      <c r="X161"/>
      <c r="Y161"/>
      <c r="Z161"/>
      <c r="AG161" s="68" t="s">
        <v>1049</v>
      </c>
      <c r="AH161" s="136" t="s">
        <v>2213</v>
      </c>
    </row>
    <row r="162" spans="1:34" ht="16.05" customHeight="1" thickBot="1">
      <c r="A162" s="119" t="s">
        <v>947</v>
      </c>
      <c r="B162" s="14">
        <f>ROUND(SUM(B163:B170)/COUNT(B163:B170), 2)</f>
        <v>7.88</v>
      </c>
      <c r="C162" s="4"/>
      <c r="D162" s="13" t="s">
        <v>913</v>
      </c>
      <c r="E162" s="261">
        <v>10</v>
      </c>
      <c r="F162" s="4"/>
      <c r="G162" s="6" t="s">
        <v>849</v>
      </c>
      <c r="H162" s="262">
        <v>8</v>
      </c>
      <c r="I162" s="22"/>
      <c r="J162" s="6" t="s">
        <v>867</v>
      </c>
      <c r="K162" s="262">
        <v>7.5</v>
      </c>
      <c r="L162" s="4"/>
      <c r="M162" s="13" t="s">
        <v>926</v>
      </c>
      <c r="N162" s="261">
        <v>10</v>
      </c>
      <c r="O162" s="22"/>
      <c r="R162" s="60">
        <v>1</v>
      </c>
      <c r="S162" s="52" t="s">
        <v>1010</v>
      </c>
      <c r="T162" s="52" t="s">
        <v>1008</v>
      </c>
      <c r="U162" s="69">
        <v>10.5</v>
      </c>
      <c r="V162" s="126">
        <v>10.85</v>
      </c>
      <c r="W162"/>
      <c r="X162"/>
      <c r="Y162"/>
      <c r="Z162"/>
      <c r="AG162" s="52" t="s">
        <v>2045</v>
      </c>
      <c r="AH162" s="137" t="s">
        <v>2178</v>
      </c>
    </row>
    <row r="163" spans="1:34" ht="16.05" customHeight="1" thickBot="1">
      <c r="A163" s="13" t="s">
        <v>948</v>
      </c>
      <c r="B163" s="261">
        <v>9</v>
      </c>
      <c r="C163" s="4"/>
      <c r="D163" s="6" t="s">
        <v>914</v>
      </c>
      <c r="E163" s="262">
        <v>10</v>
      </c>
      <c r="F163" s="4"/>
      <c r="G163" s="9" t="s">
        <v>850</v>
      </c>
      <c r="H163" s="263">
        <v>9</v>
      </c>
      <c r="I163" s="22"/>
      <c r="J163" s="9" t="s">
        <v>868</v>
      </c>
      <c r="K163" s="263">
        <v>9</v>
      </c>
      <c r="L163" s="4"/>
      <c r="M163" s="6" t="s">
        <v>927</v>
      </c>
      <c r="N163" s="262">
        <v>9</v>
      </c>
      <c r="O163" s="22"/>
      <c r="R163" s="61">
        <v>2</v>
      </c>
      <c r="S163" s="68" t="s">
        <v>335</v>
      </c>
      <c r="T163" s="68" t="s">
        <v>7</v>
      </c>
      <c r="U163" s="70">
        <v>9.89</v>
      </c>
      <c r="V163" s="126">
        <v>10.52</v>
      </c>
      <c r="W163"/>
      <c r="X163"/>
      <c r="Y163"/>
      <c r="Z163"/>
      <c r="AG163" s="68" t="s">
        <v>1052</v>
      </c>
      <c r="AH163" s="136" t="s">
        <v>2179</v>
      </c>
    </row>
    <row r="164" spans="1:34" ht="16.05" customHeight="1" thickBot="1">
      <c r="A164" s="6" t="s">
        <v>949</v>
      </c>
      <c r="B164" s="262">
        <v>7</v>
      </c>
      <c r="C164" s="4"/>
      <c r="D164" s="6" t="s">
        <v>915</v>
      </c>
      <c r="E164" s="262">
        <v>8.5</v>
      </c>
      <c r="F164" s="4"/>
      <c r="G164" s="21"/>
      <c r="H164" s="21"/>
      <c r="I164" s="4"/>
      <c r="J164" s="21"/>
      <c r="K164" s="21"/>
      <c r="L164" s="4"/>
      <c r="M164" s="6" t="s">
        <v>928</v>
      </c>
      <c r="N164" s="262">
        <v>9</v>
      </c>
      <c r="O164" s="22"/>
      <c r="R164" s="62">
        <v>3</v>
      </c>
      <c r="S164" s="52" t="s">
        <v>341</v>
      </c>
      <c r="T164" s="52" t="s">
        <v>1041</v>
      </c>
      <c r="U164" s="69">
        <v>10</v>
      </c>
      <c r="V164" s="126">
        <v>10.39</v>
      </c>
      <c r="W164"/>
      <c r="X164"/>
      <c r="Y164"/>
      <c r="Z164"/>
      <c r="AG164" s="52" t="s">
        <v>1058</v>
      </c>
      <c r="AH164" s="137" t="s">
        <v>2202</v>
      </c>
    </row>
    <row r="165" spans="1:34" ht="16.05" customHeight="1" thickBot="1">
      <c r="A165" s="6" t="s">
        <v>950</v>
      </c>
      <c r="B165" s="262">
        <v>7.5</v>
      </c>
      <c r="C165" s="4"/>
      <c r="D165" s="6" t="s">
        <v>916</v>
      </c>
      <c r="E165" s="262">
        <v>8.5</v>
      </c>
      <c r="F165" s="22"/>
      <c r="G165" s="120" t="s">
        <v>959</v>
      </c>
      <c r="H165" s="14">
        <f>ROUND(SUM(H166:H175)/COUNT(H166:H175), 2)</f>
        <v>8.67</v>
      </c>
      <c r="I165" s="22"/>
      <c r="J165" s="121" t="s">
        <v>972</v>
      </c>
      <c r="K165" s="14">
        <f>ROUND(SUM(K166:K173)/COUNT(K166:K173), 2)</f>
        <v>9</v>
      </c>
      <c r="L165" s="4"/>
      <c r="M165" s="6" t="s">
        <v>929</v>
      </c>
      <c r="N165" s="262">
        <v>10</v>
      </c>
      <c r="O165" s="22"/>
      <c r="R165" s="59">
        <v>4</v>
      </c>
      <c r="S165" s="68" t="s">
        <v>336</v>
      </c>
      <c r="T165" s="68" t="s">
        <v>337</v>
      </c>
      <c r="U165" s="70">
        <v>9.6999999999999993</v>
      </c>
      <c r="V165" s="126">
        <v>10.37</v>
      </c>
      <c r="W165"/>
      <c r="X165"/>
      <c r="Y165"/>
      <c r="Z165"/>
      <c r="AG165" s="68" t="s">
        <v>332</v>
      </c>
      <c r="AH165" s="136" t="s">
        <v>2195</v>
      </c>
    </row>
    <row r="166" spans="1:34" ht="16.05" customHeight="1">
      <c r="A166" s="6" t="s">
        <v>951</v>
      </c>
      <c r="B166" s="262">
        <v>6.5</v>
      </c>
      <c r="C166" s="4"/>
      <c r="D166" s="6" t="s">
        <v>917</v>
      </c>
      <c r="E166" s="262"/>
      <c r="F166" s="4"/>
      <c r="G166" s="13" t="s">
        <v>960</v>
      </c>
      <c r="H166" s="261"/>
      <c r="I166" s="22"/>
      <c r="J166" s="13" t="s">
        <v>973</v>
      </c>
      <c r="K166" s="261">
        <v>10.5</v>
      </c>
      <c r="L166" s="4"/>
      <c r="M166" s="6" t="s">
        <v>930</v>
      </c>
      <c r="N166" s="262">
        <v>8.5</v>
      </c>
      <c r="O166" s="22"/>
      <c r="R166" s="59">
        <v>5</v>
      </c>
      <c r="S166" s="52" t="s">
        <v>686</v>
      </c>
      <c r="T166" s="52" t="s">
        <v>687</v>
      </c>
      <c r="U166" s="69">
        <v>9.8800000000000008</v>
      </c>
      <c r="V166" s="126">
        <v>10.220000000000001</v>
      </c>
      <c r="W166"/>
      <c r="X166"/>
      <c r="Y166"/>
      <c r="Z166"/>
      <c r="AG166" s="52" t="s">
        <v>2046</v>
      </c>
      <c r="AH166" s="137" t="s">
        <v>2203</v>
      </c>
    </row>
    <row r="167" spans="1:34" ht="16.05" customHeight="1">
      <c r="A167" s="6" t="s">
        <v>952</v>
      </c>
      <c r="B167" s="262">
        <v>9</v>
      </c>
      <c r="C167" s="4"/>
      <c r="D167" s="6" t="s">
        <v>918</v>
      </c>
      <c r="E167" s="262">
        <v>10.5</v>
      </c>
      <c r="F167" s="4"/>
      <c r="G167" s="6" t="s">
        <v>961</v>
      </c>
      <c r="H167" s="262">
        <v>10</v>
      </c>
      <c r="I167" s="22"/>
      <c r="J167" s="6" t="s">
        <v>974</v>
      </c>
      <c r="K167" s="262">
        <v>10</v>
      </c>
      <c r="L167" s="4"/>
      <c r="M167" s="6" t="s">
        <v>931</v>
      </c>
      <c r="N167" s="262">
        <v>9.5</v>
      </c>
      <c r="O167" s="22"/>
      <c r="R167" s="59">
        <v>6</v>
      </c>
      <c r="S167" s="68" t="s">
        <v>339</v>
      </c>
      <c r="T167" s="68" t="s">
        <v>275</v>
      </c>
      <c r="U167" s="70">
        <v>9.3800000000000008</v>
      </c>
      <c r="V167" s="208">
        <v>9.5299999999999994</v>
      </c>
      <c r="W167"/>
      <c r="X167"/>
      <c r="Y167"/>
      <c r="Z167"/>
      <c r="AG167" s="68" t="s">
        <v>2047</v>
      </c>
      <c r="AH167" s="136" t="s">
        <v>2196</v>
      </c>
    </row>
    <row r="168" spans="1:34" ht="16.05" customHeight="1">
      <c r="A168" s="6" t="s">
        <v>953</v>
      </c>
      <c r="B168" s="262">
        <v>8.5</v>
      </c>
      <c r="C168" s="4"/>
      <c r="D168" s="6" t="s">
        <v>919</v>
      </c>
      <c r="E168" s="262">
        <v>8</v>
      </c>
      <c r="F168" s="4"/>
      <c r="G168" s="6" t="s">
        <v>962</v>
      </c>
      <c r="H168" s="262">
        <v>8.5</v>
      </c>
      <c r="I168" s="22"/>
      <c r="J168" s="6" t="s">
        <v>975</v>
      </c>
      <c r="K168" s="262">
        <v>8.5</v>
      </c>
      <c r="L168" s="4"/>
      <c r="M168" s="6" t="s">
        <v>932</v>
      </c>
      <c r="N168" s="262">
        <v>8</v>
      </c>
      <c r="O168" s="22"/>
      <c r="R168" s="59">
        <v>7</v>
      </c>
      <c r="S168" s="52" t="s">
        <v>340</v>
      </c>
      <c r="T168" s="52" t="s">
        <v>1200</v>
      </c>
      <c r="U168" s="69">
        <v>9.4</v>
      </c>
      <c r="V168" s="176">
        <v>9.4600000000000009</v>
      </c>
      <c r="W168"/>
      <c r="X168"/>
      <c r="Y168"/>
      <c r="Z168"/>
    </row>
    <row r="169" spans="1:34" ht="16.05" customHeight="1">
      <c r="A169" s="6" t="s">
        <v>954</v>
      </c>
      <c r="B169" s="262">
        <v>7.5</v>
      </c>
      <c r="C169" s="4"/>
      <c r="D169" s="6" t="s">
        <v>920</v>
      </c>
      <c r="E169" s="262">
        <v>8</v>
      </c>
      <c r="F169" s="4"/>
      <c r="G169" s="6" t="s">
        <v>963</v>
      </c>
      <c r="H169" s="262">
        <v>8.5</v>
      </c>
      <c r="I169" s="22"/>
      <c r="J169" s="6" t="s">
        <v>976</v>
      </c>
      <c r="K169" s="262">
        <v>8</v>
      </c>
      <c r="L169" s="4"/>
      <c r="M169" s="6" t="s">
        <v>933</v>
      </c>
      <c r="N169" s="262">
        <v>9</v>
      </c>
      <c r="O169" s="22"/>
      <c r="R169" s="59">
        <v>8</v>
      </c>
      <c r="S169" s="68" t="s">
        <v>2097</v>
      </c>
      <c r="T169" s="68" t="s">
        <v>2090</v>
      </c>
      <c r="U169" s="70">
        <v>9.31</v>
      </c>
      <c r="V169" s="294">
        <v>9.43</v>
      </c>
      <c r="W169"/>
      <c r="X169"/>
      <c r="Y169"/>
      <c r="Z169"/>
      <c r="AG169" s="68" t="s">
        <v>2048</v>
      </c>
      <c r="AH169" s="136" t="s">
        <v>2197</v>
      </c>
    </row>
    <row r="170" spans="1:34" ht="16.05" customHeight="1" thickBot="1">
      <c r="A170" s="9" t="s">
        <v>955</v>
      </c>
      <c r="B170" s="263">
        <v>8</v>
      </c>
      <c r="C170" s="4"/>
      <c r="D170" s="9" t="s">
        <v>921</v>
      </c>
      <c r="E170" s="263">
        <v>9</v>
      </c>
      <c r="F170" s="4"/>
      <c r="G170" s="6" t="s">
        <v>964</v>
      </c>
      <c r="H170" s="262">
        <v>9.5</v>
      </c>
      <c r="I170" s="22"/>
      <c r="J170" s="6" t="s">
        <v>977</v>
      </c>
      <c r="K170" s="262">
        <v>8.5</v>
      </c>
      <c r="L170" s="4"/>
      <c r="M170" s="6" t="s">
        <v>934</v>
      </c>
      <c r="N170" s="262">
        <v>8</v>
      </c>
      <c r="O170" s="22"/>
      <c r="R170" s="59">
        <v>9</v>
      </c>
      <c r="S170" s="52" t="s">
        <v>344</v>
      </c>
      <c r="T170" s="52" t="s">
        <v>56</v>
      </c>
      <c r="U170" s="69">
        <v>9.25</v>
      </c>
      <c r="V170" s="209">
        <v>9.3699999999999992</v>
      </c>
      <c r="W170"/>
      <c r="X170"/>
      <c r="Y170"/>
      <c r="Z170"/>
      <c r="AG170" s="52" t="s">
        <v>2049</v>
      </c>
      <c r="AH170" s="137" t="s">
        <v>2198</v>
      </c>
    </row>
    <row r="171" spans="1:34" ht="16.05" customHeight="1" thickBot="1">
      <c r="A171" s="21"/>
      <c r="B171" s="21"/>
      <c r="C171" s="4"/>
      <c r="D171" s="19"/>
      <c r="E171" s="21"/>
      <c r="F171" s="4"/>
      <c r="G171" s="6" t="s">
        <v>965</v>
      </c>
      <c r="H171" s="262">
        <v>8</v>
      </c>
      <c r="I171" s="22"/>
      <c r="J171" s="6" t="s">
        <v>978</v>
      </c>
      <c r="K171" s="262">
        <v>8</v>
      </c>
      <c r="L171" s="4"/>
      <c r="M171" s="6" t="s">
        <v>935</v>
      </c>
      <c r="N171" s="262">
        <v>8</v>
      </c>
      <c r="O171" s="22"/>
      <c r="R171" s="59">
        <v>10</v>
      </c>
      <c r="S171" s="68" t="s">
        <v>345</v>
      </c>
      <c r="T171" s="68" t="s">
        <v>189</v>
      </c>
      <c r="U171" s="70">
        <v>9.2100000000000009</v>
      </c>
      <c r="V171" s="211">
        <v>9.34</v>
      </c>
      <c r="W171"/>
      <c r="X171"/>
      <c r="Y171"/>
      <c r="Z171"/>
    </row>
    <row r="172" spans="1:34" ht="16.05" customHeight="1" thickBot="1">
      <c r="A172" s="124" t="s">
        <v>996</v>
      </c>
      <c r="B172" s="14">
        <f>ROUND(SUM(B173:B183)/COUNT(B173:B183), 2)</f>
        <v>8.73</v>
      </c>
      <c r="C172" s="22"/>
      <c r="D172" s="122" t="s">
        <v>982</v>
      </c>
      <c r="E172" s="14">
        <f>ROUND(SUM(E173:E184)/COUNT(E173:E184), 2)</f>
        <v>7.5</v>
      </c>
      <c r="F172" s="4"/>
      <c r="G172" s="6" t="s">
        <v>966</v>
      </c>
      <c r="H172" s="262">
        <v>8.5</v>
      </c>
      <c r="I172" s="22"/>
      <c r="J172" s="6" t="s">
        <v>979</v>
      </c>
      <c r="K172" s="262">
        <v>9</v>
      </c>
      <c r="L172" s="4"/>
      <c r="M172" s="6" t="s">
        <v>936</v>
      </c>
      <c r="N172" s="262">
        <v>7.5</v>
      </c>
      <c r="O172" s="22"/>
      <c r="R172" s="59">
        <v>11</v>
      </c>
      <c r="S172" s="52" t="s">
        <v>343</v>
      </c>
      <c r="T172" s="52" t="s">
        <v>132</v>
      </c>
      <c r="U172" s="69">
        <v>9.2100000000000009</v>
      </c>
      <c r="V172" s="212">
        <v>9.2799999999999994</v>
      </c>
      <c r="W172"/>
      <c r="X172"/>
      <c r="Y172"/>
      <c r="Z172"/>
    </row>
    <row r="173" spans="1:34" ht="16.05" customHeight="1" thickBot="1">
      <c r="A173" s="13" t="s">
        <v>997</v>
      </c>
      <c r="B173" s="261">
        <v>9</v>
      </c>
      <c r="C173" s="41"/>
      <c r="D173" s="123" t="s">
        <v>983</v>
      </c>
      <c r="E173" s="261">
        <v>8</v>
      </c>
      <c r="F173" s="4"/>
      <c r="G173" s="6" t="s">
        <v>967</v>
      </c>
      <c r="H173" s="262">
        <v>9</v>
      </c>
      <c r="I173" s="22"/>
      <c r="J173" s="9" t="s">
        <v>980</v>
      </c>
      <c r="K173" s="263">
        <v>9.5</v>
      </c>
      <c r="L173" s="4"/>
      <c r="M173" s="6" t="s">
        <v>937</v>
      </c>
      <c r="N173" s="262">
        <v>8.5</v>
      </c>
      <c r="O173" s="22"/>
      <c r="R173" s="59">
        <v>12</v>
      </c>
      <c r="S173" s="68" t="s">
        <v>455</v>
      </c>
      <c r="T173" s="68" t="s">
        <v>36</v>
      </c>
      <c r="U173" s="70">
        <v>9.15</v>
      </c>
      <c r="V173" s="130">
        <v>9.23</v>
      </c>
      <c r="W173"/>
      <c r="X173"/>
      <c r="Y173"/>
      <c r="Z173"/>
    </row>
    <row r="174" spans="1:34" ht="16.05" customHeight="1" thickBot="1">
      <c r="A174" s="6" t="s">
        <v>998</v>
      </c>
      <c r="B174" s="262">
        <v>10</v>
      </c>
      <c r="C174" s="4"/>
      <c r="D174" s="6" t="s">
        <v>984</v>
      </c>
      <c r="E174" s="262">
        <v>9</v>
      </c>
      <c r="F174" s="4"/>
      <c r="G174" s="6" t="s">
        <v>968</v>
      </c>
      <c r="H174" s="262">
        <v>8.5</v>
      </c>
      <c r="I174" s="4"/>
      <c r="J174" s="19"/>
      <c r="K174" s="19"/>
      <c r="L174" s="4"/>
      <c r="M174" s="6" t="s">
        <v>938</v>
      </c>
      <c r="N174" s="262">
        <v>8.5</v>
      </c>
      <c r="O174" s="22"/>
      <c r="R174" s="59">
        <v>13</v>
      </c>
      <c r="S174" s="52" t="s">
        <v>491</v>
      </c>
      <c r="T174" s="52" t="s">
        <v>509</v>
      </c>
      <c r="U174" s="69">
        <v>9.17</v>
      </c>
      <c r="V174" s="130">
        <v>9.23</v>
      </c>
      <c r="W174"/>
    </row>
    <row r="175" spans="1:34" ht="16.05" customHeight="1" thickBot="1">
      <c r="A175" s="6" t="s">
        <v>999</v>
      </c>
      <c r="B175" s="262">
        <v>9</v>
      </c>
      <c r="C175" s="4"/>
      <c r="D175" s="6" t="s">
        <v>985</v>
      </c>
      <c r="E175" s="262">
        <v>7.5</v>
      </c>
      <c r="F175" s="4"/>
      <c r="G175" s="9" t="s">
        <v>969</v>
      </c>
      <c r="H175" s="263">
        <v>7.5</v>
      </c>
      <c r="I175" s="22"/>
      <c r="J175" s="133" t="s">
        <v>1018</v>
      </c>
      <c r="K175" s="14">
        <f>ROUND(SUM(K176:K180)/COUNT(K176:K180), 2)</f>
        <v>9.3000000000000007</v>
      </c>
      <c r="L175" s="4"/>
      <c r="M175" s="6" t="s">
        <v>939</v>
      </c>
      <c r="N175" s="262">
        <v>9</v>
      </c>
      <c r="O175" s="22"/>
      <c r="R175" s="59">
        <v>14</v>
      </c>
      <c r="S175" s="68" t="s">
        <v>922</v>
      </c>
      <c r="T175" s="68" t="s">
        <v>913</v>
      </c>
      <c r="U175" s="70">
        <v>9.06</v>
      </c>
      <c r="V175" s="140">
        <v>9.1</v>
      </c>
      <c r="W175"/>
    </row>
    <row r="176" spans="1:34" ht="16.05" customHeight="1" thickBot="1">
      <c r="A176" s="6" t="s">
        <v>1000</v>
      </c>
      <c r="B176" s="262">
        <v>9.5</v>
      </c>
      <c r="C176" s="4"/>
      <c r="D176" s="6" t="s">
        <v>986</v>
      </c>
      <c r="E176" s="262">
        <v>8.5</v>
      </c>
      <c r="F176" s="4"/>
      <c r="G176" s="21"/>
      <c r="H176" s="21"/>
      <c r="I176" s="4"/>
      <c r="J176" s="13" t="s">
        <v>1019</v>
      </c>
      <c r="K176" s="261">
        <v>9</v>
      </c>
      <c r="L176" s="4"/>
      <c r="M176" s="6" t="s">
        <v>940</v>
      </c>
      <c r="N176" s="262">
        <v>7.5</v>
      </c>
      <c r="O176" s="22"/>
      <c r="R176" s="59">
        <v>15</v>
      </c>
      <c r="S176" s="52" t="s">
        <v>346</v>
      </c>
      <c r="T176" s="52" t="s">
        <v>159</v>
      </c>
      <c r="U176" s="69">
        <v>9</v>
      </c>
      <c r="V176" s="140">
        <v>9.09</v>
      </c>
      <c r="W176"/>
      <c r="X176"/>
      <c r="Y176"/>
      <c r="Z176"/>
    </row>
    <row r="177" spans="1:26" ht="16.05" customHeight="1" thickBot="1">
      <c r="A177" s="6" t="s">
        <v>1001</v>
      </c>
      <c r="B177" s="262">
        <v>10.5</v>
      </c>
      <c r="C177" s="4"/>
      <c r="D177" s="6" t="s">
        <v>987</v>
      </c>
      <c r="E177" s="262">
        <v>7.5</v>
      </c>
      <c r="F177" s="22"/>
      <c r="G177" s="266" t="s">
        <v>1274</v>
      </c>
      <c r="H177" s="14">
        <f>ROUND(SUM(H178:H189)/COUNT(H178:H189), 2)</f>
        <v>8.5500000000000007</v>
      </c>
      <c r="I177" s="4"/>
      <c r="J177" s="6" t="s">
        <v>1020</v>
      </c>
      <c r="K177" s="262">
        <v>10</v>
      </c>
      <c r="L177" s="4"/>
      <c r="M177" s="6" t="s">
        <v>941</v>
      </c>
      <c r="N177" s="262">
        <v>7</v>
      </c>
      <c r="O177" s="22"/>
      <c r="R177" s="59">
        <v>16</v>
      </c>
      <c r="S177" s="68" t="s">
        <v>347</v>
      </c>
      <c r="T177" s="68" t="s">
        <v>265</v>
      </c>
      <c r="U177" s="70">
        <v>9</v>
      </c>
      <c r="V177" s="140">
        <v>9.09</v>
      </c>
      <c r="W177"/>
      <c r="X177"/>
      <c r="Y177"/>
      <c r="Z177"/>
    </row>
    <row r="178" spans="1:26" ht="16.05" customHeight="1">
      <c r="A178" s="6" t="s">
        <v>1002</v>
      </c>
      <c r="B178" s="262">
        <v>8</v>
      </c>
      <c r="C178" s="4"/>
      <c r="D178" s="6" t="s">
        <v>988</v>
      </c>
      <c r="E178" s="262">
        <v>7.5</v>
      </c>
      <c r="F178" s="4"/>
      <c r="G178" s="13" t="s">
        <v>1024</v>
      </c>
      <c r="H178" s="261"/>
      <c r="I178" s="4"/>
      <c r="J178" s="6" t="s">
        <v>1021</v>
      </c>
      <c r="K178" s="262">
        <v>9</v>
      </c>
      <c r="L178" s="4"/>
      <c r="M178" s="6" t="s">
        <v>942</v>
      </c>
      <c r="N178" s="262">
        <v>7.5</v>
      </c>
      <c r="O178" s="22"/>
      <c r="R178" s="59">
        <v>17</v>
      </c>
      <c r="S178" s="52" t="s">
        <v>354</v>
      </c>
      <c r="T178" s="52" t="s">
        <v>1645</v>
      </c>
      <c r="U178" s="69">
        <v>8.94</v>
      </c>
      <c r="V178" s="217">
        <v>8.9499999999999993</v>
      </c>
      <c r="W178"/>
      <c r="X178"/>
      <c r="Y178"/>
      <c r="Z178"/>
    </row>
    <row r="179" spans="1:26" ht="16.05" customHeight="1">
      <c r="A179" s="6" t="s">
        <v>1003</v>
      </c>
      <c r="B179" s="262">
        <v>7.5</v>
      </c>
      <c r="C179" s="4"/>
      <c r="D179" s="6" t="s">
        <v>989</v>
      </c>
      <c r="E179" s="262">
        <v>6.5</v>
      </c>
      <c r="F179" s="4"/>
      <c r="G179" s="6" t="s">
        <v>1025</v>
      </c>
      <c r="H179" s="262">
        <v>8.5</v>
      </c>
      <c r="I179" s="4"/>
      <c r="J179" s="6" t="s">
        <v>1022</v>
      </c>
      <c r="K179" s="262">
        <v>8</v>
      </c>
      <c r="L179" s="4"/>
      <c r="M179" s="6" t="s">
        <v>943</v>
      </c>
      <c r="N179" s="262">
        <v>7.5</v>
      </c>
      <c r="O179" s="22"/>
      <c r="R179" s="59">
        <v>18</v>
      </c>
      <c r="S179" s="68" t="s">
        <v>355</v>
      </c>
      <c r="T179" s="68" t="s">
        <v>1888</v>
      </c>
      <c r="U179" s="70">
        <v>8.9600000000000009</v>
      </c>
      <c r="V179" s="279">
        <v>8.93</v>
      </c>
      <c r="W179"/>
      <c r="X179"/>
      <c r="Y179"/>
      <c r="Z179"/>
    </row>
    <row r="180" spans="1:26" ht="16.05" customHeight="1" thickBot="1">
      <c r="A180" s="6" t="s">
        <v>1004</v>
      </c>
      <c r="B180" s="262">
        <v>9</v>
      </c>
      <c r="C180" s="4"/>
      <c r="D180" s="6" t="s">
        <v>990</v>
      </c>
      <c r="E180" s="262">
        <v>7.5</v>
      </c>
      <c r="F180" s="4"/>
      <c r="G180" s="6" t="s">
        <v>1026</v>
      </c>
      <c r="H180" s="262">
        <v>9</v>
      </c>
      <c r="I180" s="4"/>
      <c r="J180" s="9" t="s">
        <v>1023</v>
      </c>
      <c r="K180" s="263">
        <v>10.5</v>
      </c>
      <c r="L180" s="4"/>
      <c r="M180" s="9" t="s">
        <v>944</v>
      </c>
      <c r="N180" s="263">
        <v>10.5</v>
      </c>
      <c r="O180" s="22"/>
      <c r="R180" s="59">
        <v>19</v>
      </c>
      <c r="S180" s="52" t="s">
        <v>1356</v>
      </c>
      <c r="T180" s="52" t="s">
        <v>1347</v>
      </c>
      <c r="U180" s="69">
        <v>8.9499999999999993</v>
      </c>
      <c r="V180" s="287">
        <v>8.91</v>
      </c>
      <c r="W180"/>
      <c r="X180"/>
      <c r="Y180"/>
      <c r="Z180"/>
    </row>
    <row r="181" spans="1:26" ht="16.05" customHeight="1" thickBot="1">
      <c r="A181" s="6" t="s">
        <v>1005</v>
      </c>
      <c r="B181" s="262">
        <v>8</v>
      </c>
      <c r="C181" s="4"/>
      <c r="D181" s="6" t="s">
        <v>991</v>
      </c>
      <c r="E181" s="262">
        <v>7</v>
      </c>
      <c r="F181" s="4"/>
      <c r="G181" s="6" t="s">
        <v>1027</v>
      </c>
      <c r="H181" s="262">
        <v>8</v>
      </c>
      <c r="I181" s="4"/>
      <c r="J181" s="21"/>
      <c r="K181" s="21"/>
      <c r="L181" s="4"/>
      <c r="M181" s="21"/>
      <c r="N181" s="21"/>
      <c r="O181" s="22"/>
      <c r="R181" s="59">
        <v>20</v>
      </c>
      <c r="S181" s="68" t="s">
        <v>730</v>
      </c>
      <c r="T181" s="68" t="s">
        <v>1451</v>
      </c>
      <c r="U181" s="70">
        <v>8.8800000000000008</v>
      </c>
      <c r="V181" s="53">
        <v>8.89</v>
      </c>
      <c r="W181"/>
      <c r="X181"/>
      <c r="Y181"/>
      <c r="Z181"/>
    </row>
    <row r="182" spans="1:26" ht="16.05" customHeight="1" thickBot="1">
      <c r="A182" s="6" t="s">
        <v>1006</v>
      </c>
      <c r="B182" s="262">
        <v>8</v>
      </c>
      <c r="C182" s="4"/>
      <c r="D182" s="6" t="s">
        <v>992</v>
      </c>
      <c r="E182" s="262">
        <v>6.5</v>
      </c>
      <c r="F182" s="4"/>
      <c r="G182" s="6" t="s">
        <v>1028</v>
      </c>
      <c r="H182" s="262">
        <v>8.5</v>
      </c>
      <c r="I182" s="22"/>
      <c r="J182" s="134" t="s">
        <v>1043</v>
      </c>
      <c r="K182" s="14">
        <f>ROUND(SUM(K183:K187)/COUNT(K183:K187), 2)</f>
        <v>10</v>
      </c>
      <c r="L182" s="4"/>
      <c r="M182" s="125" t="s">
        <v>1009</v>
      </c>
      <c r="N182" s="14">
        <f>ROUND(SUM(N183)/COUNT(N183), 2)</f>
        <v>10.5</v>
      </c>
      <c r="O182" s="22"/>
      <c r="V182"/>
      <c r="W182"/>
      <c r="X182"/>
      <c r="Y182"/>
      <c r="Z182"/>
    </row>
    <row r="183" spans="1:26" ht="16.05" customHeight="1" thickBot="1">
      <c r="A183" s="9" t="s">
        <v>1007</v>
      </c>
      <c r="B183" s="263">
        <v>7.5</v>
      </c>
      <c r="C183" s="4"/>
      <c r="D183" s="6" t="s">
        <v>993</v>
      </c>
      <c r="E183" s="262">
        <v>6.5</v>
      </c>
      <c r="F183" s="4"/>
      <c r="G183" s="6" t="s">
        <v>1029</v>
      </c>
      <c r="H183" s="262">
        <v>8</v>
      </c>
      <c r="I183" s="22"/>
      <c r="J183" s="13" t="s">
        <v>1038</v>
      </c>
      <c r="K183" s="261">
        <v>10.5</v>
      </c>
      <c r="L183" s="4"/>
      <c r="M183" s="267" t="s">
        <v>1008</v>
      </c>
      <c r="N183" s="268">
        <v>10.5</v>
      </c>
      <c r="O183" s="22"/>
      <c r="V183"/>
      <c r="W183"/>
      <c r="X183"/>
      <c r="Y183"/>
      <c r="Z183"/>
    </row>
    <row r="184" spans="1:26" ht="16.05" customHeight="1" thickBot="1">
      <c r="A184" s="21"/>
      <c r="B184" s="21"/>
      <c r="C184" s="4"/>
      <c r="D184" s="9" t="s">
        <v>994</v>
      </c>
      <c r="E184" s="263">
        <v>8</v>
      </c>
      <c r="F184" s="4"/>
      <c r="G184" s="6" t="s">
        <v>1030</v>
      </c>
      <c r="H184" s="262">
        <v>7.5</v>
      </c>
      <c r="I184" s="22"/>
      <c r="J184" s="6" t="s">
        <v>1039</v>
      </c>
      <c r="K184" s="262">
        <v>9</v>
      </c>
      <c r="L184" s="4"/>
      <c r="M184" s="21"/>
      <c r="N184" s="21"/>
      <c r="O184" s="22"/>
      <c r="V184"/>
      <c r="W184"/>
      <c r="X184"/>
      <c r="Y184"/>
      <c r="Z184"/>
    </row>
    <row r="185" spans="1:26" ht="16.05" customHeight="1" thickBot="1">
      <c r="A185" s="139" t="s">
        <v>1142</v>
      </c>
      <c r="B185" s="14">
        <f>ROUND(SUM(B186:B194)/COUNT(B186:B194), 2)</f>
        <v>9</v>
      </c>
      <c r="C185" s="4"/>
      <c r="D185" s="19"/>
      <c r="E185" s="21"/>
      <c r="F185" s="4"/>
      <c r="G185" s="6" t="s">
        <v>1031</v>
      </c>
      <c r="H185" s="262">
        <v>8</v>
      </c>
      <c r="I185" s="22"/>
      <c r="J185" s="6" t="s">
        <v>1040</v>
      </c>
      <c r="K185" s="262">
        <v>10</v>
      </c>
      <c r="L185" s="22"/>
      <c r="M185" s="172" t="s">
        <v>1550</v>
      </c>
      <c r="N185" s="14">
        <f>ROUND(SUM(N186:N209)/COUNT(N186:N209), 2)</f>
        <v>8.7200000000000006</v>
      </c>
      <c r="O185" s="22"/>
      <c r="V185"/>
      <c r="W185"/>
      <c r="X185"/>
      <c r="Y185"/>
      <c r="Z185"/>
    </row>
    <row r="186" spans="1:26" ht="16.05" customHeight="1" thickBot="1">
      <c r="A186" s="13" t="s">
        <v>1143</v>
      </c>
      <c r="B186" s="261">
        <v>9.5</v>
      </c>
      <c r="C186" s="41"/>
      <c r="D186" s="141" t="s">
        <v>1155</v>
      </c>
      <c r="E186" s="14">
        <f>ROUND(SUM(E187:E199)/COUNT(E187:E199), 2)</f>
        <v>8.4600000000000009</v>
      </c>
      <c r="F186" s="4"/>
      <c r="G186" s="6" t="s">
        <v>1032</v>
      </c>
      <c r="H186" s="262">
        <v>9.5</v>
      </c>
      <c r="I186" s="22"/>
      <c r="J186" s="6" t="s">
        <v>1041</v>
      </c>
      <c r="K186" s="262">
        <v>10.5</v>
      </c>
      <c r="L186" s="4"/>
      <c r="M186" s="13" t="s">
        <v>1172</v>
      </c>
      <c r="N186" s="261">
        <v>8</v>
      </c>
      <c r="O186" s="22"/>
      <c r="V186"/>
      <c r="W186"/>
      <c r="X186"/>
      <c r="Y186"/>
      <c r="Z186"/>
    </row>
    <row r="187" spans="1:26" ht="16.05" customHeight="1" thickBot="1">
      <c r="A187" s="6" t="s">
        <v>1144</v>
      </c>
      <c r="B187" s="262">
        <v>9</v>
      </c>
      <c r="C187" s="4"/>
      <c r="D187" s="13" t="s">
        <v>1156</v>
      </c>
      <c r="E187" s="261">
        <v>9</v>
      </c>
      <c r="F187" s="4"/>
      <c r="G187" s="6" t="s">
        <v>1033</v>
      </c>
      <c r="H187" s="262">
        <v>10</v>
      </c>
      <c r="I187" s="22"/>
      <c r="J187" s="9" t="s">
        <v>1042</v>
      </c>
      <c r="K187" s="263">
        <v>10</v>
      </c>
      <c r="L187" s="4"/>
      <c r="M187" s="6" t="s">
        <v>1173</v>
      </c>
      <c r="N187" s="262">
        <v>8.5</v>
      </c>
      <c r="O187" s="22"/>
      <c r="V187"/>
      <c r="W187"/>
      <c r="X187"/>
      <c r="Y187"/>
      <c r="Z187"/>
    </row>
    <row r="188" spans="1:26" ht="16.05" customHeight="1" thickBot="1">
      <c r="A188" s="6" t="s">
        <v>1145</v>
      </c>
      <c r="B188" s="262">
        <v>10</v>
      </c>
      <c r="C188" s="4"/>
      <c r="D188" s="6" t="s">
        <v>1157</v>
      </c>
      <c r="E188" s="262">
        <v>8</v>
      </c>
      <c r="F188" s="4"/>
      <c r="G188" s="6" t="s">
        <v>1034</v>
      </c>
      <c r="H188" s="262">
        <v>8.5</v>
      </c>
      <c r="I188" s="4"/>
      <c r="J188" s="21"/>
      <c r="K188" s="21"/>
      <c r="L188" s="4"/>
      <c r="M188" s="6" t="s">
        <v>1174</v>
      </c>
      <c r="N188" s="262">
        <v>10</v>
      </c>
      <c r="O188" s="22"/>
      <c r="V188"/>
      <c r="W188"/>
      <c r="X188"/>
      <c r="Y188"/>
      <c r="Z188"/>
    </row>
    <row r="189" spans="1:26" ht="16.05" customHeight="1" thickBot="1">
      <c r="A189" s="6" t="s">
        <v>1146</v>
      </c>
      <c r="B189" s="262">
        <v>10.5</v>
      </c>
      <c r="C189" s="4"/>
      <c r="D189" s="6" t="s">
        <v>1158</v>
      </c>
      <c r="E189" s="262">
        <v>10</v>
      </c>
      <c r="F189" s="4"/>
      <c r="G189" s="9" t="s">
        <v>1035</v>
      </c>
      <c r="H189" s="263">
        <v>8.5</v>
      </c>
      <c r="I189" s="22"/>
      <c r="J189" s="146" t="s">
        <v>1204</v>
      </c>
      <c r="K189" s="14">
        <f>ROUND(SUM(K190:K197)/COUNT(K190:K197), 2)</f>
        <v>7.71</v>
      </c>
      <c r="L189" s="4"/>
      <c r="M189" s="6" t="s">
        <v>1175</v>
      </c>
      <c r="N189" s="262"/>
      <c r="O189" s="22"/>
      <c r="V189"/>
      <c r="W189"/>
      <c r="X189"/>
      <c r="Y189"/>
      <c r="Z189"/>
    </row>
    <row r="190" spans="1:26" ht="16.05" customHeight="1" thickBot="1">
      <c r="A190" s="6" t="s">
        <v>1147</v>
      </c>
      <c r="B190" s="262">
        <v>8</v>
      </c>
      <c r="C190" s="4"/>
      <c r="D190" s="6" t="s">
        <v>1159</v>
      </c>
      <c r="E190" s="262">
        <v>7.5</v>
      </c>
      <c r="F190" s="4"/>
      <c r="G190" s="21"/>
      <c r="H190" s="21"/>
      <c r="I190" s="4"/>
      <c r="J190" s="13" t="s">
        <v>1205</v>
      </c>
      <c r="K190" s="261"/>
      <c r="L190" s="4"/>
      <c r="M190" s="6" t="s">
        <v>1176</v>
      </c>
      <c r="N190" s="262">
        <v>10.5</v>
      </c>
      <c r="O190" s="22"/>
      <c r="V190"/>
      <c r="W190"/>
      <c r="X190"/>
      <c r="Y190"/>
      <c r="Z190"/>
    </row>
    <row r="191" spans="1:26" ht="16.05" customHeight="1" thickBot="1">
      <c r="A191" s="6" t="s">
        <v>1148</v>
      </c>
      <c r="B191" s="262">
        <v>8.5</v>
      </c>
      <c r="C191" s="4"/>
      <c r="D191" s="6" t="s">
        <v>1160</v>
      </c>
      <c r="E191" s="262">
        <v>7</v>
      </c>
      <c r="F191" s="22"/>
      <c r="G191" s="149" t="s">
        <v>1217</v>
      </c>
      <c r="H191" s="14">
        <f>ROUND(SUM(H192:H200)/COUNT(H192:H200), 2)</f>
        <v>8.83</v>
      </c>
      <c r="I191" s="4"/>
      <c r="J191" s="6" t="s">
        <v>1206</v>
      </c>
      <c r="K191" s="262">
        <v>7</v>
      </c>
      <c r="L191" s="4"/>
      <c r="M191" s="6" t="s">
        <v>1177</v>
      </c>
      <c r="N191" s="262">
        <v>10</v>
      </c>
      <c r="O191" s="22"/>
      <c r="V191"/>
      <c r="W191"/>
      <c r="X191"/>
      <c r="Y191"/>
      <c r="Z191"/>
    </row>
    <row r="192" spans="1:26" ht="16.05" customHeight="1">
      <c r="A192" s="6" t="s">
        <v>1149</v>
      </c>
      <c r="B192" s="262">
        <v>8</v>
      </c>
      <c r="C192" s="4"/>
      <c r="D192" s="6" t="s">
        <v>1161</v>
      </c>
      <c r="E192" s="262">
        <v>9.5</v>
      </c>
      <c r="F192" s="4"/>
      <c r="G192" s="13" t="s">
        <v>1218</v>
      </c>
      <c r="H192" s="261">
        <v>9</v>
      </c>
      <c r="I192" s="4"/>
      <c r="J192" s="6" t="s">
        <v>1207</v>
      </c>
      <c r="K192" s="262">
        <v>7.5</v>
      </c>
      <c r="L192" s="4"/>
      <c r="M192" s="6" t="s">
        <v>1178</v>
      </c>
      <c r="N192" s="262">
        <v>9</v>
      </c>
      <c r="O192" s="22"/>
      <c r="V192"/>
      <c r="W192"/>
      <c r="X192"/>
      <c r="Y192"/>
      <c r="Z192"/>
    </row>
    <row r="193" spans="1:26" ht="16.05" customHeight="1">
      <c r="A193" s="6" t="s">
        <v>1150</v>
      </c>
      <c r="B193" s="262">
        <v>9.5</v>
      </c>
      <c r="C193" s="4"/>
      <c r="D193" s="6" t="s">
        <v>1162</v>
      </c>
      <c r="E193" s="262">
        <v>8</v>
      </c>
      <c r="F193" s="4"/>
      <c r="G193" s="6" t="s">
        <v>1219</v>
      </c>
      <c r="H193" s="262">
        <v>8.5</v>
      </c>
      <c r="I193" s="4"/>
      <c r="J193" s="6" t="s">
        <v>1208</v>
      </c>
      <c r="K193" s="262">
        <v>8</v>
      </c>
      <c r="L193" s="4"/>
      <c r="M193" s="6" t="s">
        <v>1179</v>
      </c>
      <c r="N193" s="262">
        <v>9</v>
      </c>
      <c r="O193" s="22"/>
      <c r="V193"/>
      <c r="W193"/>
      <c r="X193"/>
      <c r="Y193"/>
      <c r="Z193"/>
    </row>
    <row r="194" spans="1:26" ht="16.05" customHeight="1" thickBot="1">
      <c r="A194" s="9" t="s">
        <v>1151</v>
      </c>
      <c r="B194" s="263">
        <v>8</v>
      </c>
      <c r="C194" s="4"/>
      <c r="D194" s="6" t="s">
        <v>1163</v>
      </c>
      <c r="E194" s="262">
        <v>7.5</v>
      </c>
      <c r="F194" s="4"/>
      <c r="G194" s="6" t="s">
        <v>1220</v>
      </c>
      <c r="H194" s="262">
        <v>8.5</v>
      </c>
      <c r="I194" s="4"/>
      <c r="J194" s="6" t="s">
        <v>1209</v>
      </c>
      <c r="K194" s="262">
        <v>7.5</v>
      </c>
      <c r="L194" s="4"/>
      <c r="M194" s="6" t="s">
        <v>1180</v>
      </c>
      <c r="N194" s="262">
        <v>8.5</v>
      </c>
      <c r="O194" s="22"/>
      <c r="V194"/>
      <c r="W194"/>
      <c r="X194"/>
      <c r="Y194"/>
      <c r="Z194"/>
    </row>
    <row r="195" spans="1:26" ht="16.05" customHeight="1" thickBot="1">
      <c r="A195" s="21"/>
      <c r="B195" s="21"/>
      <c r="C195" s="4"/>
      <c r="D195" s="6" t="s">
        <v>1164</v>
      </c>
      <c r="E195" s="262">
        <v>10</v>
      </c>
      <c r="F195" s="4"/>
      <c r="G195" s="6" t="s">
        <v>1221</v>
      </c>
      <c r="H195" s="262">
        <v>10</v>
      </c>
      <c r="I195" s="4"/>
      <c r="J195" s="6" t="s">
        <v>1210</v>
      </c>
      <c r="K195" s="262">
        <v>8.5</v>
      </c>
      <c r="L195" s="4"/>
      <c r="M195" s="6" t="s">
        <v>1181</v>
      </c>
      <c r="N195" s="262">
        <v>8</v>
      </c>
      <c r="O195" s="22"/>
      <c r="V195"/>
      <c r="W195"/>
      <c r="X195"/>
      <c r="Y195"/>
      <c r="Z195"/>
    </row>
    <row r="196" spans="1:26" ht="16.05" customHeight="1" thickBot="1">
      <c r="A196" s="153" t="s">
        <v>1242</v>
      </c>
      <c r="B196" s="14">
        <f>ROUND(SUM(B197:B211)/COUNT(B197:B211), 2)</f>
        <v>8.5299999999999994</v>
      </c>
      <c r="C196" s="4"/>
      <c r="D196" s="6" t="s">
        <v>1165</v>
      </c>
      <c r="E196" s="262">
        <v>8</v>
      </c>
      <c r="F196" s="4"/>
      <c r="G196" s="6" t="s">
        <v>1222</v>
      </c>
      <c r="H196" s="262">
        <v>8</v>
      </c>
      <c r="I196" s="4"/>
      <c r="J196" s="6" t="s">
        <v>1211</v>
      </c>
      <c r="K196" s="262">
        <v>8</v>
      </c>
      <c r="L196" s="4"/>
      <c r="M196" s="6" t="s">
        <v>1182</v>
      </c>
      <c r="N196" s="262">
        <v>10.5</v>
      </c>
      <c r="O196" s="22"/>
      <c r="V196"/>
      <c r="W196"/>
      <c r="X196"/>
      <c r="Y196"/>
      <c r="Z196"/>
    </row>
    <row r="197" spans="1:26" ht="16.05" customHeight="1" thickBot="1">
      <c r="A197" s="269">
        <v>360</v>
      </c>
      <c r="B197" s="261">
        <v>10</v>
      </c>
      <c r="C197" s="4"/>
      <c r="D197" s="6" t="s">
        <v>1166</v>
      </c>
      <c r="E197" s="262">
        <v>7</v>
      </c>
      <c r="F197" s="4"/>
      <c r="G197" s="6" t="s">
        <v>1223</v>
      </c>
      <c r="H197" s="262">
        <v>10.5</v>
      </c>
      <c r="I197" s="4"/>
      <c r="J197" s="9" t="s">
        <v>1212</v>
      </c>
      <c r="K197" s="263">
        <v>7.5</v>
      </c>
      <c r="L197" s="4"/>
      <c r="M197" s="6" t="s">
        <v>1183</v>
      </c>
      <c r="N197" s="262">
        <v>8.5</v>
      </c>
      <c r="O197" s="22"/>
      <c r="V197"/>
      <c r="W197"/>
      <c r="X197"/>
      <c r="Y197"/>
      <c r="Z197"/>
    </row>
    <row r="198" spans="1:26" ht="16.05" customHeight="1" thickBot="1">
      <c r="A198" s="6" t="s">
        <v>1229</v>
      </c>
      <c r="B198" s="262">
        <v>8.5</v>
      </c>
      <c r="C198" s="4"/>
      <c r="D198" s="6" t="s">
        <v>1167</v>
      </c>
      <c r="E198" s="262"/>
      <c r="F198" s="4"/>
      <c r="G198" s="6" t="s">
        <v>1224</v>
      </c>
      <c r="H198" s="262">
        <v>8</v>
      </c>
      <c r="I198" s="4"/>
      <c r="J198" s="21"/>
      <c r="K198" s="21"/>
      <c r="L198" s="4"/>
      <c r="M198" s="6" t="s">
        <v>1184</v>
      </c>
      <c r="N198" s="262">
        <v>9</v>
      </c>
      <c r="O198" s="22"/>
      <c r="V198"/>
      <c r="W198"/>
      <c r="X198"/>
      <c r="Y198"/>
      <c r="Z198"/>
    </row>
    <row r="199" spans="1:26" ht="16.05" customHeight="1" thickBot="1">
      <c r="A199" s="6" t="s">
        <v>1230</v>
      </c>
      <c r="B199" s="262">
        <v>8.5</v>
      </c>
      <c r="C199" s="4"/>
      <c r="D199" s="9" t="s">
        <v>1168</v>
      </c>
      <c r="E199" s="263">
        <v>10</v>
      </c>
      <c r="F199" s="4"/>
      <c r="G199" s="6" t="s">
        <v>1225</v>
      </c>
      <c r="H199" s="262">
        <v>8.5</v>
      </c>
      <c r="I199" s="22"/>
      <c r="J199" s="150" t="s">
        <v>1249</v>
      </c>
      <c r="K199" s="14">
        <f>ROUND(SUM(K200:K206)/COUNT(K200:K206), 2)</f>
        <v>8.75</v>
      </c>
      <c r="L199" s="4"/>
      <c r="M199" s="6" t="s">
        <v>1185</v>
      </c>
      <c r="N199" s="262">
        <v>8</v>
      </c>
      <c r="O199" s="22"/>
      <c r="V199"/>
      <c r="W199"/>
      <c r="X199"/>
      <c r="Y199"/>
      <c r="Z199"/>
    </row>
    <row r="200" spans="1:26" ht="16.05" customHeight="1" thickBot="1">
      <c r="A200" s="6" t="s">
        <v>1231</v>
      </c>
      <c r="B200" s="262">
        <v>7.5</v>
      </c>
      <c r="C200" s="4"/>
      <c r="D200" s="19"/>
      <c r="E200" s="21"/>
      <c r="F200" s="4"/>
      <c r="G200" s="9" t="s">
        <v>1226</v>
      </c>
      <c r="H200" s="263">
        <v>8.5</v>
      </c>
      <c r="I200" s="4"/>
      <c r="J200" s="13" t="s">
        <v>1250</v>
      </c>
      <c r="K200" s="261">
        <v>10</v>
      </c>
      <c r="L200" s="4"/>
      <c r="M200" s="6" t="s">
        <v>1186</v>
      </c>
      <c r="N200" s="262">
        <v>9</v>
      </c>
      <c r="O200" s="22"/>
      <c r="V200"/>
      <c r="W200"/>
      <c r="X200"/>
      <c r="Y200"/>
      <c r="Z200"/>
    </row>
    <row r="201" spans="1:26" ht="16.05" customHeight="1" thickBot="1">
      <c r="A201" s="6" t="s">
        <v>1232</v>
      </c>
      <c r="B201" s="262">
        <v>8</v>
      </c>
      <c r="C201" s="22"/>
      <c r="D201" s="152" t="s">
        <v>1273</v>
      </c>
      <c r="E201" s="14">
        <f>ROUND(SUM(E202:E211)/COUNT(E202:E211), 2)</f>
        <v>9.36</v>
      </c>
      <c r="F201" s="4"/>
      <c r="G201" s="21"/>
      <c r="H201" s="21"/>
      <c r="I201" s="4"/>
      <c r="J201" s="6" t="s">
        <v>1251</v>
      </c>
      <c r="K201" s="262">
        <v>8</v>
      </c>
      <c r="L201" s="4"/>
      <c r="M201" s="6" t="s">
        <v>1187</v>
      </c>
      <c r="N201" s="262">
        <v>6</v>
      </c>
      <c r="O201" s="22"/>
      <c r="V201"/>
      <c r="W201"/>
      <c r="X201"/>
      <c r="Y201"/>
      <c r="Z201"/>
    </row>
    <row r="202" spans="1:26" ht="16.05" customHeight="1" thickBot="1">
      <c r="A202" s="6" t="s">
        <v>1233</v>
      </c>
      <c r="B202" s="262">
        <v>10</v>
      </c>
      <c r="C202" s="22"/>
      <c r="D202" s="13" t="s">
        <v>1263</v>
      </c>
      <c r="E202" s="261">
        <v>9</v>
      </c>
      <c r="F202" s="22"/>
      <c r="G202" s="154" t="s">
        <v>1278</v>
      </c>
      <c r="H202" s="14">
        <f>ROUND(SUM(H203:H213)/COUNT(H203:H213), 2)</f>
        <v>8.4499999999999993</v>
      </c>
      <c r="I202" s="4"/>
      <c r="J202" s="6" t="s">
        <v>1252</v>
      </c>
      <c r="K202" s="262">
        <v>9.5</v>
      </c>
      <c r="L202" s="4"/>
      <c r="M202" s="6" t="s">
        <v>1188</v>
      </c>
      <c r="N202" s="262">
        <v>7</v>
      </c>
      <c r="O202" s="22"/>
      <c r="V202"/>
      <c r="W202"/>
      <c r="X202"/>
      <c r="Y202"/>
      <c r="Z202"/>
    </row>
    <row r="203" spans="1:26" ht="16.05" customHeight="1">
      <c r="A203" s="6" t="s">
        <v>1234</v>
      </c>
      <c r="B203" s="262">
        <v>8</v>
      </c>
      <c r="C203" s="22"/>
      <c r="D203" s="6" t="s">
        <v>1264</v>
      </c>
      <c r="E203" s="262">
        <v>10.5</v>
      </c>
      <c r="F203" s="4"/>
      <c r="G203" s="13" t="s">
        <v>1279</v>
      </c>
      <c r="H203" s="261">
        <v>8.5</v>
      </c>
      <c r="I203" s="4"/>
      <c r="J203" s="6" t="s">
        <v>1253</v>
      </c>
      <c r="K203" s="262">
        <v>8</v>
      </c>
      <c r="L203" s="4"/>
      <c r="M203" s="6" t="s">
        <v>1189</v>
      </c>
      <c r="N203" s="262">
        <v>10</v>
      </c>
      <c r="O203" s="22"/>
      <c r="V203"/>
      <c r="W203"/>
      <c r="X203"/>
      <c r="Y203"/>
      <c r="Z203"/>
    </row>
    <row r="204" spans="1:26" ht="16.05" customHeight="1">
      <c r="A204" s="6" t="s">
        <v>1235</v>
      </c>
      <c r="B204" s="262">
        <v>8.5</v>
      </c>
      <c r="C204" s="22"/>
      <c r="D204" s="6" t="s">
        <v>1265</v>
      </c>
      <c r="E204" s="262"/>
      <c r="F204" s="4"/>
      <c r="G204" s="6" t="s">
        <v>1280</v>
      </c>
      <c r="H204" s="262">
        <v>8.5</v>
      </c>
      <c r="I204" s="4"/>
      <c r="J204" s="6" t="s">
        <v>1254</v>
      </c>
      <c r="K204" s="262">
        <v>9</v>
      </c>
      <c r="L204" s="4"/>
      <c r="M204" s="6" t="s">
        <v>1190</v>
      </c>
      <c r="N204" s="262">
        <v>9</v>
      </c>
      <c r="O204" s="22"/>
      <c r="V204"/>
      <c r="W204"/>
      <c r="X204"/>
      <c r="Y204"/>
      <c r="Z204"/>
    </row>
    <row r="205" spans="1:26" ht="16.05" customHeight="1">
      <c r="A205" s="6" t="s">
        <v>1236</v>
      </c>
      <c r="B205" s="262">
        <v>7.5</v>
      </c>
      <c r="C205" s="22"/>
      <c r="D205" s="6" t="s">
        <v>1266</v>
      </c>
      <c r="E205" s="262">
        <v>10</v>
      </c>
      <c r="F205" s="4"/>
      <c r="G205" s="6" t="s">
        <v>1281</v>
      </c>
      <c r="H205" s="262">
        <v>9</v>
      </c>
      <c r="I205" s="4"/>
      <c r="J205" s="6" t="s">
        <v>1255</v>
      </c>
      <c r="K205" s="262"/>
      <c r="L205" s="4"/>
      <c r="M205" s="6" t="s">
        <v>1191</v>
      </c>
      <c r="N205" s="262">
        <v>8.5</v>
      </c>
      <c r="O205" s="22"/>
      <c r="V205"/>
      <c r="W205"/>
      <c r="X205"/>
      <c r="Y205"/>
      <c r="Z205"/>
    </row>
    <row r="206" spans="1:26" ht="16.05" customHeight="1" thickBot="1">
      <c r="A206" s="6" t="s">
        <v>1237</v>
      </c>
      <c r="B206" s="262">
        <v>8.5</v>
      </c>
      <c r="C206" s="22"/>
      <c r="D206" s="6" t="s">
        <v>1267</v>
      </c>
      <c r="E206" s="262"/>
      <c r="F206" s="4"/>
      <c r="G206" s="6" t="s">
        <v>1282</v>
      </c>
      <c r="H206" s="262">
        <v>10</v>
      </c>
      <c r="I206" s="4"/>
      <c r="J206" s="9" t="s">
        <v>1256</v>
      </c>
      <c r="K206" s="263">
        <v>8</v>
      </c>
      <c r="L206" s="4"/>
      <c r="M206" s="6" t="s">
        <v>1192</v>
      </c>
      <c r="N206" s="262">
        <v>8.5</v>
      </c>
      <c r="O206" s="22"/>
      <c r="V206"/>
      <c r="W206"/>
      <c r="X206"/>
      <c r="Y206"/>
      <c r="Z206"/>
    </row>
    <row r="207" spans="1:26" ht="16.05" customHeight="1" thickBot="1">
      <c r="A207" s="6" t="s">
        <v>1238</v>
      </c>
      <c r="B207" s="262">
        <v>10</v>
      </c>
      <c r="C207" s="22"/>
      <c r="D207" s="6" t="s">
        <v>1268</v>
      </c>
      <c r="E207" s="262">
        <v>10</v>
      </c>
      <c r="F207" s="4"/>
      <c r="G207" s="6" t="s">
        <v>1283</v>
      </c>
      <c r="H207" s="262">
        <v>9</v>
      </c>
      <c r="I207" s="4"/>
      <c r="J207" s="21"/>
      <c r="K207" s="21"/>
      <c r="L207" s="4"/>
      <c r="M207" s="6" t="s">
        <v>1193</v>
      </c>
      <c r="N207" s="262">
        <v>8.5</v>
      </c>
      <c r="O207" s="22"/>
      <c r="V207"/>
      <c r="W207"/>
      <c r="X207"/>
      <c r="Y207"/>
      <c r="Z207"/>
    </row>
    <row r="208" spans="1:26" ht="16.05" customHeight="1" thickBot="1">
      <c r="A208" s="6" t="s">
        <v>1239</v>
      </c>
      <c r="B208" s="262">
        <v>9</v>
      </c>
      <c r="C208" s="22"/>
      <c r="D208" s="6" t="s">
        <v>1269</v>
      </c>
      <c r="E208" s="262">
        <v>7.5</v>
      </c>
      <c r="F208" s="4"/>
      <c r="G208" s="6" t="s">
        <v>1284</v>
      </c>
      <c r="H208" s="262">
        <v>8.5</v>
      </c>
      <c r="I208" s="22"/>
      <c r="J208" s="159" t="s">
        <v>1364</v>
      </c>
      <c r="K208" s="14">
        <f>ROUND(SUM(K209:K217)/COUNT(K209:K217), 2)</f>
        <v>8.67</v>
      </c>
      <c r="L208" s="4"/>
      <c r="M208" s="6" t="s">
        <v>1194</v>
      </c>
      <c r="N208" s="262">
        <v>8</v>
      </c>
      <c r="O208" s="22"/>
      <c r="V208"/>
      <c r="W208"/>
      <c r="X208"/>
      <c r="Y208"/>
      <c r="Z208"/>
    </row>
    <row r="209" spans="1:26" ht="16.05" customHeight="1" thickBot="1">
      <c r="A209" s="6" t="s">
        <v>1240</v>
      </c>
      <c r="B209" s="262">
        <v>8.5</v>
      </c>
      <c r="C209" s="22"/>
      <c r="D209" s="6" t="s">
        <v>1270</v>
      </c>
      <c r="E209" s="262">
        <v>8</v>
      </c>
      <c r="F209" s="4"/>
      <c r="G209" s="6" t="s">
        <v>1285</v>
      </c>
      <c r="H209" s="262">
        <v>9</v>
      </c>
      <c r="I209" s="4"/>
      <c r="J209" s="13" t="s">
        <v>1292</v>
      </c>
      <c r="K209" s="261">
        <v>9</v>
      </c>
      <c r="L209" s="4"/>
      <c r="M209" s="9" t="s">
        <v>1195</v>
      </c>
      <c r="N209" s="263">
        <v>8.5</v>
      </c>
      <c r="O209" s="22"/>
      <c r="V209"/>
      <c r="W209"/>
      <c r="X209"/>
      <c r="Y209"/>
      <c r="Z209"/>
    </row>
    <row r="210" spans="1:26" ht="16.05" customHeight="1" thickBot="1">
      <c r="A210" s="6" t="s">
        <v>1241</v>
      </c>
      <c r="B210" s="262">
        <v>6.5</v>
      </c>
      <c r="C210" s="22"/>
      <c r="D210" s="6" t="s">
        <v>1271</v>
      </c>
      <c r="E210" s="262">
        <v>10.5</v>
      </c>
      <c r="F210" s="4"/>
      <c r="G210" s="6" t="s">
        <v>1286</v>
      </c>
      <c r="H210" s="262">
        <v>8</v>
      </c>
      <c r="I210" s="4"/>
      <c r="J210" s="6" t="s">
        <v>1293</v>
      </c>
      <c r="K210" s="262">
        <v>8</v>
      </c>
      <c r="L210" s="4"/>
      <c r="M210" s="21"/>
      <c r="N210" s="21"/>
      <c r="O210" s="22"/>
      <c r="V210"/>
      <c r="W210"/>
      <c r="X210"/>
      <c r="Y210"/>
      <c r="Z210"/>
    </row>
    <row r="211" spans="1:26" ht="16.05" customHeight="1" thickBot="1">
      <c r="A211" s="270">
        <v>365</v>
      </c>
      <c r="B211" s="263">
        <v>9</v>
      </c>
      <c r="C211" s="4"/>
      <c r="D211" s="9" t="s">
        <v>1272</v>
      </c>
      <c r="E211" s="263"/>
      <c r="F211" s="4"/>
      <c r="G211" s="6" t="s">
        <v>1287</v>
      </c>
      <c r="H211" s="262">
        <v>7.5</v>
      </c>
      <c r="I211" s="4"/>
      <c r="J211" s="6" t="s">
        <v>1294</v>
      </c>
      <c r="K211" s="262">
        <v>10.5</v>
      </c>
      <c r="L211" s="22"/>
      <c r="M211" s="156" t="s">
        <v>1324</v>
      </c>
      <c r="N211" s="14">
        <f>ROUND(SUM(N212:N226)/COUNT(N212:N226), 2)</f>
        <v>8.11</v>
      </c>
      <c r="O211" s="22"/>
      <c r="V211"/>
      <c r="W211"/>
      <c r="X211"/>
      <c r="Y211"/>
      <c r="Z211"/>
    </row>
    <row r="212" spans="1:26" ht="16.05" customHeight="1" thickBot="1">
      <c r="A212" s="21"/>
      <c r="B212" s="21"/>
      <c r="C212" s="4"/>
      <c r="D212" s="21"/>
      <c r="E212" s="21"/>
      <c r="F212" s="4"/>
      <c r="G212" s="6" t="s">
        <v>1288</v>
      </c>
      <c r="H212" s="262">
        <v>8</v>
      </c>
      <c r="I212" s="4"/>
      <c r="J212" s="6" t="s">
        <v>1295</v>
      </c>
      <c r="K212" s="262">
        <v>7.5</v>
      </c>
      <c r="L212" s="4"/>
      <c r="M212" s="13" t="s">
        <v>1309</v>
      </c>
      <c r="N212" s="261">
        <v>8</v>
      </c>
      <c r="O212" s="22"/>
      <c r="V212"/>
      <c r="W212"/>
      <c r="X212"/>
      <c r="Y212"/>
      <c r="Z212"/>
    </row>
    <row r="213" spans="1:26" ht="16.05" customHeight="1" thickBot="1">
      <c r="A213" s="158" t="s">
        <v>1343</v>
      </c>
      <c r="B213" s="14">
        <f>ROUND(SUM(B214:B224)/COUNT(B214:B224), 2)</f>
        <v>8.9499999999999993</v>
      </c>
      <c r="C213" s="4"/>
      <c r="D213" s="157" t="s">
        <v>1328</v>
      </c>
      <c r="E213" s="14">
        <f>ROUND(SUM(E214:E227)/COUNT(E214:E227), 2)</f>
        <v>8.77</v>
      </c>
      <c r="F213" s="4"/>
      <c r="G213" s="9" t="s">
        <v>1289</v>
      </c>
      <c r="H213" s="263">
        <v>7</v>
      </c>
      <c r="I213" s="4"/>
      <c r="J213" s="6" t="s">
        <v>1296</v>
      </c>
      <c r="K213" s="262">
        <v>9</v>
      </c>
      <c r="L213" s="4"/>
      <c r="M213" s="6" t="s">
        <v>1310</v>
      </c>
      <c r="N213" s="262">
        <v>7.5</v>
      </c>
      <c r="O213" s="22"/>
      <c r="V213"/>
      <c r="W213"/>
      <c r="X213"/>
      <c r="Y213"/>
      <c r="Z213"/>
    </row>
    <row r="214" spans="1:26" ht="16.05" customHeight="1" thickBot="1">
      <c r="A214" s="13" t="s">
        <v>1344</v>
      </c>
      <c r="B214" s="261">
        <v>8.5</v>
      </c>
      <c r="C214" s="4"/>
      <c r="D214" s="13" t="s">
        <v>1329</v>
      </c>
      <c r="E214" s="261">
        <v>9</v>
      </c>
      <c r="F214" s="4"/>
      <c r="G214" s="21"/>
      <c r="H214" s="21"/>
      <c r="I214" s="4"/>
      <c r="J214" s="6" t="s">
        <v>1297</v>
      </c>
      <c r="K214" s="262">
        <v>7</v>
      </c>
      <c r="L214" s="4"/>
      <c r="M214" s="6" t="s">
        <v>1311</v>
      </c>
      <c r="N214" s="262">
        <v>9</v>
      </c>
      <c r="O214" s="22"/>
      <c r="V214"/>
      <c r="W214"/>
      <c r="X214"/>
      <c r="Y214"/>
      <c r="Z214"/>
    </row>
    <row r="215" spans="1:26" ht="16.05" customHeight="1" thickBot="1">
      <c r="A215" s="6" t="s">
        <v>1345</v>
      </c>
      <c r="B215" s="262">
        <v>10</v>
      </c>
      <c r="C215" s="4"/>
      <c r="D215" s="6" t="s">
        <v>1330</v>
      </c>
      <c r="E215" s="262">
        <v>10</v>
      </c>
      <c r="F215" s="22"/>
      <c r="G215" s="164" t="s">
        <v>1365</v>
      </c>
      <c r="H215" s="14">
        <f>ROUND(SUM(H216:H227)/COUNT(H216:H227), 2)</f>
        <v>8.4600000000000009</v>
      </c>
      <c r="I215" s="4"/>
      <c r="J215" s="6" t="s">
        <v>1298</v>
      </c>
      <c r="K215" s="262">
        <v>8</v>
      </c>
      <c r="L215" s="4"/>
      <c r="M215" s="6" t="s">
        <v>1312</v>
      </c>
      <c r="N215" s="262"/>
      <c r="O215" s="22"/>
      <c r="V215"/>
      <c r="W215"/>
      <c r="X215"/>
      <c r="Y215"/>
      <c r="Z215"/>
    </row>
    <row r="216" spans="1:26" ht="16.05" customHeight="1">
      <c r="A216" s="6" t="s">
        <v>1346</v>
      </c>
      <c r="B216" s="262">
        <v>9.5</v>
      </c>
      <c r="C216" s="4"/>
      <c r="D216" s="6" t="s">
        <v>1331</v>
      </c>
      <c r="E216" s="262">
        <v>9.5</v>
      </c>
      <c r="F216" s="4"/>
      <c r="G216" s="13" t="s">
        <v>1366</v>
      </c>
      <c r="H216" s="261">
        <v>10</v>
      </c>
      <c r="I216" s="4"/>
      <c r="J216" s="6" t="s">
        <v>1299</v>
      </c>
      <c r="K216" s="262">
        <v>9</v>
      </c>
      <c r="L216" s="4"/>
      <c r="M216" s="6" t="s">
        <v>1313</v>
      </c>
      <c r="N216" s="262">
        <v>9</v>
      </c>
      <c r="O216" s="22"/>
      <c r="V216"/>
      <c r="W216"/>
      <c r="X216"/>
      <c r="Y216"/>
      <c r="Z216"/>
    </row>
    <row r="217" spans="1:26" ht="16.05" customHeight="1" thickBot="1">
      <c r="A217" s="6" t="s">
        <v>1347</v>
      </c>
      <c r="B217" s="262">
        <v>9</v>
      </c>
      <c r="C217" s="4"/>
      <c r="D217" s="6" t="s">
        <v>1332</v>
      </c>
      <c r="E217" s="262">
        <v>10</v>
      </c>
      <c r="F217" s="4"/>
      <c r="G217" s="6" t="s">
        <v>1367</v>
      </c>
      <c r="H217" s="262">
        <v>9</v>
      </c>
      <c r="I217" s="4"/>
      <c r="J217" s="9" t="s">
        <v>1300</v>
      </c>
      <c r="K217" s="263">
        <v>10</v>
      </c>
      <c r="L217" s="4"/>
      <c r="M217" s="6" t="s">
        <v>1314</v>
      </c>
      <c r="N217" s="262">
        <v>7.5</v>
      </c>
      <c r="O217" s="22"/>
      <c r="V217"/>
      <c r="W217"/>
      <c r="X217"/>
      <c r="Y217"/>
      <c r="Z217"/>
    </row>
    <row r="218" spans="1:26" ht="16.05" customHeight="1" thickBot="1">
      <c r="A218" s="6" t="s">
        <v>1348</v>
      </c>
      <c r="B218" s="262">
        <v>9</v>
      </c>
      <c r="C218" s="4"/>
      <c r="D218" s="6" t="s">
        <v>1333</v>
      </c>
      <c r="E218" s="262">
        <v>8.5</v>
      </c>
      <c r="F218" s="4"/>
      <c r="G218" s="6" t="s">
        <v>1368</v>
      </c>
      <c r="H218" s="262">
        <v>8.5</v>
      </c>
      <c r="I218" s="4"/>
      <c r="J218" s="21"/>
      <c r="K218" s="21"/>
      <c r="L218" s="4"/>
      <c r="M218" s="6" t="s">
        <v>1315</v>
      </c>
      <c r="N218" s="262">
        <v>9</v>
      </c>
      <c r="O218" s="22"/>
      <c r="V218"/>
      <c r="W218"/>
      <c r="X218"/>
      <c r="Y218"/>
      <c r="Z218"/>
    </row>
    <row r="219" spans="1:26" ht="16.05" customHeight="1" thickBot="1">
      <c r="A219" s="6" t="s">
        <v>1349</v>
      </c>
      <c r="B219" s="262">
        <v>8.5</v>
      </c>
      <c r="C219" s="4"/>
      <c r="D219" s="6" t="s">
        <v>1334</v>
      </c>
      <c r="E219" s="262"/>
      <c r="F219" s="4"/>
      <c r="G219" s="6" t="s">
        <v>1369</v>
      </c>
      <c r="H219" s="262">
        <v>10.5</v>
      </c>
      <c r="I219" s="22"/>
      <c r="J219" s="160" t="s">
        <v>1379</v>
      </c>
      <c r="K219" s="14">
        <f>ROUND(SUM(K220:K235)/COUNT(K220:K235), 2)</f>
        <v>8.82</v>
      </c>
      <c r="L219" s="4"/>
      <c r="M219" s="6" t="s">
        <v>1316</v>
      </c>
      <c r="N219" s="262">
        <v>9</v>
      </c>
      <c r="O219" s="22"/>
      <c r="V219"/>
      <c r="W219"/>
      <c r="X219"/>
      <c r="Y219"/>
      <c r="Z219"/>
    </row>
    <row r="220" spans="1:26" ht="16.05" customHeight="1">
      <c r="A220" s="6" t="s">
        <v>1350</v>
      </c>
      <c r="B220" s="262">
        <v>8</v>
      </c>
      <c r="C220" s="4"/>
      <c r="D220" s="6" t="s">
        <v>1335</v>
      </c>
      <c r="E220" s="262">
        <v>8</v>
      </c>
      <c r="F220" s="4"/>
      <c r="G220" s="6" t="s">
        <v>1370</v>
      </c>
      <c r="H220" s="262">
        <v>8.5</v>
      </c>
      <c r="I220" s="4"/>
      <c r="J220" s="13" t="s">
        <v>1380</v>
      </c>
      <c r="K220" s="261">
        <v>10</v>
      </c>
      <c r="L220" s="4"/>
      <c r="M220" s="6" t="s">
        <v>1317</v>
      </c>
      <c r="N220" s="262">
        <v>7.5</v>
      </c>
      <c r="O220" s="22"/>
      <c r="V220"/>
      <c r="W220"/>
      <c r="X220"/>
      <c r="Y220"/>
      <c r="Z220"/>
    </row>
    <row r="221" spans="1:26" ht="16.05" customHeight="1">
      <c r="A221" s="6" t="s">
        <v>1351</v>
      </c>
      <c r="B221" s="262">
        <v>9.5</v>
      </c>
      <c r="C221" s="4"/>
      <c r="D221" s="6" t="s">
        <v>1336</v>
      </c>
      <c r="E221" s="262">
        <v>9.5</v>
      </c>
      <c r="F221" s="4"/>
      <c r="G221" s="6" t="s">
        <v>1371</v>
      </c>
      <c r="H221" s="262">
        <v>9</v>
      </c>
      <c r="I221" s="4"/>
      <c r="J221" s="6" t="s">
        <v>1381</v>
      </c>
      <c r="K221" s="262"/>
      <c r="L221" s="4"/>
      <c r="M221" s="6" t="s">
        <v>1318</v>
      </c>
      <c r="N221" s="262">
        <v>8</v>
      </c>
      <c r="O221" s="22"/>
      <c r="V221"/>
      <c r="W221"/>
      <c r="X221"/>
      <c r="Y221"/>
      <c r="Z221"/>
    </row>
    <row r="222" spans="1:26" ht="16.05" customHeight="1">
      <c r="A222" s="6" t="s">
        <v>1352</v>
      </c>
      <c r="B222" s="262">
        <v>9</v>
      </c>
      <c r="C222" s="4"/>
      <c r="D222" s="6" t="s">
        <v>1337</v>
      </c>
      <c r="E222" s="262">
        <v>8</v>
      </c>
      <c r="F222" s="4"/>
      <c r="G222" s="6" t="s">
        <v>1372</v>
      </c>
      <c r="H222" s="262">
        <v>7.5</v>
      </c>
      <c r="I222" s="4"/>
      <c r="J222" s="6" t="s">
        <v>1382</v>
      </c>
      <c r="K222" s="262">
        <v>10.5</v>
      </c>
      <c r="L222" s="4"/>
      <c r="M222" s="6" t="s">
        <v>1319</v>
      </c>
      <c r="N222" s="262">
        <v>9</v>
      </c>
      <c r="O222" s="22"/>
      <c r="V222"/>
      <c r="W222"/>
      <c r="X222"/>
      <c r="Y222"/>
      <c r="Z222"/>
    </row>
    <row r="223" spans="1:26" ht="16.05" customHeight="1">
      <c r="A223" s="6" t="s">
        <v>1353</v>
      </c>
      <c r="B223" s="262">
        <v>9</v>
      </c>
      <c r="C223" s="4"/>
      <c r="D223" s="6" t="s">
        <v>1338</v>
      </c>
      <c r="E223" s="262">
        <v>8</v>
      </c>
      <c r="F223" s="4"/>
      <c r="G223" s="6" t="s">
        <v>1373</v>
      </c>
      <c r="H223" s="262">
        <v>10.5</v>
      </c>
      <c r="I223" s="4"/>
      <c r="J223" s="6" t="s">
        <v>1383</v>
      </c>
      <c r="K223" s="262">
        <v>8.5</v>
      </c>
      <c r="L223" s="4"/>
      <c r="M223" s="6" t="s">
        <v>1320</v>
      </c>
      <c r="N223" s="262">
        <v>8</v>
      </c>
      <c r="O223" s="22"/>
      <c r="V223"/>
      <c r="W223"/>
      <c r="X223"/>
      <c r="Y223"/>
      <c r="Z223"/>
    </row>
    <row r="224" spans="1:26" ht="16.05" customHeight="1" thickBot="1">
      <c r="A224" s="9" t="s">
        <v>1354</v>
      </c>
      <c r="B224" s="263">
        <v>8.5</v>
      </c>
      <c r="C224" s="4"/>
      <c r="D224" s="6" t="s">
        <v>1339</v>
      </c>
      <c r="E224" s="262">
        <v>8</v>
      </c>
      <c r="F224" s="4"/>
      <c r="G224" s="6" t="s">
        <v>1374</v>
      </c>
      <c r="H224" s="262">
        <v>7</v>
      </c>
      <c r="I224" s="4"/>
      <c r="J224" s="6" t="s">
        <v>1384</v>
      </c>
      <c r="K224" s="262">
        <v>9</v>
      </c>
      <c r="L224" s="4"/>
      <c r="M224" s="6" t="s">
        <v>1321</v>
      </c>
      <c r="N224" s="262">
        <v>7</v>
      </c>
      <c r="O224" s="22"/>
      <c r="V224"/>
      <c r="W224"/>
      <c r="X224"/>
      <c r="Y224"/>
      <c r="Z224"/>
    </row>
    <row r="225" spans="1:26" ht="16.05" customHeight="1" thickBot="1">
      <c r="A225" s="77"/>
      <c r="B225" s="19"/>
      <c r="C225" s="22"/>
      <c r="D225" s="6" t="s">
        <v>1340</v>
      </c>
      <c r="E225" s="262">
        <v>8</v>
      </c>
      <c r="F225" s="4"/>
      <c r="G225" s="6" t="s">
        <v>1375</v>
      </c>
      <c r="H225" s="262">
        <v>7.5</v>
      </c>
      <c r="I225" s="4"/>
      <c r="J225" s="6" t="s">
        <v>1385</v>
      </c>
      <c r="K225" s="262">
        <v>8</v>
      </c>
      <c r="L225" s="4"/>
      <c r="M225" s="6" t="s">
        <v>1322</v>
      </c>
      <c r="N225" s="262">
        <v>7.5</v>
      </c>
      <c r="O225" s="22"/>
      <c r="V225"/>
      <c r="W225"/>
      <c r="X225"/>
      <c r="Y225"/>
      <c r="Z225"/>
    </row>
    <row r="226" spans="1:26" ht="16.05" customHeight="1" thickBot="1">
      <c r="A226" s="165" t="s">
        <v>1399</v>
      </c>
      <c r="B226" s="14">
        <f>ROUND(SUM(B227:B233)/COUNT(B227:B233), 2)</f>
        <v>8.86</v>
      </c>
      <c r="C226" s="41"/>
      <c r="D226" s="5" t="s">
        <v>1341</v>
      </c>
      <c r="E226" s="262">
        <v>8.5</v>
      </c>
      <c r="F226" s="4"/>
      <c r="G226" s="6" t="s">
        <v>1376</v>
      </c>
      <c r="H226" s="262">
        <v>6.5</v>
      </c>
      <c r="I226" s="4"/>
      <c r="J226" s="6" t="s">
        <v>1386</v>
      </c>
      <c r="K226" s="262">
        <v>9.5</v>
      </c>
      <c r="L226" s="4"/>
      <c r="M226" s="9" t="s">
        <v>1323</v>
      </c>
      <c r="N226" s="263">
        <v>7.5</v>
      </c>
      <c r="O226" s="22"/>
      <c r="V226"/>
      <c r="W226"/>
      <c r="X226"/>
      <c r="Y226"/>
      <c r="Z226"/>
    </row>
    <row r="227" spans="1:26" ht="16.05" customHeight="1" thickBot="1">
      <c r="A227" s="13" t="s">
        <v>1400</v>
      </c>
      <c r="B227" s="261">
        <v>10</v>
      </c>
      <c r="C227" s="4"/>
      <c r="D227" s="9" t="s">
        <v>1342</v>
      </c>
      <c r="E227" s="263">
        <v>9</v>
      </c>
      <c r="F227" s="4"/>
      <c r="G227" s="9" t="s">
        <v>1377</v>
      </c>
      <c r="H227" s="263">
        <v>7</v>
      </c>
      <c r="I227" s="4"/>
      <c r="J227" s="6" t="s">
        <v>1387</v>
      </c>
      <c r="K227" s="262"/>
      <c r="L227" s="4"/>
      <c r="M227" s="21"/>
      <c r="N227" s="21"/>
      <c r="O227" s="22"/>
      <c r="V227"/>
      <c r="W227"/>
      <c r="X227"/>
      <c r="Y227"/>
      <c r="Z227"/>
    </row>
    <row r="228" spans="1:26" ht="16.05" customHeight="1" thickBot="1">
      <c r="A228" s="6" t="s">
        <v>1401</v>
      </c>
      <c r="B228" s="262">
        <v>9.5</v>
      </c>
      <c r="C228" s="4"/>
      <c r="D228" s="19"/>
      <c r="E228" s="21"/>
      <c r="F228" s="4"/>
      <c r="G228" s="21"/>
      <c r="H228" s="21"/>
      <c r="I228" s="4"/>
      <c r="J228" s="6" t="s">
        <v>1388</v>
      </c>
      <c r="K228" s="262">
        <v>8</v>
      </c>
      <c r="L228" s="22"/>
      <c r="M228" s="163" t="s">
        <v>1435</v>
      </c>
      <c r="N228" s="14">
        <f>ROUND(SUM(N229:N238)/COUNT(N229:N238), 2)</f>
        <v>8.0500000000000007</v>
      </c>
      <c r="O228" s="22"/>
      <c r="V228"/>
      <c r="W228"/>
      <c r="X228"/>
      <c r="Y228"/>
      <c r="Z228"/>
    </row>
    <row r="229" spans="1:26" ht="16.05" customHeight="1" thickBot="1">
      <c r="A229" s="6" t="s">
        <v>1402</v>
      </c>
      <c r="B229" s="262">
        <v>9</v>
      </c>
      <c r="C229" s="4"/>
      <c r="D229" s="161" t="s">
        <v>1410</v>
      </c>
      <c r="E229" s="14">
        <f>ROUND(SUM(E230:E235)/COUNT(E230:E235), 2)</f>
        <v>8.83</v>
      </c>
      <c r="F229" s="22"/>
      <c r="G229" s="162" t="s">
        <v>1436</v>
      </c>
      <c r="H229" s="14">
        <f>ROUND(SUM(H230:H244)/COUNT(H230:H244), 2)</f>
        <v>8.8800000000000008</v>
      </c>
      <c r="I229" s="4"/>
      <c r="J229" s="6" t="s">
        <v>1389</v>
      </c>
      <c r="K229" s="262">
        <v>8</v>
      </c>
      <c r="L229" s="4"/>
      <c r="M229" s="13" t="s">
        <v>1423</v>
      </c>
      <c r="N229" s="261">
        <v>8</v>
      </c>
      <c r="O229" s="22"/>
      <c r="V229"/>
      <c r="W229"/>
      <c r="X229"/>
      <c r="Y229"/>
      <c r="Z229"/>
    </row>
    <row r="230" spans="1:26" ht="16.05" customHeight="1">
      <c r="A230" s="6" t="s">
        <v>1403</v>
      </c>
      <c r="B230" s="262">
        <v>8</v>
      </c>
      <c r="C230" s="4"/>
      <c r="D230" s="13" t="s">
        <v>1411</v>
      </c>
      <c r="E230" s="261">
        <v>8.5</v>
      </c>
      <c r="F230" s="4"/>
      <c r="G230" s="13" t="s">
        <v>1437</v>
      </c>
      <c r="H230" s="261"/>
      <c r="I230" s="4"/>
      <c r="J230" s="6" t="s">
        <v>1390</v>
      </c>
      <c r="K230" s="262">
        <v>10</v>
      </c>
      <c r="L230" s="4"/>
      <c r="M230" s="6" t="s">
        <v>1424</v>
      </c>
      <c r="N230" s="262">
        <v>8.5</v>
      </c>
      <c r="O230" s="22"/>
      <c r="V230"/>
      <c r="W230"/>
      <c r="X230"/>
      <c r="Y230"/>
      <c r="Z230"/>
    </row>
    <row r="231" spans="1:26" ht="16.05" customHeight="1">
      <c r="A231" s="6" t="s">
        <v>1404</v>
      </c>
      <c r="B231" s="262">
        <v>9</v>
      </c>
      <c r="C231" s="4"/>
      <c r="D231" s="6" t="s">
        <v>1412</v>
      </c>
      <c r="E231" s="262">
        <v>8.5</v>
      </c>
      <c r="F231" s="4"/>
      <c r="G231" s="6" t="s">
        <v>1438</v>
      </c>
      <c r="H231" s="262">
        <v>8.5</v>
      </c>
      <c r="I231" s="4"/>
      <c r="J231" s="6" t="s">
        <v>1391</v>
      </c>
      <c r="K231" s="262">
        <v>7.5</v>
      </c>
      <c r="L231" s="4"/>
      <c r="M231" s="6" t="s">
        <v>1425</v>
      </c>
      <c r="N231" s="262">
        <v>9.5</v>
      </c>
      <c r="O231" s="22"/>
      <c r="V231"/>
      <c r="W231"/>
      <c r="X231"/>
      <c r="Y231"/>
      <c r="Z231"/>
    </row>
    <row r="232" spans="1:26" ht="16.05" customHeight="1">
      <c r="A232" s="6" t="s">
        <v>1405</v>
      </c>
      <c r="B232" s="262">
        <v>8.5</v>
      </c>
      <c r="C232" s="4"/>
      <c r="D232" s="6" t="s">
        <v>1413</v>
      </c>
      <c r="E232" s="262">
        <v>8</v>
      </c>
      <c r="F232" s="4"/>
      <c r="G232" s="6" t="s">
        <v>1439</v>
      </c>
      <c r="H232" s="262">
        <v>9.5</v>
      </c>
      <c r="I232" s="4"/>
      <c r="J232" s="6" t="s">
        <v>1392</v>
      </c>
      <c r="K232" s="262">
        <v>9.5</v>
      </c>
      <c r="L232" s="4"/>
      <c r="M232" s="6" t="s">
        <v>1426</v>
      </c>
      <c r="N232" s="262">
        <v>8.5</v>
      </c>
      <c r="O232" s="22"/>
      <c r="V232"/>
      <c r="W232"/>
      <c r="X232"/>
      <c r="Y232"/>
      <c r="Z232"/>
    </row>
    <row r="233" spans="1:26" ht="16.05" customHeight="1" thickBot="1">
      <c r="A233" s="9" t="s">
        <v>1406</v>
      </c>
      <c r="B233" s="263">
        <v>8</v>
      </c>
      <c r="C233" s="4"/>
      <c r="D233" s="6" t="s">
        <v>1414</v>
      </c>
      <c r="E233" s="262">
        <v>9</v>
      </c>
      <c r="F233" s="4"/>
      <c r="G233" s="6" t="s">
        <v>1440</v>
      </c>
      <c r="H233" s="262">
        <v>8.5</v>
      </c>
      <c r="I233" s="4"/>
      <c r="J233" s="6" t="s">
        <v>1393</v>
      </c>
      <c r="K233" s="262">
        <v>8</v>
      </c>
      <c r="L233" s="4"/>
      <c r="M233" s="6" t="s">
        <v>1427</v>
      </c>
      <c r="N233" s="262">
        <v>7</v>
      </c>
      <c r="O233" s="22"/>
      <c r="V233"/>
      <c r="W233"/>
      <c r="X233"/>
      <c r="Y233"/>
      <c r="Z233"/>
    </row>
    <row r="234" spans="1:26" ht="16.05" customHeight="1" thickBot="1">
      <c r="A234" s="21"/>
      <c r="B234" s="21"/>
      <c r="C234" s="4"/>
      <c r="D234" s="6" t="s">
        <v>1415</v>
      </c>
      <c r="E234" s="262">
        <v>9</v>
      </c>
      <c r="F234" s="4"/>
      <c r="G234" s="6" t="s">
        <v>1441</v>
      </c>
      <c r="H234" s="262">
        <v>10</v>
      </c>
      <c r="I234" s="4"/>
      <c r="J234" s="6" t="s">
        <v>1394</v>
      </c>
      <c r="K234" s="262">
        <v>9</v>
      </c>
      <c r="L234" s="4"/>
      <c r="M234" s="6" t="s">
        <v>1428</v>
      </c>
      <c r="N234" s="262">
        <v>8</v>
      </c>
      <c r="O234" s="22"/>
      <c r="V234"/>
      <c r="W234"/>
      <c r="X234"/>
      <c r="Y234"/>
      <c r="Z234"/>
    </row>
    <row r="235" spans="1:26" ht="16.05" customHeight="1" thickBot="1">
      <c r="A235" s="168" t="s">
        <v>1453</v>
      </c>
      <c r="B235" s="14">
        <f>ROUND(SUM(B236:B244)/COUNT(B236:B244), 2)</f>
        <v>8.83</v>
      </c>
      <c r="C235" s="4"/>
      <c r="D235" s="9" t="s">
        <v>1416</v>
      </c>
      <c r="E235" s="263">
        <v>10</v>
      </c>
      <c r="F235" s="4"/>
      <c r="G235" s="6" t="s">
        <v>1442</v>
      </c>
      <c r="H235" s="264">
        <v>10.5</v>
      </c>
      <c r="I235" s="4"/>
      <c r="J235" s="9" t="s">
        <v>1395</v>
      </c>
      <c r="K235" s="263">
        <v>8</v>
      </c>
      <c r="L235" s="4"/>
      <c r="M235" s="6" t="s">
        <v>1429</v>
      </c>
      <c r="N235" s="262">
        <v>8.5</v>
      </c>
      <c r="O235" s="22"/>
      <c r="V235"/>
      <c r="W235"/>
      <c r="X235"/>
      <c r="Y235"/>
      <c r="Z235"/>
    </row>
    <row r="236" spans="1:26" ht="16.05" customHeight="1" thickBot="1">
      <c r="A236" s="13" t="s">
        <v>1454</v>
      </c>
      <c r="B236" s="261">
        <v>9</v>
      </c>
      <c r="C236" s="4"/>
      <c r="D236" s="21"/>
      <c r="E236" s="21"/>
      <c r="F236" s="4"/>
      <c r="G236" s="6" t="s">
        <v>1443</v>
      </c>
      <c r="H236" s="262">
        <v>9</v>
      </c>
      <c r="I236" s="4"/>
      <c r="J236" s="21"/>
      <c r="K236" s="21"/>
      <c r="L236" s="4"/>
      <c r="M236" s="6" t="s">
        <v>1430</v>
      </c>
      <c r="N236" s="262">
        <v>7</v>
      </c>
      <c r="O236" s="22"/>
      <c r="V236"/>
      <c r="W236"/>
      <c r="X236"/>
      <c r="Y236"/>
      <c r="Z236"/>
    </row>
    <row r="237" spans="1:26" ht="16.05" customHeight="1" thickBot="1">
      <c r="A237" s="6" t="s">
        <v>1455</v>
      </c>
      <c r="B237" s="262">
        <v>10</v>
      </c>
      <c r="C237" s="4"/>
      <c r="D237" s="167" t="s">
        <v>1487</v>
      </c>
      <c r="E237" s="3">
        <f>ROUND(SUM(E238:E252)/COUNT(E238:E252), 2)</f>
        <v>8.8000000000000007</v>
      </c>
      <c r="F237" s="4"/>
      <c r="G237" s="6" t="s">
        <v>1444</v>
      </c>
      <c r="H237" s="262">
        <v>8.5</v>
      </c>
      <c r="I237" s="22"/>
      <c r="J237" s="169" t="s">
        <v>1490</v>
      </c>
      <c r="K237" s="14">
        <f>ROUND(SUM(K238:K250)/COUNT(K238:K250), 2)</f>
        <v>8.73</v>
      </c>
      <c r="L237" s="4"/>
      <c r="M237" s="6" t="s">
        <v>1431</v>
      </c>
      <c r="N237" s="262">
        <v>8</v>
      </c>
      <c r="O237" s="22"/>
      <c r="V237"/>
      <c r="W237"/>
      <c r="X237"/>
      <c r="Y237"/>
      <c r="Z237"/>
    </row>
    <row r="238" spans="1:26" ht="16.05" customHeight="1" thickBot="1">
      <c r="A238" s="6" t="s">
        <v>1456</v>
      </c>
      <c r="B238" s="262">
        <v>8.5</v>
      </c>
      <c r="C238" s="4"/>
      <c r="D238" s="13" t="s">
        <v>1468</v>
      </c>
      <c r="E238" s="261">
        <v>8</v>
      </c>
      <c r="F238" s="4"/>
      <c r="G238" s="6" t="s">
        <v>1445</v>
      </c>
      <c r="H238" s="262">
        <v>8.5</v>
      </c>
      <c r="I238" s="4"/>
      <c r="J238" s="13" t="s">
        <v>1503</v>
      </c>
      <c r="K238" s="261">
        <v>10.5</v>
      </c>
      <c r="L238" s="4"/>
      <c r="M238" s="9" t="s">
        <v>1432</v>
      </c>
      <c r="N238" s="263">
        <v>7.5</v>
      </c>
      <c r="O238" s="22"/>
      <c r="V238"/>
      <c r="W238"/>
      <c r="X238"/>
      <c r="Y238"/>
      <c r="Z238"/>
    </row>
    <row r="239" spans="1:26" ht="16.05" customHeight="1" thickBot="1">
      <c r="A239" s="6" t="s">
        <v>1457</v>
      </c>
      <c r="B239" s="262">
        <v>8.5</v>
      </c>
      <c r="C239" s="4"/>
      <c r="D239" s="6" t="s">
        <v>1469</v>
      </c>
      <c r="E239" s="262">
        <v>8.5</v>
      </c>
      <c r="F239" s="4"/>
      <c r="G239" s="6" t="s">
        <v>1446</v>
      </c>
      <c r="H239" s="262">
        <v>8</v>
      </c>
      <c r="I239" s="4"/>
      <c r="J239" s="6" t="s">
        <v>1491</v>
      </c>
      <c r="K239" s="262">
        <v>9.5</v>
      </c>
      <c r="L239" s="4"/>
      <c r="M239" s="21"/>
      <c r="N239" s="21"/>
      <c r="O239" s="4"/>
      <c r="V239"/>
      <c r="W239"/>
      <c r="X239"/>
      <c r="Y239"/>
      <c r="Z239"/>
    </row>
    <row r="240" spans="1:26" ht="16.05" customHeight="1" thickBot="1">
      <c r="A240" s="6" t="s">
        <v>1458</v>
      </c>
      <c r="B240" s="262">
        <v>9.5</v>
      </c>
      <c r="C240" s="4"/>
      <c r="D240" s="6" t="s">
        <v>1470</v>
      </c>
      <c r="E240" s="262">
        <v>9.5</v>
      </c>
      <c r="F240" s="4"/>
      <c r="G240" s="6" t="s">
        <v>1447</v>
      </c>
      <c r="H240" s="262"/>
      <c r="I240" s="4"/>
      <c r="J240" s="6" t="s">
        <v>1492</v>
      </c>
      <c r="K240" s="262">
        <v>9</v>
      </c>
      <c r="L240" s="4"/>
      <c r="M240" s="271" t="s">
        <v>1507</v>
      </c>
      <c r="N240" s="3">
        <f>ROUND(SUM(N241:N247)/COUNT(N241:N247), 2)</f>
        <v>8.93</v>
      </c>
      <c r="O240" s="4"/>
      <c r="V240"/>
      <c r="W240"/>
      <c r="X240"/>
      <c r="Y240"/>
      <c r="Z240"/>
    </row>
    <row r="241" spans="1:26" ht="16.05" customHeight="1">
      <c r="A241" s="6" t="s">
        <v>1459</v>
      </c>
      <c r="B241" s="262">
        <v>8</v>
      </c>
      <c r="C241" s="4"/>
      <c r="D241" s="6" t="s">
        <v>1471</v>
      </c>
      <c r="E241" s="262">
        <v>10</v>
      </c>
      <c r="F241" s="4"/>
      <c r="G241" s="6" t="s">
        <v>1448</v>
      </c>
      <c r="H241" s="262">
        <v>9.5</v>
      </c>
      <c r="I241" s="4"/>
      <c r="J241" s="6" t="s">
        <v>1493</v>
      </c>
      <c r="K241" s="262">
        <v>9.5</v>
      </c>
      <c r="L241" s="4"/>
      <c r="M241" s="13" t="s">
        <v>1508</v>
      </c>
      <c r="N241" s="261">
        <v>9.5</v>
      </c>
      <c r="O241" s="4"/>
      <c r="V241"/>
      <c r="W241"/>
      <c r="X241"/>
      <c r="Y241"/>
      <c r="Z241"/>
    </row>
    <row r="242" spans="1:26" ht="16.05" customHeight="1">
      <c r="A242" s="6" t="s">
        <v>1460</v>
      </c>
      <c r="B242" s="262">
        <v>8.5</v>
      </c>
      <c r="C242" s="4"/>
      <c r="D242" s="6" t="s">
        <v>1472</v>
      </c>
      <c r="E242" s="262">
        <v>8.5</v>
      </c>
      <c r="F242" s="4"/>
      <c r="G242" s="6" t="s">
        <v>1449</v>
      </c>
      <c r="H242" s="262">
        <v>8</v>
      </c>
      <c r="I242" s="4"/>
      <c r="J242" s="6" t="s">
        <v>1494</v>
      </c>
      <c r="K242" s="262">
        <v>9</v>
      </c>
      <c r="L242" s="4"/>
      <c r="M242" s="6" t="s">
        <v>1509</v>
      </c>
      <c r="N242" s="262">
        <v>8</v>
      </c>
      <c r="O242" s="4"/>
      <c r="V242"/>
      <c r="W242"/>
      <c r="X242"/>
      <c r="Y242"/>
      <c r="Z242"/>
    </row>
    <row r="243" spans="1:26" ht="16.05" customHeight="1">
      <c r="A243" s="6" t="s">
        <v>1461</v>
      </c>
      <c r="B243" s="262">
        <v>9</v>
      </c>
      <c r="C243" s="4"/>
      <c r="D243" s="6" t="s">
        <v>1473</v>
      </c>
      <c r="E243" s="262">
        <v>9.5</v>
      </c>
      <c r="F243" s="4"/>
      <c r="G243" s="6" t="s">
        <v>1450</v>
      </c>
      <c r="H243" s="262">
        <v>8.5</v>
      </c>
      <c r="I243" s="4"/>
      <c r="J243" s="6" t="s">
        <v>1495</v>
      </c>
      <c r="K243" s="262">
        <v>8</v>
      </c>
      <c r="L243" s="4"/>
      <c r="M243" s="6" t="s">
        <v>1510</v>
      </c>
      <c r="N243" s="262">
        <v>10</v>
      </c>
      <c r="O243" s="4"/>
      <c r="V243"/>
      <c r="W243"/>
      <c r="X243"/>
      <c r="Y243"/>
      <c r="Z243"/>
    </row>
    <row r="244" spans="1:26" ht="16.05" customHeight="1" thickBot="1">
      <c r="A244" s="9" t="s">
        <v>1462</v>
      </c>
      <c r="B244" s="263">
        <v>8.5</v>
      </c>
      <c r="C244" s="4"/>
      <c r="D244" s="6" t="s">
        <v>1474</v>
      </c>
      <c r="E244" s="262">
        <v>9.5</v>
      </c>
      <c r="F244" s="4"/>
      <c r="G244" s="9" t="s">
        <v>1451</v>
      </c>
      <c r="H244" s="263">
        <v>8.5</v>
      </c>
      <c r="I244" s="4"/>
      <c r="J244" s="6" t="s">
        <v>1496</v>
      </c>
      <c r="K244" s="262">
        <v>9</v>
      </c>
      <c r="L244" s="4"/>
      <c r="M244" s="6" t="s">
        <v>1511</v>
      </c>
      <c r="N244" s="262">
        <v>8</v>
      </c>
      <c r="O244" s="4"/>
      <c r="V244"/>
      <c r="W244"/>
      <c r="X244"/>
      <c r="Y244"/>
      <c r="Z244"/>
    </row>
    <row r="245" spans="1:26" ht="16.05" customHeight="1" thickBot="1">
      <c r="A245" s="4"/>
      <c r="B245" s="4"/>
      <c r="C245" s="4"/>
      <c r="D245" s="6" t="s">
        <v>1475</v>
      </c>
      <c r="E245" s="262">
        <v>8</v>
      </c>
      <c r="F245" s="4"/>
      <c r="G245" s="21"/>
      <c r="H245" s="21"/>
      <c r="I245" s="4"/>
      <c r="J245" s="6" t="s">
        <v>1497</v>
      </c>
      <c r="K245" s="262">
        <v>8.5</v>
      </c>
      <c r="L245" s="4"/>
      <c r="M245" s="6" t="s">
        <v>1512</v>
      </c>
      <c r="N245" s="262">
        <v>9</v>
      </c>
      <c r="O245" s="4"/>
      <c r="V245"/>
      <c r="W245"/>
      <c r="X245"/>
      <c r="Y245"/>
      <c r="Z245"/>
    </row>
    <row r="246" spans="1:26" ht="16.05" customHeight="1" thickBot="1">
      <c r="A246" s="171" t="s">
        <v>1547</v>
      </c>
      <c r="B246" s="14">
        <f>ROUND(SUM(B247:B258)/COUNT(B247:B258), 2)</f>
        <v>8.82</v>
      </c>
      <c r="C246" s="4"/>
      <c r="D246" s="6" t="s">
        <v>1476</v>
      </c>
      <c r="E246" s="262">
        <v>8</v>
      </c>
      <c r="F246" s="4"/>
      <c r="G246" s="170" t="s">
        <v>1529</v>
      </c>
      <c r="H246" s="3">
        <f>ROUND(SUM(H247:H256)/COUNT(H247:H256), 2)</f>
        <v>8.75</v>
      </c>
      <c r="I246" s="4"/>
      <c r="J246" s="6" t="s">
        <v>1498</v>
      </c>
      <c r="K246" s="262">
        <v>8</v>
      </c>
      <c r="L246" s="4"/>
      <c r="M246" s="6" t="s">
        <v>1513</v>
      </c>
      <c r="N246" s="262">
        <v>8.5</v>
      </c>
      <c r="O246" s="4"/>
      <c r="V246"/>
      <c r="W246"/>
      <c r="X246"/>
      <c r="Y246"/>
      <c r="Z246"/>
    </row>
    <row r="247" spans="1:26" ht="16.05" customHeight="1" thickBot="1">
      <c r="A247" s="13" t="s">
        <v>1535</v>
      </c>
      <c r="B247" s="261">
        <v>9.5</v>
      </c>
      <c r="C247" s="4"/>
      <c r="D247" s="6" t="s">
        <v>1477</v>
      </c>
      <c r="E247" s="262">
        <v>8.5</v>
      </c>
      <c r="F247" s="4"/>
      <c r="G247" s="6" t="s">
        <v>1520</v>
      </c>
      <c r="H247" s="262">
        <v>10</v>
      </c>
      <c r="I247" s="4"/>
      <c r="J247" s="6" t="s">
        <v>1499</v>
      </c>
      <c r="K247" s="262">
        <v>8</v>
      </c>
      <c r="L247" s="4"/>
      <c r="M247" s="9" t="s">
        <v>1514</v>
      </c>
      <c r="N247" s="263">
        <v>9.5</v>
      </c>
      <c r="O247" s="4"/>
      <c r="V247"/>
      <c r="W247"/>
      <c r="X247"/>
      <c r="Y247"/>
      <c r="Z247"/>
    </row>
    <row r="248" spans="1:26" ht="16.05" customHeight="1" thickBot="1">
      <c r="A248" s="6" t="s">
        <v>1536</v>
      </c>
      <c r="B248" s="262">
        <v>8.5</v>
      </c>
      <c r="C248" s="4"/>
      <c r="D248" s="6" t="s">
        <v>1478</v>
      </c>
      <c r="E248" s="262">
        <v>10</v>
      </c>
      <c r="F248" s="4"/>
      <c r="G248" s="6" t="s">
        <v>1521</v>
      </c>
      <c r="H248" s="262">
        <v>9</v>
      </c>
      <c r="I248" s="4"/>
      <c r="J248" s="6" t="s">
        <v>1500</v>
      </c>
      <c r="K248" s="262">
        <v>8</v>
      </c>
      <c r="L248" s="4"/>
      <c r="M248" s="4"/>
      <c r="N248" s="4"/>
      <c r="O248" s="4"/>
      <c r="V248"/>
      <c r="W248"/>
      <c r="X248"/>
      <c r="Y248"/>
      <c r="Z248"/>
    </row>
    <row r="249" spans="1:26" ht="16.05" customHeight="1" thickBot="1">
      <c r="A249" s="6" t="s">
        <v>1537</v>
      </c>
      <c r="B249" s="262">
        <v>8.5</v>
      </c>
      <c r="C249" s="4"/>
      <c r="D249" s="6" t="s">
        <v>1479</v>
      </c>
      <c r="E249" s="262">
        <v>8.5</v>
      </c>
      <c r="F249" s="4"/>
      <c r="G249" s="6" t="s">
        <v>15</v>
      </c>
      <c r="H249" s="262">
        <v>10</v>
      </c>
      <c r="I249" s="4"/>
      <c r="J249" s="6" t="s">
        <v>1501</v>
      </c>
      <c r="K249" s="262">
        <v>8.5</v>
      </c>
      <c r="L249" s="4"/>
      <c r="M249" s="272" t="s">
        <v>1552</v>
      </c>
      <c r="N249" s="14">
        <f>ROUND(SUM(N250:N275)/COUNT(N250:N275), 2)</f>
        <v>8.67</v>
      </c>
      <c r="O249" s="4"/>
      <c r="V249"/>
      <c r="W249"/>
      <c r="X249"/>
      <c r="Y249"/>
      <c r="Z249"/>
    </row>
    <row r="250" spans="1:26" ht="16.05" customHeight="1" thickBot="1">
      <c r="A250" s="6" t="s">
        <v>1538</v>
      </c>
      <c r="B250" s="262"/>
      <c r="C250" s="4"/>
      <c r="D250" s="6" t="s">
        <v>1480</v>
      </c>
      <c r="E250" s="262">
        <v>9</v>
      </c>
      <c r="F250" s="4"/>
      <c r="G250" s="6" t="s">
        <v>1522</v>
      </c>
      <c r="H250" s="262">
        <v>9</v>
      </c>
      <c r="I250" s="4"/>
      <c r="J250" s="9" t="s">
        <v>1502</v>
      </c>
      <c r="K250" s="263">
        <v>8</v>
      </c>
      <c r="L250" s="4"/>
      <c r="M250" s="13" t="s">
        <v>1551</v>
      </c>
      <c r="N250" s="261">
        <v>10</v>
      </c>
      <c r="O250" s="4"/>
      <c r="V250"/>
      <c r="W250"/>
      <c r="X250"/>
      <c r="Y250"/>
      <c r="Z250"/>
    </row>
    <row r="251" spans="1:26" ht="16.05" customHeight="1" thickBot="1">
      <c r="A251" s="6" t="s">
        <v>1539</v>
      </c>
      <c r="B251" s="262">
        <v>8</v>
      </c>
      <c r="C251" s="4"/>
      <c r="D251" s="6" t="s">
        <v>1481</v>
      </c>
      <c r="E251" s="262">
        <v>8.5</v>
      </c>
      <c r="F251" s="4"/>
      <c r="G251" s="6" t="s">
        <v>1523</v>
      </c>
      <c r="H251" s="262">
        <v>8.5</v>
      </c>
      <c r="I251" s="4"/>
      <c r="J251" s="4"/>
      <c r="K251" s="4"/>
      <c r="L251" s="4"/>
      <c r="M251" s="6" t="s">
        <v>1553</v>
      </c>
      <c r="N251" s="262">
        <v>9</v>
      </c>
      <c r="O251" s="4"/>
      <c r="V251"/>
      <c r="W251"/>
      <c r="X251"/>
      <c r="Y251"/>
      <c r="Z251"/>
    </row>
    <row r="252" spans="1:26" ht="16.05" customHeight="1" thickBot="1">
      <c r="A252" s="6" t="s">
        <v>1540</v>
      </c>
      <c r="B252" s="262">
        <v>10</v>
      </c>
      <c r="C252" s="4"/>
      <c r="D252" s="9" t="s">
        <v>1482</v>
      </c>
      <c r="E252" s="263">
        <v>8</v>
      </c>
      <c r="F252" s="4"/>
      <c r="G252" s="6" t="s">
        <v>1524</v>
      </c>
      <c r="H252" s="262">
        <v>8</v>
      </c>
      <c r="I252" s="4"/>
      <c r="J252" s="173" t="s">
        <v>1592</v>
      </c>
      <c r="K252" s="3">
        <f>ROUND(SUM(K253:K262)/COUNT(K253:K262), 2)</f>
        <v>8</v>
      </c>
      <c r="L252" s="4"/>
      <c r="M252" s="6" t="s">
        <v>1554</v>
      </c>
      <c r="N252" s="262">
        <v>8.5</v>
      </c>
      <c r="O252" s="4"/>
      <c r="V252"/>
      <c r="W252"/>
      <c r="X252"/>
      <c r="Y252"/>
      <c r="Z252"/>
    </row>
    <row r="253" spans="1:26" ht="16.05" customHeight="1" thickBot="1">
      <c r="A253" s="6" t="s">
        <v>1541</v>
      </c>
      <c r="B253" s="262">
        <v>10.5</v>
      </c>
      <c r="C253" s="4"/>
      <c r="D253" s="4"/>
      <c r="E253" s="4"/>
      <c r="F253" s="4"/>
      <c r="G253" s="6" t="s">
        <v>1525</v>
      </c>
      <c r="H253" s="262">
        <v>9</v>
      </c>
      <c r="I253" s="4"/>
      <c r="J253" s="13" t="s">
        <v>1582</v>
      </c>
      <c r="K253" s="261">
        <v>8.5</v>
      </c>
      <c r="L253" s="4"/>
      <c r="M253" s="6" t="s">
        <v>1555</v>
      </c>
      <c r="N253" s="262">
        <v>8</v>
      </c>
      <c r="O253" s="4"/>
      <c r="V253"/>
      <c r="W253"/>
      <c r="X253"/>
      <c r="Y253"/>
      <c r="Z253"/>
    </row>
    <row r="254" spans="1:26" ht="16.05" customHeight="1" thickBot="1">
      <c r="A254" s="6" t="s">
        <v>1542</v>
      </c>
      <c r="B254" s="262">
        <v>9</v>
      </c>
      <c r="C254" s="4"/>
      <c r="D254" s="174" t="s">
        <v>1598</v>
      </c>
      <c r="E254" s="3">
        <f>ROUND(SUM(E255:E264)/COUNT(E255:E264), 2)</f>
        <v>8.44</v>
      </c>
      <c r="F254" s="4"/>
      <c r="G254" s="6" t="s">
        <v>1526</v>
      </c>
      <c r="H254" s="262">
        <v>8</v>
      </c>
      <c r="I254" s="4"/>
      <c r="J254" s="6" t="s">
        <v>1583</v>
      </c>
      <c r="K254" s="262">
        <v>7.5</v>
      </c>
      <c r="L254" s="4"/>
      <c r="M254" s="6" t="s">
        <v>1556</v>
      </c>
      <c r="N254" s="262">
        <v>10.5</v>
      </c>
      <c r="O254" s="4"/>
      <c r="V254"/>
      <c r="W254"/>
      <c r="X254"/>
      <c r="Y254"/>
      <c r="Z254"/>
    </row>
    <row r="255" spans="1:26" ht="16.05" customHeight="1">
      <c r="A255" s="6" t="s">
        <v>1543</v>
      </c>
      <c r="B255" s="262">
        <v>8</v>
      </c>
      <c r="C255" s="4"/>
      <c r="D255" s="13" t="s">
        <v>1599</v>
      </c>
      <c r="E255" s="261">
        <v>8.5</v>
      </c>
      <c r="F255" s="4"/>
      <c r="G255" s="6" t="s">
        <v>1527</v>
      </c>
      <c r="H255" s="262">
        <v>8</v>
      </c>
      <c r="I255" s="4"/>
      <c r="J255" s="6" t="s">
        <v>1584</v>
      </c>
      <c r="K255" s="262">
        <v>9.5</v>
      </c>
      <c r="L255" s="4"/>
      <c r="M255" s="6" t="s">
        <v>1557</v>
      </c>
      <c r="N255" s="262">
        <v>9.5</v>
      </c>
      <c r="O255" s="4"/>
      <c r="V255"/>
      <c r="W255"/>
      <c r="X255"/>
      <c r="Y255"/>
      <c r="Z255"/>
    </row>
    <row r="256" spans="1:26" ht="16.05" customHeight="1" thickBot="1">
      <c r="A256" s="6" t="s">
        <v>1544</v>
      </c>
      <c r="B256" s="262">
        <v>8</v>
      </c>
      <c r="C256" s="4"/>
      <c r="D256" s="6" t="s">
        <v>1600</v>
      </c>
      <c r="E256" s="262">
        <v>10</v>
      </c>
      <c r="F256" s="4"/>
      <c r="G256" s="9" t="s">
        <v>1528</v>
      </c>
      <c r="H256" s="263">
        <v>8</v>
      </c>
      <c r="I256" s="4"/>
      <c r="J256" s="6" t="s">
        <v>1585</v>
      </c>
      <c r="K256" s="262">
        <v>7.5</v>
      </c>
      <c r="L256" s="4"/>
      <c r="M256" s="6" t="s">
        <v>9</v>
      </c>
      <c r="N256" s="262">
        <v>8</v>
      </c>
      <c r="O256" s="4"/>
      <c r="V256"/>
      <c r="W256"/>
      <c r="X256"/>
      <c r="Y256"/>
      <c r="Z256"/>
    </row>
    <row r="257" spans="1:26" ht="16.05" customHeight="1" thickBot="1">
      <c r="A257" s="6" t="s">
        <v>1545</v>
      </c>
      <c r="B257" s="262">
        <v>8.5</v>
      </c>
      <c r="C257" s="4"/>
      <c r="D257" s="6" t="s">
        <v>1601</v>
      </c>
      <c r="E257" s="262">
        <v>9.5</v>
      </c>
      <c r="F257" s="4"/>
      <c r="G257" s="4"/>
      <c r="H257" s="4"/>
      <c r="I257" s="4"/>
      <c r="J257" s="6" t="s">
        <v>1586</v>
      </c>
      <c r="K257" s="262">
        <v>9</v>
      </c>
      <c r="L257" s="4"/>
      <c r="M257" s="6" t="s">
        <v>1558</v>
      </c>
      <c r="N257" s="262">
        <v>10.5</v>
      </c>
      <c r="O257" s="4"/>
      <c r="V257"/>
      <c r="W257"/>
      <c r="X257"/>
      <c r="Y257"/>
      <c r="Z257"/>
    </row>
    <row r="258" spans="1:26" ht="16.05" customHeight="1" thickBot="1">
      <c r="A258" s="9" t="s">
        <v>1546</v>
      </c>
      <c r="B258" s="263">
        <v>8.5</v>
      </c>
      <c r="C258" s="4"/>
      <c r="D258" s="6" t="s">
        <v>1602</v>
      </c>
      <c r="E258" s="262">
        <v>10</v>
      </c>
      <c r="F258" s="4"/>
      <c r="G258" s="191" t="s">
        <v>1613</v>
      </c>
      <c r="H258" s="14">
        <f>ROUND(SUM(H259:H263)/COUNT(H259:H263), 2)</f>
        <v>8.9</v>
      </c>
      <c r="I258" s="4"/>
      <c r="J258" s="6" t="s">
        <v>1587</v>
      </c>
      <c r="K258" s="262">
        <v>6.5</v>
      </c>
      <c r="L258" s="4"/>
      <c r="M258" s="6" t="s">
        <v>1559</v>
      </c>
      <c r="N258" s="262">
        <v>10.5</v>
      </c>
      <c r="O258" s="4"/>
      <c r="V258"/>
      <c r="W258"/>
      <c r="X258"/>
      <c r="Y258"/>
      <c r="Z258"/>
    </row>
    <row r="259" spans="1:26" ht="16.05" customHeight="1" thickBot="1">
      <c r="A259" s="4"/>
      <c r="B259" s="4"/>
      <c r="C259" s="4"/>
      <c r="D259" s="6" t="s">
        <v>1603</v>
      </c>
      <c r="E259" s="262"/>
      <c r="F259" s="4"/>
      <c r="G259" s="13" t="s">
        <v>1614</v>
      </c>
      <c r="H259" s="261">
        <v>9</v>
      </c>
      <c r="I259" s="4"/>
      <c r="J259" s="6" t="s">
        <v>1588</v>
      </c>
      <c r="K259" s="262"/>
      <c r="L259" s="4"/>
      <c r="M259" s="6" t="s">
        <v>1560</v>
      </c>
      <c r="N259" s="262">
        <v>9</v>
      </c>
      <c r="O259" s="4"/>
      <c r="V259"/>
      <c r="W259"/>
      <c r="X259"/>
      <c r="Y259"/>
      <c r="Z259"/>
    </row>
    <row r="260" spans="1:26" ht="16.05" customHeight="1" thickBot="1">
      <c r="A260" s="192" t="s">
        <v>1622</v>
      </c>
      <c r="B260" s="3">
        <f>ROUND(SUM(B261:B270)/COUNT(B261:B270), 2)</f>
        <v>8.75</v>
      </c>
      <c r="C260" s="4"/>
      <c r="D260" s="6" t="s">
        <v>1604</v>
      </c>
      <c r="E260" s="262">
        <v>8</v>
      </c>
      <c r="F260" s="4"/>
      <c r="G260" s="6" t="s">
        <v>1615</v>
      </c>
      <c r="H260" s="262">
        <v>8.5</v>
      </c>
      <c r="I260" s="4"/>
      <c r="J260" s="6" t="s">
        <v>1589</v>
      </c>
      <c r="K260" s="262">
        <v>7.5</v>
      </c>
      <c r="L260" s="4"/>
      <c r="M260" s="6" t="s">
        <v>1561</v>
      </c>
      <c r="N260" s="262">
        <v>8.5</v>
      </c>
      <c r="O260" s="4"/>
      <c r="V260"/>
      <c r="W260"/>
      <c r="X260"/>
      <c r="Y260"/>
      <c r="Z260"/>
    </row>
    <row r="261" spans="1:26" ht="16.05" customHeight="1">
      <c r="A261" s="6" t="s">
        <v>1623</v>
      </c>
      <c r="B261" s="262">
        <v>8</v>
      </c>
      <c r="C261" s="4"/>
      <c r="D261" s="6" t="s">
        <v>1605</v>
      </c>
      <c r="E261" s="262">
        <v>9</v>
      </c>
      <c r="F261" s="4"/>
      <c r="G261" s="6" t="s">
        <v>1616</v>
      </c>
      <c r="H261" s="262">
        <v>9</v>
      </c>
      <c r="I261" s="4"/>
      <c r="J261" s="6" t="s">
        <v>1590</v>
      </c>
      <c r="K261" s="262">
        <v>8.5</v>
      </c>
      <c r="L261" s="4"/>
      <c r="M261" s="6" t="s">
        <v>1562</v>
      </c>
      <c r="N261" s="262">
        <v>8</v>
      </c>
      <c r="O261" s="4"/>
      <c r="V261"/>
      <c r="W261"/>
      <c r="X261"/>
      <c r="Y261"/>
      <c r="Z261"/>
    </row>
    <row r="262" spans="1:26" ht="16.05" customHeight="1" thickBot="1">
      <c r="A262" s="6" t="s">
        <v>1624</v>
      </c>
      <c r="B262" s="262">
        <v>9.5</v>
      </c>
      <c r="C262" s="4"/>
      <c r="D262" s="6" t="s">
        <v>1606</v>
      </c>
      <c r="E262" s="262">
        <v>8</v>
      </c>
      <c r="F262" s="4"/>
      <c r="G262" s="6" t="s">
        <v>1617</v>
      </c>
      <c r="H262" s="262">
        <v>8</v>
      </c>
      <c r="I262" s="4"/>
      <c r="J262" s="9" t="s">
        <v>1591</v>
      </c>
      <c r="K262" s="263">
        <v>7.5</v>
      </c>
      <c r="L262" s="4"/>
      <c r="M262" s="6" t="s">
        <v>1563</v>
      </c>
      <c r="N262" s="262">
        <v>8</v>
      </c>
      <c r="O262" s="4"/>
      <c r="V262"/>
      <c r="W262"/>
      <c r="X262"/>
      <c r="Y262"/>
      <c r="Z262"/>
    </row>
    <row r="263" spans="1:26" ht="16.05" customHeight="1" thickBot="1">
      <c r="A263" s="6" t="s">
        <v>1625</v>
      </c>
      <c r="B263" s="262">
        <v>10</v>
      </c>
      <c r="C263" s="4"/>
      <c r="D263" s="6" t="s">
        <v>1607</v>
      </c>
      <c r="E263" s="262">
        <v>7</v>
      </c>
      <c r="F263" s="4"/>
      <c r="G263" s="9" t="s">
        <v>1618</v>
      </c>
      <c r="H263" s="263">
        <v>10</v>
      </c>
      <c r="I263" s="4"/>
      <c r="J263" s="4"/>
      <c r="K263" s="4"/>
      <c r="L263" s="4"/>
      <c r="M263" s="6" t="s">
        <v>1564</v>
      </c>
      <c r="N263" s="262">
        <v>7.5</v>
      </c>
      <c r="O263" s="4"/>
      <c r="V263"/>
      <c r="W263"/>
      <c r="X263"/>
      <c r="Y263"/>
      <c r="Z263"/>
    </row>
    <row r="264" spans="1:26" ht="16.05" customHeight="1" thickBot="1">
      <c r="A264" s="6" t="s">
        <v>1626</v>
      </c>
      <c r="B264" s="262">
        <v>9.5</v>
      </c>
      <c r="C264" s="4"/>
      <c r="D264" s="9" t="s">
        <v>1608</v>
      </c>
      <c r="E264" s="263">
        <v>6</v>
      </c>
      <c r="F264" s="4"/>
      <c r="G264" s="4"/>
      <c r="H264" s="4"/>
      <c r="I264" s="4"/>
      <c r="J264" s="193" t="s">
        <v>1638</v>
      </c>
      <c r="K264" s="3">
        <f>ROUND(SUM(K265:K274)/COUNT(K265:K274), 2)</f>
        <v>8.94</v>
      </c>
      <c r="L264" s="4"/>
      <c r="M264" s="6" t="s">
        <v>1565</v>
      </c>
      <c r="N264" s="262">
        <v>8</v>
      </c>
      <c r="O264" s="4"/>
      <c r="V264"/>
      <c r="W264"/>
      <c r="X264"/>
      <c r="Y264"/>
      <c r="Z264"/>
    </row>
    <row r="265" spans="1:26" ht="16.05" customHeight="1" thickBot="1">
      <c r="A265" s="6" t="s">
        <v>1627</v>
      </c>
      <c r="B265" s="262">
        <v>8</v>
      </c>
      <c r="C265" s="4"/>
      <c r="D265" s="4"/>
      <c r="E265" s="4"/>
      <c r="F265" s="4"/>
      <c r="G265" s="195" t="s">
        <v>1673</v>
      </c>
      <c r="H265" s="14">
        <f>ROUND(SUM(H266:H274)/COUNT(H266:H274), 2)</f>
        <v>8.75</v>
      </c>
      <c r="I265" s="4"/>
      <c r="J265" s="13" t="s">
        <v>1639</v>
      </c>
      <c r="K265" s="261">
        <v>8</v>
      </c>
      <c r="L265" s="4"/>
      <c r="M265" s="6" t="s">
        <v>1566</v>
      </c>
      <c r="N265" s="262">
        <v>9</v>
      </c>
      <c r="O265" s="4"/>
      <c r="V265"/>
      <c r="W265"/>
      <c r="X265"/>
      <c r="Y265"/>
      <c r="Z265"/>
    </row>
    <row r="266" spans="1:26" ht="16.05" customHeight="1" thickBot="1">
      <c r="A266" s="6" t="s">
        <v>1628</v>
      </c>
      <c r="B266" s="262">
        <v>8.5</v>
      </c>
      <c r="C266" s="4"/>
      <c r="D266" s="194" t="s">
        <v>1649</v>
      </c>
      <c r="E266" s="14">
        <f>ROUND(SUM(E267:E276)/COUNT(E267:E276), 2)</f>
        <v>8.6</v>
      </c>
      <c r="F266" s="4"/>
      <c r="G266" s="13" t="s">
        <v>1664</v>
      </c>
      <c r="H266" s="261">
        <v>8.5</v>
      </c>
      <c r="I266" s="4"/>
      <c r="J266" s="6" t="s">
        <v>1640</v>
      </c>
      <c r="K266" s="262">
        <v>8.5</v>
      </c>
      <c r="L266" s="4"/>
      <c r="M266" s="6" t="s">
        <v>1567</v>
      </c>
      <c r="N266" s="262">
        <v>8</v>
      </c>
      <c r="O266" s="4"/>
      <c r="V266"/>
      <c r="W266"/>
      <c r="X266"/>
      <c r="Y266"/>
      <c r="Z266"/>
    </row>
    <row r="267" spans="1:26" ht="16.05" customHeight="1">
      <c r="A267" s="6" t="s">
        <v>1629</v>
      </c>
      <c r="B267" s="262">
        <v>8.5</v>
      </c>
      <c r="C267" s="4"/>
      <c r="D267" s="13" t="s">
        <v>1650</v>
      </c>
      <c r="E267" s="261">
        <v>9.5</v>
      </c>
      <c r="F267" s="4"/>
      <c r="G267" s="6" t="s">
        <v>1665</v>
      </c>
      <c r="H267" s="262">
        <v>10</v>
      </c>
      <c r="I267" s="4"/>
      <c r="J267" s="6" t="s">
        <v>1641</v>
      </c>
      <c r="K267" s="262">
        <v>8.5</v>
      </c>
      <c r="L267" s="4"/>
      <c r="M267" s="6" t="s">
        <v>1568</v>
      </c>
      <c r="N267" s="262">
        <v>7.5</v>
      </c>
      <c r="O267" s="4"/>
      <c r="V267"/>
      <c r="W267"/>
      <c r="X267"/>
      <c r="Y267"/>
      <c r="Z267"/>
    </row>
    <row r="268" spans="1:26" ht="16.05" customHeight="1">
      <c r="A268" s="6" t="s">
        <v>1630</v>
      </c>
      <c r="B268" s="262">
        <v>8</v>
      </c>
      <c r="C268" s="4"/>
      <c r="D268" s="6" t="s">
        <v>1651</v>
      </c>
      <c r="E268" s="262">
        <v>8.5</v>
      </c>
      <c r="F268" s="4"/>
      <c r="G268" s="6" t="s">
        <v>1672</v>
      </c>
      <c r="H268" s="262">
        <v>9</v>
      </c>
      <c r="I268" s="4"/>
      <c r="J268" s="6" t="s">
        <v>1642</v>
      </c>
      <c r="K268" s="262">
        <v>9</v>
      </c>
      <c r="L268" s="4"/>
      <c r="M268" s="6" t="s">
        <v>1569</v>
      </c>
      <c r="N268" s="262">
        <v>8</v>
      </c>
      <c r="O268" s="4"/>
      <c r="V268"/>
      <c r="W268"/>
      <c r="X268"/>
      <c r="Y268"/>
      <c r="Z268"/>
    </row>
    <row r="269" spans="1:26" ht="16.05" customHeight="1">
      <c r="A269" s="6" t="s">
        <v>1631</v>
      </c>
      <c r="B269" s="262">
        <v>7.5</v>
      </c>
      <c r="C269" s="4"/>
      <c r="D269" s="6" t="s">
        <v>1652</v>
      </c>
      <c r="E269" s="262">
        <v>8.5</v>
      </c>
      <c r="F269" s="4"/>
      <c r="G269" s="6" t="s">
        <v>1666</v>
      </c>
      <c r="H269" s="262">
        <v>8.5</v>
      </c>
      <c r="I269" s="4"/>
      <c r="J269" s="6" t="s">
        <v>1643</v>
      </c>
      <c r="K269" s="262">
        <v>10</v>
      </c>
      <c r="L269" s="4"/>
      <c r="M269" s="6" t="s">
        <v>1570</v>
      </c>
      <c r="N269" s="262">
        <v>7.5</v>
      </c>
      <c r="O269" s="4"/>
      <c r="V269"/>
      <c r="W269"/>
      <c r="X269"/>
      <c r="Y269"/>
      <c r="Z269"/>
    </row>
    <row r="270" spans="1:26" ht="16.05" customHeight="1" thickBot="1">
      <c r="A270" s="9" t="s">
        <v>1632</v>
      </c>
      <c r="B270" s="263">
        <v>10</v>
      </c>
      <c r="C270" s="4"/>
      <c r="D270" s="6" t="s">
        <v>1653</v>
      </c>
      <c r="E270" s="262">
        <v>8</v>
      </c>
      <c r="F270" s="4"/>
      <c r="G270" s="6" t="s">
        <v>1667</v>
      </c>
      <c r="H270" s="262">
        <v>8.5</v>
      </c>
      <c r="I270" s="4"/>
      <c r="J270" s="6" t="s">
        <v>1644</v>
      </c>
      <c r="K270" s="262">
        <v>10.5</v>
      </c>
      <c r="L270" s="4"/>
      <c r="M270" s="6" t="s">
        <v>1571</v>
      </c>
      <c r="N270" s="262">
        <v>7.5</v>
      </c>
      <c r="O270" s="4"/>
      <c r="V270"/>
      <c r="W270"/>
      <c r="X270"/>
      <c r="Y270"/>
      <c r="Z270"/>
    </row>
    <row r="271" spans="1:26" ht="16.05" customHeight="1" thickBot="1">
      <c r="A271" s="4"/>
      <c r="B271" s="4"/>
      <c r="C271" s="4"/>
      <c r="D271" s="6" t="s">
        <v>1654</v>
      </c>
      <c r="E271" s="262">
        <v>7.5</v>
      </c>
      <c r="F271" s="4"/>
      <c r="G271" s="6" t="s">
        <v>1668</v>
      </c>
      <c r="H271" s="262"/>
      <c r="I271" s="4"/>
      <c r="J271" s="6" t="s">
        <v>1645</v>
      </c>
      <c r="K271" s="262"/>
      <c r="L271" s="4"/>
      <c r="M271" s="6" t="s">
        <v>1572</v>
      </c>
      <c r="N271" s="262">
        <v>7.5</v>
      </c>
      <c r="O271" s="4"/>
      <c r="V271"/>
      <c r="W271"/>
      <c r="X271"/>
      <c r="Y271"/>
      <c r="Z271"/>
    </row>
    <row r="272" spans="1:26" ht="16.05" customHeight="1" thickBot="1">
      <c r="A272" s="197" t="s">
        <v>1680</v>
      </c>
      <c r="B272" s="14">
        <f>ROUND(SUM(B273:B277)/COUNT(B273:B277), 2)</f>
        <v>8.4</v>
      </c>
      <c r="C272" s="4"/>
      <c r="D272" s="6" t="s">
        <v>1655</v>
      </c>
      <c r="E272" s="262">
        <v>9.5</v>
      </c>
      <c r="F272" s="4"/>
      <c r="G272" s="6" t="s">
        <v>1669</v>
      </c>
      <c r="H272" s="262">
        <v>8.5</v>
      </c>
      <c r="I272" s="4"/>
      <c r="J272" s="6" t="s">
        <v>1646</v>
      </c>
      <c r="K272" s="262">
        <v>9</v>
      </c>
      <c r="L272" s="4"/>
      <c r="M272" s="6" t="s">
        <v>1573</v>
      </c>
      <c r="N272" s="262">
        <v>9</v>
      </c>
      <c r="O272" s="4"/>
      <c r="V272"/>
      <c r="W272"/>
      <c r="X272"/>
      <c r="Y272"/>
      <c r="Z272"/>
    </row>
    <row r="273" spans="1:26" ht="16.05" customHeight="1">
      <c r="A273" s="6" t="s">
        <v>1681</v>
      </c>
      <c r="B273" s="262">
        <v>8.5</v>
      </c>
      <c r="C273" s="4"/>
      <c r="D273" s="6" t="s">
        <v>1656</v>
      </c>
      <c r="E273" s="262">
        <v>10</v>
      </c>
      <c r="F273" s="4"/>
      <c r="G273" s="6" t="s">
        <v>1670</v>
      </c>
      <c r="H273" s="262">
        <v>9</v>
      </c>
      <c r="I273" s="4"/>
      <c r="J273" s="6" t="s">
        <v>1647</v>
      </c>
      <c r="K273" s="262">
        <v>8.5</v>
      </c>
      <c r="L273" s="4"/>
      <c r="M273" s="6" t="s">
        <v>1574</v>
      </c>
      <c r="N273" s="262">
        <v>10</v>
      </c>
      <c r="O273" s="4"/>
      <c r="V273"/>
      <c r="W273"/>
      <c r="X273"/>
      <c r="Y273"/>
      <c r="Z273"/>
    </row>
    <row r="274" spans="1:26" ht="16.05" customHeight="1" thickBot="1">
      <c r="A274" s="6" t="s">
        <v>1682</v>
      </c>
      <c r="B274" s="262">
        <v>9</v>
      </c>
      <c r="C274" s="4"/>
      <c r="D274" s="6" t="s">
        <v>1657</v>
      </c>
      <c r="E274" s="262">
        <v>8</v>
      </c>
      <c r="F274" s="4"/>
      <c r="G274" s="9" t="s">
        <v>1671</v>
      </c>
      <c r="H274" s="263">
        <v>8</v>
      </c>
      <c r="I274" s="4"/>
      <c r="J274" s="9" t="s">
        <v>1648</v>
      </c>
      <c r="K274" s="263">
        <v>8.5</v>
      </c>
      <c r="L274" s="4"/>
      <c r="M274" s="6" t="s">
        <v>1575</v>
      </c>
      <c r="N274" s="262">
        <v>9</v>
      </c>
      <c r="O274" s="4"/>
      <c r="V274"/>
      <c r="W274"/>
      <c r="X274"/>
      <c r="Y274"/>
      <c r="Z274"/>
    </row>
    <row r="275" spans="1:26" ht="16.05" customHeight="1" thickBot="1">
      <c r="A275" s="6" t="s">
        <v>1683</v>
      </c>
      <c r="B275" s="262">
        <v>8.5</v>
      </c>
      <c r="C275" s="4"/>
      <c r="D275" s="6" t="s">
        <v>1658</v>
      </c>
      <c r="E275" s="262">
        <v>7.5</v>
      </c>
      <c r="F275" s="4"/>
      <c r="G275" s="4"/>
      <c r="H275" s="4"/>
      <c r="I275" s="4"/>
      <c r="J275" s="4"/>
      <c r="K275" s="4"/>
      <c r="L275" s="4"/>
      <c r="M275" s="9" t="s">
        <v>1576</v>
      </c>
      <c r="N275" s="263">
        <v>9</v>
      </c>
      <c r="O275" s="4"/>
      <c r="V275"/>
      <c r="W275"/>
      <c r="X275"/>
      <c r="Y275"/>
      <c r="Z275"/>
    </row>
    <row r="276" spans="1:26" ht="16.05" customHeight="1" thickBot="1">
      <c r="A276" s="6" t="s">
        <v>1684</v>
      </c>
      <c r="B276" s="262">
        <v>8</v>
      </c>
      <c r="C276" s="4"/>
      <c r="D276" s="9" t="s">
        <v>1659</v>
      </c>
      <c r="E276" s="263">
        <v>9</v>
      </c>
      <c r="F276" s="4"/>
      <c r="G276" s="199" t="s">
        <v>1690</v>
      </c>
      <c r="H276" s="3">
        <f>ROUND(SUM(H277:H286)/COUNT(H277:H286), 2)</f>
        <v>8.85</v>
      </c>
      <c r="I276" s="4"/>
      <c r="J276" s="200" t="s">
        <v>1714</v>
      </c>
      <c r="K276" s="3">
        <f>ROUND(SUM(K277:K284)/COUNT(K277:K284), 2)</f>
        <v>8.7100000000000009</v>
      </c>
      <c r="L276" s="4"/>
      <c r="M276" s="4"/>
      <c r="N276" s="4"/>
      <c r="O276" s="4"/>
      <c r="V276"/>
      <c r="W276"/>
      <c r="X276"/>
      <c r="Y276"/>
      <c r="Z276"/>
    </row>
    <row r="277" spans="1:26" ht="16.05" customHeight="1" thickBot="1">
      <c r="A277" s="9" t="s">
        <v>1685</v>
      </c>
      <c r="B277" s="263">
        <v>8</v>
      </c>
      <c r="C277" s="4"/>
      <c r="D277" s="4"/>
      <c r="E277" s="4"/>
      <c r="F277" s="4"/>
      <c r="G277" s="13" t="s">
        <v>1691</v>
      </c>
      <c r="H277" s="261">
        <v>9.5</v>
      </c>
      <c r="I277" s="4"/>
      <c r="J277" s="13" t="s">
        <v>1704</v>
      </c>
      <c r="K277" s="261">
        <v>8.5</v>
      </c>
      <c r="L277" s="4"/>
      <c r="M277" s="249" t="s">
        <v>1727</v>
      </c>
      <c r="N277" s="3">
        <f>ROUND(SUM(N278:N282)/COUNT(N278:N282), 2)</f>
        <v>8.4</v>
      </c>
      <c r="O277" s="4"/>
      <c r="V277"/>
      <c r="W277"/>
      <c r="X277"/>
      <c r="Y277"/>
      <c r="Z277"/>
    </row>
    <row r="278" spans="1:26" ht="16.05" customHeight="1" thickBot="1">
      <c r="A278" s="4"/>
      <c r="B278" s="4"/>
      <c r="C278" s="4"/>
      <c r="D278" s="201" t="s">
        <v>1715</v>
      </c>
      <c r="E278" s="14">
        <f>ROUND(SUM(E279:E286)/COUNT(E279:E286), 2)</f>
        <v>8.81</v>
      </c>
      <c r="F278" s="4"/>
      <c r="G278" s="6" t="s">
        <v>1692</v>
      </c>
      <c r="H278" s="262">
        <v>9</v>
      </c>
      <c r="I278" s="4"/>
      <c r="J278" s="6" t="s">
        <v>1705</v>
      </c>
      <c r="K278" s="262">
        <v>9</v>
      </c>
      <c r="L278" s="4"/>
      <c r="M278" s="6" t="s">
        <v>1728</v>
      </c>
      <c r="N278" s="262">
        <v>8</v>
      </c>
      <c r="O278" s="4"/>
      <c r="V278"/>
      <c r="W278"/>
      <c r="X278"/>
      <c r="Y278"/>
      <c r="Z278"/>
    </row>
    <row r="279" spans="1:26" ht="16.05" customHeight="1" thickBot="1">
      <c r="A279" s="250" t="s">
        <v>1734</v>
      </c>
      <c r="B279" s="14">
        <f>ROUND(SUM(B280:B307)/COUNT(B280:B307), 2)</f>
        <v>8.57</v>
      </c>
      <c r="C279" s="4"/>
      <c r="D279" s="13" t="s">
        <v>1716</v>
      </c>
      <c r="E279" s="261">
        <v>8</v>
      </c>
      <c r="F279" s="4"/>
      <c r="G279" s="6" t="s">
        <v>1693</v>
      </c>
      <c r="H279" s="262">
        <v>10</v>
      </c>
      <c r="I279" s="4"/>
      <c r="J279" s="6" t="s">
        <v>1706</v>
      </c>
      <c r="K279" s="262"/>
      <c r="L279" s="4"/>
      <c r="M279" s="6" t="s">
        <v>1729</v>
      </c>
      <c r="N279" s="262">
        <v>7.5</v>
      </c>
      <c r="O279" s="4"/>
      <c r="V279"/>
      <c r="W279"/>
      <c r="X279"/>
      <c r="Y279"/>
      <c r="Z279"/>
    </row>
    <row r="280" spans="1:26" ht="16.05" customHeight="1">
      <c r="A280" s="13" t="s">
        <v>1735</v>
      </c>
      <c r="B280" s="261"/>
      <c r="C280" s="4"/>
      <c r="D280" s="6" t="s">
        <v>1717</v>
      </c>
      <c r="E280" s="262">
        <v>8.5</v>
      </c>
      <c r="F280" s="4"/>
      <c r="G280" s="6" t="s">
        <v>1694</v>
      </c>
      <c r="H280" s="262">
        <v>8.5</v>
      </c>
      <c r="I280" s="4"/>
      <c r="J280" s="6" t="s">
        <v>1707</v>
      </c>
      <c r="K280" s="262">
        <v>8.5</v>
      </c>
      <c r="L280" s="4"/>
      <c r="M280" s="6" t="s">
        <v>1730</v>
      </c>
      <c r="N280" s="262">
        <v>8</v>
      </c>
      <c r="O280" s="4"/>
      <c r="V280"/>
      <c r="W280"/>
      <c r="X280"/>
      <c r="Y280"/>
      <c r="Z280"/>
    </row>
    <row r="281" spans="1:26" ht="16.05" customHeight="1">
      <c r="A281" s="6" t="s">
        <v>1736</v>
      </c>
      <c r="B281" s="262">
        <v>10</v>
      </c>
      <c r="C281" s="4"/>
      <c r="D281" s="6" t="s">
        <v>1718</v>
      </c>
      <c r="E281" s="262">
        <v>8</v>
      </c>
      <c r="F281" s="4"/>
      <c r="G281" s="6" t="s">
        <v>1695</v>
      </c>
      <c r="H281" s="262">
        <v>8</v>
      </c>
      <c r="I281" s="4"/>
      <c r="J281" s="6" t="s">
        <v>1708</v>
      </c>
      <c r="K281" s="262">
        <v>10</v>
      </c>
      <c r="L281" s="4"/>
      <c r="M281" s="6" t="s">
        <v>1731</v>
      </c>
      <c r="N281" s="262">
        <v>8.5</v>
      </c>
      <c r="O281" s="4"/>
      <c r="V281"/>
      <c r="W281"/>
      <c r="X281"/>
      <c r="Y281"/>
      <c r="Z281"/>
    </row>
    <row r="282" spans="1:26" ht="16.05" customHeight="1" thickBot="1">
      <c r="A282" s="6" t="s">
        <v>1737</v>
      </c>
      <c r="B282" s="262">
        <v>8</v>
      </c>
      <c r="C282" s="4"/>
      <c r="D282" s="6" t="s">
        <v>1719</v>
      </c>
      <c r="E282" s="262">
        <v>8.5</v>
      </c>
      <c r="F282" s="4"/>
      <c r="G282" s="6" t="s">
        <v>1696</v>
      </c>
      <c r="H282" s="262">
        <v>8.5</v>
      </c>
      <c r="I282" s="4"/>
      <c r="J282" s="6" t="s">
        <v>1709</v>
      </c>
      <c r="K282" s="262">
        <v>8</v>
      </c>
      <c r="L282" s="4"/>
      <c r="M282" s="9" t="s">
        <v>1732</v>
      </c>
      <c r="N282" s="263">
        <v>10</v>
      </c>
      <c r="O282" s="4"/>
      <c r="V282"/>
      <c r="W282"/>
      <c r="X282"/>
      <c r="Y282"/>
      <c r="Z282"/>
    </row>
    <row r="283" spans="1:26" ht="16.05" customHeight="1" thickBot="1">
      <c r="A283" s="6" t="s">
        <v>1738</v>
      </c>
      <c r="B283" s="262">
        <v>9.5</v>
      </c>
      <c r="C283" s="4"/>
      <c r="D283" s="6" t="s">
        <v>1720</v>
      </c>
      <c r="E283" s="262">
        <v>10</v>
      </c>
      <c r="F283" s="4"/>
      <c r="G283" s="6" t="s">
        <v>1697</v>
      </c>
      <c r="H283" s="262">
        <v>8.5</v>
      </c>
      <c r="I283" s="4"/>
      <c r="J283" s="6" t="s">
        <v>1710</v>
      </c>
      <c r="K283" s="262">
        <v>9</v>
      </c>
      <c r="L283" s="4"/>
      <c r="M283" s="4"/>
      <c r="N283" s="4"/>
      <c r="O283" s="4"/>
      <c r="V283"/>
      <c r="W283"/>
      <c r="X283"/>
      <c r="Y283"/>
      <c r="Z283"/>
    </row>
    <row r="284" spans="1:26" ht="16.05" customHeight="1" thickBot="1">
      <c r="A284" s="6" t="s">
        <v>1739</v>
      </c>
      <c r="B284" s="262">
        <v>8</v>
      </c>
      <c r="C284" s="4"/>
      <c r="D284" s="6" t="s">
        <v>1721</v>
      </c>
      <c r="E284" s="262">
        <v>9.5</v>
      </c>
      <c r="F284" s="4"/>
      <c r="G284" s="6" t="s">
        <v>1698</v>
      </c>
      <c r="H284" s="262">
        <v>9</v>
      </c>
      <c r="I284" s="4"/>
      <c r="J284" s="9" t="s">
        <v>1711</v>
      </c>
      <c r="K284" s="263">
        <v>8</v>
      </c>
      <c r="L284" s="4"/>
      <c r="M284" s="260" t="s">
        <v>1763</v>
      </c>
      <c r="N284" s="252">
        <f>ROUND(SUM(N285:N295)/COUNT(N285:N295), 2)</f>
        <v>8.91</v>
      </c>
      <c r="O284" s="4"/>
      <c r="V284"/>
      <c r="W284"/>
      <c r="X284"/>
      <c r="Y284"/>
      <c r="Z284"/>
    </row>
    <row r="285" spans="1:26" ht="16.05" customHeight="1" thickBot="1">
      <c r="A285" s="6" t="s">
        <v>1740</v>
      </c>
      <c r="B285" s="262">
        <v>10</v>
      </c>
      <c r="C285" s="4"/>
      <c r="D285" s="6" t="s">
        <v>1722</v>
      </c>
      <c r="E285" s="262">
        <v>8</v>
      </c>
      <c r="F285" s="4"/>
      <c r="G285" s="6" t="s">
        <v>1699</v>
      </c>
      <c r="H285" s="262">
        <v>8.5</v>
      </c>
      <c r="I285" s="4"/>
      <c r="J285" s="4"/>
      <c r="K285" s="4"/>
      <c r="L285" s="4"/>
      <c r="M285" s="13" t="s">
        <v>1764</v>
      </c>
      <c r="N285" s="261">
        <v>9</v>
      </c>
      <c r="O285" s="4"/>
      <c r="V285"/>
      <c r="W285"/>
      <c r="X285"/>
      <c r="Y285"/>
      <c r="Z285"/>
    </row>
    <row r="286" spans="1:26" ht="16.05" customHeight="1" thickBot="1">
      <c r="A286" s="6" t="s">
        <v>1741</v>
      </c>
      <c r="B286" s="262">
        <v>9</v>
      </c>
      <c r="C286" s="4"/>
      <c r="D286" s="9" t="s">
        <v>1723</v>
      </c>
      <c r="E286" s="263">
        <v>10</v>
      </c>
      <c r="F286" s="4"/>
      <c r="G286" s="9" t="s">
        <v>1700</v>
      </c>
      <c r="H286" s="263">
        <v>9</v>
      </c>
      <c r="I286" s="4"/>
      <c r="J286" s="253" t="s">
        <v>1787</v>
      </c>
      <c r="K286" s="3">
        <f>ROUND(SUM(K287:K294)/COUNT(K287:K294), 2)</f>
        <v>8.06</v>
      </c>
      <c r="L286" s="4"/>
      <c r="M286" s="6" t="s">
        <v>1765</v>
      </c>
      <c r="N286" s="262">
        <v>9.5</v>
      </c>
      <c r="O286" s="4"/>
      <c r="V286"/>
      <c r="W286"/>
      <c r="X286"/>
      <c r="Y286"/>
      <c r="Z286"/>
    </row>
    <row r="287" spans="1:26" ht="16.05" customHeight="1" thickBot="1">
      <c r="A287" s="6" t="s">
        <v>1742</v>
      </c>
      <c r="B287" s="262">
        <v>8.5</v>
      </c>
      <c r="C287" s="4"/>
      <c r="D287" s="4"/>
      <c r="E287" s="4"/>
      <c r="F287" s="4"/>
      <c r="G287" s="4"/>
      <c r="H287" s="4"/>
      <c r="I287" s="4"/>
      <c r="J287" s="6" t="s">
        <v>1779</v>
      </c>
      <c r="K287" s="262">
        <v>9</v>
      </c>
      <c r="L287" s="4"/>
      <c r="M287" s="6" t="s">
        <v>1766</v>
      </c>
      <c r="N287" s="262">
        <v>9</v>
      </c>
      <c r="O287" s="4"/>
      <c r="V287"/>
      <c r="W287"/>
      <c r="X287"/>
      <c r="Y287"/>
      <c r="Z287"/>
    </row>
    <row r="288" spans="1:26" ht="16.05" customHeight="1" thickBot="1">
      <c r="A288" s="6" t="s">
        <v>1743</v>
      </c>
      <c r="B288" s="262">
        <v>7.5</v>
      </c>
      <c r="C288" s="4"/>
      <c r="D288" s="254" t="s">
        <v>1789</v>
      </c>
      <c r="E288" s="14">
        <f>ROUND(SUM(E289:E297)/COUNT(E289:E297), 2)</f>
        <v>8.5</v>
      </c>
      <c r="F288" s="4"/>
      <c r="G288" s="259" t="s">
        <v>1801</v>
      </c>
      <c r="H288" s="14">
        <f>ROUND(SUM(H289:H294)/COUNT(H289:H294), 2)</f>
        <v>8.83</v>
      </c>
      <c r="I288" s="4"/>
      <c r="J288" s="6" t="s">
        <v>1780</v>
      </c>
      <c r="K288" s="262">
        <v>9</v>
      </c>
      <c r="L288" s="4"/>
      <c r="M288" s="6" t="s">
        <v>1767</v>
      </c>
      <c r="N288" s="262">
        <v>8.5</v>
      </c>
      <c r="O288" s="4"/>
      <c r="V288"/>
      <c r="W288"/>
      <c r="X288"/>
      <c r="Y288"/>
      <c r="Z288"/>
    </row>
    <row r="289" spans="1:26" ht="16.05" customHeight="1">
      <c r="A289" s="6" t="s">
        <v>1744</v>
      </c>
      <c r="B289" s="262">
        <v>8.5</v>
      </c>
      <c r="C289" s="4"/>
      <c r="D289" s="13" t="s">
        <v>1790</v>
      </c>
      <c r="E289" s="261">
        <v>8</v>
      </c>
      <c r="F289" s="4"/>
      <c r="G289" s="13" t="s">
        <v>1802</v>
      </c>
      <c r="H289" s="261">
        <v>9</v>
      </c>
      <c r="I289" s="4"/>
      <c r="J289" s="6" t="s">
        <v>1781</v>
      </c>
      <c r="K289" s="262">
        <v>8</v>
      </c>
      <c r="L289" s="4"/>
      <c r="M289" s="6" t="s">
        <v>1768</v>
      </c>
      <c r="N289" s="262">
        <v>8.5</v>
      </c>
      <c r="O289" s="4"/>
      <c r="V289"/>
      <c r="W289"/>
      <c r="X289"/>
      <c r="Y289"/>
      <c r="Z289"/>
    </row>
    <row r="290" spans="1:26" ht="16.05" customHeight="1">
      <c r="A290" s="6" t="s">
        <v>1745</v>
      </c>
      <c r="B290" s="262">
        <v>8.5</v>
      </c>
      <c r="C290" s="4"/>
      <c r="D290" s="6" t="s">
        <v>1791</v>
      </c>
      <c r="E290" s="262">
        <v>9</v>
      </c>
      <c r="F290" s="4"/>
      <c r="G290" s="6" t="s">
        <v>1803</v>
      </c>
      <c r="H290" s="262">
        <v>8.5</v>
      </c>
      <c r="I290" s="4"/>
      <c r="J290" s="6" t="s">
        <v>1782</v>
      </c>
      <c r="K290" s="262">
        <v>7</v>
      </c>
      <c r="L290" s="4"/>
      <c r="M290" s="6" t="s">
        <v>1769</v>
      </c>
      <c r="N290" s="262">
        <v>9</v>
      </c>
      <c r="O290" s="4"/>
      <c r="V290"/>
      <c r="W290"/>
      <c r="X290"/>
      <c r="Y290"/>
      <c r="Z290"/>
    </row>
    <row r="291" spans="1:26" ht="16.05" customHeight="1">
      <c r="A291" s="6" t="s">
        <v>1746</v>
      </c>
      <c r="B291" s="262">
        <v>8</v>
      </c>
      <c r="C291" s="4"/>
      <c r="D291" s="6" t="s">
        <v>1792</v>
      </c>
      <c r="E291" s="262">
        <v>8.5</v>
      </c>
      <c r="F291" s="4"/>
      <c r="G291" s="6" t="s">
        <v>1804</v>
      </c>
      <c r="H291" s="262">
        <v>8</v>
      </c>
      <c r="I291" s="4"/>
      <c r="J291" s="6" t="s">
        <v>1783</v>
      </c>
      <c r="K291" s="262">
        <v>7.5</v>
      </c>
      <c r="L291" s="4"/>
      <c r="M291" s="6" t="s">
        <v>577</v>
      </c>
      <c r="N291" s="262">
        <v>8</v>
      </c>
      <c r="O291" s="4"/>
      <c r="V291"/>
      <c r="W291"/>
      <c r="X291"/>
      <c r="Y291"/>
      <c r="Z291"/>
    </row>
    <row r="292" spans="1:26" ht="16.05" customHeight="1">
      <c r="A292" s="6" t="s">
        <v>1747</v>
      </c>
      <c r="B292" s="262">
        <v>9</v>
      </c>
      <c r="C292" s="4"/>
      <c r="D292" s="6" t="s">
        <v>1793</v>
      </c>
      <c r="E292" s="262">
        <v>8.5</v>
      </c>
      <c r="F292" s="4"/>
      <c r="G292" s="6" t="s">
        <v>1805</v>
      </c>
      <c r="H292" s="262">
        <v>9</v>
      </c>
      <c r="I292" s="4"/>
      <c r="J292" s="6" t="s">
        <v>1784</v>
      </c>
      <c r="K292" s="262">
        <v>8</v>
      </c>
      <c r="L292" s="4"/>
      <c r="M292" s="6" t="s">
        <v>1770</v>
      </c>
      <c r="N292" s="262">
        <v>10</v>
      </c>
      <c r="O292" s="4"/>
      <c r="V292"/>
      <c r="W292"/>
      <c r="X292"/>
      <c r="Y292"/>
      <c r="Z292"/>
    </row>
    <row r="293" spans="1:26" ht="16.05" customHeight="1">
      <c r="A293" s="6" t="s">
        <v>1748</v>
      </c>
      <c r="B293" s="262">
        <v>8.5</v>
      </c>
      <c r="C293" s="4"/>
      <c r="D293" s="6" t="s">
        <v>1794</v>
      </c>
      <c r="E293" s="262">
        <v>9</v>
      </c>
      <c r="F293" s="4"/>
      <c r="G293" s="6" t="s">
        <v>1806</v>
      </c>
      <c r="H293" s="262">
        <v>8.5</v>
      </c>
      <c r="I293" s="4"/>
      <c r="J293" s="6" t="s">
        <v>1785</v>
      </c>
      <c r="K293" s="262">
        <v>7</v>
      </c>
      <c r="L293" s="4"/>
      <c r="M293" s="6" t="s">
        <v>1771</v>
      </c>
      <c r="N293" s="262">
        <v>8</v>
      </c>
      <c r="O293" s="4"/>
      <c r="V293"/>
      <c r="W293"/>
      <c r="X293"/>
      <c r="Y293"/>
      <c r="Z293"/>
    </row>
    <row r="294" spans="1:26" ht="16.05" customHeight="1" thickBot="1">
      <c r="A294" s="6" t="s">
        <v>1749</v>
      </c>
      <c r="B294" s="262">
        <v>8</v>
      </c>
      <c r="C294" s="4"/>
      <c r="D294" s="6" t="s">
        <v>1795</v>
      </c>
      <c r="E294" s="262">
        <v>8</v>
      </c>
      <c r="F294" s="4"/>
      <c r="G294" s="9" t="s">
        <v>1807</v>
      </c>
      <c r="H294" s="263">
        <v>10</v>
      </c>
      <c r="I294" s="4"/>
      <c r="J294" s="9" t="s">
        <v>1786</v>
      </c>
      <c r="K294" s="263">
        <v>9</v>
      </c>
      <c r="L294" s="4"/>
      <c r="M294" s="6" t="s">
        <v>1772</v>
      </c>
      <c r="N294" s="262">
        <v>8.5</v>
      </c>
      <c r="O294" s="4"/>
      <c r="V294"/>
      <c r="W294"/>
      <c r="X294"/>
      <c r="Y294"/>
      <c r="Z294"/>
    </row>
    <row r="295" spans="1:26" ht="16.05" customHeight="1" thickBot="1">
      <c r="A295" s="6" t="s">
        <v>1750</v>
      </c>
      <c r="B295" s="262">
        <v>8</v>
      </c>
      <c r="C295" s="4"/>
      <c r="D295" s="6" t="s">
        <v>1796</v>
      </c>
      <c r="E295" s="262">
        <v>9</v>
      </c>
      <c r="F295" s="4"/>
      <c r="G295" s="4"/>
      <c r="H295" s="4"/>
      <c r="I295" s="4"/>
      <c r="J295" s="4"/>
      <c r="K295" s="4"/>
      <c r="L295" s="4"/>
      <c r="M295" s="9" t="s">
        <v>1773</v>
      </c>
      <c r="N295" s="263">
        <v>10</v>
      </c>
      <c r="O295" s="4"/>
      <c r="V295"/>
      <c r="W295"/>
      <c r="X295"/>
      <c r="Y295"/>
      <c r="Z295"/>
    </row>
    <row r="296" spans="1:26" ht="16.05" customHeight="1" thickBot="1">
      <c r="A296" s="6" t="s">
        <v>1751</v>
      </c>
      <c r="B296" s="262">
        <v>9</v>
      </c>
      <c r="C296" s="4"/>
      <c r="D296" s="6" t="s">
        <v>1797</v>
      </c>
      <c r="E296" s="262">
        <v>8.5</v>
      </c>
      <c r="F296" s="4"/>
      <c r="G296" s="255" t="s">
        <v>1825</v>
      </c>
      <c r="H296" s="14">
        <f>ROUND(SUM(H297:H307)/COUNT(H297:H307), 2)</f>
        <v>3.68</v>
      </c>
      <c r="I296" s="4"/>
      <c r="J296" s="274" t="s">
        <v>1844</v>
      </c>
      <c r="K296" s="14">
        <f>ROUND(SUM(K297:K302)/COUNT(K297:K302), 2)</f>
        <v>8.92</v>
      </c>
      <c r="L296" s="4"/>
      <c r="M296" s="4"/>
      <c r="N296" s="4"/>
      <c r="O296" s="4"/>
      <c r="V296"/>
      <c r="W296"/>
      <c r="X296"/>
      <c r="Y296"/>
      <c r="Z296"/>
    </row>
    <row r="297" spans="1:26" ht="16.05" customHeight="1" thickBot="1">
      <c r="A297" s="6" t="s">
        <v>1752</v>
      </c>
      <c r="B297" s="262">
        <v>8</v>
      </c>
      <c r="C297" s="4"/>
      <c r="D297" s="9" t="s">
        <v>1798</v>
      </c>
      <c r="E297" s="263">
        <v>8</v>
      </c>
      <c r="F297" s="4"/>
      <c r="G297" s="13" t="s">
        <v>1826</v>
      </c>
      <c r="H297" s="261">
        <v>6.5</v>
      </c>
      <c r="I297" s="4"/>
      <c r="J297" s="13" t="s">
        <v>1845</v>
      </c>
      <c r="K297" s="261">
        <v>9</v>
      </c>
      <c r="L297" s="4"/>
      <c r="M297" s="276" t="s">
        <v>1859</v>
      </c>
      <c r="N297" s="14">
        <f>ROUND(SUM(N298:N304)/COUNT(N298:N304), 2)</f>
        <v>8.2899999999999991</v>
      </c>
      <c r="O297" s="4"/>
      <c r="V297"/>
      <c r="W297"/>
      <c r="X297"/>
      <c r="Y297"/>
      <c r="Z297"/>
    </row>
    <row r="298" spans="1:26" ht="16.05" customHeight="1" thickBot="1">
      <c r="A298" s="273">
        <v>1979</v>
      </c>
      <c r="B298" s="262">
        <v>10.5</v>
      </c>
      <c r="C298" s="4"/>
      <c r="D298" s="4"/>
      <c r="E298" s="4"/>
      <c r="F298" s="4"/>
      <c r="G298" s="6" t="s">
        <v>1827</v>
      </c>
      <c r="H298" s="262">
        <v>5</v>
      </c>
      <c r="I298" s="4"/>
      <c r="J298" s="6" t="s">
        <v>1846</v>
      </c>
      <c r="K298" s="262">
        <v>8.5</v>
      </c>
      <c r="L298" s="4"/>
      <c r="M298" s="13" t="s">
        <v>1852</v>
      </c>
      <c r="N298" s="261">
        <v>8</v>
      </c>
      <c r="O298" s="4"/>
      <c r="V298"/>
      <c r="W298"/>
      <c r="X298"/>
      <c r="Y298"/>
      <c r="Z298"/>
    </row>
    <row r="299" spans="1:26" ht="16.05" customHeight="1" thickBot="1">
      <c r="A299" s="6" t="s">
        <v>1753</v>
      </c>
      <c r="B299" s="262">
        <v>7</v>
      </c>
      <c r="C299" s="4"/>
      <c r="D299" s="277" t="s">
        <v>1862</v>
      </c>
      <c r="E299" s="14">
        <f>ROUND(SUM(E300:E309)/COUNT(E300:E309), 2)</f>
        <v>8.2899999999999991</v>
      </c>
      <c r="F299" s="4"/>
      <c r="G299" s="6" t="s">
        <v>1828</v>
      </c>
      <c r="H299" s="262">
        <v>5.5</v>
      </c>
      <c r="I299" s="4"/>
      <c r="J299" s="6" t="s">
        <v>1847</v>
      </c>
      <c r="K299" s="262">
        <v>9</v>
      </c>
      <c r="L299" s="4"/>
      <c r="M299" s="6" t="s">
        <v>1853</v>
      </c>
      <c r="N299" s="262">
        <v>7.5</v>
      </c>
      <c r="O299" s="4"/>
      <c r="V299"/>
      <c r="W299"/>
      <c r="X299"/>
      <c r="Y299"/>
      <c r="Z299"/>
    </row>
    <row r="300" spans="1:26" ht="16.05" customHeight="1">
      <c r="A300" s="6" t="s">
        <v>1754</v>
      </c>
      <c r="B300" s="262">
        <v>8.5</v>
      </c>
      <c r="C300" s="4"/>
      <c r="D300" s="13" t="s">
        <v>1863</v>
      </c>
      <c r="E300" s="261"/>
      <c r="F300" s="4"/>
      <c r="G300" s="6" t="s">
        <v>1829</v>
      </c>
      <c r="H300" s="262">
        <v>4</v>
      </c>
      <c r="I300" s="4"/>
      <c r="J300" s="6" t="s">
        <v>1848</v>
      </c>
      <c r="K300" s="262">
        <v>8.5</v>
      </c>
      <c r="L300" s="4"/>
      <c r="M300" s="6" t="s">
        <v>1854</v>
      </c>
      <c r="N300" s="262">
        <v>9</v>
      </c>
      <c r="O300" s="4"/>
      <c r="V300"/>
      <c r="W300"/>
      <c r="X300"/>
      <c r="Y300"/>
      <c r="Z300"/>
    </row>
    <row r="301" spans="1:26" ht="16.05" customHeight="1">
      <c r="A301" s="6" t="s">
        <v>1755</v>
      </c>
      <c r="B301" s="262">
        <v>8.5</v>
      </c>
      <c r="C301" s="4"/>
      <c r="D301" s="6" t="s">
        <v>1864</v>
      </c>
      <c r="E301" s="262">
        <v>8.5</v>
      </c>
      <c r="F301" s="4"/>
      <c r="G301" s="6" t="s">
        <v>1830</v>
      </c>
      <c r="H301" s="262">
        <v>3</v>
      </c>
      <c r="I301" s="4"/>
      <c r="J301" s="6" t="s">
        <v>1849</v>
      </c>
      <c r="K301" s="262">
        <v>8</v>
      </c>
      <c r="L301" s="4"/>
      <c r="M301" s="6" t="s">
        <v>1855</v>
      </c>
      <c r="N301" s="262">
        <v>8</v>
      </c>
      <c r="O301" s="4"/>
      <c r="V301"/>
      <c r="W301"/>
      <c r="X301"/>
      <c r="Y301"/>
      <c r="Z301"/>
    </row>
    <row r="302" spans="1:26" ht="16.05" customHeight="1" thickBot="1">
      <c r="A302" s="6" t="s">
        <v>1756</v>
      </c>
      <c r="B302" s="262">
        <v>7.5</v>
      </c>
      <c r="C302" s="4"/>
      <c r="D302" s="6" t="s">
        <v>1865</v>
      </c>
      <c r="E302" s="262">
        <v>9</v>
      </c>
      <c r="F302" s="4"/>
      <c r="G302" s="6" t="s">
        <v>1831</v>
      </c>
      <c r="H302" s="262">
        <v>3</v>
      </c>
      <c r="I302" s="4"/>
      <c r="J302" s="9" t="s">
        <v>1850</v>
      </c>
      <c r="K302" s="263">
        <v>10.5</v>
      </c>
      <c r="L302" s="4"/>
      <c r="M302" s="6" t="s">
        <v>1856</v>
      </c>
      <c r="N302" s="262">
        <v>8.5</v>
      </c>
      <c r="O302" s="4"/>
      <c r="V302"/>
      <c r="W302"/>
      <c r="X302"/>
      <c r="Y302"/>
      <c r="Z302"/>
    </row>
    <row r="303" spans="1:26" ht="16.05" customHeight="1" thickBot="1">
      <c r="A303" s="6" t="s">
        <v>1757</v>
      </c>
      <c r="B303" s="262">
        <v>8.5</v>
      </c>
      <c r="C303" s="4"/>
      <c r="D303" s="6" t="s">
        <v>1866</v>
      </c>
      <c r="E303" s="262"/>
      <c r="F303" s="4"/>
      <c r="G303" s="6" t="s">
        <v>1832</v>
      </c>
      <c r="H303" s="262">
        <v>3</v>
      </c>
      <c r="I303" s="4"/>
      <c r="J303" s="4"/>
      <c r="K303" s="4"/>
      <c r="L303" s="4"/>
      <c r="M303" s="6" t="s">
        <v>1857</v>
      </c>
      <c r="N303" s="262">
        <v>8</v>
      </c>
      <c r="O303" s="4"/>
      <c r="V303"/>
      <c r="W303"/>
      <c r="X303"/>
      <c r="Y303"/>
      <c r="Z303"/>
    </row>
    <row r="304" spans="1:26" ht="16.05" customHeight="1" thickBot="1">
      <c r="A304" s="6" t="s">
        <v>1758</v>
      </c>
      <c r="B304" s="262">
        <v>9</v>
      </c>
      <c r="C304" s="4"/>
      <c r="D304" s="6" t="s">
        <v>1867</v>
      </c>
      <c r="E304" s="262">
        <v>7.5</v>
      </c>
      <c r="F304" s="4"/>
      <c r="G304" s="6" t="s">
        <v>1833</v>
      </c>
      <c r="H304" s="262">
        <v>3.5</v>
      </c>
      <c r="I304" s="4"/>
      <c r="J304" s="278" t="s">
        <v>1887</v>
      </c>
      <c r="K304" s="14">
        <f>ROUND(SUM(K305:K316)/COUNT(K305:K316), 2)</f>
        <v>8.9600000000000009</v>
      </c>
      <c r="L304" s="4"/>
      <c r="M304" s="9" t="s">
        <v>1858</v>
      </c>
      <c r="N304" s="263">
        <v>9</v>
      </c>
      <c r="O304" s="4"/>
      <c r="V304"/>
      <c r="W304"/>
      <c r="X304"/>
      <c r="Y304"/>
      <c r="Z304"/>
    </row>
    <row r="305" spans="1:26" ht="16.05" customHeight="1" thickBot="1">
      <c r="A305" s="6" t="s">
        <v>1759</v>
      </c>
      <c r="B305" s="262">
        <v>8.5</v>
      </c>
      <c r="C305" s="4"/>
      <c r="D305" s="6" t="s">
        <v>1868</v>
      </c>
      <c r="E305" s="262">
        <v>8.5</v>
      </c>
      <c r="F305" s="4"/>
      <c r="G305" s="6" t="s">
        <v>1834</v>
      </c>
      <c r="H305" s="262">
        <v>3</v>
      </c>
      <c r="I305" s="4"/>
      <c r="J305" s="13" t="s">
        <v>1875</v>
      </c>
      <c r="K305" s="261">
        <v>8.5</v>
      </c>
      <c r="L305" s="4"/>
      <c r="M305" s="4"/>
      <c r="N305" s="4"/>
      <c r="O305" s="4"/>
      <c r="V305"/>
      <c r="W305"/>
      <c r="X305"/>
      <c r="Y305"/>
      <c r="Z305"/>
    </row>
    <row r="306" spans="1:26" ht="16.05" customHeight="1" thickBot="1">
      <c r="A306" s="6" t="s">
        <v>1760</v>
      </c>
      <c r="B306" s="262">
        <v>9</v>
      </c>
      <c r="C306" s="4"/>
      <c r="D306" s="6" t="s">
        <v>1869</v>
      </c>
      <c r="E306" s="262">
        <v>8</v>
      </c>
      <c r="F306" s="4"/>
      <c r="G306" s="6" t="s">
        <v>1835</v>
      </c>
      <c r="H306" s="262">
        <v>2</v>
      </c>
      <c r="I306" s="4"/>
      <c r="J306" s="6" t="s">
        <v>1876</v>
      </c>
      <c r="K306" s="262">
        <v>10</v>
      </c>
      <c r="L306" s="4"/>
      <c r="M306" s="280" t="s">
        <v>1894</v>
      </c>
      <c r="N306" s="14">
        <f>ROUND(SUM(N307:N316)/COUNT(N307:N316), 2)</f>
        <v>8.6</v>
      </c>
      <c r="O306" s="4"/>
      <c r="V306"/>
      <c r="W306"/>
      <c r="X306"/>
      <c r="Y306"/>
      <c r="Z306"/>
    </row>
    <row r="307" spans="1:26" ht="16.05" customHeight="1" thickBot="1">
      <c r="A307" s="9" t="s">
        <v>1761</v>
      </c>
      <c r="B307" s="263">
        <v>8.5</v>
      </c>
      <c r="C307" s="4"/>
      <c r="D307" s="6" t="s">
        <v>1870</v>
      </c>
      <c r="E307" s="262">
        <v>8</v>
      </c>
      <c r="F307" s="4"/>
      <c r="G307" s="9" t="s">
        <v>1836</v>
      </c>
      <c r="H307" s="263">
        <v>2</v>
      </c>
      <c r="I307" s="4"/>
      <c r="J307" s="6" t="s">
        <v>1877</v>
      </c>
      <c r="K307" s="262">
        <v>9</v>
      </c>
      <c r="L307" s="4"/>
      <c r="M307" s="13" t="s">
        <v>1895</v>
      </c>
      <c r="N307" s="261">
        <v>8</v>
      </c>
      <c r="O307" s="4"/>
      <c r="V307"/>
      <c r="W307"/>
      <c r="X307"/>
      <c r="Y307"/>
      <c r="Z307"/>
    </row>
    <row r="308" spans="1:26" ht="16.05" customHeight="1" thickBot="1">
      <c r="A308" s="4"/>
      <c r="B308" s="4"/>
      <c r="C308" s="4"/>
      <c r="D308" s="9" t="s">
        <v>1871</v>
      </c>
      <c r="E308" s="263">
        <v>8.5</v>
      </c>
      <c r="F308" s="4"/>
      <c r="G308" s="4"/>
      <c r="H308" s="4"/>
      <c r="I308" s="4"/>
      <c r="J308" s="6" t="s">
        <v>1878</v>
      </c>
      <c r="K308" s="262">
        <v>9</v>
      </c>
      <c r="L308" s="4"/>
      <c r="M308" s="6" t="s">
        <v>1896</v>
      </c>
      <c r="N308" s="262">
        <v>9</v>
      </c>
      <c r="O308" s="4"/>
      <c r="V308"/>
      <c r="W308"/>
      <c r="X308"/>
      <c r="Y308"/>
      <c r="Z308"/>
    </row>
    <row r="309" spans="1:26" ht="16.05" customHeight="1" thickBot="1">
      <c r="A309" s="283" t="s">
        <v>1912</v>
      </c>
      <c r="B309" s="14">
        <f>ROUND(SUM(B310:B320)/COUNT(B310:B320), 2)</f>
        <v>8.18</v>
      </c>
      <c r="C309" s="4"/>
      <c r="D309" s="4"/>
      <c r="E309" s="4"/>
      <c r="F309" s="4"/>
      <c r="G309" s="284" t="s">
        <v>1942</v>
      </c>
      <c r="H309" s="14">
        <f>ROUND(SUM(H310:H327)/COUNT(H310:H327), 2)</f>
        <v>7.31</v>
      </c>
      <c r="I309" s="4"/>
      <c r="J309" s="6" t="s">
        <v>1879</v>
      </c>
      <c r="K309" s="262">
        <v>9</v>
      </c>
      <c r="L309" s="4"/>
      <c r="M309" s="6" t="s">
        <v>1897</v>
      </c>
      <c r="N309" s="262">
        <v>9</v>
      </c>
      <c r="O309" s="4"/>
      <c r="V309"/>
      <c r="W309"/>
      <c r="X309"/>
      <c r="Y309"/>
      <c r="Z309"/>
    </row>
    <row r="310" spans="1:26" ht="16.05" customHeight="1" thickBot="1">
      <c r="A310" s="13" t="s">
        <v>1913</v>
      </c>
      <c r="B310" s="261">
        <v>7.5</v>
      </c>
      <c r="C310" s="4"/>
      <c r="D310" s="288" t="s">
        <v>2050</v>
      </c>
      <c r="E310" s="14">
        <f>ROUND(SUM(E311:E318)/COUNT(E311:E318), 2)</f>
        <v>8.5</v>
      </c>
      <c r="F310" s="4"/>
      <c r="G310" s="13" t="s">
        <v>1924</v>
      </c>
      <c r="H310" s="261">
        <v>8.5</v>
      </c>
      <c r="I310" s="4"/>
      <c r="J310" s="6" t="s">
        <v>1880</v>
      </c>
      <c r="K310" s="262">
        <v>10</v>
      </c>
      <c r="L310" s="4"/>
      <c r="M310" s="6" t="s">
        <v>1898</v>
      </c>
      <c r="N310" s="262">
        <v>10</v>
      </c>
      <c r="O310" s="4"/>
      <c r="V310"/>
      <c r="W310"/>
      <c r="X310"/>
      <c r="Y310"/>
      <c r="Z310"/>
    </row>
    <row r="311" spans="1:26" ht="16.05" customHeight="1">
      <c r="A311" s="6" t="s">
        <v>1914</v>
      </c>
      <c r="B311" s="262">
        <v>8.5</v>
      </c>
      <c r="C311" s="4"/>
      <c r="D311" s="13" t="s">
        <v>2051</v>
      </c>
      <c r="E311" s="261">
        <v>8.5</v>
      </c>
      <c r="F311" s="4"/>
      <c r="G311" s="6" t="s">
        <v>1925</v>
      </c>
      <c r="H311" s="262">
        <v>7.5</v>
      </c>
      <c r="I311" s="4"/>
      <c r="J311" s="6" t="s">
        <v>1881</v>
      </c>
      <c r="K311" s="262">
        <v>8</v>
      </c>
      <c r="L311" s="4"/>
      <c r="M311" s="6" t="s">
        <v>1899</v>
      </c>
      <c r="N311" s="262">
        <v>8.5</v>
      </c>
      <c r="O311" s="4"/>
      <c r="V311"/>
      <c r="W311"/>
      <c r="X311"/>
      <c r="Y311"/>
      <c r="Z311"/>
    </row>
    <row r="312" spans="1:26" ht="16.05" customHeight="1">
      <c r="A312" s="6" t="s">
        <v>1162</v>
      </c>
      <c r="B312" s="262">
        <v>8</v>
      </c>
      <c r="C312" s="4"/>
      <c r="D312" s="6" t="s">
        <v>2052</v>
      </c>
      <c r="E312" s="262">
        <v>8.5</v>
      </c>
      <c r="F312" s="4"/>
      <c r="G312" s="6" t="s">
        <v>1926</v>
      </c>
      <c r="H312" s="262">
        <v>8.5</v>
      </c>
      <c r="I312" s="4"/>
      <c r="J312" s="6" t="s">
        <v>1882</v>
      </c>
      <c r="K312" s="262">
        <v>8.5</v>
      </c>
      <c r="L312" s="4"/>
      <c r="M312" s="6" t="s">
        <v>1900</v>
      </c>
      <c r="N312" s="262">
        <v>8.5</v>
      </c>
      <c r="O312" s="4"/>
      <c r="V312"/>
      <c r="W312"/>
      <c r="X312"/>
      <c r="Y312"/>
      <c r="Z312"/>
    </row>
    <row r="313" spans="1:26" ht="16.05" customHeight="1">
      <c r="A313" s="6" t="s">
        <v>1915</v>
      </c>
      <c r="B313" s="262">
        <v>8</v>
      </c>
      <c r="C313" s="4"/>
      <c r="D313" s="6" t="s">
        <v>2053</v>
      </c>
      <c r="E313" s="262">
        <v>9</v>
      </c>
      <c r="F313" s="4"/>
      <c r="G313" s="6" t="s">
        <v>1927</v>
      </c>
      <c r="H313" s="262">
        <v>8.5</v>
      </c>
      <c r="I313" s="4"/>
      <c r="J313" s="6" t="s">
        <v>1883</v>
      </c>
      <c r="K313" s="262">
        <v>8.5</v>
      </c>
      <c r="L313" s="4"/>
      <c r="M313" s="6" t="s">
        <v>1901</v>
      </c>
      <c r="N313" s="262">
        <v>8</v>
      </c>
      <c r="O313" s="4"/>
      <c r="V313"/>
      <c r="W313"/>
      <c r="X313"/>
      <c r="Y313"/>
      <c r="Z313"/>
    </row>
    <row r="314" spans="1:26" ht="16.05" customHeight="1">
      <c r="A314" s="6" t="s">
        <v>1916</v>
      </c>
      <c r="B314" s="262">
        <v>9.5</v>
      </c>
      <c r="C314" s="4"/>
      <c r="D314" s="6" t="s">
        <v>2054</v>
      </c>
      <c r="E314" s="262">
        <v>9</v>
      </c>
      <c r="F314" s="4"/>
      <c r="G314" s="6" t="s">
        <v>1928</v>
      </c>
      <c r="H314" s="262">
        <v>7.5</v>
      </c>
      <c r="I314" s="4"/>
      <c r="J314" s="6" t="s">
        <v>1884</v>
      </c>
      <c r="K314" s="262">
        <v>9</v>
      </c>
      <c r="L314" s="4"/>
      <c r="M314" s="6" t="s">
        <v>1902</v>
      </c>
      <c r="N314" s="262">
        <v>8.5</v>
      </c>
      <c r="O314" s="4"/>
      <c r="V314"/>
      <c r="W314"/>
      <c r="X314"/>
      <c r="Y314"/>
      <c r="Z314"/>
    </row>
    <row r="315" spans="1:26" ht="16.05" customHeight="1">
      <c r="A315" s="6" t="s">
        <v>1917</v>
      </c>
      <c r="B315" s="262">
        <v>7</v>
      </c>
      <c r="C315" s="4"/>
      <c r="D315" s="6" t="s">
        <v>2055</v>
      </c>
      <c r="E315" s="262">
        <v>8</v>
      </c>
      <c r="F315" s="4"/>
      <c r="G315" s="6" t="s">
        <v>1929</v>
      </c>
      <c r="H315" s="262">
        <v>7</v>
      </c>
      <c r="I315" s="4"/>
      <c r="J315" s="6" t="s">
        <v>1885</v>
      </c>
      <c r="K315" s="262">
        <v>9.5</v>
      </c>
      <c r="L315" s="4"/>
      <c r="M315" s="6" t="s">
        <v>1903</v>
      </c>
      <c r="N315" s="262">
        <v>7.5</v>
      </c>
      <c r="O315" s="4"/>
      <c r="V315"/>
      <c r="W315"/>
      <c r="X315"/>
      <c r="Y315"/>
      <c r="Z315"/>
    </row>
    <row r="316" spans="1:26" ht="16.05" customHeight="1" thickBot="1">
      <c r="A316" s="6" t="s">
        <v>1918</v>
      </c>
      <c r="B316" s="262">
        <v>10</v>
      </c>
      <c r="C316" s="4"/>
      <c r="D316" s="6" t="s">
        <v>2056</v>
      </c>
      <c r="E316" s="262">
        <v>8</v>
      </c>
      <c r="F316" s="4"/>
      <c r="G316" s="6" t="s">
        <v>1930</v>
      </c>
      <c r="H316" s="262">
        <v>7</v>
      </c>
      <c r="I316" s="4"/>
      <c r="J316" s="9" t="s">
        <v>1886</v>
      </c>
      <c r="K316" s="263">
        <v>8.5</v>
      </c>
      <c r="L316" s="4"/>
      <c r="M316" s="9" t="s">
        <v>1904</v>
      </c>
      <c r="N316" s="263">
        <v>9</v>
      </c>
      <c r="O316" s="4"/>
      <c r="V316"/>
      <c r="W316"/>
      <c r="X316"/>
      <c r="Y316"/>
      <c r="Z316"/>
    </row>
    <row r="317" spans="1:26" ht="16.05" customHeight="1" thickBot="1">
      <c r="A317" s="6" t="s">
        <v>1919</v>
      </c>
      <c r="B317" s="262">
        <v>8.5</v>
      </c>
      <c r="C317" s="4"/>
      <c r="D317" s="6" t="s">
        <v>2057</v>
      </c>
      <c r="E317" s="262">
        <v>8.5</v>
      </c>
      <c r="F317" s="4"/>
      <c r="G317" s="6" t="s">
        <v>1931</v>
      </c>
      <c r="H317" s="262">
        <v>7.5</v>
      </c>
      <c r="I317" s="4"/>
      <c r="J317" s="4"/>
      <c r="K317" s="4"/>
      <c r="L317" s="4"/>
      <c r="M317" s="4"/>
      <c r="N317" s="4"/>
      <c r="O317" s="4"/>
      <c r="V317"/>
      <c r="W317"/>
      <c r="X317"/>
      <c r="Y317"/>
      <c r="Z317"/>
    </row>
    <row r="318" spans="1:26" ht="16.05" customHeight="1" thickBot="1">
      <c r="A318" s="6" t="s">
        <v>1920</v>
      </c>
      <c r="B318" s="262">
        <v>7.5</v>
      </c>
      <c r="C318" s="4"/>
      <c r="D318" s="9" t="s">
        <v>2058</v>
      </c>
      <c r="E318" s="263">
        <v>8.5</v>
      </c>
      <c r="F318" s="4"/>
      <c r="G318" s="6" t="s">
        <v>1932</v>
      </c>
      <c r="H318" s="262">
        <v>7</v>
      </c>
      <c r="I318" s="4"/>
      <c r="J318" s="292" t="s">
        <v>2076</v>
      </c>
      <c r="K318" s="14">
        <f>ROUND(SUM(K319:K326)/COUNT(K319:K326), 2)</f>
        <v>8.43</v>
      </c>
      <c r="L318" s="4"/>
      <c r="M318" s="293" t="s">
        <v>2088</v>
      </c>
      <c r="N318" s="14">
        <f>ROUND(SUM(N319:N326)/COUNT(N319:N326), 2)</f>
        <v>9.31</v>
      </c>
      <c r="O318" s="4"/>
      <c r="V318"/>
      <c r="W318"/>
      <c r="X318"/>
      <c r="Y318"/>
      <c r="Z318"/>
    </row>
    <row r="319" spans="1:26" ht="16.05" customHeight="1" thickBot="1">
      <c r="A319" s="6" t="s">
        <v>1921</v>
      </c>
      <c r="B319" s="262">
        <v>7.5</v>
      </c>
      <c r="C319" s="4"/>
      <c r="D319" s="4"/>
      <c r="E319" s="4"/>
      <c r="F319" s="4"/>
      <c r="G319" s="6" t="s">
        <v>1933</v>
      </c>
      <c r="H319" s="262">
        <v>7</v>
      </c>
      <c r="I319" s="4"/>
      <c r="J319" s="13" t="s">
        <v>2077</v>
      </c>
      <c r="K319" s="261"/>
      <c r="L319" s="4"/>
      <c r="M319" s="13" t="s">
        <v>2089</v>
      </c>
      <c r="N319" s="261">
        <v>10</v>
      </c>
      <c r="O319" s="4"/>
      <c r="V319"/>
      <c r="W319"/>
      <c r="X319"/>
      <c r="Y319"/>
      <c r="Z319"/>
    </row>
    <row r="320" spans="1:26" ht="16.05" customHeight="1" thickBot="1">
      <c r="A320" s="9" t="s">
        <v>1922</v>
      </c>
      <c r="B320" s="263">
        <v>8</v>
      </c>
      <c r="C320" s="4"/>
      <c r="D320" s="290" t="s">
        <v>2061</v>
      </c>
      <c r="E320" s="14">
        <f>ROUND(SUM(E321:E326)/COUNT(E321:E326), 2)</f>
        <v>8.67</v>
      </c>
      <c r="F320" s="4"/>
      <c r="G320" s="6" t="s">
        <v>1934</v>
      </c>
      <c r="H320" s="262">
        <v>7.5</v>
      </c>
      <c r="I320" s="4"/>
      <c r="J320" s="6" t="s">
        <v>2078</v>
      </c>
      <c r="K320" s="262">
        <v>8.5</v>
      </c>
      <c r="L320" s="4"/>
      <c r="M320" s="6" t="s">
        <v>2090</v>
      </c>
      <c r="N320" s="262">
        <v>10.5</v>
      </c>
      <c r="O320" s="4"/>
      <c r="V320"/>
      <c r="W320"/>
      <c r="X320"/>
      <c r="Y320"/>
      <c r="Z320"/>
    </row>
    <row r="321" spans="1:26" ht="16.05" customHeight="1" thickBot="1">
      <c r="A321" s="4"/>
      <c r="B321" s="4"/>
      <c r="C321" s="4"/>
      <c r="D321" s="13" t="s">
        <v>2062</v>
      </c>
      <c r="E321" s="261">
        <v>8.5</v>
      </c>
      <c r="F321" s="4"/>
      <c r="G321" s="6" t="s">
        <v>1935</v>
      </c>
      <c r="H321" s="262">
        <v>6</v>
      </c>
      <c r="I321" s="4"/>
      <c r="J321" s="6" t="s">
        <v>2079</v>
      </c>
      <c r="K321" s="262">
        <v>9</v>
      </c>
      <c r="L321" s="4"/>
      <c r="M321" s="6" t="s">
        <v>2091</v>
      </c>
      <c r="N321" s="262">
        <v>9.5</v>
      </c>
      <c r="O321" s="4"/>
      <c r="V321"/>
      <c r="W321"/>
      <c r="X321"/>
      <c r="Y321"/>
      <c r="Z321"/>
    </row>
    <row r="322" spans="1:26" ht="16.05" customHeight="1" thickBot="1">
      <c r="A322" s="295" t="s">
        <v>2101</v>
      </c>
      <c r="B322" s="14">
        <f>ROUND(SUM(B323:B341)/COUNT(B323:B341), 2)</f>
        <v>8.3800000000000008</v>
      </c>
      <c r="C322" s="4"/>
      <c r="D322" s="6" t="s">
        <v>2063</v>
      </c>
      <c r="E322" s="262">
        <v>9</v>
      </c>
      <c r="F322" s="4"/>
      <c r="G322" s="6" t="s">
        <v>1936</v>
      </c>
      <c r="H322" s="262">
        <v>7</v>
      </c>
      <c r="I322" s="4"/>
      <c r="J322" s="6" t="s">
        <v>2080</v>
      </c>
      <c r="K322" s="262">
        <v>8.5</v>
      </c>
      <c r="L322" s="4"/>
      <c r="M322" s="6" t="s">
        <v>2092</v>
      </c>
      <c r="N322" s="262">
        <v>10</v>
      </c>
      <c r="O322" s="4"/>
      <c r="V322"/>
      <c r="W322"/>
      <c r="X322"/>
      <c r="Y322"/>
      <c r="Z322"/>
    </row>
    <row r="323" spans="1:26" ht="16.05" customHeight="1">
      <c r="A323" s="13" t="s">
        <v>1437</v>
      </c>
      <c r="B323" s="261"/>
      <c r="C323" s="4"/>
      <c r="D323" s="6" t="s">
        <v>2064</v>
      </c>
      <c r="E323" s="262">
        <v>8.5</v>
      </c>
      <c r="F323" s="4"/>
      <c r="G323" s="6" t="s">
        <v>1937</v>
      </c>
      <c r="H323" s="262">
        <v>8</v>
      </c>
      <c r="I323" s="4"/>
      <c r="J323" s="6" t="s">
        <v>2081</v>
      </c>
      <c r="K323" s="262">
        <v>8.5</v>
      </c>
      <c r="L323" s="4"/>
      <c r="M323" s="6" t="s">
        <v>2093</v>
      </c>
      <c r="N323" s="262">
        <v>9</v>
      </c>
      <c r="O323" s="4"/>
      <c r="V323"/>
      <c r="W323"/>
      <c r="X323"/>
      <c r="Y323"/>
      <c r="Z323"/>
    </row>
    <row r="324" spans="1:26" ht="16.05" customHeight="1">
      <c r="A324" s="6" t="s">
        <v>2102</v>
      </c>
      <c r="B324" s="262">
        <v>8</v>
      </c>
      <c r="C324" s="4"/>
      <c r="D324" s="6" t="s">
        <v>2065</v>
      </c>
      <c r="E324" s="262">
        <v>7.5</v>
      </c>
      <c r="F324" s="4"/>
      <c r="G324" s="6" t="s">
        <v>1938</v>
      </c>
      <c r="H324" s="262">
        <v>7.5</v>
      </c>
      <c r="I324" s="4"/>
      <c r="J324" s="6" t="s">
        <v>2082</v>
      </c>
      <c r="K324" s="262">
        <v>7.5</v>
      </c>
      <c r="L324" s="4"/>
      <c r="M324" s="6" t="s">
        <v>2094</v>
      </c>
      <c r="N324" s="262">
        <v>8.5</v>
      </c>
      <c r="O324" s="4"/>
      <c r="V324"/>
      <c r="W324"/>
      <c r="X324"/>
      <c r="Y324"/>
      <c r="Z324"/>
    </row>
    <row r="325" spans="1:26" ht="16.05" customHeight="1">
      <c r="A325" s="6" t="s">
        <v>2103</v>
      </c>
      <c r="B325" s="262">
        <v>8</v>
      </c>
      <c r="C325" s="4"/>
      <c r="D325" s="6" t="s">
        <v>2066</v>
      </c>
      <c r="E325" s="262">
        <v>9</v>
      </c>
      <c r="F325" s="4"/>
      <c r="G325" s="6" t="s">
        <v>1939</v>
      </c>
      <c r="H325" s="262">
        <v>7</v>
      </c>
      <c r="I325" s="4"/>
      <c r="J325" s="6" t="s">
        <v>2083</v>
      </c>
      <c r="K325" s="262">
        <v>8</v>
      </c>
      <c r="L325" s="4"/>
      <c r="M325" s="6" t="s">
        <v>2095</v>
      </c>
      <c r="N325" s="262">
        <v>8.5</v>
      </c>
      <c r="O325" s="4"/>
      <c r="V325"/>
      <c r="W325"/>
      <c r="X325"/>
      <c r="Y325"/>
      <c r="Z325"/>
    </row>
    <row r="326" spans="1:26" ht="16.05" customHeight="1" thickBot="1">
      <c r="A326" s="6" t="s">
        <v>2104</v>
      </c>
      <c r="B326" s="262">
        <v>8.5</v>
      </c>
      <c r="C326" s="4"/>
      <c r="D326" s="9" t="s">
        <v>2067</v>
      </c>
      <c r="E326" s="263">
        <v>9.5</v>
      </c>
      <c r="F326" s="4"/>
      <c r="G326" s="6" t="s">
        <v>1940</v>
      </c>
      <c r="H326" s="262">
        <v>6</v>
      </c>
      <c r="I326" s="4"/>
      <c r="J326" s="9" t="s">
        <v>2084</v>
      </c>
      <c r="K326" s="263">
        <v>9</v>
      </c>
      <c r="L326" s="4"/>
      <c r="M326" s="9" t="s">
        <v>2096</v>
      </c>
      <c r="N326" s="263">
        <v>8.5</v>
      </c>
      <c r="O326" s="4"/>
      <c r="V326"/>
      <c r="W326"/>
      <c r="X326"/>
      <c r="Y326"/>
      <c r="Z326"/>
    </row>
    <row r="327" spans="1:26" ht="16.05" customHeight="1" thickBot="1">
      <c r="A327" s="6" t="s">
        <v>2105</v>
      </c>
      <c r="B327" s="262">
        <v>8</v>
      </c>
      <c r="C327" s="4"/>
      <c r="D327" s="4"/>
      <c r="E327" s="4"/>
      <c r="F327" s="4"/>
      <c r="G327" s="9" t="s">
        <v>1941</v>
      </c>
      <c r="H327" s="263">
        <v>6.5</v>
      </c>
      <c r="I327" s="4"/>
      <c r="J327" s="4"/>
      <c r="K327" s="4"/>
      <c r="L327" s="4"/>
      <c r="M327" s="4"/>
      <c r="N327" s="4"/>
      <c r="O327" s="4"/>
      <c r="V327"/>
      <c r="W327"/>
      <c r="X327"/>
      <c r="Y327"/>
      <c r="Z327"/>
    </row>
    <row r="328" spans="1:26" ht="16.05" customHeight="1" thickBot="1">
      <c r="A328" s="6" t="s">
        <v>2106</v>
      </c>
      <c r="B328" s="262">
        <v>9</v>
      </c>
      <c r="C328" s="4"/>
      <c r="D328" s="298" t="s">
        <v>2125</v>
      </c>
      <c r="E328" s="14">
        <f>ROUND(SUM(E329:E358)/COUNT(E329:E358), 2)</f>
        <v>8.7200000000000006</v>
      </c>
      <c r="F328" s="4"/>
      <c r="G328" s="4"/>
      <c r="H328" s="4"/>
      <c r="I328" s="4"/>
      <c r="J328" s="299" t="s">
        <v>2160</v>
      </c>
      <c r="K328" s="14">
        <f>ROUND(SUM(K329:K338)/COUNT(K329:K338), 2)</f>
        <v>8.6</v>
      </c>
      <c r="L328" s="4"/>
      <c r="M328" s="305" t="s">
        <v>2185</v>
      </c>
      <c r="N328" s="14">
        <f>ROUND(SUM(N329:N336)/COUNT(N329:N336), 2)</f>
        <v>8.81</v>
      </c>
      <c r="O328" s="4"/>
      <c r="V328"/>
      <c r="W328"/>
      <c r="X328"/>
      <c r="Y328"/>
      <c r="Z328"/>
    </row>
    <row r="329" spans="1:26" ht="16.05" customHeight="1">
      <c r="A329" s="6" t="s">
        <v>2107</v>
      </c>
      <c r="B329" s="262">
        <v>8.5</v>
      </c>
      <c r="C329" s="4"/>
      <c r="D329" s="13" t="s">
        <v>2126</v>
      </c>
      <c r="E329" s="261">
        <v>8.5</v>
      </c>
      <c r="F329" s="4"/>
      <c r="I329" s="4"/>
      <c r="J329" s="13" t="s">
        <v>2161</v>
      </c>
      <c r="K329" s="261">
        <v>10.5</v>
      </c>
      <c r="L329" s="4"/>
      <c r="M329" s="302" t="s">
        <v>111</v>
      </c>
      <c r="N329" s="261">
        <v>9</v>
      </c>
      <c r="O329" s="4"/>
      <c r="V329"/>
      <c r="W329"/>
      <c r="X329"/>
      <c r="Y329"/>
      <c r="Z329"/>
    </row>
    <row r="330" spans="1:26" ht="16.05" customHeight="1">
      <c r="A330" s="6" t="s">
        <v>2108</v>
      </c>
      <c r="B330" s="262"/>
      <c r="C330" s="4"/>
      <c r="D330" s="6" t="s">
        <v>2127</v>
      </c>
      <c r="E330" s="262">
        <v>10.5</v>
      </c>
      <c r="F330" s="4"/>
      <c r="I330" s="4"/>
      <c r="J330" s="6" t="s">
        <v>2162</v>
      </c>
      <c r="K330" s="262">
        <v>8</v>
      </c>
      <c r="L330" s="4"/>
      <c r="M330" s="303" t="s">
        <v>2186</v>
      </c>
      <c r="N330" s="262">
        <v>8.5</v>
      </c>
      <c r="O330" s="4"/>
      <c r="V330"/>
      <c r="W330"/>
      <c r="X330"/>
      <c r="Y330"/>
      <c r="Z330"/>
    </row>
    <row r="331" spans="1:26" ht="16.05" customHeight="1">
      <c r="A331" s="6" t="s">
        <v>2109</v>
      </c>
      <c r="B331" s="262">
        <v>8.5</v>
      </c>
      <c r="C331" s="4"/>
      <c r="D331" s="6" t="s">
        <v>2128</v>
      </c>
      <c r="E331" s="262">
        <v>9.5</v>
      </c>
      <c r="F331" s="4"/>
      <c r="I331" s="4"/>
      <c r="J331" s="6" t="s">
        <v>2163</v>
      </c>
      <c r="K331" s="262">
        <v>7.5</v>
      </c>
      <c r="L331" s="4"/>
      <c r="M331" s="303" t="s">
        <v>2187</v>
      </c>
      <c r="N331" s="262">
        <v>9.5</v>
      </c>
      <c r="O331" s="4"/>
      <c r="V331"/>
      <c r="W331"/>
      <c r="X331"/>
      <c r="Y331"/>
      <c r="Z331"/>
    </row>
    <row r="332" spans="1:26" ht="16.05" customHeight="1">
      <c r="A332" s="6" t="s">
        <v>2110</v>
      </c>
      <c r="B332" s="262">
        <v>10</v>
      </c>
      <c r="C332" s="4"/>
      <c r="D332" s="6" t="s">
        <v>2129</v>
      </c>
      <c r="E332" s="262">
        <v>9</v>
      </c>
      <c r="F332" s="4"/>
      <c r="I332" s="4"/>
      <c r="J332" s="6" t="s">
        <v>2164</v>
      </c>
      <c r="K332" s="262">
        <v>9.5</v>
      </c>
      <c r="L332" s="4"/>
      <c r="M332" s="303" t="s">
        <v>2188</v>
      </c>
      <c r="N332" s="262">
        <v>10.5</v>
      </c>
      <c r="O332" s="4"/>
      <c r="V332"/>
      <c r="W332"/>
      <c r="X332"/>
      <c r="Y332"/>
      <c r="Z332"/>
    </row>
    <row r="333" spans="1:26" ht="16.05" customHeight="1">
      <c r="A333" s="6" t="s">
        <v>2111</v>
      </c>
      <c r="B333" s="262">
        <v>8.5</v>
      </c>
      <c r="C333" s="4"/>
      <c r="D333" s="6" t="s">
        <v>2130</v>
      </c>
      <c r="E333" s="262">
        <v>8.5</v>
      </c>
      <c r="F333" s="4"/>
      <c r="I333" s="4"/>
      <c r="J333" s="6" t="s">
        <v>2165</v>
      </c>
      <c r="K333" s="262">
        <v>7.5</v>
      </c>
      <c r="L333" s="4"/>
      <c r="M333" s="303" t="s">
        <v>2189</v>
      </c>
      <c r="N333" s="262">
        <v>8.5</v>
      </c>
      <c r="O333" s="4"/>
      <c r="V333"/>
      <c r="W333"/>
      <c r="X333"/>
      <c r="Y333"/>
      <c r="Z333"/>
    </row>
    <row r="334" spans="1:26" ht="16.05" customHeight="1">
      <c r="A334" s="6" t="s">
        <v>2112</v>
      </c>
      <c r="B334" s="262">
        <v>7.5</v>
      </c>
      <c r="C334" s="4"/>
      <c r="D334" s="6" t="s">
        <v>2131</v>
      </c>
      <c r="E334" s="262">
        <v>9</v>
      </c>
      <c r="F334" s="4"/>
      <c r="I334" s="4"/>
      <c r="J334" s="6" t="s">
        <v>2166</v>
      </c>
      <c r="K334" s="262">
        <v>8</v>
      </c>
      <c r="L334" s="4"/>
      <c r="M334" s="303" t="s">
        <v>2190</v>
      </c>
      <c r="N334" s="262">
        <v>8</v>
      </c>
      <c r="O334" s="4"/>
      <c r="V334"/>
      <c r="W334"/>
      <c r="X334"/>
      <c r="Y334"/>
      <c r="Z334"/>
    </row>
    <row r="335" spans="1:26" ht="16.05" customHeight="1">
      <c r="A335" s="6" t="s">
        <v>2113</v>
      </c>
      <c r="B335" s="262">
        <v>10</v>
      </c>
      <c r="C335" s="4"/>
      <c r="D335" s="6" t="s">
        <v>2132</v>
      </c>
      <c r="E335" s="262">
        <v>8.5</v>
      </c>
      <c r="F335" s="4"/>
      <c r="I335" s="4"/>
      <c r="J335" s="6" t="s">
        <v>2167</v>
      </c>
      <c r="K335" s="262">
        <v>10</v>
      </c>
      <c r="L335" s="4"/>
      <c r="M335" s="303" t="s">
        <v>2191</v>
      </c>
      <c r="N335" s="262">
        <v>8.5</v>
      </c>
      <c r="O335" s="4"/>
      <c r="V335"/>
      <c r="W335"/>
      <c r="X335"/>
      <c r="Y335"/>
      <c r="Z335"/>
    </row>
    <row r="336" spans="1:26" ht="16.05" customHeight="1" thickBot="1">
      <c r="A336" s="6" t="s">
        <v>2114</v>
      </c>
      <c r="B336" s="262">
        <v>8</v>
      </c>
      <c r="C336" s="4"/>
      <c r="D336" s="6" t="s">
        <v>2133</v>
      </c>
      <c r="E336" s="262">
        <v>8.5</v>
      </c>
      <c r="F336" s="4"/>
      <c r="I336" s="4"/>
      <c r="J336" s="6" t="s">
        <v>2168</v>
      </c>
      <c r="K336" s="262">
        <v>9</v>
      </c>
      <c r="L336" s="4"/>
      <c r="M336" s="304" t="s">
        <v>2192</v>
      </c>
      <c r="N336" s="263">
        <v>8</v>
      </c>
      <c r="O336" s="4"/>
      <c r="V336"/>
      <c r="W336"/>
      <c r="X336"/>
      <c r="Y336"/>
      <c r="Z336"/>
    </row>
    <row r="337" spans="1:26" ht="16.05" customHeight="1">
      <c r="A337" s="6" t="s">
        <v>2115</v>
      </c>
      <c r="B337" s="262">
        <v>7</v>
      </c>
      <c r="C337" s="4"/>
      <c r="D337" s="6" t="s">
        <v>2134</v>
      </c>
      <c r="E337" s="262">
        <v>10</v>
      </c>
      <c r="F337" s="4"/>
      <c r="I337" s="4"/>
      <c r="J337" s="6" t="s">
        <v>2169</v>
      </c>
      <c r="K337" s="262">
        <v>8</v>
      </c>
      <c r="L337" s="4"/>
      <c r="M337" s="4"/>
      <c r="N337" s="4"/>
      <c r="O337" s="4"/>
      <c r="V337"/>
      <c r="W337"/>
      <c r="X337"/>
      <c r="Y337"/>
      <c r="Z337"/>
    </row>
    <row r="338" spans="1:26" ht="16.05" customHeight="1" thickBot="1">
      <c r="A338" s="6" t="s">
        <v>2116</v>
      </c>
      <c r="B338" s="262">
        <v>8</v>
      </c>
      <c r="C338" s="4"/>
      <c r="D338" s="6" t="s">
        <v>2135</v>
      </c>
      <c r="E338" s="262">
        <v>8.5</v>
      </c>
      <c r="F338" s="4"/>
      <c r="I338" s="4"/>
      <c r="J338" s="9" t="s">
        <v>2170</v>
      </c>
      <c r="K338" s="263">
        <v>8</v>
      </c>
      <c r="L338" s="4"/>
      <c r="V338"/>
      <c r="W338"/>
      <c r="X338"/>
      <c r="Y338"/>
      <c r="Z338"/>
    </row>
    <row r="339" spans="1:26" ht="16.05" customHeight="1">
      <c r="A339" s="6" t="s">
        <v>2117</v>
      </c>
      <c r="B339" s="262">
        <v>9</v>
      </c>
      <c r="C339" s="4"/>
      <c r="D339" s="6" t="s">
        <v>2136</v>
      </c>
      <c r="E339" s="262">
        <v>8.5</v>
      </c>
      <c r="F339" s="4"/>
      <c r="I339" s="4"/>
      <c r="J339" s="4"/>
      <c r="K339" s="4"/>
      <c r="L339" s="4"/>
      <c r="V339"/>
      <c r="W339"/>
      <c r="X339"/>
      <c r="Y339"/>
      <c r="Z339"/>
    </row>
    <row r="340" spans="1:26" ht="16.05" customHeight="1">
      <c r="A340" s="6" t="s">
        <v>2118</v>
      </c>
      <c r="B340" s="262">
        <v>8.5</v>
      </c>
      <c r="C340" s="4"/>
      <c r="D340" s="6" t="s">
        <v>2137</v>
      </c>
      <c r="E340" s="262">
        <v>7.5</v>
      </c>
      <c r="F340" s="4"/>
      <c r="V340"/>
      <c r="W340"/>
      <c r="X340"/>
      <c r="Y340"/>
      <c r="Z340"/>
    </row>
    <row r="341" spans="1:26" ht="16.05" customHeight="1" thickBot="1">
      <c r="A341" s="9" t="s">
        <v>2119</v>
      </c>
      <c r="B341" s="263">
        <v>7.5</v>
      </c>
      <c r="C341" s="4"/>
      <c r="D341" s="6" t="s">
        <v>2138</v>
      </c>
      <c r="E341" s="262">
        <v>10.5</v>
      </c>
      <c r="F341" s="4"/>
      <c r="V341"/>
      <c r="W341"/>
      <c r="X341"/>
      <c r="Y341"/>
      <c r="Z341"/>
    </row>
    <row r="342" spans="1:26" ht="16.05" customHeight="1">
      <c r="A342" s="4"/>
      <c r="B342" s="4"/>
      <c r="C342" s="4"/>
      <c r="D342" s="6" t="s">
        <v>2139</v>
      </c>
      <c r="E342" s="262">
        <v>8</v>
      </c>
      <c r="F342" s="4"/>
      <c r="V342"/>
      <c r="W342"/>
      <c r="X342"/>
      <c r="Y342"/>
      <c r="Z342"/>
    </row>
    <row r="343" spans="1:26" ht="16.05" customHeight="1">
      <c r="C343" s="4"/>
      <c r="D343" s="6" t="s">
        <v>2140</v>
      </c>
      <c r="E343" s="262">
        <v>7.5</v>
      </c>
      <c r="F343" s="4"/>
      <c r="V343"/>
      <c r="W343"/>
      <c r="X343"/>
      <c r="Y343"/>
      <c r="Z343"/>
    </row>
    <row r="344" spans="1:26" ht="16.05" customHeight="1">
      <c r="C344" s="4"/>
      <c r="D344" s="6" t="s">
        <v>2141</v>
      </c>
      <c r="E344" s="262">
        <v>10</v>
      </c>
      <c r="F344" s="4"/>
      <c r="V344"/>
      <c r="W344"/>
      <c r="X344"/>
      <c r="Y344"/>
      <c r="Z344"/>
    </row>
    <row r="345" spans="1:26" ht="16.05" customHeight="1">
      <c r="C345" s="4"/>
      <c r="D345" s="6" t="s">
        <v>2142</v>
      </c>
      <c r="E345" s="262">
        <v>9.5</v>
      </c>
      <c r="F345" s="4"/>
      <c r="V345"/>
      <c r="W345"/>
      <c r="X345"/>
      <c r="Y345"/>
      <c r="Z345"/>
    </row>
    <row r="346" spans="1:26" ht="16.05" customHeight="1">
      <c r="C346" s="4"/>
      <c r="D346" s="6" t="s">
        <v>2143</v>
      </c>
      <c r="E346" s="262">
        <v>10</v>
      </c>
      <c r="F346" s="4"/>
      <c r="V346"/>
      <c r="W346"/>
      <c r="X346"/>
      <c r="Y346"/>
      <c r="Z346"/>
    </row>
    <row r="347" spans="1:26" ht="16.05" customHeight="1">
      <c r="C347" s="4"/>
      <c r="D347" s="6" t="s">
        <v>2144</v>
      </c>
      <c r="E347" s="262">
        <v>8</v>
      </c>
      <c r="F347" s="4"/>
      <c r="V347"/>
      <c r="W347"/>
      <c r="X347"/>
      <c r="Y347"/>
      <c r="Z347"/>
    </row>
    <row r="348" spans="1:26" ht="16.05" customHeight="1">
      <c r="C348" s="4"/>
      <c r="D348" s="6" t="s">
        <v>2145</v>
      </c>
      <c r="E348" s="262">
        <v>8.5</v>
      </c>
      <c r="F348" s="4"/>
      <c r="V348"/>
      <c r="W348"/>
      <c r="X348"/>
      <c r="Y348"/>
      <c r="Z348"/>
    </row>
    <row r="349" spans="1:26" ht="16.05" customHeight="1">
      <c r="C349" s="4"/>
      <c r="D349" s="6" t="s">
        <v>2146</v>
      </c>
      <c r="E349" s="262">
        <v>8</v>
      </c>
      <c r="F349" s="4"/>
      <c r="V349"/>
      <c r="W349"/>
      <c r="X349"/>
      <c r="Y349"/>
      <c r="Z349"/>
    </row>
    <row r="350" spans="1:26" ht="16.05" customHeight="1">
      <c r="C350" s="4"/>
      <c r="D350" s="6" t="s">
        <v>2147</v>
      </c>
      <c r="E350" s="262">
        <v>7.5</v>
      </c>
      <c r="F350" s="4"/>
      <c r="V350"/>
      <c r="W350"/>
      <c r="X350"/>
      <c r="Y350"/>
      <c r="Z350"/>
    </row>
    <row r="351" spans="1:26" ht="16.05" customHeight="1">
      <c r="C351" s="4"/>
      <c r="D351" s="6" t="s">
        <v>2148</v>
      </c>
      <c r="E351" s="262">
        <v>9</v>
      </c>
      <c r="F351" s="4"/>
      <c r="V351"/>
      <c r="W351"/>
      <c r="X351"/>
      <c r="Y351"/>
      <c r="Z351"/>
    </row>
    <row r="352" spans="1:26" ht="16.05" customHeight="1">
      <c r="C352" s="4"/>
      <c r="D352" s="6" t="s">
        <v>2149</v>
      </c>
      <c r="E352" s="262">
        <v>8</v>
      </c>
      <c r="F352" s="4"/>
      <c r="V352"/>
      <c r="W352"/>
      <c r="X352"/>
      <c r="Y352"/>
      <c r="Z352"/>
    </row>
    <row r="353" spans="3:26" ht="16.05" customHeight="1">
      <c r="C353" s="4"/>
      <c r="D353" s="6" t="s">
        <v>2150</v>
      </c>
      <c r="E353" s="262"/>
      <c r="F353" s="4"/>
      <c r="V353"/>
      <c r="W353"/>
      <c r="X353"/>
      <c r="Y353"/>
      <c r="Z353"/>
    </row>
    <row r="354" spans="3:26" ht="16.05" customHeight="1">
      <c r="C354" s="4"/>
      <c r="D354" s="6" t="s">
        <v>2151</v>
      </c>
      <c r="E354" s="262">
        <v>8</v>
      </c>
      <c r="F354" s="4"/>
      <c r="V354"/>
      <c r="W354"/>
      <c r="X354"/>
      <c r="Y354"/>
      <c r="Z354"/>
    </row>
    <row r="355" spans="3:26" ht="16.05" customHeight="1">
      <c r="C355" s="4"/>
      <c r="D355" s="6" t="s">
        <v>2152</v>
      </c>
      <c r="E355" s="262">
        <v>8.5</v>
      </c>
      <c r="F355" s="4"/>
      <c r="V355"/>
      <c r="W355"/>
      <c r="X355"/>
      <c r="Y355"/>
      <c r="Z355"/>
    </row>
    <row r="356" spans="3:26" ht="16.05" customHeight="1">
      <c r="C356" s="4"/>
      <c r="D356" s="6" t="s">
        <v>2153</v>
      </c>
      <c r="E356" s="262">
        <v>8</v>
      </c>
      <c r="F356" s="4"/>
      <c r="V356"/>
      <c r="W356"/>
      <c r="X356"/>
      <c r="Y356"/>
      <c r="Z356"/>
    </row>
    <row r="357" spans="3:26" ht="16.05" customHeight="1">
      <c r="C357" s="4"/>
      <c r="D357" s="6" t="s">
        <v>2154</v>
      </c>
      <c r="E357" s="262">
        <v>8.5</v>
      </c>
      <c r="F357" s="4"/>
      <c r="V357"/>
      <c r="W357"/>
      <c r="X357"/>
      <c r="Y357"/>
      <c r="Z357"/>
    </row>
    <row r="358" spans="3:26" ht="16.05" customHeight="1" thickBot="1">
      <c r="C358" s="4"/>
      <c r="D358" s="9" t="s">
        <v>1437</v>
      </c>
      <c r="E358" s="263">
        <v>9</v>
      </c>
      <c r="F358" s="4"/>
      <c r="V358"/>
      <c r="W358"/>
      <c r="X358"/>
      <c r="Y358"/>
      <c r="Z358"/>
    </row>
    <row r="359" spans="3:26" ht="16.05" customHeight="1">
      <c r="C359" s="4"/>
      <c r="D359" s="4"/>
      <c r="E359" s="4"/>
      <c r="F359" s="4"/>
      <c r="V359"/>
      <c r="W359"/>
      <c r="X359"/>
      <c r="Y359"/>
      <c r="Z359"/>
    </row>
    <row r="360" spans="3:26" ht="16.05" customHeight="1">
      <c r="V360"/>
      <c r="W360"/>
      <c r="X360"/>
      <c r="Y360"/>
      <c r="Z360"/>
    </row>
    <row r="361" spans="3:26" ht="16.05" customHeight="1">
      <c r="V361"/>
      <c r="W361"/>
      <c r="X361"/>
      <c r="Y361"/>
      <c r="Z361"/>
    </row>
    <row r="362" spans="3:26" ht="16.05" customHeight="1">
      <c r="V362"/>
      <c r="W362"/>
      <c r="X362"/>
      <c r="Y362"/>
      <c r="Z362"/>
    </row>
    <row r="363" spans="3:26" ht="16.05" customHeight="1">
      <c r="V363"/>
      <c r="W363"/>
      <c r="X363"/>
      <c r="Y363"/>
      <c r="Z363"/>
    </row>
    <row r="364" spans="3:26" ht="16.05" customHeight="1">
      <c r="V364"/>
      <c r="W364"/>
      <c r="X364"/>
      <c r="Y364"/>
      <c r="Z364"/>
    </row>
    <row r="365" spans="3:26" ht="16.05" customHeight="1">
      <c r="V365"/>
      <c r="W365"/>
      <c r="X365"/>
      <c r="Y365"/>
      <c r="Z365"/>
    </row>
    <row r="366" spans="3:26" ht="16.05" customHeight="1">
      <c r="V366"/>
      <c r="W366"/>
      <c r="X366"/>
      <c r="Y366"/>
      <c r="Z366"/>
    </row>
    <row r="367" spans="3:26" ht="16.05" customHeight="1">
      <c r="V367"/>
      <c r="W367"/>
      <c r="X367"/>
      <c r="Y367"/>
      <c r="Z367"/>
    </row>
    <row r="368" spans="3:26" ht="16.05" customHeight="1">
      <c r="V368"/>
      <c r="W368"/>
      <c r="X368"/>
      <c r="Y368"/>
      <c r="Z368"/>
    </row>
    <row r="369" customFormat="1" ht="16.05" customHeight="1"/>
    <row r="370" customFormat="1" ht="16.05" customHeight="1"/>
    <row r="371" customFormat="1" ht="16.05" customHeight="1"/>
    <row r="372" customFormat="1" ht="16.05" customHeight="1"/>
    <row r="373" customFormat="1" ht="16.05" customHeight="1"/>
    <row r="374" customFormat="1" ht="16.05" customHeight="1"/>
    <row r="375" customFormat="1" ht="16.05" customHeight="1"/>
    <row r="376" customFormat="1" ht="16.05" customHeight="1"/>
    <row r="377" customFormat="1" ht="16.05" customHeight="1"/>
    <row r="378" customFormat="1" ht="16.05" customHeight="1"/>
    <row r="379" customFormat="1" ht="16.05" customHeight="1"/>
    <row r="380" customFormat="1" ht="16.05" customHeight="1"/>
    <row r="381" customFormat="1" ht="16.05" customHeight="1"/>
    <row r="382" customFormat="1" ht="16.05" customHeight="1"/>
    <row r="383" customFormat="1" ht="16.05" customHeight="1"/>
    <row r="384" customFormat="1" ht="16.05" customHeight="1"/>
    <row r="385" customFormat="1" ht="16.05" customHeight="1"/>
    <row r="386" customFormat="1" ht="16.05" customHeight="1"/>
    <row r="387" customFormat="1" ht="16.05" customHeight="1"/>
    <row r="388" customFormat="1" ht="16.05" customHeight="1"/>
    <row r="389" customFormat="1" ht="16.05" customHeight="1"/>
    <row r="390" customFormat="1" ht="16.05" customHeight="1"/>
    <row r="391" customFormat="1" ht="16.05" customHeight="1"/>
    <row r="392" customFormat="1" ht="16.05" customHeight="1"/>
    <row r="393" customFormat="1" ht="16.05" customHeight="1"/>
    <row r="394" customFormat="1" ht="16.05" customHeight="1"/>
    <row r="395" customFormat="1" ht="16.05" customHeight="1"/>
    <row r="396" customFormat="1" ht="16.05" customHeight="1"/>
    <row r="397" customFormat="1" ht="16.05" customHeight="1"/>
    <row r="398" customFormat="1" ht="16.05" customHeight="1"/>
    <row r="399" customFormat="1" ht="16.05" customHeight="1"/>
    <row r="400" customFormat="1" ht="16.05" customHeight="1"/>
    <row r="401" customFormat="1" ht="16.05" customHeight="1"/>
    <row r="402" customFormat="1" ht="16.05" customHeight="1"/>
    <row r="403" customFormat="1" ht="16.05" customHeight="1"/>
    <row r="404" customFormat="1" ht="16.05" customHeight="1"/>
    <row r="405" customFormat="1" ht="16.05" customHeight="1"/>
    <row r="406" customFormat="1" ht="16.05" customHeight="1"/>
    <row r="407" customFormat="1" ht="16.05" customHeight="1"/>
    <row r="408" customFormat="1" ht="16.05" customHeight="1"/>
    <row r="409" customFormat="1" ht="16.05" customHeight="1"/>
    <row r="410" customFormat="1" ht="16.05" customHeight="1"/>
    <row r="411" customFormat="1" ht="16.05" customHeight="1"/>
    <row r="412" customFormat="1" ht="16.05" customHeight="1"/>
    <row r="413" customFormat="1" ht="16.05" customHeight="1"/>
    <row r="414" customFormat="1" ht="16.05" customHeight="1"/>
    <row r="415" customFormat="1" ht="16.05" customHeight="1"/>
    <row r="416" customFormat="1" ht="16.05" customHeight="1"/>
    <row r="417" customFormat="1" ht="16.05" customHeight="1"/>
    <row r="418" customFormat="1" ht="16.05" customHeight="1"/>
    <row r="419" customFormat="1" ht="16.05" customHeight="1"/>
    <row r="420" customFormat="1" ht="16.05" customHeight="1"/>
    <row r="421" customFormat="1" ht="16.05" customHeight="1"/>
    <row r="422" customFormat="1" ht="16.05" customHeight="1"/>
    <row r="423" customFormat="1" ht="16.05" customHeight="1"/>
    <row r="424" customFormat="1" ht="16.05" customHeight="1"/>
    <row r="425" customFormat="1" ht="16.05" customHeight="1"/>
    <row r="426" customFormat="1" ht="16.05" customHeight="1"/>
    <row r="427" customFormat="1" ht="16.05" customHeight="1"/>
    <row r="428" customFormat="1" ht="16.05" customHeight="1"/>
    <row r="429" customFormat="1" ht="16.05" customHeight="1"/>
    <row r="430" customFormat="1" ht="16.05" customHeight="1"/>
    <row r="431" customFormat="1" ht="16.05" customHeight="1"/>
    <row r="432" customFormat="1" ht="16.05" customHeight="1"/>
    <row r="433" customFormat="1" ht="16.05" customHeight="1"/>
    <row r="434" customFormat="1" ht="16.05" customHeight="1"/>
    <row r="435" customFormat="1" ht="16.05" customHeight="1"/>
    <row r="436" customFormat="1" ht="16.05" customHeight="1"/>
    <row r="437" customFormat="1" ht="16.05" customHeight="1"/>
    <row r="438" customFormat="1" ht="16.05" customHeight="1"/>
    <row r="439" customFormat="1" ht="16.05" customHeight="1"/>
    <row r="440" customFormat="1" ht="16.05" customHeight="1"/>
    <row r="441" customFormat="1" ht="16.05" customHeight="1"/>
    <row r="442" customFormat="1" ht="16.05" customHeight="1"/>
    <row r="443" customFormat="1" ht="16.05" customHeight="1"/>
    <row r="444" customFormat="1" ht="16.05" customHeight="1"/>
    <row r="445" customFormat="1" ht="16.05" customHeight="1"/>
    <row r="446" customFormat="1" ht="16.05" customHeight="1"/>
    <row r="447" customFormat="1" ht="16.05" customHeight="1"/>
    <row r="448" customFormat="1" ht="16.05" customHeight="1"/>
    <row r="449" customFormat="1" ht="16.05" customHeight="1"/>
    <row r="450" customFormat="1" ht="16.05" customHeight="1"/>
    <row r="451" customFormat="1" ht="16.05" customHeight="1"/>
    <row r="452" customFormat="1" ht="16.05" customHeight="1"/>
    <row r="453" customFormat="1" ht="16.05" customHeight="1"/>
    <row r="454" customFormat="1" ht="16.05" customHeight="1"/>
    <row r="455" customFormat="1" ht="16.05" customHeight="1"/>
    <row r="456" customFormat="1" ht="16.05" customHeight="1"/>
    <row r="457" customFormat="1" ht="16.05" customHeight="1"/>
    <row r="458" customFormat="1" ht="16.05" customHeight="1"/>
    <row r="459" customFormat="1" ht="16.05" customHeight="1"/>
    <row r="460" customFormat="1" ht="16.05" customHeight="1"/>
    <row r="461" customFormat="1" ht="16.05" customHeight="1"/>
    <row r="462" customFormat="1" ht="16.05" customHeight="1"/>
    <row r="463" customFormat="1" ht="16.05" customHeight="1"/>
    <row r="464" customFormat="1" ht="16.05" customHeight="1"/>
    <row r="465" customFormat="1" ht="16.05" customHeight="1"/>
    <row r="466" customFormat="1" ht="16.05" customHeight="1"/>
    <row r="467" customFormat="1" ht="16.05" customHeight="1"/>
    <row r="468" customFormat="1" ht="16.05" customHeight="1"/>
    <row r="469" customFormat="1" ht="16.05" customHeight="1"/>
    <row r="470" customFormat="1" ht="16.05" customHeight="1"/>
    <row r="471" customFormat="1" ht="16.05" customHeight="1"/>
    <row r="472" customFormat="1" ht="16.05" customHeight="1"/>
    <row r="473" customFormat="1" ht="16.05" customHeigh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</sheetData>
  <sortState xmlns:xlrd2="http://schemas.microsoft.com/office/spreadsheetml/2017/richdata2" ref="X163:AA172">
    <sortCondition descending="1" ref="AA163:AA172"/>
  </sortState>
  <mergeCells count="4">
    <mergeCell ref="R160:V160"/>
    <mergeCell ref="AG1:AH1"/>
    <mergeCell ref="R1:AD1"/>
    <mergeCell ref="R136:AD136"/>
  </mergeCells>
  <phoneticPr fontId="205" type="noConversion"/>
  <conditionalFormatting sqref="A2:B2 D2:E2 G2:H2 J2:K2 M2:N2 A16:B16 A26:B26 D14:E14 G17:H17 J14:K14 M14:N14 D30:E30 J25:K25 AK28:AK31">
    <cfRule type="colorScale" priority="159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93">
      <colorScale>
        <cfvo type="num" val="5"/>
        <cfvo type="num" val="10"/>
        <color rgb="FFFF494D"/>
        <color rgb="FF00FF66"/>
      </colorScale>
    </cfRule>
  </conditionalFormatting>
  <conditionalFormatting sqref="B3:B14">
    <cfRule type="cellIs" dxfId="1829" priority="1171" operator="between">
      <formula>10.1</formula>
      <formula>10.6</formula>
    </cfRule>
    <cfRule type="cellIs" dxfId="1828" priority="1209" operator="between">
      <formula>7</formula>
      <formula>7.9</formula>
    </cfRule>
    <cfRule type="cellIs" dxfId="1827" priority="1210" stopIfTrue="1" operator="between">
      <formula>8</formula>
      <formula>8.9</formula>
    </cfRule>
    <cfRule type="cellIs" dxfId="1826" priority="1211" operator="between">
      <formula>9</formula>
      <formula>9.9</formula>
    </cfRule>
    <cfRule type="cellIs" dxfId="1825" priority="1212" stopIfTrue="1" operator="between">
      <formula>10</formula>
      <formula>10</formula>
    </cfRule>
    <cfRule type="containsBlanks" dxfId="1824" priority="1213" stopIfTrue="1">
      <formula>LEN(TRIM(B3))=0</formula>
    </cfRule>
  </conditionalFormatting>
  <conditionalFormatting sqref="B17:B24">
    <cfRule type="cellIs" dxfId="1823" priority="1147" operator="between">
      <formula>10.1</formula>
      <formula>10.6</formula>
    </cfRule>
    <cfRule type="cellIs" dxfId="1822" priority="1148" operator="between">
      <formula>7</formula>
      <formula>7.9</formula>
    </cfRule>
    <cfRule type="cellIs" dxfId="1821" priority="1149" stopIfTrue="1" operator="between">
      <formula>8</formula>
      <formula>8.9</formula>
    </cfRule>
    <cfRule type="cellIs" dxfId="1820" priority="1150" operator="between">
      <formula>9</formula>
      <formula>9.9</formula>
    </cfRule>
    <cfRule type="cellIs" dxfId="1819" priority="1151" stopIfTrue="1" operator="between">
      <formula>10</formula>
      <formula>10</formula>
    </cfRule>
    <cfRule type="containsBlanks" dxfId="1818" priority="1152" stopIfTrue="1">
      <formula>LEN(TRIM(B17))=0</formula>
    </cfRule>
  </conditionalFormatting>
  <conditionalFormatting sqref="B27:B31">
    <cfRule type="cellIs" dxfId="1817" priority="1141" operator="between">
      <formula>10.1</formula>
      <formula>10.6</formula>
    </cfRule>
    <cfRule type="cellIs" dxfId="1816" priority="1142" operator="between">
      <formula>7</formula>
      <formula>7.9</formula>
    </cfRule>
    <cfRule type="cellIs" dxfId="1815" priority="1143" stopIfTrue="1" operator="between">
      <formula>8</formula>
      <formula>8.9</formula>
    </cfRule>
    <cfRule type="cellIs" dxfId="1814" priority="1144" operator="between">
      <formula>9</formula>
      <formula>9.9</formula>
    </cfRule>
    <cfRule type="cellIs" dxfId="1813" priority="1145" stopIfTrue="1" operator="between">
      <formula>10</formula>
      <formula>10</formula>
    </cfRule>
    <cfRule type="containsBlanks" dxfId="1812" priority="1146" stopIfTrue="1">
      <formula>LEN(TRIM(B27))=0</formula>
    </cfRule>
  </conditionalFormatting>
  <conditionalFormatting sqref="B33">
    <cfRule type="colorScale" priority="15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44">
      <colorScale>
        <cfvo type="num" val="5"/>
        <cfvo type="num" val="10"/>
        <color rgb="FFFF494D"/>
        <color rgb="FF00FF66"/>
      </colorScale>
    </cfRule>
  </conditionalFormatting>
  <conditionalFormatting sqref="B34:B45">
    <cfRule type="cellIs" dxfId="1811" priority="1135" operator="between">
      <formula>10.1</formula>
      <formula>10.6</formula>
    </cfRule>
    <cfRule type="cellIs" dxfId="1810" priority="1136" operator="between">
      <formula>7</formula>
      <formula>7.9</formula>
    </cfRule>
    <cfRule type="cellIs" dxfId="1809" priority="1137" stopIfTrue="1" operator="between">
      <formula>8</formula>
      <formula>8.9</formula>
    </cfRule>
    <cfRule type="cellIs" dxfId="1808" priority="1138" operator="between">
      <formula>9</formula>
      <formula>9.9</formula>
    </cfRule>
    <cfRule type="cellIs" dxfId="1807" priority="1139" stopIfTrue="1" operator="between">
      <formula>10</formula>
      <formula>10</formula>
    </cfRule>
    <cfRule type="containsBlanks" dxfId="1806" priority="1140" stopIfTrue="1">
      <formula>LEN(TRIM(B34))=0</formula>
    </cfRule>
  </conditionalFormatting>
  <conditionalFormatting sqref="B47">
    <cfRule type="colorScale" priority="121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20">
      <colorScale>
        <cfvo type="num" val="5"/>
        <cfvo type="num" val="10"/>
        <color rgb="FFFF494D"/>
        <color rgb="FF00FF66"/>
      </colorScale>
    </cfRule>
  </conditionalFormatting>
  <conditionalFormatting sqref="B48:B57">
    <cfRule type="cellIs" dxfId="1805" priority="1105" operator="between">
      <formula>10.1</formula>
      <formula>10.6</formula>
    </cfRule>
    <cfRule type="cellIs" dxfId="1804" priority="1106" operator="between">
      <formula>7</formula>
      <formula>7.9</formula>
    </cfRule>
    <cfRule type="cellIs" dxfId="1803" priority="1107" stopIfTrue="1" operator="between">
      <formula>8</formula>
      <formula>8.9</formula>
    </cfRule>
    <cfRule type="cellIs" dxfId="1802" priority="1108" operator="between">
      <formula>9</formula>
      <formula>9.9</formula>
    </cfRule>
    <cfRule type="cellIs" dxfId="1801" priority="1109" stopIfTrue="1" operator="between">
      <formula>10</formula>
      <formula>10</formula>
    </cfRule>
    <cfRule type="containsBlanks" dxfId="1800" priority="1110" stopIfTrue="1">
      <formula>LEN(TRIM(B48))=0</formula>
    </cfRule>
  </conditionalFormatting>
  <conditionalFormatting sqref="B59">
    <cfRule type="colorScale" priority="108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90">
      <colorScale>
        <cfvo type="num" val="5"/>
        <cfvo type="num" val="10"/>
        <color rgb="FFFF494D"/>
        <color rgb="FF00FF66"/>
      </colorScale>
    </cfRule>
  </conditionalFormatting>
  <conditionalFormatting sqref="B60:B68">
    <cfRule type="cellIs" dxfId="1799" priority="1083" operator="between">
      <formula>10.1</formula>
      <formula>10.6</formula>
    </cfRule>
    <cfRule type="cellIs" dxfId="1798" priority="1084" operator="between">
      <formula>7</formula>
      <formula>7.9</formula>
    </cfRule>
    <cfRule type="cellIs" dxfId="1797" priority="1085" stopIfTrue="1" operator="between">
      <formula>8</formula>
      <formula>8.9</formula>
    </cfRule>
    <cfRule type="cellIs" dxfId="1796" priority="1086" operator="between">
      <formula>9</formula>
      <formula>9.9</formula>
    </cfRule>
    <cfRule type="cellIs" dxfId="1795" priority="1087" stopIfTrue="1" operator="between">
      <formula>10</formula>
      <formula>10</formula>
    </cfRule>
    <cfRule type="containsBlanks" dxfId="1794" priority="1088" stopIfTrue="1">
      <formula>LEN(TRIM(B60))=0</formula>
    </cfRule>
  </conditionalFormatting>
  <conditionalFormatting sqref="B70">
    <cfRule type="colorScale" priority="10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17">
      <colorScale>
        <cfvo type="num" val="5"/>
        <cfvo type="num" val="10"/>
        <color rgb="FFFF494D"/>
        <color rgb="FF00FF66"/>
      </colorScale>
    </cfRule>
  </conditionalFormatting>
  <conditionalFormatting sqref="B71:B77">
    <cfRule type="cellIs" dxfId="1793" priority="997" operator="between">
      <formula>10.1</formula>
      <formula>10.6</formula>
    </cfRule>
    <cfRule type="cellIs" dxfId="1792" priority="998" operator="between">
      <formula>7</formula>
      <formula>7.9</formula>
    </cfRule>
    <cfRule type="cellIs" dxfId="1791" priority="999" stopIfTrue="1" operator="between">
      <formula>8</formula>
      <formula>8.9</formula>
    </cfRule>
    <cfRule type="cellIs" dxfId="1790" priority="1000" operator="between">
      <formula>9</formula>
      <formula>9.9</formula>
    </cfRule>
    <cfRule type="cellIs" dxfId="1789" priority="1001" stopIfTrue="1" operator="between">
      <formula>10</formula>
      <formula>10</formula>
    </cfRule>
    <cfRule type="containsBlanks" dxfId="1788" priority="1002" stopIfTrue="1">
      <formula>LEN(TRIM(B71))=0</formula>
    </cfRule>
  </conditionalFormatting>
  <conditionalFormatting sqref="B73">
    <cfRule type="cellIs" dxfId="1787" priority="996" operator="between">
      <formula>6</formula>
      <formula>6.9</formula>
    </cfRule>
  </conditionalFormatting>
  <conditionalFormatting sqref="B79">
    <cfRule type="colorScale" priority="97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80">
      <colorScale>
        <cfvo type="num" val="5"/>
        <cfvo type="num" val="10"/>
        <color rgb="FFFF494D"/>
        <color rgb="FF00FF66"/>
      </colorScale>
    </cfRule>
  </conditionalFormatting>
  <conditionalFormatting sqref="B80:B91">
    <cfRule type="cellIs" dxfId="1786" priority="973" operator="between">
      <formula>10.1</formula>
      <formula>10.6</formula>
    </cfRule>
    <cfRule type="cellIs" dxfId="1785" priority="974" operator="between">
      <formula>7</formula>
      <formula>7.9</formula>
    </cfRule>
    <cfRule type="cellIs" dxfId="1784" priority="975" stopIfTrue="1" operator="between">
      <formula>8</formula>
      <formula>8.9</formula>
    </cfRule>
    <cfRule type="cellIs" dxfId="1783" priority="976" operator="between">
      <formula>9</formula>
      <formula>9.9</formula>
    </cfRule>
    <cfRule type="cellIs" dxfId="1782" priority="977" stopIfTrue="1" operator="between">
      <formula>10</formula>
      <formula>10</formula>
    </cfRule>
    <cfRule type="containsBlanks" dxfId="1781" priority="978" stopIfTrue="1">
      <formula>LEN(TRIM(B80))=0</formula>
    </cfRule>
  </conditionalFormatting>
  <conditionalFormatting sqref="B93">
    <cfRule type="colorScale" priority="93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33">
      <colorScale>
        <cfvo type="num" val="5"/>
        <cfvo type="num" val="10"/>
        <color rgb="FFFF494D"/>
        <color rgb="FF00FF66"/>
      </colorScale>
    </cfRule>
  </conditionalFormatting>
  <conditionalFormatting sqref="B94:B101">
    <cfRule type="cellIs" dxfId="1780" priority="926" operator="between">
      <formula>10.1</formula>
      <formula>10.6</formula>
    </cfRule>
    <cfRule type="cellIs" dxfId="1779" priority="927" operator="between">
      <formula>7</formula>
      <formula>7.9</formula>
    </cfRule>
    <cfRule type="cellIs" dxfId="1778" priority="928" stopIfTrue="1" operator="between">
      <formula>8</formula>
      <formula>8.9</formula>
    </cfRule>
    <cfRule type="cellIs" dxfId="1777" priority="929" operator="between">
      <formula>9</formula>
      <formula>9.9</formula>
    </cfRule>
    <cfRule type="cellIs" dxfId="1776" priority="930" stopIfTrue="1" operator="between">
      <formula>10</formula>
      <formula>10</formula>
    </cfRule>
    <cfRule type="containsBlanks" dxfId="1775" priority="931" stopIfTrue="1">
      <formula>LEN(TRIM(B94))=0</formula>
    </cfRule>
  </conditionalFormatting>
  <conditionalFormatting sqref="B103">
    <cfRule type="colorScale" priority="88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4">
      <colorScale>
        <cfvo type="num" val="5"/>
        <cfvo type="num" val="10"/>
        <color rgb="FFFF494D"/>
        <color rgb="FF00FF66"/>
      </colorScale>
    </cfRule>
  </conditionalFormatting>
  <conditionalFormatting sqref="B104:B112">
    <cfRule type="cellIs" dxfId="1774" priority="877" operator="between">
      <formula>10.1</formula>
      <formula>10.6</formula>
    </cfRule>
    <cfRule type="cellIs" dxfId="1773" priority="878" operator="between">
      <formula>7</formula>
      <formula>7.9</formula>
    </cfRule>
    <cfRule type="cellIs" dxfId="1772" priority="879" stopIfTrue="1" operator="between">
      <formula>8</formula>
      <formula>8.9</formula>
    </cfRule>
    <cfRule type="cellIs" dxfId="1771" priority="880" operator="between">
      <formula>9</formula>
      <formula>9.9</formula>
    </cfRule>
    <cfRule type="cellIs" dxfId="1770" priority="881" stopIfTrue="1" operator="between">
      <formula>10</formula>
      <formula>10</formula>
    </cfRule>
    <cfRule type="containsBlanks" dxfId="1769" priority="882" stopIfTrue="1">
      <formula>LEN(TRIM(B104))=0</formula>
    </cfRule>
  </conditionalFormatting>
  <conditionalFormatting sqref="B114">
    <cfRule type="colorScale" priority="84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45">
      <colorScale>
        <cfvo type="num" val="5"/>
        <cfvo type="num" val="10"/>
        <color rgb="FFFF494D"/>
        <color rgb="FF00FF66"/>
      </colorScale>
    </cfRule>
  </conditionalFormatting>
  <conditionalFormatting sqref="B115:B132">
    <cfRule type="cellIs" dxfId="1768" priority="831" operator="between">
      <formula>6</formula>
      <formula>6.9</formula>
    </cfRule>
    <cfRule type="cellIs" dxfId="1767" priority="832" operator="between">
      <formula>10.1</formula>
      <formula>10.6</formula>
    </cfRule>
    <cfRule type="cellIs" dxfId="1766" priority="833" operator="between">
      <formula>7</formula>
      <formula>7.9</formula>
    </cfRule>
    <cfRule type="cellIs" dxfId="1765" priority="834" stopIfTrue="1" operator="between">
      <formula>8</formula>
      <formula>8.9</formula>
    </cfRule>
    <cfRule type="cellIs" dxfId="1764" priority="835" operator="between">
      <formula>9</formula>
      <formula>9.9</formula>
    </cfRule>
    <cfRule type="cellIs" dxfId="1763" priority="836" stopIfTrue="1" operator="between">
      <formula>10</formula>
      <formula>10</formula>
    </cfRule>
    <cfRule type="containsBlanks" dxfId="1762" priority="837" stopIfTrue="1">
      <formula>LEN(TRIM(B115))=0</formula>
    </cfRule>
  </conditionalFormatting>
  <conditionalFormatting sqref="B134">
    <cfRule type="colorScale" priority="76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62">
      <colorScale>
        <cfvo type="num" val="5"/>
        <cfvo type="num" val="10"/>
        <color rgb="FFFF494D"/>
        <color rgb="FF00FF66"/>
      </colorScale>
    </cfRule>
  </conditionalFormatting>
  <conditionalFormatting sqref="B135:B143">
    <cfRule type="cellIs" dxfId="1761" priority="754" operator="between">
      <formula>6</formula>
      <formula>6.9</formula>
    </cfRule>
    <cfRule type="cellIs" dxfId="1760" priority="755" operator="between">
      <formula>10.1</formula>
      <formula>10.6</formula>
    </cfRule>
    <cfRule type="cellIs" dxfId="1759" priority="756" operator="between">
      <formula>7</formula>
      <formula>7.9</formula>
    </cfRule>
    <cfRule type="cellIs" dxfId="1758" priority="757" stopIfTrue="1" operator="between">
      <formula>8</formula>
      <formula>8.9</formula>
    </cfRule>
    <cfRule type="cellIs" dxfId="1757" priority="758" operator="between">
      <formula>9</formula>
      <formula>9.9</formula>
    </cfRule>
    <cfRule type="cellIs" dxfId="1756" priority="759" stopIfTrue="1" operator="between">
      <formula>10</formula>
      <formula>10</formula>
    </cfRule>
    <cfRule type="containsBlanks" dxfId="1755" priority="760" stopIfTrue="1">
      <formula>LEN(TRIM(B135))=0</formula>
    </cfRule>
  </conditionalFormatting>
  <conditionalFormatting sqref="B145">
    <cfRule type="colorScale" priority="7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17">
      <colorScale>
        <cfvo type="num" val="5"/>
        <cfvo type="num" val="10"/>
        <color rgb="FFFF494D"/>
        <color rgb="FF00FF66"/>
      </colorScale>
    </cfRule>
  </conditionalFormatting>
  <conditionalFormatting sqref="B146:B160">
    <cfRule type="cellIs" dxfId="1754" priority="709" operator="between">
      <formula>6</formula>
      <formula>6.9</formula>
    </cfRule>
    <cfRule type="cellIs" dxfId="1753" priority="710" operator="between">
      <formula>10.1</formula>
      <formula>10.6</formula>
    </cfRule>
    <cfRule type="cellIs" dxfId="1752" priority="711" operator="between">
      <formula>7</formula>
      <formula>7.9</formula>
    </cfRule>
    <cfRule type="cellIs" dxfId="1751" priority="712" stopIfTrue="1" operator="between">
      <formula>8</formula>
      <formula>8.9</formula>
    </cfRule>
    <cfRule type="cellIs" dxfId="1750" priority="713" operator="between">
      <formula>9</formula>
      <formula>9.9</formula>
    </cfRule>
    <cfRule type="cellIs" dxfId="1749" priority="714" stopIfTrue="1" operator="between">
      <formula>10</formula>
      <formula>10</formula>
    </cfRule>
    <cfRule type="containsBlanks" dxfId="1748" priority="715" stopIfTrue="1">
      <formula>LEN(TRIM(B146))=0</formula>
    </cfRule>
  </conditionalFormatting>
  <conditionalFormatting sqref="B162">
    <cfRule type="colorScale" priority="6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47">
      <colorScale>
        <cfvo type="num" val="5"/>
        <cfvo type="num" val="10"/>
        <color rgb="FFFF494D"/>
        <color rgb="FF00FF66"/>
      </colorScale>
    </cfRule>
  </conditionalFormatting>
  <conditionalFormatting sqref="B163:B170">
    <cfRule type="cellIs" dxfId="1747" priority="648" operator="between">
      <formula>6</formula>
      <formula>6.9</formula>
    </cfRule>
    <cfRule type="cellIs" dxfId="1746" priority="649" operator="between">
      <formula>10.1</formula>
      <formula>10.6</formula>
    </cfRule>
    <cfRule type="cellIs" dxfId="1745" priority="650" operator="between">
      <formula>7</formula>
      <formula>7.9</formula>
    </cfRule>
    <cfRule type="cellIs" dxfId="1744" priority="651" stopIfTrue="1" operator="between">
      <formula>8</formula>
      <formula>8.9</formula>
    </cfRule>
    <cfRule type="cellIs" dxfId="1743" priority="652" operator="between">
      <formula>9</formula>
      <formula>9.9</formula>
    </cfRule>
    <cfRule type="cellIs" dxfId="1742" priority="653" stopIfTrue="1" operator="between">
      <formula>10</formula>
      <formula>10</formula>
    </cfRule>
    <cfRule type="containsBlanks" dxfId="1741" priority="654" stopIfTrue="1">
      <formula>LEN(TRIM(B163))=0</formula>
    </cfRule>
  </conditionalFormatting>
  <conditionalFormatting sqref="B172">
    <cfRule type="colorScale" priority="61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18">
      <colorScale>
        <cfvo type="num" val="5"/>
        <cfvo type="num" val="10"/>
        <color rgb="FFFF494D"/>
        <color rgb="FF00FF66"/>
      </colorScale>
    </cfRule>
  </conditionalFormatting>
  <conditionalFormatting sqref="B173:B183">
    <cfRule type="cellIs" dxfId="1740" priority="610" operator="between">
      <formula>6</formula>
      <formula>6.9</formula>
    </cfRule>
    <cfRule type="cellIs" dxfId="1739" priority="611" operator="between">
      <formula>10.1</formula>
      <formula>10.6</formula>
    </cfRule>
    <cfRule type="cellIs" dxfId="1738" priority="612" operator="between">
      <formula>7</formula>
      <formula>7.9</formula>
    </cfRule>
    <cfRule type="cellIs" dxfId="1737" priority="613" stopIfTrue="1" operator="between">
      <formula>8</formula>
      <formula>8.9</formula>
    </cfRule>
    <cfRule type="cellIs" dxfId="1736" priority="614" operator="between">
      <formula>9</formula>
      <formula>9.9</formula>
    </cfRule>
    <cfRule type="cellIs" dxfId="1735" priority="615" stopIfTrue="1" operator="between">
      <formula>10</formula>
      <formula>10</formula>
    </cfRule>
    <cfRule type="containsBlanks" dxfId="1734" priority="616" stopIfTrue="1">
      <formula>LEN(TRIM(B173))=0</formula>
    </cfRule>
  </conditionalFormatting>
  <conditionalFormatting sqref="B185">
    <cfRule type="colorScale" priority="57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80">
      <colorScale>
        <cfvo type="num" val="5"/>
        <cfvo type="num" val="10"/>
        <color rgb="FFFF494D"/>
        <color rgb="FF00FF66"/>
      </colorScale>
    </cfRule>
  </conditionalFormatting>
  <conditionalFormatting sqref="B186:B194">
    <cfRule type="cellIs" dxfId="1733" priority="572" operator="between">
      <formula>6</formula>
      <formula>6.9</formula>
    </cfRule>
    <cfRule type="cellIs" dxfId="1732" priority="573" operator="between">
      <formula>10.1</formula>
      <formula>10.6</formula>
    </cfRule>
    <cfRule type="cellIs" dxfId="1731" priority="574" operator="between">
      <formula>7</formula>
      <formula>7.9</formula>
    </cfRule>
    <cfRule type="cellIs" dxfId="1730" priority="575" stopIfTrue="1" operator="between">
      <formula>8</formula>
      <formula>8.9</formula>
    </cfRule>
    <cfRule type="cellIs" dxfId="1729" priority="576" operator="between">
      <formula>9</formula>
      <formula>9.9</formula>
    </cfRule>
    <cfRule type="cellIs" dxfId="1728" priority="577" stopIfTrue="1" operator="between">
      <formula>10</formula>
      <formula>10</formula>
    </cfRule>
    <cfRule type="containsBlanks" dxfId="1727" priority="578" stopIfTrue="1">
      <formula>LEN(TRIM(B186))=0</formula>
    </cfRule>
  </conditionalFormatting>
  <conditionalFormatting sqref="B196">
    <cfRule type="colorScale" priority="52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22">
      <colorScale>
        <cfvo type="num" val="5"/>
        <cfvo type="num" val="10"/>
        <color rgb="FFFF494D"/>
        <color rgb="FF00FF66"/>
      </colorScale>
    </cfRule>
  </conditionalFormatting>
  <conditionalFormatting sqref="B197:B211">
    <cfRule type="cellIs" dxfId="1726" priority="523" operator="between">
      <formula>6</formula>
      <formula>6.9</formula>
    </cfRule>
    <cfRule type="cellIs" dxfId="1725" priority="524" operator="between">
      <formula>10.1</formula>
      <formula>10.6</formula>
    </cfRule>
    <cfRule type="cellIs" dxfId="1724" priority="525" operator="between">
      <formula>7</formula>
      <formula>7.9</formula>
    </cfRule>
    <cfRule type="cellIs" dxfId="1723" priority="526" stopIfTrue="1" operator="between">
      <formula>8</formula>
      <formula>8.9</formula>
    </cfRule>
    <cfRule type="cellIs" dxfId="1722" priority="527" operator="between">
      <formula>9</formula>
      <formula>9.9</formula>
    </cfRule>
    <cfRule type="cellIs" dxfId="1721" priority="528" stopIfTrue="1" operator="between">
      <formula>10</formula>
      <formula>10</formula>
    </cfRule>
    <cfRule type="containsBlanks" dxfId="1720" priority="529" stopIfTrue="1">
      <formula>LEN(TRIM(B197))=0</formula>
    </cfRule>
  </conditionalFormatting>
  <conditionalFormatting sqref="B213">
    <cfRule type="colorScale" priority="4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55">
      <colorScale>
        <cfvo type="num" val="5"/>
        <cfvo type="num" val="10"/>
        <color rgb="FFFF494D"/>
        <color rgb="FF00FF66"/>
      </colorScale>
    </cfRule>
  </conditionalFormatting>
  <conditionalFormatting sqref="B214:B224 B227:B233">
    <cfRule type="cellIs" dxfId="1719" priority="447" operator="between">
      <formula>6</formula>
      <formula>6.9</formula>
    </cfRule>
    <cfRule type="cellIs" dxfId="1718" priority="448" operator="between">
      <formula>10.1</formula>
      <formula>10.6</formula>
    </cfRule>
    <cfRule type="cellIs" dxfId="1717" priority="449" operator="between">
      <formula>7</formula>
      <formula>7.9</formula>
    </cfRule>
    <cfRule type="cellIs" dxfId="1716" priority="450" stopIfTrue="1" operator="between">
      <formula>8</formula>
      <formula>8.9</formula>
    </cfRule>
    <cfRule type="cellIs" dxfId="1715" priority="451" operator="between">
      <formula>9</formula>
      <formula>9.9</formula>
    </cfRule>
    <cfRule type="cellIs" dxfId="1714" priority="452" stopIfTrue="1" operator="between">
      <formula>10</formula>
      <formula>10</formula>
    </cfRule>
    <cfRule type="containsBlanks" dxfId="1713" priority="453" stopIfTrue="1">
      <formula>LEN(TRIM(B214))=0</formula>
    </cfRule>
  </conditionalFormatting>
  <conditionalFormatting sqref="B226">
    <cfRule type="colorScale" priority="4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8">
      <colorScale>
        <cfvo type="num" val="5"/>
        <cfvo type="num" val="10"/>
        <color rgb="FFFF494D"/>
        <color rgb="FF00FF66"/>
      </colorScale>
    </cfRule>
  </conditionalFormatting>
  <conditionalFormatting sqref="B235">
    <cfRule type="colorScale" priority="3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99">
      <colorScale>
        <cfvo type="num" val="5"/>
        <cfvo type="num" val="10"/>
        <color rgb="FFFF494D"/>
        <color rgb="FF00FF66"/>
      </colorScale>
    </cfRule>
  </conditionalFormatting>
  <conditionalFormatting sqref="B236:B244">
    <cfRule type="cellIs" dxfId="1712" priority="384" operator="between">
      <formula>6</formula>
      <formula>6.9</formula>
    </cfRule>
    <cfRule type="cellIs" dxfId="1711" priority="385" operator="between">
      <formula>10.1</formula>
      <formula>10.6</formula>
    </cfRule>
    <cfRule type="cellIs" dxfId="1710" priority="386" operator="between">
      <formula>7</formula>
      <formula>7.9</formula>
    </cfRule>
    <cfRule type="cellIs" dxfId="1709" priority="387" stopIfTrue="1" operator="between">
      <formula>8</formula>
      <formula>8.9</formula>
    </cfRule>
    <cfRule type="cellIs" dxfId="1708" priority="388" operator="between">
      <formula>9</formula>
      <formula>9.9</formula>
    </cfRule>
    <cfRule type="cellIs" dxfId="1707" priority="389" stopIfTrue="1" operator="between">
      <formula>10</formula>
      <formula>10</formula>
    </cfRule>
    <cfRule type="containsBlanks" dxfId="1706" priority="390" stopIfTrue="1">
      <formula>LEN(TRIM(B236))=0</formula>
    </cfRule>
  </conditionalFormatting>
  <conditionalFormatting sqref="B246">
    <cfRule type="colorScale" priority="3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47">
      <colorScale>
        <cfvo type="num" val="5"/>
        <cfvo type="num" val="10"/>
        <color rgb="FFFF494D"/>
        <color rgb="FF00FF66"/>
      </colorScale>
    </cfRule>
  </conditionalFormatting>
  <conditionalFormatting sqref="B247:B258">
    <cfRule type="cellIs" dxfId="1705" priority="339" operator="between">
      <formula>6</formula>
      <formula>6.9</formula>
    </cfRule>
    <cfRule type="cellIs" dxfId="1704" priority="340" operator="between">
      <formula>10.1</formula>
      <formula>10.6</formula>
    </cfRule>
    <cfRule type="cellIs" dxfId="1703" priority="341" operator="between">
      <formula>7</formula>
      <formula>7.9</formula>
    </cfRule>
    <cfRule type="cellIs" dxfId="1702" priority="342" stopIfTrue="1" operator="between">
      <formula>8</formula>
      <formula>8.9</formula>
    </cfRule>
    <cfRule type="cellIs" dxfId="1701" priority="343" operator="between">
      <formula>9</formula>
      <formula>9.9</formula>
    </cfRule>
    <cfRule type="cellIs" dxfId="1700" priority="344" stopIfTrue="1" operator="between">
      <formula>10</formula>
      <formula>10</formula>
    </cfRule>
    <cfRule type="containsBlanks" dxfId="1699" priority="345" stopIfTrue="1">
      <formula>LEN(TRIM(B247))=0</formula>
    </cfRule>
  </conditionalFormatting>
  <conditionalFormatting sqref="B260">
    <cfRule type="colorScale" priority="2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0">
      <colorScale>
        <cfvo type="num" val="5"/>
        <cfvo type="num" val="10"/>
        <color rgb="FFFF494D"/>
        <color rgb="FF00FF66"/>
      </colorScale>
    </cfRule>
  </conditionalFormatting>
  <conditionalFormatting sqref="B261:B270">
    <cfRule type="cellIs" dxfId="1698" priority="301" operator="between">
      <formula>6</formula>
      <formula>6.9</formula>
    </cfRule>
    <cfRule type="cellIs" dxfId="1697" priority="302" operator="between">
      <formula>10.1</formula>
      <formula>10.6</formula>
    </cfRule>
    <cfRule type="cellIs" dxfId="1696" priority="303" operator="between">
      <formula>7</formula>
      <formula>7.9</formula>
    </cfRule>
    <cfRule type="cellIs" dxfId="1695" priority="304" stopIfTrue="1" operator="between">
      <formula>8</formula>
      <formula>8.9</formula>
    </cfRule>
    <cfRule type="cellIs" dxfId="1694" priority="305" operator="between">
      <formula>9</formula>
      <formula>9.9</formula>
    </cfRule>
    <cfRule type="cellIs" dxfId="1693" priority="306" stopIfTrue="1" operator="between">
      <formula>10</formula>
      <formula>10</formula>
    </cfRule>
    <cfRule type="containsBlanks" dxfId="1692" priority="307" stopIfTrue="1">
      <formula>LEN(TRIM(B261))=0</formula>
    </cfRule>
  </conditionalFormatting>
  <conditionalFormatting sqref="B272">
    <cfRule type="colorScale" priority="25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8">
      <colorScale>
        <cfvo type="num" val="5"/>
        <cfvo type="num" val="10"/>
        <color rgb="FFFF494D"/>
        <color rgb="FF00FF66"/>
      </colorScale>
    </cfRule>
  </conditionalFormatting>
  <conditionalFormatting sqref="B273:B277">
    <cfRule type="cellIs" dxfId="1691" priority="259" operator="between">
      <formula>6</formula>
      <formula>6.9</formula>
    </cfRule>
    <cfRule type="cellIs" dxfId="1690" priority="260" operator="between">
      <formula>10.1</formula>
      <formula>10.6</formula>
    </cfRule>
    <cfRule type="cellIs" dxfId="1689" priority="261" operator="between">
      <formula>7</formula>
      <formula>7.9</formula>
    </cfRule>
    <cfRule type="cellIs" dxfId="1688" priority="262" stopIfTrue="1" operator="between">
      <formula>8</formula>
      <formula>8.9</formula>
    </cfRule>
    <cfRule type="cellIs" dxfId="1687" priority="263" operator="between">
      <formula>9</formula>
      <formula>9.9</formula>
    </cfRule>
    <cfRule type="cellIs" dxfId="1686" priority="264" stopIfTrue="1" operator="between">
      <formula>10</formula>
      <formula>10</formula>
    </cfRule>
    <cfRule type="containsBlanks" dxfId="1685" priority="265" stopIfTrue="1">
      <formula>LEN(TRIM(B273))=0</formula>
    </cfRule>
  </conditionalFormatting>
  <conditionalFormatting sqref="B279">
    <cfRule type="colorScale" priority="2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9">
      <colorScale>
        <cfvo type="num" val="5"/>
        <cfvo type="num" val="10"/>
        <color rgb="FFFF494D"/>
        <color rgb="FF00FF66"/>
      </colorScale>
    </cfRule>
  </conditionalFormatting>
  <conditionalFormatting sqref="B280:B307">
    <cfRule type="cellIs" dxfId="1684" priority="211" operator="between">
      <formula>6</formula>
      <formula>6.9</formula>
    </cfRule>
    <cfRule type="cellIs" dxfId="1683" priority="212" operator="between">
      <formula>10.1</formula>
      <formula>10.6</formula>
    </cfRule>
    <cfRule type="cellIs" dxfId="1682" priority="213" operator="between">
      <formula>7</formula>
      <formula>7.9</formula>
    </cfRule>
    <cfRule type="cellIs" dxfId="1681" priority="214" stopIfTrue="1" operator="between">
      <formula>8</formula>
      <formula>8.9</formula>
    </cfRule>
    <cfRule type="cellIs" dxfId="1680" priority="215" operator="between">
      <formula>9</formula>
      <formula>9.9</formula>
    </cfRule>
    <cfRule type="cellIs" dxfId="1679" priority="216" stopIfTrue="1" operator="between">
      <formula>10</formula>
      <formula>10</formula>
    </cfRule>
    <cfRule type="containsBlanks" dxfId="1678" priority="217" stopIfTrue="1">
      <formula>LEN(TRIM(B280))=0</formula>
    </cfRule>
  </conditionalFormatting>
  <conditionalFormatting sqref="B309">
    <cfRule type="colorScale" priority="1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8">
      <colorScale>
        <cfvo type="num" val="5"/>
        <cfvo type="num" val="10"/>
        <color rgb="FFFF494D"/>
        <color rgb="FF00FF66"/>
      </colorScale>
    </cfRule>
  </conditionalFormatting>
  <conditionalFormatting sqref="B310:B320">
    <cfRule type="cellIs" dxfId="1677" priority="100" operator="between">
      <formula>6</formula>
      <formula>6.9</formula>
    </cfRule>
    <cfRule type="cellIs" dxfId="1676" priority="101" operator="between">
      <formula>10.1</formula>
      <formula>10.6</formula>
    </cfRule>
    <cfRule type="cellIs" dxfId="1675" priority="102" operator="between">
      <formula>7</formula>
      <formula>7.9</formula>
    </cfRule>
    <cfRule type="cellIs" dxfId="1674" priority="103" stopIfTrue="1" operator="between">
      <formula>8</formula>
      <formula>8.9</formula>
    </cfRule>
    <cfRule type="cellIs" dxfId="1673" priority="104" operator="between">
      <formula>9</formula>
      <formula>9.9</formula>
    </cfRule>
    <cfRule type="cellIs" dxfId="1672" priority="105" stopIfTrue="1" operator="between">
      <formula>10</formula>
      <formula>10</formula>
    </cfRule>
    <cfRule type="containsBlanks" dxfId="1671" priority="106" stopIfTrue="1">
      <formula>LEN(TRIM(B310))=0</formula>
    </cfRule>
  </conditionalFormatting>
  <conditionalFormatting sqref="B322">
    <cfRule type="colorScale" priority="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4">
      <colorScale>
        <cfvo type="num" val="5"/>
        <cfvo type="num" val="10"/>
        <color rgb="FFFF494D"/>
        <color rgb="FF00FF66"/>
      </colorScale>
    </cfRule>
  </conditionalFormatting>
  <conditionalFormatting sqref="B323:B341">
    <cfRule type="containsBlanks" dxfId="1670" priority="34" stopIfTrue="1">
      <formula>LEN(TRIM(B323))=0</formula>
    </cfRule>
    <cfRule type="cellIs" dxfId="1669" priority="35" operator="lessThan">
      <formula>2</formula>
    </cfRule>
    <cfRule type="cellIs" dxfId="1668" priority="36" operator="between">
      <formula>2</formula>
      <formula>4.9</formula>
    </cfRule>
    <cfRule type="cellIs" dxfId="1667" priority="37" operator="between">
      <formula>5</formula>
      <formula>6.9</formula>
    </cfRule>
    <cfRule type="cellIs" dxfId="1666" priority="38" operator="between">
      <formula>10.1</formula>
      <formula>10.6</formula>
    </cfRule>
    <cfRule type="cellIs" dxfId="1665" priority="39" operator="between">
      <formula>7</formula>
      <formula>7.9</formula>
    </cfRule>
    <cfRule type="cellIs" dxfId="1664" priority="40" stopIfTrue="1" operator="between">
      <formula>8</formula>
      <formula>8.9</formula>
    </cfRule>
    <cfRule type="cellIs" dxfId="1663" priority="41" operator="between">
      <formula>9</formula>
      <formula>9.9</formula>
    </cfRule>
    <cfRule type="cellIs" dxfId="1662" priority="42" stopIfTrue="1" operator="between">
      <formula>10</formula>
      <formula>10</formula>
    </cfRule>
  </conditionalFormatting>
  <conditionalFormatting sqref="E3:E12">
    <cfRule type="cellIs" dxfId="1661" priority="1165" operator="between">
      <formula>10.1</formula>
      <formula>10.6</formula>
    </cfRule>
    <cfRule type="cellIs" dxfId="1660" priority="1166" operator="between">
      <formula>7</formula>
      <formula>7.9</formula>
    </cfRule>
    <cfRule type="cellIs" dxfId="1659" priority="1167" stopIfTrue="1" operator="between">
      <formula>8</formula>
      <formula>8.9</formula>
    </cfRule>
    <cfRule type="cellIs" dxfId="1658" priority="1168" operator="between">
      <formula>9</formula>
      <formula>9.9</formula>
    </cfRule>
    <cfRule type="cellIs" dxfId="1657" priority="1169" stopIfTrue="1" operator="between">
      <formula>10</formula>
      <formula>10</formula>
    </cfRule>
    <cfRule type="containsBlanks" dxfId="1656" priority="1170" stopIfTrue="1">
      <formula>LEN(TRIM(E3))=0</formula>
    </cfRule>
  </conditionalFormatting>
  <conditionalFormatting sqref="E15:E28">
    <cfRule type="cellIs" dxfId="1655" priority="475" operator="between">
      <formula>7</formula>
      <formula>7.9</formula>
    </cfRule>
    <cfRule type="cellIs" dxfId="1654" priority="476" stopIfTrue="1" operator="between">
      <formula>8</formula>
      <formula>8.9</formula>
    </cfRule>
    <cfRule type="cellIs" dxfId="1653" priority="477" operator="between">
      <formula>9</formula>
      <formula>9.9</formula>
    </cfRule>
    <cfRule type="cellIs" dxfId="1652" priority="478" stopIfTrue="1" operator="between">
      <formula>10</formula>
      <formula>10</formula>
    </cfRule>
    <cfRule type="containsBlanks" dxfId="1651" priority="479" stopIfTrue="1">
      <formula>LEN(TRIM(E15))=0</formula>
    </cfRule>
  </conditionalFormatting>
  <conditionalFormatting sqref="E16">
    <cfRule type="cellIs" dxfId="1650" priority="474" operator="between">
      <formula>10.1</formula>
      <formula>10.6</formula>
    </cfRule>
  </conditionalFormatting>
  <conditionalFormatting sqref="E31:E37">
    <cfRule type="cellIs" dxfId="1649" priority="1129" operator="between">
      <formula>10.1</formula>
      <formula>10.6</formula>
    </cfRule>
    <cfRule type="cellIs" dxfId="1648" priority="1130" operator="between">
      <formula>7</formula>
      <formula>7.9</formula>
    </cfRule>
    <cfRule type="cellIs" dxfId="1647" priority="1131" stopIfTrue="1" operator="between">
      <formula>8</formula>
      <formula>8.9</formula>
    </cfRule>
    <cfRule type="cellIs" dxfId="1646" priority="1132" operator="between">
      <formula>9</formula>
      <formula>9.9</formula>
    </cfRule>
    <cfRule type="cellIs" dxfId="1645" priority="1133" stopIfTrue="1" operator="between">
      <formula>10</formula>
      <formula>10</formula>
    </cfRule>
    <cfRule type="containsBlanks" dxfId="1644" priority="1134" stopIfTrue="1">
      <formula>LEN(TRIM(E31))=0</formula>
    </cfRule>
  </conditionalFormatting>
  <conditionalFormatting sqref="E39">
    <cfRule type="colorScale" priority="15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30">
      <colorScale>
        <cfvo type="num" val="5"/>
        <cfvo type="num" val="10"/>
        <color rgb="FFFF494D"/>
        <color rgb="FF00FF66"/>
      </colorScale>
    </cfRule>
  </conditionalFormatting>
  <conditionalFormatting sqref="E40:E52">
    <cfRule type="cellIs" dxfId="1643" priority="1241" operator="between">
      <formula>7</formula>
      <formula>7.9</formula>
    </cfRule>
    <cfRule type="cellIs" dxfId="1642" priority="1242" stopIfTrue="1" operator="between">
      <formula>8</formula>
      <formula>8.9</formula>
    </cfRule>
    <cfRule type="cellIs" dxfId="1641" priority="1243" operator="between">
      <formula>9</formula>
      <formula>9.9</formula>
    </cfRule>
    <cfRule type="cellIs" dxfId="1640" priority="1244" stopIfTrue="1" operator="between">
      <formula>10</formula>
      <formula>10</formula>
    </cfRule>
  </conditionalFormatting>
  <conditionalFormatting sqref="E54">
    <cfRule type="colorScale" priority="117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73">
      <colorScale>
        <cfvo type="num" val="5"/>
        <cfvo type="num" val="10"/>
        <color rgb="FFFF494D"/>
        <color rgb="FF00FF66"/>
      </colorScale>
    </cfRule>
  </conditionalFormatting>
  <conditionalFormatting sqref="E55:E63">
    <cfRule type="cellIs" dxfId="1639" priority="1111" operator="between">
      <formula>10.1</formula>
      <formula>10.6</formula>
    </cfRule>
    <cfRule type="cellIs" dxfId="1638" priority="1112" operator="between">
      <formula>7</formula>
      <formula>7.9</formula>
    </cfRule>
    <cfRule type="cellIs" dxfId="1637" priority="1113" stopIfTrue="1" operator="between">
      <formula>8</formula>
      <formula>8.9</formula>
    </cfRule>
    <cfRule type="cellIs" dxfId="1636" priority="1114" operator="between">
      <formula>9</formula>
      <formula>9.9</formula>
    </cfRule>
    <cfRule type="cellIs" dxfId="1635" priority="1115" stopIfTrue="1" operator="between">
      <formula>10</formula>
      <formula>10</formula>
    </cfRule>
    <cfRule type="containsBlanks" dxfId="1634" priority="1116" stopIfTrue="1">
      <formula>LEN(TRIM(E55))=0</formula>
    </cfRule>
  </conditionalFormatting>
  <conditionalFormatting sqref="E65">
    <cfRule type="colorScale" priority="10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43">
      <colorScale>
        <cfvo type="num" val="5"/>
        <cfvo type="num" val="10"/>
        <color rgb="FFFF494D"/>
        <color rgb="FF00FF66"/>
      </colorScale>
    </cfRule>
  </conditionalFormatting>
  <conditionalFormatting sqref="E66:E78">
    <cfRule type="cellIs" dxfId="1633" priority="1044" operator="between">
      <formula>10.1</formula>
      <formula>10.6</formula>
    </cfRule>
    <cfRule type="cellIs" dxfId="1632" priority="1045" operator="between">
      <formula>7</formula>
      <formula>7.9</formula>
    </cfRule>
    <cfRule type="cellIs" dxfId="1631" priority="1046" stopIfTrue="1" operator="between">
      <formula>8</formula>
      <formula>8.9</formula>
    </cfRule>
    <cfRule type="cellIs" dxfId="1630" priority="1047" operator="between">
      <formula>9</formula>
      <formula>9.9</formula>
    </cfRule>
    <cfRule type="cellIs" dxfId="1629" priority="1048" stopIfTrue="1" operator="between">
      <formula>10</formula>
      <formula>10</formula>
    </cfRule>
    <cfRule type="containsBlanks" dxfId="1628" priority="1049" stopIfTrue="1">
      <formula>LEN(TRIM(E66))=0</formula>
    </cfRule>
  </conditionalFormatting>
  <conditionalFormatting sqref="E80">
    <cfRule type="colorScale" priority="9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72">
      <colorScale>
        <cfvo type="num" val="5"/>
        <cfvo type="num" val="10"/>
        <color rgb="FFFF494D"/>
        <color rgb="FF00FF66"/>
      </colorScale>
    </cfRule>
  </conditionalFormatting>
  <conditionalFormatting sqref="E81:E99">
    <cfRule type="cellIs" dxfId="1627" priority="965" operator="between">
      <formula>10.1</formula>
      <formula>10.6</formula>
    </cfRule>
    <cfRule type="cellIs" dxfId="1626" priority="966" operator="between">
      <formula>7</formula>
      <formula>7.9</formula>
    </cfRule>
    <cfRule type="cellIs" dxfId="1625" priority="967" stopIfTrue="1" operator="between">
      <formula>8</formula>
      <formula>8.9</formula>
    </cfRule>
    <cfRule type="cellIs" dxfId="1624" priority="968" operator="between">
      <formula>9</formula>
      <formula>9.9</formula>
    </cfRule>
    <cfRule type="cellIs" dxfId="1623" priority="969" stopIfTrue="1" operator="between">
      <formula>10</formula>
      <formula>10</formula>
    </cfRule>
    <cfRule type="containsBlanks" dxfId="1622" priority="970" stopIfTrue="1">
      <formula>LEN(TRIM(E81))=0</formula>
    </cfRule>
  </conditionalFormatting>
  <conditionalFormatting sqref="E101">
    <cfRule type="colorScale" priority="8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6">
      <colorScale>
        <cfvo type="num" val="5"/>
        <cfvo type="num" val="10"/>
        <color rgb="FFFF494D"/>
        <color rgb="FF00FF66"/>
      </colorScale>
    </cfRule>
  </conditionalFormatting>
  <conditionalFormatting sqref="E102:E115">
    <cfRule type="cellIs" dxfId="1621" priority="887" operator="between">
      <formula>10.1</formula>
      <formula>10.6</formula>
    </cfRule>
    <cfRule type="cellIs" dxfId="1620" priority="888" operator="between">
      <formula>7</formula>
      <formula>7.9</formula>
    </cfRule>
    <cfRule type="cellIs" dxfId="1619" priority="889" stopIfTrue="1" operator="between">
      <formula>8</formula>
      <formula>8.9</formula>
    </cfRule>
    <cfRule type="cellIs" dxfId="1618" priority="890" operator="between">
      <formula>9</formula>
      <formula>9.9</formula>
    </cfRule>
    <cfRule type="cellIs" dxfId="1617" priority="891" stopIfTrue="1" operator="between">
      <formula>10</formula>
      <formula>10</formula>
    </cfRule>
    <cfRule type="containsBlanks" dxfId="1616" priority="892" stopIfTrue="1">
      <formula>LEN(TRIM(E102))=0</formula>
    </cfRule>
  </conditionalFormatting>
  <conditionalFormatting sqref="E117">
    <cfRule type="colorScale" priority="8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28">
      <colorScale>
        <cfvo type="num" val="5"/>
        <cfvo type="num" val="10"/>
        <color rgb="FFFF494D"/>
        <color rgb="FF00FF66"/>
      </colorScale>
    </cfRule>
  </conditionalFormatting>
  <conditionalFormatting sqref="E118:E126">
    <cfRule type="cellIs" dxfId="1615" priority="820" operator="between">
      <formula>6</formula>
      <formula>6.9</formula>
    </cfRule>
    <cfRule type="cellIs" dxfId="1614" priority="821" operator="between">
      <formula>10.1</formula>
      <formula>10.6</formula>
    </cfRule>
    <cfRule type="cellIs" dxfId="1613" priority="822" operator="between">
      <formula>7</formula>
      <formula>7.9</formula>
    </cfRule>
    <cfRule type="cellIs" dxfId="1612" priority="823" stopIfTrue="1" operator="between">
      <formula>8</formula>
      <formula>8.9</formula>
    </cfRule>
    <cfRule type="cellIs" dxfId="1611" priority="824" operator="between">
      <formula>9</formula>
      <formula>9.9</formula>
    </cfRule>
    <cfRule type="cellIs" dxfId="1610" priority="825" stopIfTrue="1" operator="between">
      <formula>10</formula>
      <formula>10</formula>
    </cfRule>
    <cfRule type="containsBlanks" dxfId="1609" priority="826" stopIfTrue="1">
      <formula>LEN(TRIM(E118))=0</formula>
    </cfRule>
  </conditionalFormatting>
  <conditionalFormatting sqref="E128">
    <cfRule type="colorScale" priority="79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95">
      <colorScale>
        <cfvo type="num" val="5"/>
        <cfvo type="num" val="10"/>
        <color rgb="FFFF494D"/>
        <color rgb="FF00FF66"/>
      </colorScale>
    </cfRule>
  </conditionalFormatting>
  <conditionalFormatting sqref="E129:E144">
    <cfRule type="cellIs" dxfId="1608" priority="787" operator="between">
      <formula>6</formula>
      <formula>6.9</formula>
    </cfRule>
    <cfRule type="cellIs" dxfId="1607" priority="788" operator="between">
      <formula>10.1</formula>
      <formula>10.6</formula>
    </cfRule>
    <cfRule type="cellIs" dxfId="1606" priority="789" operator="between">
      <formula>7</formula>
      <formula>7.9</formula>
    </cfRule>
    <cfRule type="cellIs" dxfId="1605" priority="790" stopIfTrue="1" operator="between">
      <formula>8</formula>
      <formula>8.9</formula>
    </cfRule>
    <cfRule type="cellIs" dxfId="1604" priority="791" operator="between">
      <formula>9</formula>
      <formula>9.9</formula>
    </cfRule>
    <cfRule type="cellIs" dxfId="1603" priority="792" stopIfTrue="1" operator="between">
      <formula>10</formula>
      <formula>10</formula>
    </cfRule>
    <cfRule type="containsBlanks" dxfId="1602" priority="793" stopIfTrue="1">
      <formula>LEN(TRIM(E129))=0</formula>
    </cfRule>
  </conditionalFormatting>
  <conditionalFormatting sqref="E146">
    <cfRule type="colorScale" priority="7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08">
      <colorScale>
        <cfvo type="num" val="5"/>
        <cfvo type="num" val="10"/>
        <color rgb="FFFF494D"/>
        <color rgb="FF00FF66"/>
      </colorScale>
    </cfRule>
  </conditionalFormatting>
  <conditionalFormatting sqref="E147:E159">
    <cfRule type="cellIs" dxfId="1601" priority="700" operator="between">
      <formula>6</formula>
      <formula>6.9</formula>
    </cfRule>
    <cfRule type="cellIs" dxfId="1600" priority="701" operator="between">
      <formula>10.1</formula>
      <formula>10.6</formula>
    </cfRule>
    <cfRule type="cellIs" dxfId="1599" priority="702" operator="between">
      <formula>7</formula>
      <formula>7.9</formula>
    </cfRule>
    <cfRule type="cellIs" dxfId="1598" priority="703" stopIfTrue="1" operator="between">
      <formula>8</formula>
      <formula>8.9</formula>
    </cfRule>
    <cfRule type="cellIs" dxfId="1597" priority="704" operator="between">
      <formula>9</formula>
      <formula>9.9</formula>
    </cfRule>
    <cfRule type="cellIs" dxfId="1596" priority="705" stopIfTrue="1" operator="between">
      <formula>10</formula>
      <formula>10</formula>
    </cfRule>
    <cfRule type="containsBlanks" dxfId="1595" priority="706" stopIfTrue="1">
      <formula>LEN(TRIM(E147))=0</formula>
    </cfRule>
  </conditionalFormatting>
  <conditionalFormatting sqref="E161">
    <cfRule type="colorScale" priority="6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72">
      <colorScale>
        <cfvo type="num" val="5"/>
        <cfvo type="num" val="10"/>
        <color rgb="FFFF494D"/>
        <color rgb="FF00FF66"/>
      </colorScale>
    </cfRule>
  </conditionalFormatting>
  <conditionalFormatting sqref="E162:E170">
    <cfRule type="cellIs" dxfId="1594" priority="664" operator="between">
      <formula>6</formula>
      <formula>6.9</formula>
    </cfRule>
    <cfRule type="cellIs" dxfId="1593" priority="665" operator="between">
      <formula>10.1</formula>
      <formula>10.6</formula>
    </cfRule>
    <cfRule type="cellIs" dxfId="1592" priority="666" operator="between">
      <formula>7</formula>
      <formula>7.9</formula>
    </cfRule>
    <cfRule type="cellIs" dxfId="1591" priority="667" stopIfTrue="1" operator="between">
      <formula>8</formula>
      <formula>8.9</formula>
    </cfRule>
    <cfRule type="cellIs" dxfId="1590" priority="668" operator="between">
      <formula>9</formula>
      <formula>9.9</formula>
    </cfRule>
    <cfRule type="cellIs" dxfId="1589" priority="669" stopIfTrue="1" operator="between">
      <formula>10</formula>
      <formula>10</formula>
    </cfRule>
    <cfRule type="containsBlanks" dxfId="1588" priority="670" stopIfTrue="1">
      <formula>LEN(TRIM(E162))=0</formula>
    </cfRule>
  </conditionalFormatting>
  <conditionalFormatting sqref="E172">
    <cfRule type="colorScale" priority="6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27">
      <colorScale>
        <cfvo type="num" val="5"/>
        <cfvo type="num" val="10"/>
        <color rgb="FFFF494D"/>
        <color rgb="FF00FF66"/>
      </colorScale>
    </cfRule>
  </conditionalFormatting>
  <conditionalFormatting sqref="E173:E184">
    <cfRule type="cellIs" dxfId="1587" priority="619" operator="between">
      <formula>6</formula>
      <formula>6.9</formula>
    </cfRule>
    <cfRule type="cellIs" dxfId="1586" priority="620" operator="between">
      <formula>10.1</formula>
      <formula>10.6</formula>
    </cfRule>
    <cfRule type="cellIs" dxfId="1585" priority="621" operator="between">
      <formula>7</formula>
      <formula>7.9</formula>
    </cfRule>
    <cfRule type="cellIs" dxfId="1584" priority="622" stopIfTrue="1" operator="between">
      <formula>8</formula>
      <formula>8.9</formula>
    </cfRule>
    <cfRule type="cellIs" dxfId="1583" priority="623" operator="between">
      <formula>9</formula>
      <formula>9.9</formula>
    </cfRule>
    <cfRule type="cellIs" dxfId="1582" priority="624" stopIfTrue="1" operator="between">
      <formula>10</formula>
      <formula>10</formula>
    </cfRule>
    <cfRule type="containsBlanks" dxfId="1581" priority="625" stopIfTrue="1">
      <formula>LEN(TRIM(E173))=0</formula>
    </cfRule>
  </conditionalFormatting>
  <conditionalFormatting sqref="E186">
    <cfRule type="colorScale" priority="5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65">
      <colorScale>
        <cfvo type="num" val="5"/>
        <cfvo type="num" val="10"/>
        <color rgb="FFFF494D"/>
        <color rgb="FF00FF66"/>
      </colorScale>
    </cfRule>
  </conditionalFormatting>
  <conditionalFormatting sqref="E187:E199">
    <cfRule type="cellIs" dxfId="1580" priority="557" operator="between">
      <formula>6</formula>
      <formula>6.9</formula>
    </cfRule>
    <cfRule type="cellIs" dxfId="1579" priority="558" operator="between">
      <formula>10.1</formula>
      <formula>10.6</formula>
    </cfRule>
    <cfRule type="cellIs" dxfId="1578" priority="559" operator="between">
      <formula>7</formula>
      <formula>7.9</formula>
    </cfRule>
    <cfRule type="cellIs" dxfId="1577" priority="560" stopIfTrue="1" operator="between">
      <formula>8</formula>
      <formula>8.9</formula>
    </cfRule>
    <cfRule type="cellIs" dxfId="1576" priority="561" operator="between">
      <formula>9</formula>
      <formula>9.9</formula>
    </cfRule>
    <cfRule type="cellIs" dxfId="1575" priority="562" stopIfTrue="1" operator="between">
      <formula>10</formula>
      <formula>10</formula>
    </cfRule>
    <cfRule type="containsBlanks" dxfId="1574" priority="563" stopIfTrue="1">
      <formula>LEN(TRIM(E187))=0</formula>
    </cfRule>
  </conditionalFormatting>
  <conditionalFormatting sqref="E201">
    <cfRule type="colorScale" priority="5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11">
      <colorScale>
        <cfvo type="num" val="5"/>
        <cfvo type="num" val="10"/>
        <color rgb="FFFF494D"/>
        <color rgb="FF00FF66"/>
      </colorScale>
    </cfRule>
  </conditionalFormatting>
  <conditionalFormatting sqref="E202:E211">
    <cfRule type="cellIs" dxfId="1573" priority="503" operator="between">
      <formula>6</formula>
      <formula>6.9</formula>
    </cfRule>
    <cfRule type="cellIs" dxfId="1572" priority="504" operator="between">
      <formula>10.1</formula>
      <formula>11</formula>
    </cfRule>
    <cfRule type="cellIs" dxfId="1571" priority="505" operator="between">
      <formula>7</formula>
      <formula>7.9</formula>
    </cfRule>
    <cfRule type="cellIs" dxfId="1570" priority="506" stopIfTrue="1" operator="between">
      <formula>8</formula>
      <formula>8.9</formula>
    </cfRule>
    <cfRule type="cellIs" dxfId="1569" priority="507" operator="between">
      <formula>9</formula>
      <formula>9.9</formula>
    </cfRule>
    <cfRule type="cellIs" dxfId="1568" priority="508" stopIfTrue="1" operator="between">
      <formula>10</formula>
      <formula>10</formula>
    </cfRule>
    <cfRule type="containsBlanks" dxfId="1567" priority="509" stopIfTrue="1">
      <formula>LEN(TRIM(E202))=0</formula>
    </cfRule>
  </conditionalFormatting>
  <conditionalFormatting sqref="E213">
    <cfRule type="colorScale" priority="45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57">
      <colorScale>
        <cfvo type="num" val="5"/>
        <cfvo type="num" val="10"/>
        <color rgb="FFFF494D"/>
        <color rgb="FF00FF66"/>
      </colorScale>
    </cfRule>
  </conditionalFormatting>
  <conditionalFormatting sqref="E214:E227">
    <cfRule type="cellIs" dxfId="1566" priority="458" operator="between">
      <formula>6</formula>
      <formula>6.9</formula>
    </cfRule>
    <cfRule type="cellIs" dxfId="1565" priority="459" operator="between">
      <formula>10.1</formula>
      <formula>10.6</formula>
    </cfRule>
    <cfRule type="cellIs" dxfId="1564" priority="460" operator="between">
      <formula>7</formula>
      <formula>7.9</formula>
    </cfRule>
    <cfRule type="cellIs" dxfId="1563" priority="461" stopIfTrue="1" operator="between">
      <formula>8</formula>
      <formula>8.9</formula>
    </cfRule>
    <cfRule type="cellIs" dxfId="1562" priority="462" operator="between">
      <formula>9</formula>
      <formula>9.9</formula>
    </cfRule>
    <cfRule type="cellIs" dxfId="1561" priority="463" stopIfTrue="1" operator="between">
      <formula>10</formula>
      <formula>10</formula>
    </cfRule>
    <cfRule type="containsBlanks" dxfId="1560" priority="464" stopIfTrue="1">
      <formula>LEN(TRIM(E214))=0</formula>
    </cfRule>
  </conditionalFormatting>
  <conditionalFormatting sqref="E229">
    <cfRule type="colorScale" priority="4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6">
      <colorScale>
        <cfvo type="num" val="5"/>
        <cfvo type="num" val="10"/>
        <color rgb="FFFF494D"/>
        <color rgb="FF00FF66"/>
      </colorScale>
    </cfRule>
  </conditionalFormatting>
  <conditionalFormatting sqref="E230:E235">
    <cfRule type="cellIs" dxfId="1559" priority="418" operator="between">
      <formula>6</formula>
      <formula>6.9</formula>
    </cfRule>
    <cfRule type="cellIs" dxfId="1558" priority="419" operator="between">
      <formula>10.1</formula>
      <formula>10.6</formula>
    </cfRule>
    <cfRule type="cellIs" dxfId="1557" priority="420" operator="between">
      <formula>7</formula>
      <formula>7.9</formula>
    </cfRule>
    <cfRule type="cellIs" dxfId="1556" priority="421" stopIfTrue="1" operator="between">
      <formula>8</formula>
      <formula>8.9</formula>
    </cfRule>
    <cfRule type="cellIs" dxfId="1555" priority="422" operator="between">
      <formula>9</formula>
      <formula>9.9</formula>
    </cfRule>
    <cfRule type="cellIs" dxfId="1554" priority="423" stopIfTrue="1" operator="between">
      <formula>10</formula>
      <formula>10</formula>
    </cfRule>
    <cfRule type="containsBlanks" dxfId="1553" priority="424" stopIfTrue="1">
      <formula>LEN(TRIM(E230))=0</formula>
    </cfRule>
  </conditionalFormatting>
  <conditionalFormatting sqref="E237">
    <cfRule type="colorScale" priority="37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76">
      <colorScale>
        <cfvo type="num" val="5"/>
        <cfvo type="num" val="10"/>
        <color rgb="FFFF494D"/>
        <color rgb="FF00FF66"/>
      </colorScale>
    </cfRule>
  </conditionalFormatting>
  <conditionalFormatting sqref="E238:E252 E255:E264">
    <cfRule type="cellIs" dxfId="1552" priority="377" operator="between">
      <formula>6</formula>
      <formula>6.9</formula>
    </cfRule>
    <cfRule type="cellIs" dxfId="1551" priority="378" operator="between">
      <formula>10.1</formula>
      <formula>10.6</formula>
    </cfRule>
    <cfRule type="cellIs" dxfId="1550" priority="379" operator="between">
      <formula>7</formula>
      <formula>7.9</formula>
    </cfRule>
    <cfRule type="cellIs" dxfId="1549" priority="380" stopIfTrue="1" operator="between">
      <formula>8</formula>
      <formula>8.9</formula>
    </cfRule>
    <cfRule type="cellIs" dxfId="1548" priority="381" operator="between">
      <formula>9</formula>
      <formula>9.9</formula>
    </cfRule>
    <cfRule type="cellIs" dxfId="1547" priority="382" stopIfTrue="1" operator="between">
      <formula>10</formula>
      <formula>10</formula>
    </cfRule>
    <cfRule type="containsBlanks" dxfId="1546" priority="383" stopIfTrue="1">
      <formula>LEN(TRIM(E238))=0</formula>
    </cfRule>
  </conditionalFormatting>
  <conditionalFormatting sqref="E254">
    <cfRule type="colorScale" priority="31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0">
      <colorScale>
        <cfvo type="num" val="5"/>
        <cfvo type="num" val="10"/>
        <color rgb="FFFF494D"/>
        <color rgb="FF00FF66"/>
      </colorScale>
    </cfRule>
  </conditionalFormatting>
  <conditionalFormatting sqref="E266">
    <cfRule type="colorScale" priority="2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2">
      <colorScale>
        <cfvo type="num" val="5"/>
        <cfvo type="num" val="10"/>
        <color rgb="FFFF494D"/>
        <color rgb="FF00FF66"/>
      </colorScale>
    </cfRule>
  </conditionalFormatting>
  <conditionalFormatting sqref="E267:E276">
    <cfRule type="cellIs" dxfId="1545" priority="283" operator="between">
      <formula>6</formula>
      <formula>6.9</formula>
    </cfRule>
    <cfRule type="cellIs" dxfId="1544" priority="284" operator="between">
      <formula>10.1</formula>
      <formula>10.6</formula>
    </cfRule>
    <cfRule type="cellIs" dxfId="1543" priority="285" operator="between">
      <formula>7</formula>
      <formula>7.9</formula>
    </cfRule>
    <cfRule type="cellIs" dxfId="1542" priority="286" stopIfTrue="1" operator="between">
      <formula>8</formula>
      <formula>8.9</formula>
    </cfRule>
    <cfRule type="cellIs" dxfId="1541" priority="287" operator="between">
      <formula>9</formula>
      <formula>9.9</formula>
    </cfRule>
    <cfRule type="cellIs" dxfId="1540" priority="288" stopIfTrue="1" operator="between">
      <formula>10</formula>
      <formula>10</formula>
    </cfRule>
    <cfRule type="containsBlanks" dxfId="1539" priority="289" stopIfTrue="1">
      <formula>LEN(TRIM(E267))=0</formula>
    </cfRule>
  </conditionalFormatting>
  <conditionalFormatting sqref="E278">
    <cfRule type="colorScale" priority="2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8">
      <colorScale>
        <cfvo type="num" val="5"/>
        <cfvo type="num" val="10"/>
        <color rgb="FFFF494D"/>
        <color rgb="FF00FF66"/>
      </colorScale>
    </cfRule>
  </conditionalFormatting>
  <conditionalFormatting sqref="E279:E286">
    <cfRule type="cellIs" dxfId="1538" priority="230" operator="between">
      <formula>6</formula>
      <formula>6.9</formula>
    </cfRule>
    <cfRule type="cellIs" dxfId="1537" priority="231" operator="between">
      <formula>10.1</formula>
      <formula>10.6</formula>
    </cfRule>
    <cfRule type="cellIs" dxfId="1536" priority="232" operator="between">
      <formula>7</formula>
      <formula>7.9</formula>
    </cfRule>
    <cfRule type="cellIs" dxfId="1535" priority="233" stopIfTrue="1" operator="between">
      <formula>8</formula>
      <formula>8.9</formula>
    </cfRule>
    <cfRule type="cellIs" dxfId="1534" priority="234" operator="between">
      <formula>9</formula>
      <formula>9.9</formula>
    </cfRule>
    <cfRule type="cellIs" dxfId="1533" priority="235" stopIfTrue="1" operator="between">
      <formula>10</formula>
      <formula>10</formula>
    </cfRule>
    <cfRule type="containsBlanks" dxfId="1532" priority="236" stopIfTrue="1">
      <formula>LEN(TRIM(E279))=0</formula>
    </cfRule>
  </conditionalFormatting>
  <conditionalFormatting sqref="E288">
    <cfRule type="colorScale" priority="18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0">
      <colorScale>
        <cfvo type="num" val="5"/>
        <cfvo type="num" val="10"/>
        <color rgb="FFFF494D"/>
        <color rgb="FF00FF66"/>
      </colorScale>
    </cfRule>
  </conditionalFormatting>
  <conditionalFormatting sqref="E289:E297">
    <cfRule type="cellIs" dxfId="1531" priority="182" operator="between">
      <formula>6</formula>
      <formula>6.9</formula>
    </cfRule>
    <cfRule type="cellIs" dxfId="1530" priority="183" operator="between">
      <formula>10.1</formula>
      <formula>10.6</formula>
    </cfRule>
    <cfRule type="cellIs" dxfId="1529" priority="184" operator="between">
      <formula>7</formula>
      <formula>7.9</formula>
    </cfRule>
    <cfRule type="cellIs" dxfId="1528" priority="185" stopIfTrue="1" operator="between">
      <formula>8</formula>
      <formula>8.9</formula>
    </cfRule>
    <cfRule type="cellIs" dxfId="1527" priority="186" operator="between">
      <formula>9</formula>
      <formula>9.9</formula>
    </cfRule>
    <cfRule type="cellIs" dxfId="1526" priority="187" stopIfTrue="1" operator="between">
      <formula>10</formula>
      <formula>10</formula>
    </cfRule>
    <cfRule type="containsBlanks" dxfId="1525" priority="188" stopIfTrue="1">
      <formula>LEN(TRIM(E289))=0</formula>
    </cfRule>
  </conditionalFormatting>
  <conditionalFormatting sqref="E299">
    <cfRule type="colorScale" priority="1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9">
      <colorScale>
        <cfvo type="num" val="5"/>
        <cfvo type="num" val="10"/>
        <color rgb="FFFF494D"/>
        <color rgb="FF00FF66"/>
      </colorScale>
    </cfRule>
  </conditionalFormatting>
  <conditionalFormatting sqref="E300:E308">
    <cfRule type="cellIs" dxfId="1524" priority="131" operator="between">
      <formula>6</formula>
      <formula>6.9</formula>
    </cfRule>
    <cfRule type="cellIs" dxfId="1523" priority="132" operator="between">
      <formula>10.1</formula>
      <formula>10.6</formula>
    </cfRule>
    <cfRule type="cellIs" dxfId="1522" priority="133" operator="between">
      <formula>7</formula>
      <formula>7.9</formula>
    </cfRule>
    <cfRule type="cellIs" dxfId="1521" priority="134" stopIfTrue="1" operator="between">
      <formula>8</formula>
      <formula>8.9</formula>
    </cfRule>
    <cfRule type="cellIs" dxfId="1520" priority="135" operator="between">
      <formula>9</formula>
      <formula>9.9</formula>
    </cfRule>
    <cfRule type="cellIs" dxfId="1519" priority="136" stopIfTrue="1" operator="between">
      <formula>10</formula>
      <formula>10</formula>
    </cfRule>
    <cfRule type="containsBlanks" dxfId="1518" priority="137" stopIfTrue="1">
      <formula>LEN(TRIM(E300))=0</formula>
    </cfRule>
  </conditionalFormatting>
  <conditionalFormatting sqref="E310">
    <cfRule type="colorScale" priority="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">
      <colorScale>
        <cfvo type="num" val="5"/>
        <cfvo type="num" val="10"/>
        <color rgb="FFFF494D"/>
        <color rgb="FF00FF66"/>
      </colorScale>
    </cfRule>
  </conditionalFormatting>
  <conditionalFormatting sqref="E311:E318">
    <cfRule type="containsBlanks" dxfId="1517" priority="78" stopIfTrue="1">
      <formula>LEN(TRIM(E311))=0</formula>
    </cfRule>
    <cfRule type="cellIs" dxfId="1516" priority="79" operator="lessThan">
      <formula>2</formula>
    </cfRule>
    <cfRule type="cellIs" dxfId="1515" priority="80" operator="between">
      <formula>2</formula>
      <formula>4.9</formula>
    </cfRule>
    <cfRule type="cellIs" dxfId="1514" priority="81" operator="between">
      <formula>5</formula>
      <formula>6.9</formula>
    </cfRule>
    <cfRule type="cellIs" dxfId="1513" priority="82" operator="between">
      <formula>10.1</formula>
      <formula>10.6</formula>
    </cfRule>
    <cfRule type="cellIs" dxfId="1512" priority="83" operator="between">
      <formula>7</formula>
      <formula>7.9</formula>
    </cfRule>
    <cfRule type="cellIs" dxfId="1511" priority="84" stopIfTrue="1" operator="between">
      <formula>8</formula>
      <formula>8.9</formula>
    </cfRule>
    <cfRule type="cellIs" dxfId="1510" priority="85" operator="between">
      <formula>9</formula>
      <formula>9.9</formula>
    </cfRule>
    <cfRule type="cellIs" dxfId="1509" priority="86" stopIfTrue="1" operator="between">
      <formula>10</formula>
      <formula>10</formula>
    </cfRule>
  </conditionalFormatting>
  <conditionalFormatting sqref="E320">
    <cfRule type="colorScale" priority="6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8">
      <colorScale>
        <cfvo type="num" val="5"/>
        <cfvo type="num" val="10"/>
        <color rgb="FFFF494D"/>
        <color rgb="FF00FF66"/>
      </colorScale>
    </cfRule>
  </conditionalFormatting>
  <conditionalFormatting sqref="E321:E326">
    <cfRule type="containsBlanks" dxfId="1508" priority="69" stopIfTrue="1">
      <formula>LEN(TRIM(E321))=0</formula>
    </cfRule>
    <cfRule type="cellIs" dxfId="1507" priority="70" operator="lessThan">
      <formula>2</formula>
    </cfRule>
    <cfRule type="cellIs" dxfId="1506" priority="71" operator="between">
      <formula>2</formula>
      <formula>4.9</formula>
    </cfRule>
    <cfRule type="cellIs" dxfId="1505" priority="72" operator="between">
      <formula>5</formula>
      <formula>6.9</formula>
    </cfRule>
    <cfRule type="cellIs" dxfId="1504" priority="73" operator="between">
      <formula>10.1</formula>
      <formula>10.6</formula>
    </cfRule>
    <cfRule type="cellIs" dxfId="1503" priority="74" operator="between">
      <formula>7</formula>
      <formula>7.9</formula>
    </cfRule>
    <cfRule type="cellIs" dxfId="1502" priority="75" stopIfTrue="1" operator="between">
      <formula>8</formula>
      <formula>8.9</formula>
    </cfRule>
    <cfRule type="cellIs" dxfId="1501" priority="76" operator="between">
      <formula>9</formula>
      <formula>9.9</formula>
    </cfRule>
    <cfRule type="cellIs" dxfId="1500" priority="77" stopIfTrue="1" operator="between">
      <formula>10</formula>
      <formula>10</formula>
    </cfRule>
  </conditionalFormatting>
  <conditionalFormatting sqref="E328">
    <cfRule type="colorScale" priority="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">
      <colorScale>
        <cfvo type="num" val="5"/>
        <cfvo type="num" val="10"/>
        <color rgb="FFFF494D"/>
        <color rgb="FF00FF66"/>
      </colorScale>
    </cfRule>
  </conditionalFormatting>
  <conditionalFormatting sqref="E329:E358">
    <cfRule type="containsBlanks" dxfId="1499" priority="25" stopIfTrue="1">
      <formula>LEN(TRIM(E329))=0</formula>
    </cfRule>
    <cfRule type="cellIs" dxfId="1498" priority="26" operator="lessThan">
      <formula>2</formula>
    </cfRule>
    <cfRule type="cellIs" dxfId="1497" priority="27" operator="between">
      <formula>2</formula>
      <formula>4.9</formula>
    </cfRule>
    <cfRule type="cellIs" dxfId="1496" priority="28" operator="between">
      <formula>5</formula>
      <formula>6.9</formula>
    </cfRule>
    <cfRule type="cellIs" dxfId="1495" priority="29" operator="between">
      <formula>10.1</formula>
      <formula>10.6</formula>
    </cfRule>
    <cfRule type="cellIs" dxfId="1494" priority="30" operator="between">
      <formula>7</formula>
      <formula>7.9</formula>
    </cfRule>
    <cfRule type="cellIs" dxfId="1493" priority="31" stopIfTrue="1" operator="between">
      <formula>8</formula>
      <formula>8.9</formula>
    </cfRule>
    <cfRule type="cellIs" dxfId="1492" priority="32" operator="between">
      <formula>9</formula>
      <formula>9.9</formula>
    </cfRule>
    <cfRule type="cellIs" dxfId="1491" priority="33" stopIfTrue="1" operator="between">
      <formula>10</formula>
      <formula>10</formula>
    </cfRule>
  </conditionalFormatting>
  <conditionalFormatting sqref="H3:H15">
    <cfRule type="cellIs" dxfId="1490" priority="267" operator="between">
      <formula>7</formula>
      <formula>7.9</formula>
    </cfRule>
    <cfRule type="cellIs" dxfId="1489" priority="268" stopIfTrue="1" operator="between">
      <formula>8</formula>
      <formula>8.9</formula>
    </cfRule>
    <cfRule type="cellIs" dxfId="1488" priority="269" operator="between">
      <formula>9</formula>
      <formula>9.9</formula>
    </cfRule>
    <cfRule type="cellIs" dxfId="1487" priority="270" stopIfTrue="1" operator="between">
      <formula>10</formula>
      <formula>10</formula>
    </cfRule>
  </conditionalFormatting>
  <conditionalFormatting sqref="H7">
    <cfRule type="cellIs" dxfId="1486" priority="266" operator="between">
      <formula>10.1</formula>
      <formula>10.6</formula>
    </cfRule>
    <cfRule type="containsBlanks" dxfId="1485" priority="271" stopIfTrue="1">
      <formula>LEN(TRIM(H7))=0</formula>
    </cfRule>
  </conditionalFormatting>
  <conditionalFormatting sqref="H18:H28">
    <cfRule type="cellIs" dxfId="1484" priority="1261" operator="between">
      <formula>7</formula>
      <formula>7.9</formula>
    </cfRule>
    <cfRule type="cellIs" dxfId="1483" priority="1262" stopIfTrue="1" operator="between">
      <formula>8</formula>
      <formula>8.9</formula>
    </cfRule>
    <cfRule type="cellIs" dxfId="1482" priority="1263" operator="between">
      <formula>9</formula>
      <formula>9.9</formula>
    </cfRule>
    <cfRule type="cellIs" dxfId="1481" priority="1264" stopIfTrue="1" operator="between">
      <formula>10</formula>
      <formula>10</formula>
    </cfRule>
  </conditionalFormatting>
  <conditionalFormatting sqref="H30">
    <cfRule type="colorScale" priority="154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46">
      <colorScale>
        <cfvo type="num" val="5"/>
        <cfvo type="num" val="10"/>
        <color rgb="FFFF494D"/>
        <color rgb="FF00FF66"/>
      </colorScale>
    </cfRule>
  </conditionalFormatting>
  <conditionalFormatting sqref="H31:H45">
    <cfRule type="cellIs" dxfId="1480" priority="1123" operator="between">
      <formula>10.1</formula>
      <formula>10.6</formula>
    </cfRule>
    <cfRule type="cellIs" dxfId="1479" priority="1124" operator="between">
      <formula>7</formula>
      <formula>7.9</formula>
    </cfRule>
    <cfRule type="cellIs" dxfId="1478" priority="1125" stopIfTrue="1" operator="between">
      <formula>8</formula>
      <formula>8.9</formula>
    </cfRule>
    <cfRule type="cellIs" dxfId="1477" priority="1126" operator="between">
      <formula>9</formula>
      <formula>9.9</formula>
    </cfRule>
    <cfRule type="cellIs" dxfId="1476" priority="1127" stopIfTrue="1" operator="between">
      <formula>10</formula>
      <formula>10</formula>
    </cfRule>
    <cfRule type="containsBlanks" dxfId="1475" priority="1128" stopIfTrue="1">
      <formula>LEN(TRIM(H31))=0</formula>
    </cfRule>
  </conditionalFormatting>
  <conditionalFormatting sqref="H47">
    <cfRule type="colorScale" priority="14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78">
      <colorScale>
        <cfvo type="num" val="5"/>
        <cfvo type="num" val="10"/>
        <color rgb="FFFF494D"/>
        <color rgb="FF00FF66"/>
      </colorScale>
    </cfRule>
  </conditionalFormatting>
  <conditionalFormatting sqref="H48:H55">
    <cfRule type="cellIs" dxfId="1474" priority="1117" operator="between">
      <formula>10.1</formula>
      <formula>10.6</formula>
    </cfRule>
    <cfRule type="cellIs" dxfId="1473" priority="1118" operator="between">
      <formula>7</formula>
      <formula>7.9</formula>
    </cfRule>
    <cfRule type="cellIs" dxfId="1472" priority="1119" stopIfTrue="1" operator="between">
      <formula>8</formula>
      <formula>8.9</formula>
    </cfRule>
    <cfRule type="cellIs" dxfId="1471" priority="1120" operator="between">
      <formula>9</formula>
      <formula>9.9</formula>
    </cfRule>
    <cfRule type="cellIs" dxfId="1470" priority="1121" stopIfTrue="1" operator="between">
      <formula>10</formula>
      <formula>10</formula>
    </cfRule>
    <cfRule type="containsBlanks" dxfId="1469" priority="1122" stopIfTrue="1">
      <formula>LEN(TRIM(H48))=0</formula>
    </cfRule>
  </conditionalFormatting>
  <conditionalFormatting sqref="H57">
    <cfRule type="colorScale" priority="105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60">
      <colorScale>
        <cfvo type="num" val="5"/>
        <cfvo type="num" val="10"/>
        <color rgb="FFFF494D"/>
        <color rgb="FF00FF66"/>
      </colorScale>
    </cfRule>
  </conditionalFormatting>
  <conditionalFormatting sqref="H58:H67">
    <cfRule type="cellIs" dxfId="1468" priority="989" operator="between">
      <formula>6</formula>
      <formula>6.9</formula>
    </cfRule>
    <cfRule type="cellIs" dxfId="1467" priority="990" operator="between">
      <formula>10.1</formula>
      <formula>10.6</formula>
    </cfRule>
    <cfRule type="cellIs" dxfId="1466" priority="991" operator="between">
      <formula>7</formula>
      <formula>7.9</formula>
    </cfRule>
    <cfRule type="cellIs" dxfId="1465" priority="992" stopIfTrue="1" operator="between">
      <formula>8</formula>
      <formula>8.9</formula>
    </cfRule>
    <cfRule type="cellIs" dxfId="1464" priority="993" operator="between">
      <formula>9</formula>
      <formula>9.9</formula>
    </cfRule>
    <cfRule type="cellIs" dxfId="1463" priority="994" stopIfTrue="1" operator="between">
      <formula>10</formula>
      <formula>10</formula>
    </cfRule>
    <cfRule type="containsBlanks" dxfId="1462" priority="995" stopIfTrue="1">
      <formula>LEN(TRIM(H58))=0</formula>
    </cfRule>
  </conditionalFormatting>
  <conditionalFormatting sqref="H69">
    <cfRule type="colorScale" priority="10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25">
      <colorScale>
        <cfvo type="num" val="5"/>
        <cfvo type="num" val="10"/>
        <color rgb="FFFF494D"/>
        <color rgb="FF00FF66"/>
      </colorScale>
    </cfRule>
  </conditionalFormatting>
  <conditionalFormatting sqref="H70:H81">
    <cfRule type="cellIs" dxfId="1461" priority="1018" operator="between">
      <formula>10.1</formula>
      <formula>10.6</formula>
    </cfRule>
    <cfRule type="cellIs" dxfId="1460" priority="1019" operator="between">
      <formula>7</formula>
      <formula>7.9</formula>
    </cfRule>
    <cfRule type="cellIs" dxfId="1459" priority="1020" stopIfTrue="1" operator="between">
      <formula>8</formula>
      <formula>8.9</formula>
    </cfRule>
    <cfRule type="cellIs" dxfId="1458" priority="1021" operator="between">
      <formula>9</formula>
      <formula>9.9</formula>
    </cfRule>
    <cfRule type="cellIs" dxfId="1457" priority="1022" stopIfTrue="1" operator="between">
      <formula>10</formula>
      <formula>10</formula>
    </cfRule>
    <cfRule type="containsBlanks" dxfId="1456" priority="1023" stopIfTrue="1">
      <formula>LEN(TRIM(H70))=0</formula>
    </cfRule>
  </conditionalFormatting>
  <conditionalFormatting sqref="H83">
    <cfRule type="colorScale" priority="95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56">
      <colorScale>
        <cfvo type="num" val="5"/>
        <cfvo type="num" val="10"/>
        <color rgb="FFFF494D"/>
        <color rgb="FF00FF66"/>
      </colorScale>
    </cfRule>
  </conditionalFormatting>
  <conditionalFormatting sqref="H84:H95">
    <cfRule type="cellIs" dxfId="1455" priority="942" operator="between">
      <formula>6</formula>
      <formula>6.9</formula>
    </cfRule>
    <cfRule type="cellIs" dxfId="1454" priority="943" operator="between">
      <formula>10.1</formula>
      <formula>10.6</formula>
    </cfRule>
    <cfRule type="cellIs" dxfId="1453" priority="944" operator="between">
      <formula>7</formula>
      <formula>7.9</formula>
    </cfRule>
    <cfRule type="cellIs" dxfId="1452" priority="945" stopIfTrue="1" operator="between">
      <formula>8</formula>
      <formula>8.9</formula>
    </cfRule>
    <cfRule type="cellIs" dxfId="1451" priority="946" operator="between">
      <formula>9</formula>
      <formula>9.9</formula>
    </cfRule>
    <cfRule type="cellIs" dxfId="1450" priority="947" stopIfTrue="1" operator="between">
      <formula>10</formula>
      <formula>10</formula>
    </cfRule>
    <cfRule type="containsBlanks" dxfId="1449" priority="948" stopIfTrue="1">
      <formula>LEN(TRIM(H84))=0</formula>
    </cfRule>
  </conditionalFormatting>
  <conditionalFormatting sqref="H97">
    <cfRule type="colorScale" priority="90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10">
      <colorScale>
        <cfvo type="num" val="5"/>
        <cfvo type="num" val="10"/>
        <color rgb="FFFF494D"/>
        <color rgb="FF00FF66"/>
      </colorScale>
    </cfRule>
  </conditionalFormatting>
  <conditionalFormatting sqref="H98:H108">
    <cfRule type="cellIs" dxfId="1448" priority="893" operator="between">
      <formula>6</formula>
      <formula>6.9</formula>
    </cfRule>
    <cfRule type="cellIs" dxfId="1447" priority="894" operator="between">
      <formula>10.1</formula>
      <formula>10.6</formula>
    </cfRule>
    <cfRule type="cellIs" dxfId="1446" priority="895" operator="between">
      <formula>7</formula>
      <formula>7.9</formula>
    </cfRule>
    <cfRule type="cellIs" dxfId="1445" priority="896" stopIfTrue="1" operator="between">
      <formula>8</formula>
      <formula>8.9</formula>
    </cfRule>
    <cfRule type="cellIs" dxfId="1444" priority="897" operator="between">
      <formula>9</formula>
      <formula>9.9</formula>
    </cfRule>
    <cfRule type="cellIs" dxfId="1443" priority="898" stopIfTrue="1" operator="between">
      <formula>10</formula>
      <formula>10</formula>
    </cfRule>
    <cfRule type="containsBlanks" dxfId="1442" priority="899" stopIfTrue="1">
      <formula>LEN(TRIM(H98))=0</formula>
    </cfRule>
  </conditionalFormatting>
  <conditionalFormatting sqref="H110">
    <cfRule type="colorScale" priority="87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76">
      <colorScale>
        <cfvo type="num" val="5"/>
        <cfvo type="num" val="10"/>
        <color rgb="FFFF494D"/>
        <color rgb="FF00FF66"/>
      </colorScale>
    </cfRule>
  </conditionalFormatting>
  <conditionalFormatting sqref="H111:H123">
    <cfRule type="cellIs" dxfId="1441" priority="869" operator="between">
      <formula>10.1</formula>
      <formula>10.6</formula>
    </cfRule>
    <cfRule type="cellIs" dxfId="1440" priority="870" operator="between">
      <formula>7</formula>
      <formula>7.9</formula>
    </cfRule>
    <cfRule type="cellIs" dxfId="1439" priority="871" stopIfTrue="1" operator="between">
      <formula>8</formula>
      <formula>8.9</formula>
    </cfRule>
    <cfRule type="cellIs" dxfId="1438" priority="872" operator="between">
      <formula>9</formula>
      <formula>9.9</formula>
    </cfRule>
    <cfRule type="cellIs" dxfId="1437" priority="873" stopIfTrue="1" operator="between">
      <formula>10</formula>
      <formula>10</formula>
    </cfRule>
    <cfRule type="containsBlanks" dxfId="1436" priority="874" stopIfTrue="1">
      <formula>LEN(TRIM(H111))=0</formula>
    </cfRule>
  </conditionalFormatting>
  <conditionalFormatting sqref="H125">
    <cfRule type="colorScale" priority="80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04">
      <colorScale>
        <cfvo type="num" val="5"/>
        <cfvo type="num" val="10"/>
        <color rgb="FFFF494D"/>
        <color rgb="FF00FF66"/>
      </colorScale>
    </cfRule>
  </conditionalFormatting>
  <conditionalFormatting sqref="H126:H129">
    <cfRule type="cellIs" dxfId="1435" priority="796" operator="between">
      <formula>6</formula>
      <formula>6.9</formula>
    </cfRule>
    <cfRule type="cellIs" dxfId="1434" priority="797" operator="between">
      <formula>10.1</formula>
      <formula>10.6</formula>
    </cfRule>
    <cfRule type="cellIs" dxfId="1433" priority="798" operator="between">
      <formula>7</formula>
      <formula>7.9</formula>
    </cfRule>
    <cfRule type="cellIs" dxfId="1432" priority="799" stopIfTrue="1" operator="between">
      <formula>8</formula>
      <formula>8.9</formula>
    </cfRule>
    <cfRule type="cellIs" dxfId="1431" priority="800" operator="between">
      <formula>9</formula>
      <formula>9.9</formula>
    </cfRule>
    <cfRule type="cellIs" dxfId="1430" priority="801" stopIfTrue="1" operator="between">
      <formula>10</formula>
      <formula>10</formula>
    </cfRule>
    <cfRule type="containsBlanks" dxfId="1429" priority="802" stopIfTrue="1">
      <formula>LEN(TRIM(H126))=0</formula>
    </cfRule>
  </conditionalFormatting>
  <conditionalFormatting sqref="H131">
    <cfRule type="colorScale" priority="77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71">
      <colorScale>
        <cfvo type="num" val="5"/>
        <cfvo type="num" val="10"/>
        <color rgb="FFFF494D"/>
        <color rgb="FF00FF66"/>
      </colorScale>
    </cfRule>
  </conditionalFormatting>
  <conditionalFormatting sqref="H132:H147">
    <cfRule type="cellIs" dxfId="1428" priority="763" operator="between">
      <formula>6</formula>
      <formula>6.9</formula>
    </cfRule>
    <cfRule type="cellIs" dxfId="1427" priority="764" operator="between">
      <formula>10.1</formula>
      <formula>10.6</formula>
    </cfRule>
    <cfRule type="cellIs" dxfId="1426" priority="765" operator="between">
      <formula>7</formula>
      <formula>7.9</formula>
    </cfRule>
    <cfRule type="cellIs" dxfId="1425" priority="766" stopIfTrue="1" operator="between">
      <formula>8</formula>
      <formula>8.9</formula>
    </cfRule>
    <cfRule type="cellIs" dxfId="1424" priority="767" operator="between">
      <formula>9</formula>
      <formula>9.9</formula>
    </cfRule>
    <cfRule type="cellIs" dxfId="1423" priority="768" stopIfTrue="1" operator="between">
      <formula>10</formula>
      <formula>10</formula>
    </cfRule>
    <cfRule type="containsBlanks" dxfId="1422" priority="769" stopIfTrue="1">
      <formula>LEN(TRIM(H132))=0</formula>
    </cfRule>
  </conditionalFormatting>
  <conditionalFormatting sqref="H149">
    <cfRule type="colorScale" priority="6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99">
      <colorScale>
        <cfvo type="num" val="5"/>
        <cfvo type="num" val="10"/>
        <color rgb="FFFF494D"/>
        <color rgb="FF00FF66"/>
      </colorScale>
    </cfRule>
  </conditionalFormatting>
  <conditionalFormatting sqref="H150:H163">
    <cfRule type="cellIs" dxfId="1421" priority="691" operator="between">
      <formula>6</formula>
      <formula>6.9</formula>
    </cfRule>
    <cfRule type="cellIs" dxfId="1420" priority="692" operator="between">
      <formula>10.1</formula>
      <formula>10.6</formula>
    </cfRule>
    <cfRule type="cellIs" dxfId="1419" priority="693" operator="between">
      <formula>7</formula>
      <formula>7.9</formula>
    </cfRule>
    <cfRule type="cellIs" dxfId="1418" priority="694" stopIfTrue="1" operator="between">
      <formula>8</formula>
      <formula>8.9</formula>
    </cfRule>
    <cfRule type="cellIs" dxfId="1417" priority="695" operator="between">
      <formula>9</formula>
      <formula>9.9</formula>
    </cfRule>
    <cfRule type="cellIs" dxfId="1416" priority="696" stopIfTrue="1" operator="between">
      <formula>10</formula>
      <formula>10</formula>
    </cfRule>
    <cfRule type="containsBlanks" dxfId="1415" priority="697" stopIfTrue="1">
      <formula>LEN(TRIM(H150))=0</formula>
    </cfRule>
  </conditionalFormatting>
  <conditionalFormatting sqref="H165">
    <cfRule type="colorScale" priority="6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38">
      <colorScale>
        <cfvo type="num" val="5"/>
        <cfvo type="num" val="10"/>
        <color rgb="FFFF494D"/>
        <color rgb="FF00FF66"/>
      </colorScale>
    </cfRule>
  </conditionalFormatting>
  <conditionalFormatting sqref="H166:H175">
    <cfRule type="cellIs" dxfId="1414" priority="639" operator="between">
      <formula>6</formula>
      <formula>6.9</formula>
    </cfRule>
    <cfRule type="cellIs" dxfId="1413" priority="640" operator="between">
      <formula>10.1</formula>
      <formula>10.6</formula>
    </cfRule>
    <cfRule type="cellIs" dxfId="1412" priority="641" operator="between">
      <formula>7</formula>
      <formula>7.9</formula>
    </cfRule>
    <cfRule type="cellIs" dxfId="1411" priority="642" stopIfTrue="1" operator="between">
      <formula>8</formula>
      <formula>8.9</formula>
    </cfRule>
    <cfRule type="cellIs" dxfId="1410" priority="643" operator="between">
      <formula>9</formula>
      <formula>9.9</formula>
    </cfRule>
    <cfRule type="cellIs" dxfId="1409" priority="644" stopIfTrue="1" operator="between">
      <formula>10</formula>
      <formula>10</formula>
    </cfRule>
    <cfRule type="containsBlanks" dxfId="1408" priority="645" stopIfTrue="1">
      <formula>LEN(TRIM(H166))=0</formula>
    </cfRule>
  </conditionalFormatting>
  <conditionalFormatting sqref="H177">
    <cfRule type="colorScale" priority="59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98">
      <colorScale>
        <cfvo type="num" val="5"/>
        <cfvo type="num" val="10"/>
        <color rgb="FFFF494D"/>
        <color rgb="FF00FF66"/>
      </colorScale>
    </cfRule>
  </conditionalFormatting>
  <conditionalFormatting sqref="H178:H189">
    <cfRule type="cellIs" dxfId="1407" priority="590" operator="between">
      <formula>6</formula>
      <formula>6.9</formula>
    </cfRule>
    <cfRule type="cellIs" dxfId="1406" priority="591" operator="between">
      <formula>10.1</formula>
      <formula>10.6</formula>
    </cfRule>
    <cfRule type="cellIs" dxfId="1405" priority="592" operator="between">
      <formula>7</formula>
      <formula>7.9</formula>
    </cfRule>
    <cfRule type="cellIs" dxfId="1404" priority="593" stopIfTrue="1" operator="between">
      <formula>8</formula>
      <formula>8.9</formula>
    </cfRule>
    <cfRule type="cellIs" dxfId="1403" priority="594" operator="between">
      <formula>9</formula>
      <formula>9.9</formula>
    </cfRule>
    <cfRule type="cellIs" dxfId="1402" priority="595" stopIfTrue="1" operator="between">
      <formula>10</formula>
      <formula>10</formula>
    </cfRule>
    <cfRule type="containsBlanks" dxfId="1401" priority="596" stopIfTrue="1">
      <formula>LEN(TRIM(H178))=0</formula>
    </cfRule>
  </conditionalFormatting>
  <conditionalFormatting sqref="H191">
    <cfRule type="colorScale" priority="5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38">
      <colorScale>
        <cfvo type="num" val="5"/>
        <cfvo type="num" val="10"/>
        <color rgb="FFFF494D"/>
        <color rgb="FF00FF66"/>
      </colorScale>
    </cfRule>
  </conditionalFormatting>
  <conditionalFormatting sqref="H192:H200">
    <cfRule type="cellIs" dxfId="1400" priority="530" operator="between">
      <formula>6</formula>
      <formula>6.9</formula>
    </cfRule>
    <cfRule type="cellIs" dxfId="1399" priority="531" operator="between">
      <formula>10.1</formula>
      <formula>10.6</formula>
    </cfRule>
    <cfRule type="cellIs" dxfId="1398" priority="532" operator="between">
      <formula>7</formula>
      <formula>7.9</formula>
    </cfRule>
    <cfRule type="cellIs" dxfId="1397" priority="533" stopIfTrue="1" operator="between">
      <formula>8</formula>
      <formula>8.9</formula>
    </cfRule>
    <cfRule type="cellIs" dxfId="1396" priority="534" operator="between">
      <formula>9</formula>
      <formula>9.9</formula>
    </cfRule>
    <cfRule type="cellIs" dxfId="1395" priority="535" stopIfTrue="1" operator="between">
      <formula>10</formula>
      <formula>10</formula>
    </cfRule>
    <cfRule type="containsBlanks" dxfId="1394" priority="536" stopIfTrue="1">
      <formula>LEN(TRIM(H192))=0</formula>
    </cfRule>
  </conditionalFormatting>
  <conditionalFormatting sqref="H202">
    <cfRule type="colorScale" priority="48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90">
      <colorScale>
        <cfvo type="num" val="5"/>
        <cfvo type="num" val="10"/>
        <color rgb="FFFF494D"/>
        <color rgb="FF00FF66"/>
      </colorScale>
    </cfRule>
  </conditionalFormatting>
  <conditionalFormatting sqref="H203:H213">
    <cfRule type="cellIs" dxfId="1393" priority="491" operator="between">
      <formula>6</formula>
      <formula>6.9</formula>
    </cfRule>
    <cfRule type="cellIs" dxfId="1392" priority="492" operator="between">
      <formula>10.1</formula>
      <formula>11</formula>
    </cfRule>
    <cfRule type="cellIs" dxfId="1391" priority="493" operator="between">
      <formula>7</formula>
      <formula>7.9</formula>
    </cfRule>
    <cfRule type="cellIs" dxfId="1390" priority="494" stopIfTrue="1" operator="between">
      <formula>8</formula>
      <formula>8.9</formula>
    </cfRule>
    <cfRule type="cellIs" dxfId="1389" priority="495" operator="between">
      <formula>9</formula>
      <formula>9.9</formula>
    </cfRule>
    <cfRule type="cellIs" dxfId="1388" priority="496" stopIfTrue="1" operator="between">
      <formula>10</formula>
      <formula>10</formula>
    </cfRule>
    <cfRule type="containsBlanks" dxfId="1387" priority="497" stopIfTrue="1">
      <formula>LEN(TRIM(H203))=0</formula>
    </cfRule>
  </conditionalFormatting>
  <conditionalFormatting sqref="H215">
    <cfRule type="colorScale" priority="4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39">
      <colorScale>
        <cfvo type="num" val="5"/>
        <cfvo type="num" val="10"/>
        <color rgb="FFFF494D"/>
        <color rgb="FF00FF66"/>
      </colorScale>
    </cfRule>
  </conditionalFormatting>
  <conditionalFormatting sqref="H216:H227">
    <cfRule type="cellIs" dxfId="1386" priority="440" operator="between">
      <formula>6</formula>
      <formula>6.9</formula>
    </cfRule>
    <cfRule type="cellIs" dxfId="1385" priority="441" operator="between">
      <formula>10.1</formula>
      <formula>10.6</formula>
    </cfRule>
    <cfRule type="cellIs" dxfId="1384" priority="442" operator="between">
      <formula>7</formula>
      <formula>7.9</formula>
    </cfRule>
    <cfRule type="cellIs" dxfId="1383" priority="443" stopIfTrue="1" operator="between">
      <formula>8</formula>
      <formula>8.9</formula>
    </cfRule>
    <cfRule type="cellIs" dxfId="1382" priority="444" operator="between">
      <formula>9</formula>
      <formula>9.9</formula>
    </cfRule>
    <cfRule type="cellIs" dxfId="1381" priority="445" stopIfTrue="1" operator="between">
      <formula>10</formula>
      <formula>10</formula>
    </cfRule>
    <cfRule type="containsBlanks" dxfId="1380" priority="446" stopIfTrue="1">
      <formula>LEN(TRIM(H216))=0</formula>
    </cfRule>
  </conditionalFormatting>
  <conditionalFormatting sqref="H229">
    <cfRule type="colorScale" priority="4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08">
      <colorScale>
        <cfvo type="num" val="5"/>
        <cfvo type="num" val="10"/>
        <color rgb="FFFF494D"/>
        <color rgb="FF00FF66"/>
      </colorScale>
    </cfRule>
  </conditionalFormatting>
  <conditionalFormatting sqref="H230:H244">
    <cfRule type="cellIs" dxfId="1379" priority="400" operator="between">
      <formula>6</formula>
      <formula>6.9</formula>
    </cfRule>
    <cfRule type="cellIs" dxfId="1378" priority="401" operator="between">
      <formula>10.1</formula>
      <formula>10.6</formula>
    </cfRule>
    <cfRule type="cellIs" dxfId="1377" priority="402" operator="between">
      <formula>7</formula>
      <formula>7.9</formula>
    </cfRule>
    <cfRule type="cellIs" dxfId="1376" priority="403" stopIfTrue="1" operator="between">
      <formula>8</formula>
      <formula>8.9</formula>
    </cfRule>
    <cfRule type="cellIs" dxfId="1375" priority="404" operator="between">
      <formula>9</formula>
      <formula>9.9</formula>
    </cfRule>
    <cfRule type="cellIs" dxfId="1374" priority="405" stopIfTrue="1" operator="between">
      <formula>10</formula>
      <formula>10</formula>
    </cfRule>
    <cfRule type="containsBlanks" dxfId="1373" priority="406" stopIfTrue="1">
      <formula>LEN(TRIM(H230))=0</formula>
    </cfRule>
  </conditionalFormatting>
  <conditionalFormatting sqref="H246">
    <cfRule type="colorScale" priority="34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49">
      <colorScale>
        <cfvo type="num" val="5"/>
        <cfvo type="num" val="10"/>
        <color rgb="FFFF494D"/>
        <color rgb="FF00FF66"/>
      </colorScale>
    </cfRule>
  </conditionalFormatting>
  <conditionalFormatting sqref="H247:H256">
    <cfRule type="cellIs" dxfId="1372" priority="350" operator="between">
      <formula>6</formula>
      <formula>6.9</formula>
    </cfRule>
    <cfRule type="cellIs" dxfId="1371" priority="351" operator="between">
      <formula>10.1</formula>
      <formula>10.6</formula>
    </cfRule>
    <cfRule type="cellIs" dxfId="1370" priority="352" operator="between">
      <formula>7</formula>
      <formula>7.9</formula>
    </cfRule>
    <cfRule type="cellIs" dxfId="1369" priority="353" stopIfTrue="1" operator="between">
      <formula>8</formula>
      <formula>8.9</formula>
    </cfRule>
    <cfRule type="cellIs" dxfId="1368" priority="354" operator="between">
      <formula>9</formula>
      <formula>9.9</formula>
    </cfRule>
    <cfRule type="cellIs" dxfId="1367" priority="355" stopIfTrue="1" operator="between">
      <formula>10</formula>
      <formula>10</formula>
    </cfRule>
    <cfRule type="containsBlanks" dxfId="1366" priority="356" stopIfTrue="1">
      <formula>LEN(TRIM(H247))=0</formula>
    </cfRule>
  </conditionalFormatting>
  <conditionalFormatting sqref="H258">
    <cfRule type="colorScale" priority="30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9">
      <colorScale>
        <cfvo type="num" val="5"/>
        <cfvo type="num" val="10"/>
        <color rgb="FFFF494D"/>
        <color rgb="FF00FF66"/>
      </colorScale>
    </cfRule>
  </conditionalFormatting>
  <conditionalFormatting sqref="H259:H263">
    <cfRule type="cellIs" dxfId="1365" priority="310" operator="between">
      <formula>6</formula>
      <formula>6.9</formula>
    </cfRule>
    <cfRule type="cellIs" dxfId="1364" priority="311" operator="between">
      <formula>10.1</formula>
      <formula>10.6</formula>
    </cfRule>
    <cfRule type="cellIs" dxfId="1363" priority="312" operator="between">
      <formula>7</formula>
      <formula>7.9</formula>
    </cfRule>
    <cfRule type="cellIs" dxfId="1362" priority="313" stopIfTrue="1" operator="between">
      <formula>8</formula>
      <formula>8.9</formula>
    </cfRule>
    <cfRule type="cellIs" dxfId="1361" priority="314" operator="between">
      <formula>9</formula>
      <formula>9.9</formula>
    </cfRule>
    <cfRule type="cellIs" dxfId="1360" priority="315" stopIfTrue="1" operator="between">
      <formula>10</formula>
      <formula>10</formula>
    </cfRule>
    <cfRule type="containsBlanks" dxfId="1359" priority="316" stopIfTrue="1">
      <formula>LEN(TRIM(H259))=0</formula>
    </cfRule>
  </conditionalFormatting>
  <conditionalFormatting sqref="H265">
    <cfRule type="colorScale" priority="27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0">
      <colorScale>
        <cfvo type="num" val="5"/>
        <cfvo type="num" val="10"/>
        <color rgb="FFFF494D"/>
        <color rgb="FF00FF66"/>
      </colorScale>
    </cfRule>
  </conditionalFormatting>
  <conditionalFormatting sqref="H266:H274">
    <cfRule type="cellIs" dxfId="1358" priority="272" operator="between">
      <formula>6</formula>
      <formula>6.9</formula>
    </cfRule>
    <cfRule type="cellIs" dxfId="1357" priority="273" operator="between">
      <formula>10.1</formula>
      <formula>10.6</formula>
    </cfRule>
    <cfRule type="cellIs" dxfId="1356" priority="274" operator="between">
      <formula>7</formula>
      <formula>7.9</formula>
    </cfRule>
    <cfRule type="cellIs" dxfId="1355" priority="275" stopIfTrue="1" operator="between">
      <formula>8</formula>
      <formula>8.9</formula>
    </cfRule>
    <cfRule type="cellIs" dxfId="1354" priority="276" operator="between">
      <formula>9</formula>
      <formula>9.9</formula>
    </cfRule>
    <cfRule type="cellIs" dxfId="1353" priority="277" stopIfTrue="1" operator="between">
      <formula>10</formula>
      <formula>10</formula>
    </cfRule>
    <cfRule type="containsBlanks" dxfId="1352" priority="278" stopIfTrue="1">
      <formula>LEN(TRIM(H266))=0</formula>
    </cfRule>
  </conditionalFormatting>
  <conditionalFormatting sqref="H276">
    <cfRule type="colorScale" priority="25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6">
      <colorScale>
        <cfvo type="num" val="5"/>
        <cfvo type="num" val="10"/>
        <color rgb="FFFF494D"/>
        <color rgb="FF00FF66"/>
      </colorScale>
    </cfRule>
  </conditionalFormatting>
  <conditionalFormatting sqref="H277:H286">
    <cfRule type="cellIs" dxfId="1351" priority="248" operator="between">
      <formula>6</formula>
      <formula>6.9</formula>
    </cfRule>
    <cfRule type="cellIs" dxfId="1350" priority="249" operator="between">
      <formula>10.1</formula>
      <formula>10.6</formula>
    </cfRule>
    <cfRule type="cellIs" dxfId="1349" priority="250" operator="between">
      <formula>7</formula>
      <formula>7.9</formula>
    </cfRule>
    <cfRule type="cellIs" dxfId="1348" priority="251" stopIfTrue="1" operator="between">
      <formula>8</formula>
      <formula>8.9</formula>
    </cfRule>
    <cfRule type="cellIs" dxfId="1347" priority="252" operator="between">
      <formula>9</formula>
      <formula>9.9</formula>
    </cfRule>
    <cfRule type="cellIs" dxfId="1346" priority="253" stopIfTrue="1" operator="between">
      <formula>10</formula>
      <formula>10</formula>
    </cfRule>
    <cfRule type="containsBlanks" dxfId="1345" priority="254" stopIfTrue="1">
      <formula>LEN(TRIM(H277))=0</formula>
    </cfRule>
  </conditionalFormatting>
  <conditionalFormatting sqref="H288">
    <cfRule type="colorScale" priority="1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1">
      <colorScale>
        <cfvo type="num" val="5"/>
        <cfvo type="num" val="10"/>
        <color rgb="FFFF494D"/>
        <color rgb="FF00FF66"/>
      </colorScale>
    </cfRule>
  </conditionalFormatting>
  <conditionalFormatting sqref="H289:H294">
    <cfRule type="cellIs" dxfId="1344" priority="173" operator="between">
      <formula>6</formula>
      <formula>6.9</formula>
    </cfRule>
    <cfRule type="cellIs" dxfId="1343" priority="174" operator="between">
      <formula>10.1</formula>
      <formula>10.6</formula>
    </cfRule>
    <cfRule type="cellIs" dxfId="1342" priority="175" operator="between">
      <formula>7</formula>
      <formula>7.9</formula>
    </cfRule>
    <cfRule type="cellIs" dxfId="1341" priority="176" stopIfTrue="1" operator="between">
      <formula>8</formula>
      <formula>8.9</formula>
    </cfRule>
    <cfRule type="cellIs" dxfId="1340" priority="177" operator="between">
      <formula>9</formula>
      <formula>9.9</formula>
    </cfRule>
    <cfRule type="cellIs" dxfId="1339" priority="178" stopIfTrue="1" operator="between">
      <formula>10</formula>
      <formula>10</formula>
    </cfRule>
    <cfRule type="containsBlanks" dxfId="1338" priority="179" stopIfTrue="1">
      <formula>LEN(TRIM(H289))=0</formula>
    </cfRule>
  </conditionalFormatting>
  <conditionalFormatting sqref="H296">
    <cfRule type="colorScale" priority="1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2">
      <colorScale>
        <cfvo type="num" val="5"/>
        <cfvo type="num" val="10"/>
        <color rgb="FFFF494D"/>
        <color rgb="FF00FF66"/>
      </colorScale>
    </cfRule>
  </conditionalFormatting>
  <conditionalFormatting sqref="H297:H307">
    <cfRule type="containsBlanks" dxfId="1337" priority="162" stopIfTrue="1">
      <formula>LEN(TRIM(H297))=0</formula>
    </cfRule>
    <cfRule type="cellIs" dxfId="1336" priority="163" operator="lessThan">
      <formula>2</formula>
    </cfRule>
    <cfRule type="cellIs" dxfId="1335" priority="164" operator="between">
      <formula>2</formula>
      <formula>4.9</formula>
    </cfRule>
    <cfRule type="cellIs" dxfId="1334" priority="165" operator="between">
      <formula>5</formula>
      <formula>6.9</formula>
    </cfRule>
    <cfRule type="cellIs" dxfId="1333" priority="166" operator="between">
      <formula>10.1</formula>
      <formula>10.6</formula>
    </cfRule>
    <cfRule type="cellIs" dxfId="1332" priority="167" operator="between">
      <formula>7</formula>
      <formula>7.9</formula>
    </cfRule>
    <cfRule type="cellIs" dxfId="1331" priority="168" stopIfTrue="1" operator="between">
      <formula>8</formula>
      <formula>8.9</formula>
    </cfRule>
    <cfRule type="cellIs" dxfId="1330" priority="169" operator="between">
      <formula>9</formula>
      <formula>9.9</formula>
    </cfRule>
    <cfRule type="cellIs" dxfId="1329" priority="170" stopIfTrue="1" operator="between">
      <formula>10</formula>
      <formula>10</formula>
    </cfRule>
  </conditionalFormatting>
  <conditionalFormatting sqref="H309">
    <cfRule type="colorScale" priority="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9">
      <colorScale>
        <cfvo type="num" val="5"/>
        <cfvo type="num" val="10"/>
        <color rgb="FFFF494D"/>
        <color rgb="FF00FF66"/>
      </colorScale>
    </cfRule>
  </conditionalFormatting>
  <conditionalFormatting sqref="H310:H327">
    <cfRule type="containsBlanks" dxfId="1328" priority="89" stopIfTrue="1">
      <formula>LEN(TRIM(H310))=0</formula>
    </cfRule>
    <cfRule type="cellIs" dxfId="1327" priority="90" operator="lessThan">
      <formula>2</formula>
    </cfRule>
    <cfRule type="cellIs" dxfId="1326" priority="91" operator="between">
      <formula>2</formula>
      <formula>4.9</formula>
    </cfRule>
    <cfRule type="cellIs" dxfId="1325" priority="92" operator="between">
      <formula>5</formula>
      <formula>6.9</formula>
    </cfRule>
    <cfRule type="cellIs" dxfId="1324" priority="93" operator="between">
      <formula>10.1</formula>
      <formula>10.6</formula>
    </cfRule>
    <cfRule type="cellIs" dxfId="1323" priority="94" operator="between">
      <formula>7</formula>
      <formula>7.9</formula>
    </cfRule>
    <cfRule type="cellIs" dxfId="1322" priority="95" stopIfTrue="1" operator="between">
      <formula>8</formula>
      <formula>8.9</formula>
    </cfRule>
    <cfRule type="cellIs" dxfId="1321" priority="96" operator="between">
      <formula>9</formula>
      <formula>9.9</formula>
    </cfRule>
    <cfRule type="cellIs" dxfId="1320" priority="97" stopIfTrue="1" operator="between">
      <formula>10</formula>
      <formula>10</formula>
    </cfRule>
  </conditionalFormatting>
  <conditionalFormatting sqref="K3:K12">
    <cfRule type="cellIs" dxfId="1319" priority="1159" operator="between">
      <formula>10.1</formula>
      <formula>10.6</formula>
    </cfRule>
    <cfRule type="cellIs" dxfId="1318" priority="1160" operator="between">
      <formula>7</formula>
      <formula>7.9</formula>
    </cfRule>
    <cfRule type="cellIs" dxfId="1317" priority="1161" stopIfTrue="1" operator="between">
      <formula>8</formula>
      <formula>8.9</formula>
    </cfRule>
    <cfRule type="cellIs" dxfId="1316" priority="1162" operator="between">
      <formula>9</formula>
      <formula>9.9</formula>
    </cfRule>
    <cfRule type="cellIs" dxfId="1315" priority="1163" stopIfTrue="1" operator="between">
      <formula>10</formula>
      <formula>10</formula>
    </cfRule>
    <cfRule type="containsBlanks" dxfId="1314" priority="1164" stopIfTrue="1">
      <formula>LEN(TRIM(K3))=0</formula>
    </cfRule>
  </conditionalFormatting>
  <conditionalFormatting sqref="K15:K23">
    <cfRule type="cellIs" dxfId="1313" priority="567" operator="between">
      <formula>7</formula>
      <formula>7.9</formula>
    </cfRule>
    <cfRule type="cellIs" dxfId="1312" priority="568" stopIfTrue="1" operator="between">
      <formula>8</formula>
      <formula>8.9</formula>
    </cfRule>
    <cfRule type="cellIs" dxfId="1311" priority="569" operator="between">
      <formula>9</formula>
      <formula>9.9</formula>
    </cfRule>
    <cfRule type="cellIs" dxfId="1310" priority="570" stopIfTrue="1" operator="between">
      <formula>10</formula>
      <formula>10</formula>
    </cfRule>
  </conditionalFormatting>
  <conditionalFormatting sqref="K23">
    <cfRule type="cellIs" dxfId="1309" priority="566" operator="between">
      <formula>10.1</formula>
      <formula>10.6</formula>
    </cfRule>
    <cfRule type="containsBlanks" dxfId="1308" priority="571" stopIfTrue="1">
      <formula>LEN(TRIM(K23))=0</formula>
    </cfRule>
  </conditionalFormatting>
  <conditionalFormatting sqref="K26:K38">
    <cfRule type="cellIs" dxfId="1307" priority="1194" operator="between">
      <formula>7</formula>
      <formula>7.9</formula>
    </cfRule>
    <cfRule type="cellIs" dxfId="1306" priority="1195" stopIfTrue="1" operator="between">
      <formula>8</formula>
      <formula>8.9</formula>
    </cfRule>
    <cfRule type="cellIs" dxfId="1305" priority="1196" operator="between">
      <formula>9</formula>
      <formula>9.9</formula>
    </cfRule>
    <cfRule type="cellIs" dxfId="1304" priority="1197" stopIfTrue="1" operator="between">
      <formula>10</formula>
      <formula>10</formula>
    </cfRule>
    <cfRule type="containsBlanks" dxfId="1303" priority="1198" stopIfTrue="1">
      <formula>LEN(TRIM(K26))=0</formula>
    </cfRule>
  </conditionalFormatting>
  <conditionalFormatting sqref="K40">
    <cfRule type="colorScale" priority="15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17">
      <colorScale>
        <cfvo type="num" val="5"/>
        <cfvo type="num" val="10"/>
        <color rgb="FFFF494D"/>
        <color rgb="FF00FF66"/>
      </colorScale>
    </cfRule>
  </conditionalFormatting>
  <conditionalFormatting sqref="K41:K52">
    <cfRule type="cellIs" dxfId="1302" priority="1099" operator="between">
      <formula>10.1</formula>
      <formula>10.6</formula>
    </cfRule>
    <cfRule type="cellIs" dxfId="1301" priority="1100" operator="between">
      <formula>7</formula>
      <formula>7.9</formula>
    </cfRule>
    <cfRule type="cellIs" dxfId="1300" priority="1101" stopIfTrue="1" operator="between">
      <formula>8</formula>
      <formula>8.9</formula>
    </cfRule>
    <cfRule type="cellIs" dxfId="1299" priority="1102" operator="between">
      <formula>9</formula>
      <formula>9.9</formula>
    </cfRule>
    <cfRule type="cellIs" dxfId="1298" priority="1103" stopIfTrue="1" operator="between">
      <formula>10</formula>
      <formula>10</formula>
    </cfRule>
    <cfRule type="containsBlanks" dxfId="1297" priority="1104" stopIfTrue="1">
      <formula>LEN(TRIM(K41))=0</formula>
    </cfRule>
  </conditionalFormatting>
  <conditionalFormatting sqref="K54">
    <cfRule type="colorScale" priority="106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68">
      <colorScale>
        <cfvo type="num" val="5"/>
        <cfvo type="num" val="10"/>
        <color rgb="FFFF494D"/>
        <color rgb="FF00FF66"/>
      </colorScale>
    </cfRule>
  </conditionalFormatting>
  <conditionalFormatting sqref="K55:K64">
    <cfRule type="cellIs" dxfId="1296" priority="1061" operator="between">
      <formula>10.1</formula>
      <formula>10.6</formula>
    </cfRule>
    <cfRule type="cellIs" dxfId="1295" priority="1062" operator="between">
      <formula>7</formula>
      <formula>7.9</formula>
    </cfRule>
    <cfRule type="cellIs" dxfId="1294" priority="1063" stopIfTrue="1" operator="between">
      <formula>8</formula>
      <formula>8.9</formula>
    </cfRule>
    <cfRule type="cellIs" dxfId="1293" priority="1064" operator="between">
      <formula>9</formula>
      <formula>9.9</formula>
    </cfRule>
    <cfRule type="cellIs" dxfId="1292" priority="1065" stopIfTrue="1" operator="between">
      <formula>10</formula>
      <formula>10</formula>
    </cfRule>
    <cfRule type="containsBlanks" dxfId="1291" priority="1066" stopIfTrue="1">
      <formula>LEN(TRIM(K55))=0</formula>
    </cfRule>
  </conditionalFormatting>
  <conditionalFormatting sqref="K66">
    <cfRule type="colorScale" priority="10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41">
      <colorScale>
        <cfvo type="num" val="5"/>
        <cfvo type="num" val="10"/>
        <color rgb="FFFF494D"/>
        <color rgb="FF00FF66"/>
      </colorScale>
    </cfRule>
  </conditionalFormatting>
  <conditionalFormatting sqref="K67:K75">
    <cfRule type="cellIs" dxfId="1290" priority="1034" operator="between">
      <formula>10.1</formula>
      <formula>10.6</formula>
    </cfRule>
    <cfRule type="cellIs" dxfId="1289" priority="1035" operator="between">
      <formula>7</formula>
      <formula>7.9</formula>
    </cfRule>
    <cfRule type="cellIs" dxfId="1288" priority="1036" stopIfTrue="1" operator="between">
      <formula>8</formula>
      <formula>8.9</formula>
    </cfRule>
    <cfRule type="cellIs" dxfId="1287" priority="1037" operator="between">
      <formula>9</formula>
      <formula>9.9</formula>
    </cfRule>
    <cfRule type="cellIs" dxfId="1286" priority="1038" stopIfTrue="1" operator="between">
      <formula>10</formula>
      <formula>10</formula>
    </cfRule>
    <cfRule type="containsBlanks" dxfId="1285" priority="1039" stopIfTrue="1">
      <formula>LEN(TRIM(K67))=0</formula>
    </cfRule>
  </conditionalFormatting>
  <conditionalFormatting sqref="K77">
    <cfRule type="colorScale" priority="9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88">
      <colorScale>
        <cfvo type="num" val="5"/>
        <cfvo type="num" val="10"/>
        <color rgb="FFFF494D"/>
        <color rgb="FF00FF66"/>
      </colorScale>
    </cfRule>
  </conditionalFormatting>
  <conditionalFormatting sqref="K78:K88">
    <cfRule type="cellIs" dxfId="1284" priority="981" operator="between">
      <formula>10.1</formula>
      <formula>10.6</formula>
    </cfRule>
    <cfRule type="cellIs" dxfId="1283" priority="982" operator="between">
      <formula>7</formula>
      <formula>7.9</formula>
    </cfRule>
    <cfRule type="cellIs" dxfId="1282" priority="983" stopIfTrue="1" operator="between">
      <formula>8</formula>
      <formula>8.9</formula>
    </cfRule>
    <cfRule type="cellIs" dxfId="1281" priority="984" operator="between">
      <formula>9</formula>
      <formula>9.9</formula>
    </cfRule>
    <cfRule type="cellIs" dxfId="1280" priority="985" stopIfTrue="1" operator="between">
      <formula>10</formula>
      <formula>10</formula>
    </cfRule>
    <cfRule type="containsBlanks" dxfId="1279" priority="986" stopIfTrue="1">
      <formula>LEN(TRIM(K78))=0</formula>
    </cfRule>
  </conditionalFormatting>
  <conditionalFormatting sqref="K90">
    <cfRule type="colorScale" priority="9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35">
      <colorScale>
        <cfvo type="num" val="5"/>
        <cfvo type="num" val="10"/>
        <color rgb="FFFF494D"/>
        <color rgb="FF00FF66"/>
      </colorScale>
    </cfRule>
  </conditionalFormatting>
  <conditionalFormatting sqref="K91:K96">
    <cfRule type="cellIs" dxfId="1278" priority="936" operator="between">
      <formula>10.1</formula>
      <formula>10.6</formula>
    </cfRule>
    <cfRule type="cellIs" dxfId="1277" priority="937" operator="between">
      <formula>7</formula>
      <formula>7.9</formula>
    </cfRule>
    <cfRule type="cellIs" dxfId="1276" priority="938" stopIfTrue="1" operator="between">
      <formula>8</formula>
      <formula>8.9</formula>
    </cfRule>
    <cfRule type="cellIs" dxfId="1275" priority="939" operator="between">
      <formula>9</formula>
      <formula>9.9</formula>
    </cfRule>
    <cfRule type="cellIs" dxfId="1274" priority="940" stopIfTrue="1" operator="between">
      <formula>10</formula>
      <formula>10</formula>
    </cfRule>
    <cfRule type="containsBlanks" dxfId="1273" priority="941" stopIfTrue="1">
      <formula>LEN(TRIM(K91))=0</formula>
    </cfRule>
  </conditionalFormatting>
  <conditionalFormatting sqref="K98">
    <cfRule type="colorScale" priority="9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01">
      <colorScale>
        <cfvo type="num" val="5"/>
        <cfvo type="num" val="10"/>
        <color rgb="FFFF494D"/>
        <color rgb="FF00FF66"/>
      </colorScale>
    </cfRule>
  </conditionalFormatting>
  <conditionalFormatting sqref="K99:K109">
    <cfRule type="cellIs" dxfId="1272" priority="902" operator="between">
      <formula>6</formula>
      <formula>6.9</formula>
    </cfRule>
    <cfRule type="cellIs" dxfId="1271" priority="903" operator="between">
      <formula>10.1</formula>
      <formula>10.6</formula>
    </cfRule>
    <cfRule type="cellIs" dxfId="1270" priority="904" operator="between">
      <formula>7</formula>
      <formula>7.9</formula>
    </cfRule>
    <cfRule type="cellIs" dxfId="1269" priority="905" stopIfTrue="1" operator="between">
      <formula>8</formula>
      <formula>8.9</formula>
    </cfRule>
    <cfRule type="cellIs" dxfId="1268" priority="906" operator="between">
      <formula>9</formula>
      <formula>9.9</formula>
    </cfRule>
    <cfRule type="cellIs" dxfId="1267" priority="907" stopIfTrue="1" operator="between">
      <formula>10</formula>
      <formula>10</formula>
    </cfRule>
    <cfRule type="containsBlanks" dxfId="1266" priority="908" stopIfTrue="1">
      <formula>LEN(TRIM(K99))=0</formula>
    </cfRule>
  </conditionalFormatting>
  <conditionalFormatting sqref="K111">
    <cfRule type="colorScale" priority="86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68">
      <colorScale>
        <cfvo type="num" val="5"/>
        <cfvo type="num" val="10"/>
        <color rgb="FFFF494D"/>
        <color rgb="FF00FF66"/>
      </colorScale>
    </cfRule>
  </conditionalFormatting>
  <conditionalFormatting sqref="K112:K122">
    <cfRule type="cellIs" dxfId="1265" priority="855" operator="between">
      <formula>10.1</formula>
      <formula>10.6</formula>
    </cfRule>
    <cfRule type="cellIs" dxfId="1264" priority="856" operator="between">
      <formula>7</formula>
      <formula>7.9</formula>
    </cfRule>
    <cfRule type="cellIs" dxfId="1263" priority="857" stopIfTrue="1" operator="between">
      <formula>8</formula>
      <formula>8.9</formula>
    </cfRule>
    <cfRule type="cellIs" dxfId="1262" priority="858" operator="between">
      <formula>9</formula>
      <formula>9.9</formula>
    </cfRule>
    <cfRule type="cellIs" dxfId="1261" priority="859" stopIfTrue="1" operator="between">
      <formula>10</formula>
      <formula>10</formula>
    </cfRule>
    <cfRule type="containsBlanks" dxfId="1260" priority="860" stopIfTrue="1">
      <formula>LEN(TRIM(K112))=0</formula>
    </cfRule>
  </conditionalFormatting>
  <conditionalFormatting sqref="K114">
    <cfRule type="cellIs" dxfId="1259" priority="854" operator="between">
      <formula>6</formula>
      <formula>6.9</formula>
    </cfRule>
  </conditionalFormatting>
  <conditionalFormatting sqref="K124">
    <cfRule type="colorScale" priority="8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19">
      <colorScale>
        <cfvo type="num" val="5"/>
        <cfvo type="num" val="10"/>
        <color rgb="FFFF494D"/>
        <color rgb="FF00FF66"/>
      </colorScale>
    </cfRule>
  </conditionalFormatting>
  <conditionalFormatting sqref="K125:K128 K130:K134">
    <cfRule type="cellIs" dxfId="1258" priority="812" operator="between">
      <formula>10.1</formula>
      <formula>10.6</formula>
    </cfRule>
    <cfRule type="cellIs" dxfId="1257" priority="813" operator="between">
      <formula>7</formula>
      <formula>7.9</formula>
    </cfRule>
    <cfRule type="cellIs" dxfId="1256" priority="814" stopIfTrue="1" operator="between">
      <formula>8</formula>
      <formula>8.9</formula>
    </cfRule>
    <cfRule type="cellIs" dxfId="1255" priority="815" operator="between">
      <formula>9</formula>
      <formula>9.9</formula>
    </cfRule>
    <cfRule type="cellIs" dxfId="1254" priority="816" stopIfTrue="1" operator="between">
      <formula>10</formula>
      <formula>10</formula>
    </cfRule>
    <cfRule type="containsBlanks" dxfId="1253" priority="817" stopIfTrue="1">
      <formula>LEN(TRIM(K125))=0</formula>
    </cfRule>
  </conditionalFormatting>
  <conditionalFormatting sqref="K125:K134">
    <cfRule type="cellIs" dxfId="1252" priority="805" operator="between">
      <formula>6</formula>
      <formula>6.9</formula>
    </cfRule>
    <cfRule type="cellIs" dxfId="1251" priority="806" operator="between">
      <formula>10.1</formula>
      <formula>10.6</formula>
    </cfRule>
    <cfRule type="cellIs" dxfId="1250" priority="807" operator="between">
      <formula>7</formula>
      <formula>7.9</formula>
    </cfRule>
    <cfRule type="cellIs" dxfId="1249" priority="808" stopIfTrue="1" operator="between">
      <formula>8</formula>
      <formula>8.9</formula>
    </cfRule>
    <cfRule type="cellIs" dxfId="1248" priority="809" operator="between">
      <formula>9</formula>
      <formula>9.9</formula>
    </cfRule>
    <cfRule type="cellIs" dxfId="1247" priority="810" stopIfTrue="1" operator="between">
      <formula>10</formula>
      <formula>10</formula>
    </cfRule>
    <cfRule type="containsBlanks" dxfId="1246" priority="811" stopIfTrue="1">
      <formula>LEN(TRIM(K125))=0</formula>
    </cfRule>
  </conditionalFormatting>
  <conditionalFormatting sqref="K136">
    <cfRule type="colorScale" priority="74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46">
      <colorScale>
        <cfvo type="num" val="5"/>
        <cfvo type="num" val="10"/>
        <color rgb="FFFF494D"/>
        <color rgb="FF00FF66"/>
      </colorScale>
    </cfRule>
  </conditionalFormatting>
  <conditionalFormatting sqref="K137:K147">
    <cfRule type="cellIs" dxfId="1245" priority="747" operator="between">
      <formula>6</formula>
      <formula>6.9</formula>
    </cfRule>
    <cfRule type="cellIs" dxfId="1244" priority="748" operator="between">
      <formula>10.1</formula>
      <formula>10.6</formula>
    </cfRule>
    <cfRule type="cellIs" dxfId="1243" priority="749" operator="between">
      <formula>7</formula>
      <formula>7.9</formula>
    </cfRule>
    <cfRule type="cellIs" dxfId="1242" priority="750" stopIfTrue="1" operator="between">
      <formula>8</formula>
      <formula>8.9</formula>
    </cfRule>
    <cfRule type="cellIs" dxfId="1241" priority="751" operator="between">
      <formula>9</formula>
      <formula>9.9</formula>
    </cfRule>
    <cfRule type="cellIs" dxfId="1240" priority="752" stopIfTrue="1" operator="between">
      <formula>10</formula>
      <formula>10</formula>
    </cfRule>
    <cfRule type="containsBlanks" dxfId="1239" priority="753" stopIfTrue="1">
      <formula>LEN(TRIM(K137))=0</formula>
    </cfRule>
  </conditionalFormatting>
  <conditionalFormatting sqref="K149">
    <cfRule type="colorScale" priority="68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83">
      <colorScale>
        <cfvo type="num" val="5"/>
        <cfvo type="num" val="10"/>
        <color rgb="FFFF494D"/>
        <color rgb="FF00FF66"/>
      </colorScale>
    </cfRule>
  </conditionalFormatting>
  <conditionalFormatting sqref="K150:K163">
    <cfRule type="cellIs" dxfId="1238" priority="684" operator="between">
      <formula>6</formula>
      <formula>6.9</formula>
    </cfRule>
    <cfRule type="cellIs" dxfId="1237" priority="685" operator="between">
      <formula>10.1</formula>
      <formula>10.6</formula>
    </cfRule>
    <cfRule type="cellIs" dxfId="1236" priority="686" operator="between">
      <formula>7</formula>
      <formula>7.9</formula>
    </cfRule>
    <cfRule type="cellIs" dxfId="1235" priority="687" stopIfTrue="1" operator="between">
      <formula>8</formula>
      <formula>8.9</formula>
    </cfRule>
    <cfRule type="cellIs" dxfId="1234" priority="688" operator="between">
      <formula>9</formula>
      <formula>9.9</formula>
    </cfRule>
    <cfRule type="cellIs" dxfId="1233" priority="689" stopIfTrue="1" operator="between">
      <formula>10</formula>
      <formula>10</formula>
    </cfRule>
    <cfRule type="containsBlanks" dxfId="1232" priority="690" stopIfTrue="1">
      <formula>LEN(TRIM(K150))=0</formula>
    </cfRule>
  </conditionalFormatting>
  <conditionalFormatting sqref="K165">
    <cfRule type="colorScale" priority="6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36">
      <colorScale>
        <cfvo type="num" val="5"/>
        <cfvo type="num" val="10"/>
        <color rgb="FFFF494D"/>
        <color rgb="FF00FF66"/>
      </colorScale>
    </cfRule>
  </conditionalFormatting>
  <conditionalFormatting sqref="K166:K173">
    <cfRule type="cellIs" dxfId="1231" priority="628" operator="between">
      <formula>6</formula>
      <formula>6.9</formula>
    </cfRule>
    <cfRule type="cellIs" dxfId="1230" priority="629" operator="between">
      <formula>10.1</formula>
      <formula>10.6</formula>
    </cfRule>
    <cfRule type="cellIs" dxfId="1229" priority="630" operator="between">
      <formula>7</formula>
      <formula>7.9</formula>
    </cfRule>
    <cfRule type="cellIs" dxfId="1228" priority="631" stopIfTrue="1" operator="between">
      <formula>8</formula>
      <formula>8.9</formula>
    </cfRule>
    <cfRule type="cellIs" dxfId="1227" priority="632" operator="between">
      <formula>9</formula>
      <formula>9.9</formula>
    </cfRule>
    <cfRule type="cellIs" dxfId="1226" priority="633" stopIfTrue="1" operator="between">
      <formula>10</formula>
      <formula>10</formula>
    </cfRule>
    <cfRule type="containsBlanks" dxfId="1225" priority="634" stopIfTrue="1">
      <formula>LEN(TRIM(K166))=0</formula>
    </cfRule>
  </conditionalFormatting>
  <conditionalFormatting sqref="K175">
    <cfRule type="colorScale" priority="5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00">
      <colorScale>
        <cfvo type="num" val="5"/>
        <cfvo type="num" val="10"/>
        <color rgb="FFFF494D"/>
        <color rgb="FF00FF66"/>
      </colorScale>
    </cfRule>
  </conditionalFormatting>
  <conditionalFormatting sqref="K176:K180">
    <cfRule type="cellIs" dxfId="1224" priority="601" operator="between">
      <formula>6</formula>
      <formula>6.9</formula>
    </cfRule>
    <cfRule type="cellIs" dxfId="1223" priority="602" operator="between">
      <formula>10.1</formula>
      <formula>10.6</formula>
    </cfRule>
    <cfRule type="cellIs" dxfId="1222" priority="603" operator="between">
      <formula>7</formula>
      <formula>7.9</formula>
    </cfRule>
    <cfRule type="cellIs" dxfId="1221" priority="604" stopIfTrue="1" operator="between">
      <formula>8</formula>
      <formula>8.9</formula>
    </cfRule>
    <cfRule type="cellIs" dxfId="1220" priority="605" operator="between">
      <formula>9</formula>
      <formula>9.9</formula>
    </cfRule>
    <cfRule type="cellIs" dxfId="1219" priority="606" stopIfTrue="1" operator="between">
      <formula>10</formula>
      <formula>10</formula>
    </cfRule>
    <cfRule type="containsBlanks" dxfId="1218" priority="607" stopIfTrue="1">
      <formula>LEN(TRIM(K176))=0</formula>
    </cfRule>
  </conditionalFormatting>
  <conditionalFormatting sqref="K182">
    <cfRule type="colorScale" priority="58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89">
      <colorScale>
        <cfvo type="num" val="5"/>
        <cfvo type="num" val="10"/>
        <color rgb="FFFF494D"/>
        <color rgb="FF00FF66"/>
      </colorScale>
    </cfRule>
  </conditionalFormatting>
  <conditionalFormatting sqref="K183:K187">
    <cfRule type="cellIs" dxfId="1217" priority="581" operator="between">
      <formula>6</formula>
      <formula>6.9</formula>
    </cfRule>
    <cfRule type="cellIs" dxfId="1216" priority="582" operator="between">
      <formula>10.1</formula>
      <formula>10.6</formula>
    </cfRule>
    <cfRule type="cellIs" dxfId="1215" priority="583" operator="between">
      <formula>7</formula>
      <formula>7.9</formula>
    </cfRule>
    <cfRule type="cellIs" dxfId="1214" priority="584" stopIfTrue="1" operator="between">
      <formula>8</formula>
      <formula>8.9</formula>
    </cfRule>
    <cfRule type="cellIs" dxfId="1213" priority="585" operator="between">
      <formula>9</formula>
      <formula>9.9</formula>
    </cfRule>
    <cfRule type="cellIs" dxfId="1212" priority="586" stopIfTrue="1" operator="between">
      <formula>10</formula>
      <formula>10</formula>
    </cfRule>
    <cfRule type="containsBlanks" dxfId="1211" priority="587" stopIfTrue="1">
      <formula>LEN(TRIM(K183))=0</formula>
    </cfRule>
  </conditionalFormatting>
  <conditionalFormatting sqref="K189">
    <cfRule type="colorScale" priority="53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40">
      <colorScale>
        <cfvo type="num" val="5"/>
        <cfvo type="num" val="10"/>
        <color rgb="FFFF494D"/>
        <color rgb="FF00FF66"/>
      </colorScale>
    </cfRule>
  </conditionalFormatting>
  <conditionalFormatting sqref="K190:K197">
    <cfRule type="cellIs" dxfId="1210" priority="541" operator="between">
      <formula>6</formula>
      <formula>6.9</formula>
    </cfRule>
    <cfRule type="cellIs" dxfId="1209" priority="542" operator="between">
      <formula>10.1</formula>
      <formula>10.6</formula>
    </cfRule>
    <cfRule type="cellIs" dxfId="1208" priority="543" operator="between">
      <formula>7</formula>
      <formula>7.9</formula>
    </cfRule>
    <cfRule type="cellIs" dxfId="1207" priority="544" stopIfTrue="1" operator="between">
      <formula>8</formula>
      <formula>8.9</formula>
    </cfRule>
    <cfRule type="cellIs" dxfId="1206" priority="545" operator="between">
      <formula>9</formula>
      <formula>9.9</formula>
    </cfRule>
    <cfRule type="cellIs" dxfId="1205" priority="546" stopIfTrue="1" operator="between">
      <formula>10</formula>
      <formula>10</formula>
    </cfRule>
    <cfRule type="containsBlanks" dxfId="1204" priority="547" stopIfTrue="1">
      <formula>LEN(TRIM(K190))=0</formula>
    </cfRule>
  </conditionalFormatting>
  <conditionalFormatting sqref="K199">
    <cfRule type="colorScale" priority="51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20">
      <colorScale>
        <cfvo type="num" val="5"/>
        <cfvo type="num" val="10"/>
        <color rgb="FFFF494D"/>
        <color rgb="FF00FF66"/>
      </colorScale>
    </cfRule>
  </conditionalFormatting>
  <conditionalFormatting sqref="K200:K206">
    <cfRule type="cellIs" dxfId="1203" priority="512" operator="between">
      <formula>6</formula>
      <formula>6.9</formula>
    </cfRule>
    <cfRule type="cellIs" dxfId="1202" priority="513" operator="between">
      <formula>10.1</formula>
      <formula>10.6</formula>
    </cfRule>
    <cfRule type="cellIs" dxfId="1201" priority="514" operator="between">
      <formula>7</formula>
      <formula>7.9</formula>
    </cfRule>
    <cfRule type="cellIs" dxfId="1200" priority="515" stopIfTrue="1" operator="between">
      <formula>8</formula>
      <formula>8.9</formula>
    </cfRule>
    <cfRule type="cellIs" dxfId="1199" priority="516" operator="between">
      <formula>9</formula>
      <formula>9.9</formula>
    </cfRule>
    <cfRule type="cellIs" dxfId="1198" priority="517" stopIfTrue="1" operator="between">
      <formula>10</formula>
      <formula>10</formula>
    </cfRule>
    <cfRule type="containsBlanks" dxfId="1197" priority="518" stopIfTrue="1">
      <formula>LEN(TRIM(K200))=0</formula>
    </cfRule>
  </conditionalFormatting>
  <conditionalFormatting sqref="K208">
    <cfRule type="colorScale" priority="4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81">
      <colorScale>
        <cfvo type="num" val="5"/>
        <cfvo type="num" val="10"/>
        <color rgb="FFFF494D"/>
        <color rgb="FF00FF66"/>
      </colorScale>
    </cfRule>
  </conditionalFormatting>
  <conditionalFormatting sqref="K209:K217">
    <cfRule type="cellIs" dxfId="1196" priority="482" operator="between">
      <formula>6</formula>
      <formula>6.9</formula>
    </cfRule>
    <cfRule type="cellIs" dxfId="1195" priority="483" operator="between">
      <formula>10.1</formula>
      <formula>11</formula>
    </cfRule>
    <cfRule type="cellIs" dxfId="1194" priority="484" operator="between">
      <formula>7</formula>
      <formula>7.9</formula>
    </cfRule>
    <cfRule type="cellIs" dxfId="1193" priority="485" stopIfTrue="1" operator="between">
      <formula>8</formula>
      <formula>8.9</formula>
    </cfRule>
    <cfRule type="cellIs" dxfId="1192" priority="486" operator="between">
      <formula>9</formula>
      <formula>9.9</formula>
    </cfRule>
    <cfRule type="cellIs" dxfId="1191" priority="487" stopIfTrue="1" operator="between">
      <formula>10</formula>
      <formula>10</formula>
    </cfRule>
    <cfRule type="containsBlanks" dxfId="1190" priority="488" stopIfTrue="1">
      <formula>LEN(TRIM(K209))=0</formula>
    </cfRule>
  </conditionalFormatting>
  <conditionalFormatting sqref="K219">
    <cfRule type="colorScale" priority="43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37">
      <colorScale>
        <cfvo type="num" val="5"/>
        <cfvo type="num" val="10"/>
        <color rgb="FFFF494D"/>
        <color rgb="FF00FF66"/>
      </colorScale>
    </cfRule>
  </conditionalFormatting>
  <conditionalFormatting sqref="K220:K235">
    <cfRule type="cellIs" dxfId="1189" priority="429" operator="between">
      <formula>6</formula>
      <formula>6.9</formula>
    </cfRule>
    <cfRule type="cellIs" dxfId="1188" priority="430" operator="between">
      <formula>10.1</formula>
      <formula>10.6</formula>
    </cfRule>
    <cfRule type="cellIs" dxfId="1187" priority="431" operator="between">
      <formula>7</formula>
      <formula>7.9</formula>
    </cfRule>
    <cfRule type="cellIs" dxfId="1186" priority="432" stopIfTrue="1" operator="between">
      <formula>8</formula>
      <formula>8.9</formula>
    </cfRule>
    <cfRule type="cellIs" dxfId="1185" priority="433" operator="between">
      <formula>9</formula>
      <formula>9.9</formula>
    </cfRule>
    <cfRule type="cellIs" dxfId="1184" priority="434" stopIfTrue="1" operator="between">
      <formula>10</formula>
      <formula>10</formula>
    </cfRule>
    <cfRule type="containsBlanks" dxfId="1183" priority="435" stopIfTrue="1">
      <formula>LEN(TRIM(K220))=0</formula>
    </cfRule>
  </conditionalFormatting>
  <conditionalFormatting sqref="K237">
    <cfRule type="colorScale" priority="37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74">
      <colorScale>
        <cfvo type="num" val="5"/>
        <cfvo type="num" val="10"/>
        <color rgb="FFFF494D"/>
        <color rgb="FF00FF66"/>
      </colorScale>
    </cfRule>
  </conditionalFormatting>
  <conditionalFormatting sqref="K238:K250">
    <cfRule type="cellIs" dxfId="1182" priority="366" operator="between">
      <formula>6</formula>
      <formula>6.9</formula>
    </cfRule>
    <cfRule type="cellIs" dxfId="1181" priority="367" operator="between">
      <formula>10.1</formula>
      <formula>10.6</formula>
    </cfRule>
    <cfRule type="cellIs" dxfId="1180" priority="368" operator="between">
      <formula>7</formula>
      <formula>7.9</formula>
    </cfRule>
    <cfRule type="cellIs" dxfId="1179" priority="369" stopIfTrue="1" operator="between">
      <formula>8</formula>
      <formula>8.9</formula>
    </cfRule>
    <cfRule type="cellIs" dxfId="1178" priority="370" operator="between">
      <formula>9</formula>
      <formula>9.9</formula>
    </cfRule>
    <cfRule type="cellIs" dxfId="1177" priority="371" stopIfTrue="1" operator="between">
      <formula>10</formula>
      <formula>10</formula>
    </cfRule>
    <cfRule type="containsBlanks" dxfId="1176" priority="372" stopIfTrue="1">
      <formula>LEN(TRIM(K238))=0</formula>
    </cfRule>
  </conditionalFormatting>
  <conditionalFormatting sqref="K252">
    <cfRule type="colorScale" priority="32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9">
      <colorScale>
        <cfvo type="num" val="5"/>
        <cfvo type="num" val="10"/>
        <color rgb="FFFF494D"/>
        <color rgb="FF00FF66"/>
      </colorScale>
    </cfRule>
  </conditionalFormatting>
  <conditionalFormatting sqref="K253:K262">
    <cfRule type="cellIs" dxfId="1175" priority="321" operator="between">
      <formula>6</formula>
      <formula>6.9</formula>
    </cfRule>
    <cfRule type="cellIs" dxfId="1174" priority="322" operator="between">
      <formula>10.1</formula>
      <formula>10.6</formula>
    </cfRule>
    <cfRule type="cellIs" dxfId="1173" priority="323" operator="between">
      <formula>7</formula>
      <formula>7.9</formula>
    </cfRule>
    <cfRule type="cellIs" dxfId="1172" priority="324" stopIfTrue="1" operator="between">
      <formula>8</formula>
      <formula>8.9</formula>
    </cfRule>
    <cfRule type="cellIs" dxfId="1171" priority="325" operator="between">
      <formula>9</formula>
      <formula>9.9</formula>
    </cfRule>
    <cfRule type="cellIs" dxfId="1170" priority="326" stopIfTrue="1" operator="between">
      <formula>10</formula>
      <formula>10</formula>
    </cfRule>
    <cfRule type="containsBlanks" dxfId="1169" priority="327" stopIfTrue="1">
      <formula>LEN(TRIM(K253))=0</formula>
    </cfRule>
  </conditionalFormatting>
  <conditionalFormatting sqref="K264">
    <cfRule type="colorScale" priority="29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1">
      <colorScale>
        <cfvo type="num" val="5"/>
        <cfvo type="num" val="10"/>
        <color rgb="FFFF494D"/>
        <color rgb="FF00FF66"/>
      </colorScale>
    </cfRule>
  </conditionalFormatting>
  <conditionalFormatting sqref="K265:K274">
    <cfRule type="cellIs" dxfId="1168" priority="292" operator="between">
      <formula>6</formula>
      <formula>6.9</formula>
    </cfRule>
    <cfRule type="cellIs" dxfId="1167" priority="293" operator="between">
      <formula>10.1</formula>
      <formula>10.6</formula>
    </cfRule>
    <cfRule type="cellIs" dxfId="1166" priority="294" operator="between">
      <formula>7</formula>
      <formula>7.9</formula>
    </cfRule>
    <cfRule type="cellIs" dxfId="1165" priority="295" stopIfTrue="1" operator="between">
      <formula>8</formula>
      <formula>8.9</formula>
    </cfRule>
    <cfRule type="cellIs" dxfId="1164" priority="296" operator="between">
      <formula>9</formula>
      <formula>9.9</formula>
    </cfRule>
    <cfRule type="cellIs" dxfId="1163" priority="297" stopIfTrue="1" operator="between">
      <formula>10</formula>
      <formula>10</formula>
    </cfRule>
    <cfRule type="containsBlanks" dxfId="1162" priority="298" stopIfTrue="1">
      <formula>LEN(TRIM(K265))=0</formula>
    </cfRule>
  </conditionalFormatting>
  <conditionalFormatting sqref="K276">
    <cfRule type="colorScale" priority="2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7">
      <colorScale>
        <cfvo type="num" val="5"/>
        <cfvo type="num" val="10"/>
        <color rgb="FFFF494D"/>
        <color rgb="FF00FF66"/>
      </colorScale>
    </cfRule>
  </conditionalFormatting>
  <conditionalFormatting sqref="K277:K284">
    <cfRule type="cellIs" dxfId="1161" priority="239" operator="between">
      <formula>6</formula>
      <formula>6.9</formula>
    </cfRule>
    <cfRule type="cellIs" dxfId="1160" priority="240" operator="between">
      <formula>10.1</formula>
      <formula>10.6</formula>
    </cfRule>
    <cfRule type="cellIs" dxfId="1159" priority="241" operator="between">
      <formula>7</formula>
      <formula>7.9</formula>
    </cfRule>
    <cfRule type="cellIs" dxfId="1158" priority="242" stopIfTrue="1" operator="between">
      <formula>8</formula>
      <formula>8.9</formula>
    </cfRule>
    <cfRule type="cellIs" dxfId="1157" priority="243" operator="between">
      <formula>9</formula>
      <formula>9.9</formula>
    </cfRule>
    <cfRule type="cellIs" dxfId="1156" priority="244" stopIfTrue="1" operator="between">
      <formula>10</formula>
      <formula>10</formula>
    </cfRule>
    <cfRule type="containsBlanks" dxfId="1155" priority="245" stopIfTrue="1">
      <formula>LEN(TRIM(K277))=0</formula>
    </cfRule>
  </conditionalFormatting>
  <conditionalFormatting sqref="K286">
    <cfRule type="colorScale" priority="1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9">
      <colorScale>
        <cfvo type="num" val="5"/>
        <cfvo type="num" val="10"/>
        <color rgb="FFFF494D"/>
        <color rgb="FF00FF66"/>
      </colorScale>
    </cfRule>
  </conditionalFormatting>
  <conditionalFormatting sqref="K287:K294">
    <cfRule type="cellIs" dxfId="1154" priority="191" operator="between">
      <formula>6</formula>
      <formula>6.9</formula>
    </cfRule>
    <cfRule type="cellIs" dxfId="1153" priority="192" operator="between">
      <formula>10.1</formula>
      <formula>10.6</formula>
    </cfRule>
    <cfRule type="cellIs" dxfId="1152" priority="193" operator="between">
      <formula>7</formula>
      <formula>7.9</formula>
    </cfRule>
    <cfRule type="cellIs" dxfId="1151" priority="194" stopIfTrue="1" operator="between">
      <formula>8</formula>
      <formula>8.9</formula>
    </cfRule>
    <cfRule type="cellIs" dxfId="1150" priority="195" operator="between">
      <formula>9</formula>
      <formula>9.9</formula>
    </cfRule>
    <cfRule type="cellIs" dxfId="1149" priority="196" stopIfTrue="1" operator="between">
      <formula>10</formula>
      <formula>10</formula>
    </cfRule>
    <cfRule type="containsBlanks" dxfId="1148" priority="197" stopIfTrue="1">
      <formula>LEN(TRIM(K287))=0</formula>
    </cfRule>
  </conditionalFormatting>
  <conditionalFormatting sqref="K296">
    <cfRule type="colorScale" priority="1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1">
      <colorScale>
        <cfvo type="num" val="5"/>
        <cfvo type="num" val="10"/>
        <color rgb="FFFF494D"/>
        <color rgb="FF00FF66"/>
      </colorScale>
    </cfRule>
  </conditionalFormatting>
  <conditionalFormatting sqref="K297:K302">
    <cfRule type="containsBlanks" dxfId="1147" priority="151" stopIfTrue="1">
      <formula>LEN(TRIM(K297))=0</formula>
    </cfRule>
    <cfRule type="cellIs" dxfId="1146" priority="152" operator="lessThan">
      <formula>2</formula>
    </cfRule>
    <cfRule type="cellIs" dxfId="1145" priority="153" operator="between">
      <formula>2</formula>
      <formula>4.9</formula>
    </cfRule>
    <cfRule type="cellIs" dxfId="1144" priority="154" operator="between">
      <formula>5</formula>
      <formula>6.9</formula>
    </cfRule>
    <cfRule type="cellIs" dxfId="1143" priority="155" operator="between">
      <formula>10.1</formula>
      <formula>10.6</formula>
    </cfRule>
    <cfRule type="cellIs" dxfId="1142" priority="156" operator="between">
      <formula>7</formula>
      <formula>7.9</formula>
    </cfRule>
    <cfRule type="cellIs" dxfId="1141" priority="157" stopIfTrue="1" operator="between">
      <formula>8</formula>
      <formula>8.9</formula>
    </cfRule>
    <cfRule type="cellIs" dxfId="1140" priority="158" operator="between">
      <formula>9</formula>
      <formula>9.9</formula>
    </cfRule>
    <cfRule type="cellIs" dxfId="1139" priority="159" stopIfTrue="1" operator="between">
      <formula>10</formula>
      <formula>10</formula>
    </cfRule>
  </conditionalFormatting>
  <conditionalFormatting sqref="K304">
    <cfRule type="colorScale" priority="1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0">
      <colorScale>
        <cfvo type="num" val="5"/>
        <cfvo type="num" val="10"/>
        <color rgb="FFFF494D"/>
        <color rgb="FF00FF66"/>
      </colorScale>
    </cfRule>
  </conditionalFormatting>
  <conditionalFormatting sqref="K305:K316">
    <cfRule type="containsBlanks" dxfId="1138" priority="120" stopIfTrue="1">
      <formula>LEN(TRIM(K305))=0</formula>
    </cfRule>
    <cfRule type="cellIs" dxfId="1137" priority="121" operator="lessThan">
      <formula>2</formula>
    </cfRule>
    <cfRule type="cellIs" dxfId="1136" priority="122" operator="between">
      <formula>2</formula>
      <formula>4.9</formula>
    </cfRule>
    <cfRule type="cellIs" dxfId="1135" priority="123" operator="between">
      <formula>5</formula>
      <formula>6.9</formula>
    </cfRule>
    <cfRule type="cellIs" dxfId="1134" priority="124" operator="between">
      <formula>10.1</formula>
      <formula>10.6</formula>
    </cfRule>
    <cfRule type="cellIs" dxfId="1133" priority="125" operator="between">
      <formula>7</formula>
      <formula>7.9</formula>
    </cfRule>
    <cfRule type="cellIs" dxfId="1132" priority="126" stopIfTrue="1" operator="between">
      <formula>8</formula>
      <formula>8.9</formula>
    </cfRule>
    <cfRule type="cellIs" dxfId="1131" priority="127" operator="between">
      <formula>9</formula>
      <formula>9.9</formula>
    </cfRule>
    <cfRule type="cellIs" dxfId="1130" priority="128" stopIfTrue="1" operator="between">
      <formula>10</formula>
      <formula>10</formula>
    </cfRule>
  </conditionalFormatting>
  <conditionalFormatting sqref="K318">
    <cfRule type="colorScale" priority="5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7">
      <colorScale>
        <cfvo type="num" val="5"/>
        <cfvo type="num" val="10"/>
        <color rgb="FFFF494D"/>
        <color rgb="FF00FF66"/>
      </colorScale>
    </cfRule>
  </conditionalFormatting>
  <conditionalFormatting sqref="K319:K326">
    <cfRule type="containsBlanks" dxfId="1129" priority="58" stopIfTrue="1">
      <formula>LEN(TRIM(K319))=0</formula>
    </cfRule>
    <cfRule type="cellIs" dxfId="1128" priority="59" operator="lessThan">
      <formula>2</formula>
    </cfRule>
    <cfRule type="cellIs" dxfId="1127" priority="60" operator="between">
      <formula>2</formula>
      <formula>4.9</formula>
    </cfRule>
    <cfRule type="cellIs" dxfId="1126" priority="61" operator="between">
      <formula>5</formula>
      <formula>6.9</formula>
    </cfRule>
    <cfRule type="cellIs" dxfId="1125" priority="62" operator="between">
      <formula>10.1</formula>
      <formula>10.6</formula>
    </cfRule>
    <cfRule type="cellIs" dxfId="1124" priority="63" operator="between">
      <formula>7</formula>
      <formula>7.9</formula>
    </cfRule>
    <cfRule type="cellIs" dxfId="1123" priority="64" stopIfTrue="1" operator="between">
      <formula>8</formula>
      <formula>8.9</formula>
    </cfRule>
    <cfRule type="cellIs" dxfId="1122" priority="65" operator="between">
      <formula>9</formula>
      <formula>9.9</formula>
    </cfRule>
    <cfRule type="cellIs" dxfId="1121" priority="66" stopIfTrue="1" operator="between">
      <formula>10</formula>
      <formula>10</formula>
    </cfRule>
  </conditionalFormatting>
  <conditionalFormatting sqref="K328">
    <cfRule type="colorScale" priority="1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">
      <colorScale>
        <cfvo type="num" val="5"/>
        <cfvo type="num" val="10"/>
        <color rgb="FFFF494D"/>
        <color rgb="FF00FF66"/>
      </colorScale>
    </cfRule>
  </conditionalFormatting>
  <conditionalFormatting sqref="K329:K338">
    <cfRule type="containsBlanks" dxfId="1120" priority="14" stopIfTrue="1">
      <formula>LEN(TRIM(K329))=0</formula>
    </cfRule>
    <cfRule type="cellIs" dxfId="1119" priority="15" operator="lessThan">
      <formula>2</formula>
    </cfRule>
    <cfRule type="cellIs" dxfId="1118" priority="16" operator="between">
      <formula>2</formula>
      <formula>4.9</formula>
    </cfRule>
    <cfRule type="cellIs" dxfId="1117" priority="17" operator="between">
      <formula>5</formula>
      <formula>6.9</formula>
    </cfRule>
    <cfRule type="cellIs" dxfId="1116" priority="18" operator="between">
      <formula>10.1</formula>
      <formula>10.6</formula>
    </cfRule>
    <cfRule type="cellIs" dxfId="1115" priority="19" operator="between">
      <formula>7</formula>
      <formula>7.9</formula>
    </cfRule>
    <cfRule type="cellIs" dxfId="1114" priority="20" stopIfTrue="1" operator="between">
      <formula>8</formula>
      <formula>8.9</formula>
    </cfRule>
    <cfRule type="cellIs" dxfId="1113" priority="21" operator="between">
      <formula>9</formula>
      <formula>9.9</formula>
    </cfRule>
    <cfRule type="cellIs" dxfId="1112" priority="22" stopIfTrue="1" operator="between">
      <formula>10</formula>
      <formula>10</formula>
    </cfRule>
  </conditionalFormatting>
  <conditionalFormatting sqref="M28">
    <cfRule type="colorScale" priority="155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57">
      <colorScale>
        <cfvo type="num" val="5"/>
        <cfvo type="num" val="10"/>
        <color rgb="FFFF494D"/>
        <color rgb="FF00FF66"/>
      </colorScale>
    </cfRule>
  </conditionalFormatting>
  <conditionalFormatting sqref="M39">
    <cfRule type="colorScale" priority="15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28">
      <colorScale>
        <cfvo type="num" val="5"/>
        <cfvo type="num" val="10"/>
        <color rgb="FFFF494D"/>
        <color rgb="FF00FF66"/>
      </colorScale>
    </cfRule>
  </conditionalFormatting>
  <conditionalFormatting sqref="N3:N12">
    <cfRule type="cellIs" dxfId="1111" priority="1153" operator="between">
      <formula>10.1</formula>
      <formula>10.6</formula>
    </cfRule>
    <cfRule type="cellIs" dxfId="1110" priority="1154" operator="between">
      <formula>7</formula>
      <formula>7.9</formula>
    </cfRule>
    <cfRule type="cellIs" dxfId="1109" priority="1155" stopIfTrue="1" operator="between">
      <formula>8</formula>
      <formula>8.9</formula>
    </cfRule>
    <cfRule type="cellIs" dxfId="1108" priority="1156" operator="between">
      <formula>9</formula>
      <formula>9.9</formula>
    </cfRule>
    <cfRule type="cellIs" dxfId="1107" priority="1157" stopIfTrue="1" operator="between">
      <formula>10</formula>
      <formula>10</formula>
    </cfRule>
    <cfRule type="containsBlanks" dxfId="1106" priority="1158" stopIfTrue="1">
      <formula>LEN(TRIM(N3))=0</formula>
    </cfRule>
  </conditionalFormatting>
  <conditionalFormatting sqref="N15:N26">
    <cfRule type="cellIs" dxfId="1105" priority="1285" operator="between">
      <formula>7</formula>
      <formula>7.9</formula>
    </cfRule>
    <cfRule type="cellIs" dxfId="1104" priority="1286" stopIfTrue="1" operator="between">
      <formula>8</formula>
      <formula>8.9</formula>
    </cfRule>
    <cfRule type="cellIs" dxfId="1103" priority="1287" operator="between">
      <formula>9</formula>
      <formula>9.9</formula>
    </cfRule>
    <cfRule type="cellIs" dxfId="1102" priority="1288" stopIfTrue="1" operator="between">
      <formula>10</formula>
      <formula>10</formula>
    </cfRule>
  </conditionalFormatting>
  <conditionalFormatting sqref="N28">
    <cfRule type="colorScale" priority="105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51">
      <colorScale>
        <cfvo type="num" val="5"/>
        <cfvo type="num" val="10"/>
        <color rgb="FFFF494D"/>
        <color rgb="FF00FF66"/>
      </colorScale>
    </cfRule>
  </conditionalFormatting>
  <conditionalFormatting sqref="N29:N37">
    <cfRule type="cellIs" dxfId="1101" priority="1289" operator="between">
      <formula>7</formula>
      <formula>7.9</formula>
    </cfRule>
    <cfRule type="cellIs" dxfId="1100" priority="1290" stopIfTrue="1" operator="between">
      <formula>8</formula>
      <formula>8.9</formula>
    </cfRule>
    <cfRule type="cellIs" dxfId="1099" priority="1291" operator="between">
      <formula>9</formula>
      <formula>9.9</formula>
    </cfRule>
    <cfRule type="cellIs" dxfId="1098" priority="1292" stopIfTrue="1" operator="between">
      <formula>10</formula>
      <formula>10</formula>
    </cfRule>
  </conditionalFormatting>
  <conditionalFormatting sqref="N39">
    <cfRule type="colorScale" priority="15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24">
      <colorScale>
        <cfvo type="num" val="5"/>
        <cfvo type="num" val="10"/>
        <color rgb="FFFF494D"/>
        <color rgb="FF00FF66"/>
      </colorScale>
    </cfRule>
  </conditionalFormatting>
  <conditionalFormatting sqref="N40:N52">
    <cfRule type="cellIs" dxfId="1097" priority="1093" operator="between">
      <formula>10.1</formula>
      <formula>10.6</formula>
    </cfRule>
    <cfRule type="cellIs" dxfId="1096" priority="1094" operator="between">
      <formula>7</formula>
      <formula>7.9</formula>
    </cfRule>
    <cfRule type="cellIs" dxfId="1095" priority="1095" stopIfTrue="1" operator="between">
      <formula>8</formula>
      <formula>8.9</formula>
    </cfRule>
    <cfRule type="cellIs" dxfId="1094" priority="1096" operator="between">
      <formula>9</formula>
      <formula>9.9</formula>
    </cfRule>
    <cfRule type="cellIs" dxfId="1093" priority="1097" stopIfTrue="1" operator="between">
      <formula>10</formula>
      <formula>10</formula>
    </cfRule>
    <cfRule type="containsBlanks" dxfId="1092" priority="1098" stopIfTrue="1">
      <formula>LEN(TRIM(N40))=0</formula>
    </cfRule>
  </conditionalFormatting>
  <conditionalFormatting sqref="N54">
    <cfRule type="colorScale" priority="10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82">
      <colorScale>
        <cfvo type="num" val="5"/>
        <cfvo type="num" val="10"/>
        <color rgb="FFFF494D"/>
        <color rgb="FF00FF66"/>
      </colorScale>
    </cfRule>
  </conditionalFormatting>
  <conditionalFormatting sqref="N55:N65">
    <cfRule type="cellIs" dxfId="1091" priority="1075" operator="between">
      <formula>10.1</formula>
      <formula>10.6</formula>
    </cfRule>
    <cfRule type="cellIs" dxfId="1090" priority="1076" operator="between">
      <formula>7</formula>
      <formula>7.9</formula>
    </cfRule>
    <cfRule type="cellIs" dxfId="1089" priority="1077" stopIfTrue="1" operator="between">
      <formula>8</formula>
      <formula>8.9</formula>
    </cfRule>
    <cfRule type="cellIs" dxfId="1088" priority="1078" operator="between">
      <formula>9</formula>
      <formula>9.9</formula>
    </cfRule>
    <cfRule type="cellIs" dxfId="1087" priority="1079" stopIfTrue="1" operator="between">
      <formula>10</formula>
      <formula>10</formula>
    </cfRule>
    <cfRule type="containsBlanks" dxfId="1086" priority="1080" stopIfTrue="1">
      <formula>LEN(TRIM(N55))=0</formula>
    </cfRule>
  </conditionalFormatting>
  <conditionalFormatting sqref="N67">
    <cfRule type="colorScale" priority="103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33">
      <colorScale>
        <cfvo type="num" val="5"/>
        <cfvo type="num" val="10"/>
        <color rgb="FFFF494D"/>
        <color rgb="FF00FF66"/>
      </colorScale>
    </cfRule>
  </conditionalFormatting>
  <conditionalFormatting sqref="N68:N77">
    <cfRule type="cellIs" dxfId="1085" priority="1026" operator="between">
      <formula>10.1</formula>
      <formula>10.6</formula>
    </cfRule>
    <cfRule type="cellIs" dxfId="1084" priority="1027" operator="between">
      <formula>7</formula>
      <formula>7.9</formula>
    </cfRule>
    <cfRule type="cellIs" dxfId="1083" priority="1028" stopIfTrue="1" operator="between">
      <formula>8</formula>
      <formula>8.9</formula>
    </cfRule>
    <cfRule type="cellIs" dxfId="1082" priority="1029" operator="between">
      <formula>9</formula>
      <formula>9.9</formula>
    </cfRule>
    <cfRule type="cellIs" dxfId="1081" priority="1030" stopIfTrue="1" operator="between">
      <formula>10</formula>
      <formula>10</formula>
    </cfRule>
    <cfRule type="containsBlanks" dxfId="1080" priority="1031" stopIfTrue="1">
      <formula>LEN(TRIM(N68))=0</formula>
    </cfRule>
  </conditionalFormatting>
  <conditionalFormatting sqref="N79">
    <cfRule type="colorScale" priority="96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64">
      <colorScale>
        <cfvo type="num" val="5"/>
        <cfvo type="num" val="10"/>
        <color rgb="FFFF494D"/>
        <color rgb="FF00FF66"/>
      </colorScale>
    </cfRule>
  </conditionalFormatting>
  <conditionalFormatting sqref="N80:N91">
    <cfRule type="cellIs" dxfId="1079" priority="957" operator="between">
      <formula>10.1</formula>
      <formula>10.6</formula>
    </cfRule>
    <cfRule type="cellIs" dxfId="1078" priority="958" operator="between">
      <formula>7</formula>
      <formula>7.9</formula>
    </cfRule>
    <cfRule type="cellIs" dxfId="1077" priority="959" stopIfTrue="1" operator="between">
      <formula>8</formula>
      <formula>8.9</formula>
    </cfRule>
    <cfRule type="cellIs" dxfId="1076" priority="960" operator="between">
      <formula>9</formula>
      <formula>9.9</formula>
    </cfRule>
    <cfRule type="cellIs" dxfId="1075" priority="961" stopIfTrue="1" operator="between">
      <formula>10</formula>
      <formula>10</formula>
    </cfRule>
    <cfRule type="containsBlanks" dxfId="1074" priority="962" stopIfTrue="1">
      <formula>LEN(TRIM(N80))=0</formula>
    </cfRule>
  </conditionalFormatting>
  <conditionalFormatting sqref="N93">
    <cfRule type="colorScale" priority="9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19">
      <colorScale>
        <cfvo type="num" val="5"/>
        <cfvo type="num" val="10"/>
        <color rgb="FFFF494D"/>
        <color rgb="FF00FF66"/>
      </colorScale>
    </cfRule>
  </conditionalFormatting>
  <conditionalFormatting sqref="N94:N110">
    <cfRule type="cellIs" dxfId="1073" priority="920" operator="between">
      <formula>10.1</formula>
      <formula>10.6</formula>
    </cfRule>
    <cfRule type="cellIs" dxfId="1072" priority="921" operator="between">
      <formula>7</formula>
      <formula>7.9</formula>
    </cfRule>
    <cfRule type="cellIs" dxfId="1071" priority="922" stopIfTrue="1" operator="between">
      <formula>8</formula>
      <formula>8.9</formula>
    </cfRule>
    <cfRule type="cellIs" dxfId="1070" priority="923" operator="between">
      <formula>9</formula>
      <formula>9.9</formula>
    </cfRule>
    <cfRule type="cellIs" dxfId="1069" priority="924" stopIfTrue="1" operator="between">
      <formula>10</formula>
      <formula>10</formula>
    </cfRule>
    <cfRule type="containsBlanks" dxfId="1068" priority="925" stopIfTrue="1">
      <formula>LEN(TRIM(N94))=0</formula>
    </cfRule>
  </conditionalFormatting>
  <conditionalFormatting sqref="N112">
    <cfRule type="colorScale" priority="8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53">
      <colorScale>
        <cfvo type="num" val="5"/>
        <cfvo type="num" val="10"/>
        <color rgb="FFFF494D"/>
        <color rgb="FF00FF66"/>
      </colorScale>
    </cfRule>
  </conditionalFormatting>
  <conditionalFormatting sqref="N113:N125">
    <cfRule type="cellIs" dxfId="1067" priority="846" operator="between">
      <formula>10.1</formula>
      <formula>10.6</formula>
    </cfRule>
    <cfRule type="cellIs" dxfId="1066" priority="847" operator="between">
      <formula>7</formula>
      <formula>7.9</formula>
    </cfRule>
    <cfRule type="cellIs" dxfId="1065" priority="848" stopIfTrue="1" operator="between">
      <formula>8</formula>
      <formula>8.9</formula>
    </cfRule>
    <cfRule type="cellIs" dxfId="1064" priority="849" operator="between">
      <formula>9</formula>
      <formula>9.9</formula>
    </cfRule>
    <cfRule type="cellIs" dxfId="1063" priority="850" stopIfTrue="1" operator="between">
      <formula>10</formula>
      <formula>10</formula>
    </cfRule>
    <cfRule type="containsBlanks" dxfId="1062" priority="851" stopIfTrue="1">
      <formula>LEN(TRIM(N113))=0</formula>
    </cfRule>
  </conditionalFormatting>
  <conditionalFormatting sqref="N127">
    <cfRule type="colorScale" priority="7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86">
      <colorScale>
        <cfvo type="num" val="5"/>
        <cfvo type="num" val="10"/>
        <color rgb="FFFF494D"/>
        <color rgb="FF00FF66"/>
      </colorScale>
    </cfRule>
  </conditionalFormatting>
  <conditionalFormatting sqref="N128:N135">
    <cfRule type="cellIs" dxfId="1061" priority="772" operator="between">
      <formula>6</formula>
      <formula>6.9</formula>
    </cfRule>
    <cfRule type="cellIs" dxfId="1060" priority="773" operator="between">
      <formula>10.1</formula>
      <formula>10.6</formula>
    </cfRule>
    <cfRule type="cellIs" dxfId="1059" priority="774" operator="between">
      <formula>7</formula>
      <formula>7.9</formula>
    </cfRule>
    <cfRule type="cellIs" dxfId="1058" priority="775" stopIfTrue="1" operator="between">
      <formula>8</formula>
      <formula>8.9</formula>
    </cfRule>
    <cfRule type="cellIs" dxfId="1057" priority="776" operator="between">
      <formula>9</formula>
      <formula>9.9</formula>
    </cfRule>
    <cfRule type="cellIs" dxfId="1056" priority="777" stopIfTrue="1" operator="between">
      <formula>10</formula>
      <formula>10</formula>
    </cfRule>
    <cfRule type="containsBlanks" dxfId="1055" priority="778" stopIfTrue="1">
      <formula>LEN(TRIM(N128))=0</formula>
    </cfRule>
    <cfRule type="cellIs" dxfId="1054" priority="779" operator="between">
      <formula>10.1</formula>
      <formula>10.6</formula>
    </cfRule>
    <cfRule type="cellIs" dxfId="1053" priority="780" operator="between">
      <formula>7</formula>
      <formula>7.9</formula>
    </cfRule>
    <cfRule type="cellIs" dxfId="1052" priority="781" stopIfTrue="1" operator="between">
      <formula>8</formula>
      <formula>8.9</formula>
    </cfRule>
    <cfRule type="cellIs" dxfId="1051" priority="782" operator="between">
      <formula>9</formula>
      <formula>9.9</formula>
    </cfRule>
    <cfRule type="cellIs" dxfId="1050" priority="783" stopIfTrue="1" operator="between">
      <formula>10</formula>
      <formula>10</formula>
    </cfRule>
    <cfRule type="containsBlanks" dxfId="1049" priority="784" stopIfTrue="1">
      <formula>LEN(TRIM(N128))=0</formula>
    </cfRule>
  </conditionalFormatting>
  <conditionalFormatting sqref="N137">
    <cfRule type="colorScale" priority="7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44">
      <colorScale>
        <cfvo type="num" val="5"/>
        <cfvo type="num" val="10"/>
        <color rgb="FFFF494D"/>
        <color rgb="FF00FF66"/>
      </colorScale>
    </cfRule>
  </conditionalFormatting>
  <conditionalFormatting sqref="N138:N142">
    <cfRule type="cellIs" dxfId="1048" priority="736" operator="between">
      <formula>6</formula>
      <formula>6.9</formula>
    </cfRule>
    <cfRule type="cellIs" dxfId="1047" priority="737" operator="between">
      <formula>10.1</formula>
      <formula>10.6</formula>
    </cfRule>
    <cfRule type="cellIs" dxfId="1046" priority="738" operator="between">
      <formula>7</formula>
      <formula>7.9</formula>
    </cfRule>
    <cfRule type="cellIs" dxfId="1045" priority="739" stopIfTrue="1" operator="between">
      <formula>8</formula>
      <formula>8.9</formula>
    </cfRule>
    <cfRule type="cellIs" dxfId="1044" priority="740" operator="between">
      <formula>9</formula>
      <formula>9.9</formula>
    </cfRule>
    <cfRule type="cellIs" dxfId="1043" priority="741" stopIfTrue="1" operator="between">
      <formula>10</formula>
      <formula>10</formula>
    </cfRule>
    <cfRule type="containsBlanks" dxfId="1042" priority="742" stopIfTrue="1">
      <formula>LEN(TRIM(N138))=0</formula>
    </cfRule>
  </conditionalFormatting>
  <conditionalFormatting sqref="N144">
    <cfRule type="colorScale" priority="7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35">
      <colorScale>
        <cfvo type="num" val="5"/>
        <cfvo type="num" val="10"/>
        <color rgb="FFFF494D"/>
        <color rgb="FF00FF66"/>
      </colorScale>
    </cfRule>
  </conditionalFormatting>
  <conditionalFormatting sqref="N145:N150">
    <cfRule type="cellIs" dxfId="1041" priority="727" operator="between">
      <formula>6</formula>
      <formula>6.9</formula>
    </cfRule>
    <cfRule type="cellIs" dxfId="1040" priority="728" operator="between">
      <formula>10.1</formula>
      <formula>10.6</formula>
    </cfRule>
    <cfRule type="cellIs" dxfId="1039" priority="729" operator="between">
      <formula>7</formula>
      <formula>7.9</formula>
    </cfRule>
    <cfRule type="cellIs" dxfId="1038" priority="730" stopIfTrue="1" operator="between">
      <formula>8</formula>
      <formula>8.9</formula>
    </cfRule>
    <cfRule type="cellIs" dxfId="1037" priority="731" operator="between">
      <formula>9</formula>
      <formula>9.9</formula>
    </cfRule>
    <cfRule type="cellIs" dxfId="1036" priority="732" stopIfTrue="1" operator="between">
      <formula>10</formula>
      <formula>10</formula>
    </cfRule>
    <cfRule type="containsBlanks" dxfId="1035" priority="733" stopIfTrue="1">
      <formula>LEN(TRIM(N145))=0</formula>
    </cfRule>
  </conditionalFormatting>
  <conditionalFormatting sqref="N152">
    <cfRule type="colorScale" priority="6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81">
      <colorScale>
        <cfvo type="num" val="5"/>
        <cfvo type="num" val="10"/>
        <color rgb="FFFF494D"/>
        <color rgb="FF00FF66"/>
      </colorScale>
    </cfRule>
  </conditionalFormatting>
  <conditionalFormatting sqref="N153:N159">
    <cfRule type="cellIs" dxfId="1034" priority="673" operator="between">
      <formula>6</formula>
      <formula>6.9</formula>
    </cfRule>
    <cfRule type="cellIs" dxfId="1033" priority="674" operator="between">
      <formula>10.1</formula>
      <formula>10.6</formula>
    </cfRule>
    <cfRule type="cellIs" dxfId="1032" priority="675" operator="between">
      <formula>7</formula>
      <formula>7.9</formula>
    </cfRule>
    <cfRule type="cellIs" dxfId="1031" priority="676" stopIfTrue="1" operator="between">
      <formula>8</formula>
      <formula>8.9</formula>
    </cfRule>
    <cfRule type="cellIs" dxfId="1030" priority="677" operator="between">
      <formula>9</formula>
      <formula>9.9</formula>
    </cfRule>
    <cfRule type="cellIs" dxfId="1029" priority="678" stopIfTrue="1" operator="between">
      <formula>10</formula>
      <formula>10</formula>
    </cfRule>
    <cfRule type="containsBlanks" dxfId="1028" priority="679" stopIfTrue="1">
      <formula>LEN(TRIM(N153))=0</formula>
    </cfRule>
  </conditionalFormatting>
  <conditionalFormatting sqref="N161">
    <cfRule type="colorScale" priority="65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56">
      <colorScale>
        <cfvo type="num" val="5"/>
        <cfvo type="num" val="10"/>
        <color rgb="FFFF494D"/>
        <color rgb="FF00FF66"/>
      </colorScale>
    </cfRule>
  </conditionalFormatting>
  <conditionalFormatting sqref="N162:N180 N183">
    <cfRule type="cellIs" dxfId="1027" priority="657" operator="between">
      <formula>6</formula>
      <formula>6.9</formula>
    </cfRule>
    <cfRule type="cellIs" dxfId="1026" priority="658" operator="between">
      <formula>10.1</formula>
      <formula>10.6</formula>
    </cfRule>
    <cfRule type="cellIs" dxfId="1025" priority="659" operator="between">
      <formula>7</formula>
      <formula>7.9</formula>
    </cfRule>
    <cfRule type="cellIs" dxfId="1024" priority="660" stopIfTrue="1" operator="between">
      <formula>8</formula>
      <formula>8.9</formula>
    </cfRule>
    <cfRule type="cellIs" dxfId="1023" priority="661" operator="between">
      <formula>9</formula>
      <formula>9.9</formula>
    </cfRule>
    <cfRule type="cellIs" dxfId="1022" priority="662" stopIfTrue="1" operator="between">
      <formula>10</formula>
      <formula>10</formula>
    </cfRule>
    <cfRule type="containsBlanks" dxfId="1021" priority="663" stopIfTrue="1">
      <formula>LEN(TRIM(N162))=0</formula>
    </cfRule>
  </conditionalFormatting>
  <conditionalFormatting sqref="N182">
    <cfRule type="colorScale" priority="60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09">
      <colorScale>
        <cfvo type="num" val="5"/>
        <cfvo type="num" val="10"/>
        <color rgb="FFFF494D"/>
        <color rgb="FF00FF66"/>
      </colorScale>
    </cfRule>
  </conditionalFormatting>
  <conditionalFormatting sqref="N185">
    <cfRule type="colorScale" priority="55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56">
      <colorScale>
        <cfvo type="num" val="5"/>
        <cfvo type="num" val="10"/>
        <color rgb="FFFF494D"/>
        <color rgb="FF00FF66"/>
      </colorScale>
    </cfRule>
  </conditionalFormatting>
  <conditionalFormatting sqref="N186:N209">
    <cfRule type="cellIs" dxfId="1020" priority="548" operator="between">
      <formula>6</formula>
      <formula>6.9</formula>
    </cfRule>
    <cfRule type="cellIs" dxfId="1019" priority="549" operator="between">
      <formula>10.1</formula>
      <formula>10.6</formula>
    </cfRule>
    <cfRule type="cellIs" dxfId="1018" priority="550" operator="between">
      <formula>7</formula>
      <formula>7.9</formula>
    </cfRule>
    <cfRule type="cellIs" dxfId="1017" priority="551" stopIfTrue="1" operator="between">
      <formula>8</formula>
      <formula>8.9</formula>
    </cfRule>
    <cfRule type="cellIs" dxfId="1016" priority="552" operator="between">
      <formula>9</formula>
      <formula>9.9</formula>
    </cfRule>
    <cfRule type="cellIs" dxfId="1015" priority="553" stopIfTrue="1" operator="between">
      <formula>10</formula>
      <formula>10</formula>
    </cfRule>
    <cfRule type="containsBlanks" dxfId="1014" priority="554" stopIfTrue="1">
      <formula>LEN(TRIM(N186))=0</formula>
    </cfRule>
  </conditionalFormatting>
  <conditionalFormatting sqref="N211">
    <cfRule type="colorScale" priority="47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73">
      <colorScale>
        <cfvo type="num" val="5"/>
        <cfvo type="num" val="10"/>
        <color rgb="FFFF494D"/>
        <color rgb="FF00FF66"/>
      </colorScale>
    </cfRule>
  </conditionalFormatting>
  <conditionalFormatting sqref="N212:N226">
    <cfRule type="cellIs" dxfId="1013" priority="465" operator="between">
      <formula>6</formula>
      <formula>6.9</formula>
    </cfRule>
    <cfRule type="cellIs" dxfId="1012" priority="466" operator="between">
      <formula>10.1</formula>
      <formula>11</formula>
    </cfRule>
    <cfRule type="cellIs" dxfId="1011" priority="467" operator="between">
      <formula>7</formula>
      <formula>7.9</formula>
    </cfRule>
    <cfRule type="cellIs" dxfId="1010" priority="468" stopIfTrue="1" operator="between">
      <formula>8</formula>
      <formula>8.9</formula>
    </cfRule>
    <cfRule type="cellIs" dxfId="1009" priority="469" operator="between">
      <formula>9</formula>
      <formula>9.9</formula>
    </cfRule>
    <cfRule type="cellIs" dxfId="1008" priority="470" stopIfTrue="1" operator="between">
      <formula>10</formula>
      <formula>10</formula>
    </cfRule>
    <cfRule type="containsBlanks" dxfId="1007" priority="471" stopIfTrue="1">
      <formula>LEN(TRIM(N212))=0</formula>
    </cfRule>
  </conditionalFormatting>
  <conditionalFormatting sqref="N228">
    <cfRule type="colorScale" priority="40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10">
      <colorScale>
        <cfvo type="num" val="5"/>
        <cfvo type="num" val="10"/>
        <color rgb="FFFF494D"/>
        <color rgb="FF00FF66"/>
      </colorScale>
    </cfRule>
  </conditionalFormatting>
  <conditionalFormatting sqref="N229:N238">
    <cfRule type="cellIs" dxfId="1006" priority="411" operator="between">
      <formula>6</formula>
      <formula>6.9</formula>
    </cfRule>
    <cfRule type="cellIs" dxfId="1005" priority="412" operator="between">
      <formula>10.1</formula>
      <formula>11</formula>
    </cfRule>
    <cfRule type="cellIs" dxfId="1004" priority="413" operator="between">
      <formula>7</formula>
      <formula>7.9</formula>
    </cfRule>
    <cfRule type="cellIs" dxfId="1003" priority="414" stopIfTrue="1" operator="between">
      <formula>8</formula>
      <formula>8.9</formula>
    </cfRule>
    <cfRule type="cellIs" dxfId="1002" priority="415" operator="between">
      <formula>9</formula>
      <formula>9.9</formula>
    </cfRule>
    <cfRule type="cellIs" dxfId="1001" priority="416" stopIfTrue="1" operator="between">
      <formula>10</formula>
      <formula>10</formula>
    </cfRule>
    <cfRule type="containsBlanks" dxfId="1000" priority="417" stopIfTrue="1">
      <formula>LEN(TRIM(N229))=0</formula>
    </cfRule>
  </conditionalFormatting>
  <conditionalFormatting sqref="N240">
    <cfRule type="colorScale" priority="3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65">
      <colorScale>
        <cfvo type="num" val="5"/>
        <cfvo type="num" val="10"/>
        <color rgb="FFFF494D"/>
        <color rgb="FF00FF66"/>
      </colorScale>
    </cfRule>
  </conditionalFormatting>
  <conditionalFormatting sqref="N241:N247">
    <cfRule type="cellIs" dxfId="999" priority="357" operator="between">
      <formula>6</formula>
      <formula>6.9</formula>
    </cfRule>
    <cfRule type="cellIs" dxfId="998" priority="358" operator="between">
      <formula>10.1</formula>
      <formula>10.6</formula>
    </cfRule>
    <cfRule type="cellIs" dxfId="997" priority="359" operator="between">
      <formula>7</formula>
      <formula>7.9</formula>
    </cfRule>
    <cfRule type="cellIs" dxfId="996" priority="360" stopIfTrue="1" operator="between">
      <formula>8</formula>
      <formula>8.9</formula>
    </cfRule>
    <cfRule type="cellIs" dxfId="995" priority="361" operator="between">
      <formula>9</formula>
      <formula>9.9</formula>
    </cfRule>
    <cfRule type="cellIs" dxfId="994" priority="362" stopIfTrue="1" operator="between">
      <formula>10</formula>
      <formula>10</formula>
    </cfRule>
    <cfRule type="containsBlanks" dxfId="993" priority="363" stopIfTrue="1">
      <formula>LEN(TRIM(N241))=0</formula>
    </cfRule>
  </conditionalFormatting>
  <conditionalFormatting sqref="N249">
    <cfRule type="colorScale" priority="3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8">
      <colorScale>
        <cfvo type="num" val="5"/>
        <cfvo type="num" val="10"/>
        <color rgb="FFFF494D"/>
        <color rgb="FF00FF66"/>
      </colorScale>
    </cfRule>
  </conditionalFormatting>
  <conditionalFormatting sqref="N250:N275">
    <cfRule type="cellIs" dxfId="992" priority="330" operator="between">
      <formula>6</formula>
      <formula>6.9</formula>
    </cfRule>
    <cfRule type="cellIs" dxfId="991" priority="331" operator="between">
      <formula>10.1</formula>
      <formula>10.6</formula>
    </cfRule>
    <cfRule type="cellIs" dxfId="990" priority="332" operator="between">
      <formula>7</formula>
      <formula>7.9</formula>
    </cfRule>
    <cfRule type="cellIs" dxfId="989" priority="333" stopIfTrue="1" operator="between">
      <formula>8</formula>
      <formula>8.9</formula>
    </cfRule>
    <cfRule type="cellIs" dxfId="988" priority="334" operator="between">
      <formula>9</formula>
      <formula>9.9</formula>
    </cfRule>
    <cfRule type="cellIs" dxfId="987" priority="335" stopIfTrue="1" operator="between">
      <formula>10</formula>
      <formula>10</formula>
    </cfRule>
    <cfRule type="containsBlanks" dxfId="986" priority="336" stopIfTrue="1">
      <formula>LEN(TRIM(N250))=0</formula>
    </cfRule>
  </conditionalFormatting>
  <conditionalFormatting sqref="N277">
    <cfRule type="colorScale" priority="2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8">
      <colorScale>
        <cfvo type="num" val="5"/>
        <cfvo type="num" val="10"/>
        <color rgb="FFFF494D"/>
        <color rgb="FF00FF66"/>
      </colorScale>
    </cfRule>
  </conditionalFormatting>
  <conditionalFormatting sqref="N278:N282">
    <cfRule type="cellIs" dxfId="985" priority="220" operator="between">
      <formula>6</formula>
      <formula>6.9</formula>
    </cfRule>
    <cfRule type="cellIs" dxfId="984" priority="221" operator="between">
      <formula>10.1</formula>
      <formula>10.6</formula>
    </cfRule>
    <cfRule type="cellIs" dxfId="983" priority="222" operator="between">
      <formula>7</formula>
      <formula>7.9</formula>
    </cfRule>
    <cfRule type="cellIs" dxfId="982" priority="223" stopIfTrue="1" operator="between">
      <formula>8</formula>
      <formula>8.9</formula>
    </cfRule>
    <cfRule type="cellIs" dxfId="981" priority="224" operator="between">
      <formula>9</formula>
      <formula>9.9</formula>
    </cfRule>
    <cfRule type="cellIs" dxfId="980" priority="225" stopIfTrue="1" operator="between">
      <formula>10</formula>
      <formula>10</formula>
    </cfRule>
    <cfRule type="containsBlanks" dxfId="979" priority="226" stopIfTrue="1">
      <formula>LEN(TRIM(N278))=0</formula>
    </cfRule>
  </conditionalFormatting>
  <conditionalFormatting sqref="N284">
    <cfRule type="colorScale" priority="2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1">
      <colorScale>
        <cfvo type="num" val="5"/>
        <cfvo type="num" val="10"/>
        <color rgb="FFFF494D"/>
        <color rgb="FF00FF66"/>
      </colorScale>
    </cfRule>
  </conditionalFormatting>
  <conditionalFormatting sqref="N285:N295">
    <cfRule type="cellIs" dxfId="978" priority="202" operator="between">
      <formula>6</formula>
      <formula>6.9</formula>
    </cfRule>
    <cfRule type="cellIs" dxfId="977" priority="203" operator="between">
      <formula>10.1</formula>
      <formula>10.6</formula>
    </cfRule>
    <cfRule type="cellIs" dxfId="976" priority="204" operator="between">
      <formula>7</formula>
      <formula>7.9</formula>
    </cfRule>
    <cfRule type="cellIs" dxfId="975" priority="205" stopIfTrue="1" operator="between">
      <formula>8</formula>
      <formula>8.9</formula>
    </cfRule>
    <cfRule type="cellIs" dxfId="974" priority="206" operator="between">
      <formula>9</formula>
      <formula>9.9</formula>
    </cfRule>
    <cfRule type="cellIs" dxfId="973" priority="207" stopIfTrue="1" operator="between">
      <formula>10</formula>
      <formula>10</formula>
    </cfRule>
    <cfRule type="containsBlanks" dxfId="972" priority="208" stopIfTrue="1">
      <formula>LEN(TRIM(N285))=0</formula>
    </cfRule>
  </conditionalFormatting>
  <conditionalFormatting sqref="N297">
    <cfRule type="colorScale" priority="1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0">
      <colorScale>
        <cfvo type="num" val="5"/>
        <cfvo type="num" val="10"/>
        <color rgb="FFFF494D"/>
        <color rgb="FF00FF66"/>
      </colorScale>
    </cfRule>
  </conditionalFormatting>
  <conditionalFormatting sqref="N298:N304">
    <cfRule type="containsBlanks" dxfId="971" priority="140" stopIfTrue="1">
      <formula>LEN(TRIM(N298))=0</formula>
    </cfRule>
    <cfRule type="cellIs" dxfId="970" priority="141" operator="lessThan">
      <formula>2</formula>
    </cfRule>
    <cfRule type="cellIs" dxfId="969" priority="142" operator="between">
      <formula>2</formula>
      <formula>4.9</formula>
    </cfRule>
    <cfRule type="cellIs" dxfId="968" priority="143" operator="between">
      <formula>5</formula>
      <formula>6.9</formula>
    </cfRule>
    <cfRule type="cellIs" dxfId="967" priority="144" operator="between">
      <formula>10.1</formula>
      <formula>10.6</formula>
    </cfRule>
    <cfRule type="cellIs" dxfId="966" priority="145" operator="between">
      <formula>7</formula>
      <formula>7.9</formula>
    </cfRule>
    <cfRule type="cellIs" dxfId="965" priority="146" stopIfTrue="1" operator="between">
      <formula>8</formula>
      <formula>8.9</formula>
    </cfRule>
    <cfRule type="cellIs" dxfId="964" priority="147" operator="between">
      <formula>9</formula>
      <formula>9.9</formula>
    </cfRule>
    <cfRule type="cellIs" dxfId="963" priority="148" stopIfTrue="1" operator="between">
      <formula>10</formula>
      <formula>10</formula>
    </cfRule>
  </conditionalFormatting>
  <conditionalFormatting sqref="N306">
    <cfRule type="colorScale" priority="1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9">
      <colorScale>
        <cfvo type="num" val="5"/>
        <cfvo type="num" val="10"/>
        <color rgb="FFFF494D"/>
        <color rgb="FF00FF66"/>
      </colorScale>
    </cfRule>
  </conditionalFormatting>
  <conditionalFormatting sqref="N307:N316">
    <cfRule type="containsBlanks" dxfId="962" priority="109" stopIfTrue="1">
      <formula>LEN(TRIM(N307))=0</formula>
    </cfRule>
    <cfRule type="cellIs" dxfId="961" priority="110" operator="lessThan">
      <formula>2</formula>
    </cfRule>
    <cfRule type="cellIs" dxfId="960" priority="111" operator="between">
      <formula>2</formula>
      <formula>4.9</formula>
    </cfRule>
    <cfRule type="cellIs" dxfId="959" priority="112" operator="between">
      <formula>5</formula>
      <formula>6.9</formula>
    </cfRule>
    <cfRule type="cellIs" dxfId="958" priority="113" operator="between">
      <formula>10.1</formula>
      <formula>10.6</formula>
    </cfRule>
    <cfRule type="cellIs" dxfId="957" priority="114" operator="between">
      <formula>7</formula>
      <formula>7.9</formula>
    </cfRule>
    <cfRule type="cellIs" dxfId="956" priority="115" stopIfTrue="1" operator="between">
      <formula>8</formula>
      <formula>8.9</formula>
    </cfRule>
    <cfRule type="cellIs" dxfId="955" priority="116" operator="between">
      <formula>9</formula>
      <formula>9.9</formula>
    </cfRule>
    <cfRule type="cellIs" dxfId="954" priority="117" stopIfTrue="1" operator="between">
      <formula>10</formula>
      <formula>10</formula>
    </cfRule>
  </conditionalFormatting>
  <conditionalFormatting sqref="N318">
    <cfRule type="colorScale" priority="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5">
      <colorScale>
        <cfvo type="num" val="5"/>
        <cfvo type="num" val="10"/>
        <color rgb="FFFF494D"/>
        <color rgb="FF00FF66"/>
      </colorScale>
    </cfRule>
  </conditionalFormatting>
  <conditionalFormatting sqref="N319:N326">
    <cfRule type="containsBlanks" dxfId="953" priority="45" stopIfTrue="1">
      <formula>LEN(TRIM(N319))=0</formula>
    </cfRule>
    <cfRule type="cellIs" dxfId="952" priority="46" operator="lessThan">
      <formula>2</formula>
    </cfRule>
    <cfRule type="cellIs" dxfId="951" priority="47" operator="between">
      <formula>2</formula>
      <formula>4.9</formula>
    </cfRule>
    <cfRule type="cellIs" dxfId="950" priority="48" operator="between">
      <formula>5</formula>
      <formula>6.9</formula>
    </cfRule>
    <cfRule type="cellIs" dxfId="949" priority="49" operator="between">
      <formula>10.1</formula>
      <formula>10.6</formula>
    </cfRule>
    <cfRule type="cellIs" dxfId="948" priority="50" operator="between">
      <formula>7</formula>
      <formula>7.9</formula>
    </cfRule>
    <cfRule type="cellIs" dxfId="947" priority="51" stopIfTrue="1" operator="between">
      <formula>8</formula>
      <formula>8.9</formula>
    </cfRule>
    <cfRule type="cellIs" dxfId="946" priority="52" operator="between">
      <formula>9</formula>
      <formula>9.9</formula>
    </cfRule>
    <cfRule type="cellIs" dxfId="945" priority="53" stopIfTrue="1" operator="between">
      <formula>10</formula>
      <formula>10</formula>
    </cfRule>
  </conditionalFormatting>
  <conditionalFormatting sqref="AM3:AM9">
    <cfRule type="cellIs" dxfId="944" priority="1221" operator="between">
      <formula>7</formula>
      <formula>7.9</formula>
    </cfRule>
    <cfRule type="cellIs" dxfId="943" priority="1222" operator="between">
      <formula>8</formula>
      <formula>8.9</formula>
    </cfRule>
    <cfRule type="cellIs" dxfId="942" priority="1223" operator="between">
      <formula>9</formula>
      <formula>9.9</formula>
    </cfRule>
    <cfRule type="cellIs" dxfId="941" priority="1224" operator="between">
      <formula>10</formula>
      <formula>10</formula>
    </cfRule>
  </conditionalFormatting>
  <conditionalFormatting sqref="N328">
    <cfRule type="colorScale" priority="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">
      <colorScale>
        <cfvo type="num" val="5"/>
        <cfvo type="num" val="10"/>
        <color rgb="FFFF494D"/>
        <color rgb="FF00FF66"/>
      </colorScale>
    </cfRule>
  </conditionalFormatting>
  <conditionalFormatting sqref="N329:N336">
    <cfRule type="containsBlanks" dxfId="940" priority="1" stopIfTrue="1">
      <formula>LEN(TRIM(N329))=0</formula>
    </cfRule>
    <cfRule type="cellIs" dxfId="939" priority="2" operator="lessThan">
      <formula>2</formula>
    </cfRule>
    <cfRule type="cellIs" dxfId="938" priority="3" operator="between">
      <formula>2</formula>
      <formula>4.9</formula>
    </cfRule>
    <cfRule type="cellIs" dxfId="937" priority="4" operator="between">
      <formula>5</formula>
      <formula>6.9</formula>
    </cfRule>
    <cfRule type="cellIs" dxfId="936" priority="5" operator="between">
      <formula>10.1</formula>
      <formula>10.6</formula>
    </cfRule>
    <cfRule type="cellIs" dxfId="935" priority="6" operator="between">
      <formula>7</formula>
      <formula>7.9</formula>
    </cfRule>
    <cfRule type="cellIs" dxfId="934" priority="7" stopIfTrue="1" operator="between">
      <formula>8</formula>
      <formula>8.9</formula>
    </cfRule>
    <cfRule type="cellIs" dxfId="933" priority="8" operator="between">
      <formula>9</formula>
      <formula>9.9</formula>
    </cfRule>
    <cfRule type="cellIs" dxfId="932" priority="9" stopIfTrue="1" operator="between">
      <formula>10</formula>
      <formula>10</formula>
    </cfRule>
  </conditionalFormatting>
  <pageMargins left="0.7" right="0.7" top="0.75" bottom="0.75" header="0.3" footer="0.3"/>
  <pageSetup paperSize="9" scale="17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9DFC-A217-446B-AEDA-287FE7163F4F}">
  <dimension ref="A1:AO359"/>
  <sheetViews>
    <sheetView workbookViewId="0">
      <selection activeCell="J10" sqref="J10"/>
    </sheetView>
  </sheetViews>
  <sheetFormatPr defaultRowHeight="15.6"/>
  <sheetData>
    <row r="1" spans="1:41" ht="18" thickBo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R1" s="301" t="s">
        <v>1355</v>
      </c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G1" s="301" t="s">
        <v>1045</v>
      </c>
      <c r="AH1" s="301"/>
    </row>
    <row r="2" spans="1:41" ht="18.600000000000001" thickBot="1">
      <c r="A2" s="112" t="s">
        <v>905</v>
      </c>
      <c r="B2" s="3">
        <f>ROUND(SUM(B3:B14)/COUNT(B3:B14), 2)</f>
        <v>9.89</v>
      </c>
      <c r="C2" s="4"/>
      <c r="D2" s="113" t="s">
        <v>906</v>
      </c>
      <c r="E2" s="14">
        <f>ROUND(SUM(E3:E12)/COUNT(E3:E12), 2)</f>
        <v>9.6999999999999993</v>
      </c>
      <c r="F2" s="4"/>
      <c r="G2" s="143" t="s">
        <v>1197</v>
      </c>
      <c r="H2" s="3">
        <f>ROUND(SUM(H3:H15)/COUNT(H3:H15), 2)</f>
        <v>8.73</v>
      </c>
      <c r="I2" s="4"/>
      <c r="J2" s="63" t="s">
        <v>454</v>
      </c>
      <c r="K2" s="3">
        <f>ROUND(SUM(K3:K12)/COUNT(K3:K12), 2)</f>
        <v>9.15</v>
      </c>
      <c r="L2" s="4"/>
      <c r="M2" s="27" t="s">
        <v>325</v>
      </c>
      <c r="N2" s="3">
        <f>ROUND(SUM(N3:N12)/COUNT(N3:N12), 2)</f>
        <v>9.61</v>
      </c>
      <c r="O2" s="22"/>
      <c r="R2" s="51" t="s">
        <v>361</v>
      </c>
      <c r="S2" s="51" t="s">
        <v>328</v>
      </c>
      <c r="T2" s="51" t="s">
        <v>329</v>
      </c>
      <c r="U2" s="51" t="s">
        <v>330</v>
      </c>
      <c r="V2" s="51" t="s">
        <v>2074</v>
      </c>
      <c r="W2" s="51" t="s">
        <v>524</v>
      </c>
      <c r="X2" s="51" t="s">
        <v>331</v>
      </c>
      <c r="Y2" s="51" t="s">
        <v>332</v>
      </c>
      <c r="Z2" s="51" t="s">
        <v>333</v>
      </c>
      <c r="AA2" s="51" t="s">
        <v>334</v>
      </c>
      <c r="AB2" s="51" t="s">
        <v>784</v>
      </c>
      <c r="AC2" s="51" t="s">
        <v>1994</v>
      </c>
      <c r="AD2" s="51" t="s">
        <v>1995</v>
      </c>
      <c r="AG2" s="135" t="s">
        <v>1046</v>
      </c>
      <c r="AH2" s="135"/>
    </row>
    <row r="3" spans="1:41">
      <c r="A3" s="6" t="s">
        <v>0</v>
      </c>
      <c r="B3" s="261">
        <v>10</v>
      </c>
      <c r="C3" s="4"/>
      <c r="D3" s="6" t="s">
        <v>12</v>
      </c>
      <c r="E3" s="261">
        <v>10</v>
      </c>
      <c r="F3" s="4"/>
      <c r="G3" s="6" t="s">
        <v>22</v>
      </c>
      <c r="H3" s="261">
        <v>8.5</v>
      </c>
      <c r="I3" s="4"/>
      <c r="J3" s="6" t="s">
        <v>35</v>
      </c>
      <c r="K3" s="261">
        <v>9.5</v>
      </c>
      <c r="L3" s="4"/>
      <c r="M3" s="6" t="s">
        <v>45</v>
      </c>
      <c r="N3" s="261"/>
      <c r="O3" s="22"/>
      <c r="R3" s="60">
        <v>1</v>
      </c>
      <c r="S3" s="52" t="s">
        <v>1010</v>
      </c>
      <c r="T3" s="52" t="s">
        <v>1008</v>
      </c>
      <c r="U3" s="69">
        <v>10.5</v>
      </c>
      <c r="V3" s="126">
        <v>10.85</v>
      </c>
      <c r="W3" s="52">
        <v>10.5</v>
      </c>
      <c r="X3" s="52">
        <v>0</v>
      </c>
      <c r="Y3" s="52">
        <v>1</v>
      </c>
      <c r="Z3" s="52">
        <v>1</v>
      </c>
      <c r="AA3" s="52">
        <v>0</v>
      </c>
      <c r="AB3" s="52" t="s">
        <v>1011</v>
      </c>
      <c r="AC3" s="69">
        <v>1996</v>
      </c>
      <c r="AD3" s="69" t="s">
        <v>1946</v>
      </c>
      <c r="AE3" s="306"/>
      <c r="AG3" s="68" t="s">
        <v>1047</v>
      </c>
      <c r="AH3" s="136">
        <v>132</v>
      </c>
      <c r="AK3" s="45"/>
      <c r="AL3" s="42"/>
      <c r="AM3" s="2" t="s">
        <v>247</v>
      </c>
      <c r="AN3" t="s">
        <v>276</v>
      </c>
    </row>
    <row r="4" spans="1:41">
      <c r="A4" s="6" t="s">
        <v>1</v>
      </c>
      <c r="B4" s="262"/>
      <c r="C4" s="4"/>
      <c r="D4" s="6" t="s">
        <v>13</v>
      </c>
      <c r="E4" s="262">
        <v>9</v>
      </c>
      <c r="F4" s="4"/>
      <c r="G4" s="6" t="s">
        <v>23</v>
      </c>
      <c r="H4" s="262">
        <v>9</v>
      </c>
      <c r="I4" s="4"/>
      <c r="J4" s="6" t="s">
        <v>36</v>
      </c>
      <c r="K4" s="262">
        <v>10</v>
      </c>
      <c r="L4" s="4"/>
      <c r="M4" s="6" t="s">
        <v>46</v>
      </c>
      <c r="N4" s="262">
        <v>9</v>
      </c>
      <c r="O4" s="22"/>
      <c r="R4" s="61">
        <v>2</v>
      </c>
      <c r="S4" s="68" t="s">
        <v>335</v>
      </c>
      <c r="T4" s="68" t="s">
        <v>7</v>
      </c>
      <c r="U4" s="70">
        <v>9.89</v>
      </c>
      <c r="V4" s="126">
        <v>10.52</v>
      </c>
      <c r="W4" s="68">
        <v>10</v>
      </c>
      <c r="X4" s="68">
        <v>0.61</v>
      </c>
      <c r="Y4" s="68">
        <v>5</v>
      </c>
      <c r="Z4" s="68">
        <v>12</v>
      </c>
      <c r="AA4" s="68">
        <v>3</v>
      </c>
      <c r="AB4" s="68" t="s">
        <v>765</v>
      </c>
      <c r="AC4" s="70">
        <v>2001</v>
      </c>
      <c r="AD4" s="70" t="s">
        <v>1947</v>
      </c>
      <c r="AG4" s="52" t="s">
        <v>1048</v>
      </c>
      <c r="AH4" s="137">
        <v>84</v>
      </c>
      <c r="AK4" s="43"/>
      <c r="AL4" s="42">
        <v>10</v>
      </c>
      <c r="AM4" s="2" t="s">
        <v>1816</v>
      </c>
      <c r="AN4" t="s">
        <v>249</v>
      </c>
    </row>
    <row r="5" spans="1:41">
      <c r="A5" s="6" t="s">
        <v>2</v>
      </c>
      <c r="B5" s="262">
        <v>9.5</v>
      </c>
      <c r="C5" s="4"/>
      <c r="D5" s="6" t="s">
        <v>14</v>
      </c>
      <c r="E5" s="262">
        <v>10.5</v>
      </c>
      <c r="F5" s="4"/>
      <c r="G5" s="6" t="s">
        <v>24</v>
      </c>
      <c r="H5" s="262">
        <v>8</v>
      </c>
      <c r="I5" s="4"/>
      <c r="J5" s="6" t="s">
        <v>37</v>
      </c>
      <c r="K5" s="262">
        <v>8.5</v>
      </c>
      <c r="L5" s="4"/>
      <c r="M5" s="6" t="s">
        <v>47</v>
      </c>
      <c r="N5" s="262">
        <v>7.5</v>
      </c>
      <c r="O5" s="22"/>
      <c r="R5" s="62">
        <v>3</v>
      </c>
      <c r="S5" s="52" t="s">
        <v>341</v>
      </c>
      <c r="T5" s="52" t="s">
        <v>1041</v>
      </c>
      <c r="U5" s="69">
        <v>10</v>
      </c>
      <c r="V5" s="126">
        <v>10.39</v>
      </c>
      <c r="W5" s="52">
        <v>10</v>
      </c>
      <c r="X5" s="52">
        <v>0.55000000000000004</v>
      </c>
      <c r="Y5" s="52">
        <v>4</v>
      </c>
      <c r="Z5" s="52">
        <v>5</v>
      </c>
      <c r="AA5" s="52">
        <v>0</v>
      </c>
      <c r="AB5" s="52" t="s">
        <v>767</v>
      </c>
      <c r="AC5" s="69">
        <v>1975</v>
      </c>
      <c r="AD5" s="69" t="s">
        <v>1948</v>
      </c>
      <c r="AG5" s="68" t="s">
        <v>1049</v>
      </c>
      <c r="AH5" s="136">
        <v>1436</v>
      </c>
      <c r="AK5" s="47"/>
      <c r="AL5" s="42" t="s">
        <v>243</v>
      </c>
      <c r="AM5" s="2" t="s">
        <v>1817</v>
      </c>
      <c r="AN5" t="s">
        <v>250</v>
      </c>
    </row>
    <row r="6" spans="1:41">
      <c r="A6" s="6" t="s">
        <v>3</v>
      </c>
      <c r="B6" s="262"/>
      <c r="C6" s="4"/>
      <c r="D6" s="6" t="s">
        <v>16</v>
      </c>
      <c r="E6" s="262">
        <v>10.5</v>
      </c>
      <c r="F6" s="4"/>
      <c r="G6" s="6" t="s">
        <v>25</v>
      </c>
      <c r="H6" s="262">
        <v>9.5</v>
      </c>
      <c r="I6" s="4"/>
      <c r="J6" s="6" t="s">
        <v>38</v>
      </c>
      <c r="K6" s="262">
        <v>8</v>
      </c>
      <c r="L6" s="4"/>
      <c r="M6" s="6" t="s">
        <v>48</v>
      </c>
      <c r="N6" s="262">
        <v>10.5</v>
      </c>
      <c r="O6" s="22"/>
      <c r="R6" s="59">
        <v>4</v>
      </c>
      <c r="S6" s="68" t="s">
        <v>336</v>
      </c>
      <c r="T6" s="68" t="s">
        <v>337</v>
      </c>
      <c r="U6" s="70">
        <v>9.6999999999999993</v>
      </c>
      <c r="V6" s="126">
        <v>10.37</v>
      </c>
      <c r="W6" s="68">
        <v>10</v>
      </c>
      <c r="X6" s="68">
        <v>0.87</v>
      </c>
      <c r="Y6" s="68">
        <v>6</v>
      </c>
      <c r="Z6" s="68">
        <v>10</v>
      </c>
      <c r="AA6" s="68">
        <v>0</v>
      </c>
      <c r="AB6" s="68" t="s">
        <v>766</v>
      </c>
      <c r="AC6" s="70">
        <v>2007</v>
      </c>
      <c r="AD6" s="70" t="s">
        <v>1949</v>
      </c>
      <c r="AG6" s="52" t="s">
        <v>1050</v>
      </c>
      <c r="AH6" s="137">
        <v>1373</v>
      </c>
      <c r="AK6" s="46"/>
      <c r="AL6" s="42" t="s">
        <v>244</v>
      </c>
      <c r="AM6" s="2" t="s">
        <v>1818</v>
      </c>
      <c r="AN6" t="s">
        <v>251</v>
      </c>
    </row>
    <row r="7" spans="1:41">
      <c r="A7" s="6" t="s">
        <v>4</v>
      </c>
      <c r="B7" s="262">
        <v>10.5</v>
      </c>
      <c r="C7" s="4"/>
      <c r="D7" s="6" t="s">
        <v>15</v>
      </c>
      <c r="E7" s="262">
        <v>10</v>
      </c>
      <c r="F7" s="4"/>
      <c r="G7" s="6" t="s">
        <v>26</v>
      </c>
      <c r="H7" s="262">
        <v>10.5</v>
      </c>
      <c r="I7" s="4"/>
      <c r="J7" s="6" t="s">
        <v>39</v>
      </c>
      <c r="K7" s="262">
        <v>10.5</v>
      </c>
      <c r="L7" s="4"/>
      <c r="M7" s="6" t="s">
        <v>49</v>
      </c>
      <c r="N7" s="262">
        <v>10.5</v>
      </c>
      <c r="O7" s="22"/>
      <c r="R7" s="59">
        <v>5</v>
      </c>
      <c r="S7" s="52" t="s">
        <v>686</v>
      </c>
      <c r="T7" s="52" t="s">
        <v>687</v>
      </c>
      <c r="U7" s="69">
        <v>9.8800000000000008</v>
      </c>
      <c r="V7" s="126">
        <v>10.220000000000001</v>
      </c>
      <c r="W7" s="52">
        <v>10</v>
      </c>
      <c r="X7" s="52">
        <v>0.65</v>
      </c>
      <c r="Y7" s="52">
        <v>2</v>
      </c>
      <c r="Z7" s="52">
        <v>4</v>
      </c>
      <c r="AA7" s="52">
        <v>0</v>
      </c>
      <c r="AB7" s="52" t="s">
        <v>1822</v>
      </c>
      <c r="AC7" s="69">
        <v>2026</v>
      </c>
      <c r="AD7" s="69" t="s">
        <v>1946</v>
      </c>
      <c r="AG7" s="68" t="s">
        <v>334</v>
      </c>
      <c r="AH7" s="136">
        <v>63</v>
      </c>
      <c r="AK7" s="44"/>
      <c r="AL7" s="42" t="s">
        <v>245</v>
      </c>
      <c r="AM7" s="2" t="s">
        <v>1819</v>
      </c>
      <c r="AN7" t="s">
        <v>252</v>
      </c>
    </row>
    <row r="8" spans="1:41">
      <c r="A8" s="6" t="s">
        <v>5</v>
      </c>
      <c r="B8" s="262">
        <v>10.5</v>
      </c>
      <c r="C8" s="4"/>
      <c r="D8" s="6" t="s">
        <v>17</v>
      </c>
      <c r="E8" s="262">
        <v>8.5</v>
      </c>
      <c r="F8" s="4"/>
      <c r="G8" s="6" t="s">
        <v>27</v>
      </c>
      <c r="H8" s="262">
        <v>10</v>
      </c>
      <c r="I8" s="4"/>
      <c r="J8" s="6" t="s">
        <v>40</v>
      </c>
      <c r="K8" s="262">
        <v>8.5</v>
      </c>
      <c r="L8" s="4"/>
      <c r="M8" s="6" t="s">
        <v>50</v>
      </c>
      <c r="N8" s="262">
        <v>10</v>
      </c>
      <c r="O8" s="22"/>
      <c r="R8" s="59">
        <v>6</v>
      </c>
      <c r="S8" s="68" t="s">
        <v>341</v>
      </c>
      <c r="T8" s="68" t="s">
        <v>342</v>
      </c>
      <c r="U8" s="70">
        <v>9.61</v>
      </c>
      <c r="V8" s="126">
        <v>10</v>
      </c>
      <c r="W8" s="68">
        <v>10</v>
      </c>
      <c r="X8" s="68">
        <v>0.91</v>
      </c>
      <c r="Y8" s="68">
        <v>6</v>
      </c>
      <c r="Z8" s="68">
        <v>10</v>
      </c>
      <c r="AA8" s="68">
        <v>1</v>
      </c>
      <c r="AB8" s="68" t="s">
        <v>768</v>
      </c>
      <c r="AC8" s="70">
        <v>1973</v>
      </c>
      <c r="AD8" s="70" t="s">
        <v>1949</v>
      </c>
      <c r="AG8" s="52" t="s">
        <v>1051</v>
      </c>
      <c r="AH8" s="137">
        <v>10.88</v>
      </c>
      <c r="AK8" s="50"/>
      <c r="AL8" s="42" t="s">
        <v>323</v>
      </c>
      <c r="AM8" s="2" t="s">
        <v>1820</v>
      </c>
      <c r="AN8" t="s">
        <v>324</v>
      </c>
    </row>
    <row r="9" spans="1:41">
      <c r="A9" s="6" t="s">
        <v>6</v>
      </c>
      <c r="B9" s="262">
        <v>9</v>
      </c>
      <c r="C9" s="4"/>
      <c r="D9" s="6" t="s">
        <v>18</v>
      </c>
      <c r="E9" s="262">
        <v>10.5</v>
      </c>
      <c r="F9" s="4"/>
      <c r="G9" s="6" t="s">
        <v>28</v>
      </c>
      <c r="H9" s="262">
        <v>9</v>
      </c>
      <c r="I9" s="4"/>
      <c r="J9" s="6" t="s">
        <v>41</v>
      </c>
      <c r="K9" s="262">
        <v>9</v>
      </c>
      <c r="L9" s="4"/>
      <c r="M9" s="6" t="s">
        <v>51</v>
      </c>
      <c r="N9" s="262">
        <v>10</v>
      </c>
      <c r="O9" s="22"/>
      <c r="R9" s="59">
        <v>7</v>
      </c>
      <c r="S9" s="52" t="s">
        <v>335</v>
      </c>
      <c r="T9" s="52" t="s">
        <v>569</v>
      </c>
      <c r="U9" s="69">
        <v>9.61</v>
      </c>
      <c r="V9" s="203">
        <v>9.99</v>
      </c>
      <c r="W9" s="52">
        <v>10</v>
      </c>
      <c r="X9" s="52">
        <v>0.74</v>
      </c>
      <c r="Y9" s="52">
        <v>5</v>
      </c>
      <c r="Z9" s="52">
        <v>11</v>
      </c>
      <c r="AA9" s="52">
        <v>2</v>
      </c>
      <c r="AB9" s="52" t="s">
        <v>765</v>
      </c>
      <c r="AC9" s="69">
        <v>2006</v>
      </c>
      <c r="AD9" s="69" t="s">
        <v>1950</v>
      </c>
      <c r="AG9" s="68" t="s">
        <v>1052</v>
      </c>
      <c r="AH9" s="166">
        <v>4.3900000000000002E-2</v>
      </c>
      <c r="AK9" s="48"/>
      <c r="AM9" s="2" t="s">
        <v>253</v>
      </c>
      <c r="AN9" t="s">
        <v>254</v>
      </c>
    </row>
    <row r="10" spans="1:41">
      <c r="A10" s="6" t="s">
        <v>7</v>
      </c>
      <c r="B10" s="262">
        <v>10.5</v>
      </c>
      <c r="C10" s="4"/>
      <c r="D10" s="6" t="s">
        <v>19</v>
      </c>
      <c r="E10" s="262">
        <v>9.5</v>
      </c>
      <c r="F10" s="4"/>
      <c r="G10" s="6" t="s">
        <v>29</v>
      </c>
      <c r="H10" s="262">
        <v>7.5</v>
      </c>
      <c r="I10" s="4"/>
      <c r="J10" s="6" t="s">
        <v>42</v>
      </c>
      <c r="K10" s="262">
        <v>9</v>
      </c>
      <c r="L10" s="4"/>
      <c r="M10" s="6" t="s">
        <v>52</v>
      </c>
      <c r="N10" s="262">
        <v>9</v>
      </c>
      <c r="O10" s="22"/>
      <c r="R10" s="59">
        <v>8</v>
      </c>
      <c r="S10" s="68" t="s">
        <v>335</v>
      </c>
      <c r="T10" s="68" t="s">
        <v>158</v>
      </c>
      <c r="U10" s="70">
        <v>9.61</v>
      </c>
      <c r="V10" s="204">
        <v>9.9600000000000009</v>
      </c>
      <c r="W10" s="68">
        <v>10</v>
      </c>
      <c r="X10" s="68">
        <v>0.74</v>
      </c>
      <c r="Y10" s="68">
        <v>5</v>
      </c>
      <c r="Z10" s="68">
        <v>15</v>
      </c>
      <c r="AA10" s="68">
        <v>6</v>
      </c>
      <c r="AB10" s="68" t="s">
        <v>765</v>
      </c>
      <c r="AC10" s="70">
        <v>1996</v>
      </c>
      <c r="AD10" s="70" t="s">
        <v>1951</v>
      </c>
    </row>
    <row r="11" spans="1:41">
      <c r="A11" s="6" t="s">
        <v>8</v>
      </c>
      <c r="B11" s="262">
        <v>9</v>
      </c>
      <c r="C11" s="4"/>
      <c r="D11" s="6" t="s">
        <v>20</v>
      </c>
      <c r="E11" s="262">
        <v>10.5</v>
      </c>
      <c r="F11" s="4"/>
      <c r="G11" s="6" t="s">
        <v>30</v>
      </c>
      <c r="H11" s="262">
        <v>7.5</v>
      </c>
      <c r="I11" s="4"/>
      <c r="J11" s="6" t="s">
        <v>43</v>
      </c>
      <c r="K11" s="262">
        <v>8.5</v>
      </c>
      <c r="L11" s="4"/>
      <c r="M11" s="6" t="s">
        <v>53</v>
      </c>
      <c r="N11" s="262">
        <v>10</v>
      </c>
      <c r="O11" s="22"/>
      <c r="R11" s="59">
        <v>9</v>
      </c>
      <c r="S11" s="52" t="s">
        <v>336</v>
      </c>
      <c r="T11" s="52" t="s">
        <v>338</v>
      </c>
      <c r="U11" s="69">
        <v>9.5500000000000007</v>
      </c>
      <c r="V11" s="205">
        <v>9.81</v>
      </c>
      <c r="W11" s="52">
        <v>9.5</v>
      </c>
      <c r="X11" s="52">
        <v>0.57999999999999996</v>
      </c>
      <c r="Y11" s="52">
        <v>3</v>
      </c>
      <c r="Z11" s="52">
        <v>12</v>
      </c>
      <c r="AA11" s="52">
        <v>1</v>
      </c>
      <c r="AB11" s="52" t="s">
        <v>766</v>
      </c>
      <c r="AC11" s="69">
        <v>1997</v>
      </c>
      <c r="AD11" s="69" t="s">
        <v>1952</v>
      </c>
      <c r="AG11" s="135" t="s">
        <v>1053</v>
      </c>
      <c r="AH11" s="135"/>
      <c r="AI11" s="78"/>
      <c r="AK11" s="17" t="s">
        <v>163</v>
      </c>
      <c r="AL11" s="17"/>
      <c r="AO11" s="18">
        <f>ROUND(CORREL(V3:V123,Z3:Z123),3)</f>
        <v>-0.218</v>
      </c>
    </row>
    <row r="12" spans="1:41" ht="16.2" thickBot="1">
      <c r="A12" s="6" t="s">
        <v>9</v>
      </c>
      <c r="B12" s="262">
        <v>10.5</v>
      </c>
      <c r="C12" s="4"/>
      <c r="D12" s="9" t="s">
        <v>21</v>
      </c>
      <c r="E12" s="263">
        <v>8</v>
      </c>
      <c r="F12" s="4"/>
      <c r="G12" s="6" t="s">
        <v>31</v>
      </c>
      <c r="H12" s="262">
        <v>8</v>
      </c>
      <c r="I12" s="4"/>
      <c r="J12" s="9" t="s">
        <v>44</v>
      </c>
      <c r="K12" s="263">
        <v>10</v>
      </c>
      <c r="L12" s="4"/>
      <c r="M12" s="9" t="s">
        <v>54</v>
      </c>
      <c r="N12" s="263">
        <v>10</v>
      </c>
      <c r="O12" s="22"/>
      <c r="R12" s="59">
        <v>10</v>
      </c>
      <c r="S12" s="68" t="s">
        <v>335</v>
      </c>
      <c r="T12" s="68" t="s">
        <v>1263</v>
      </c>
      <c r="U12" s="70">
        <v>9.36</v>
      </c>
      <c r="V12" s="206">
        <v>9.73</v>
      </c>
      <c r="W12" s="68">
        <v>10</v>
      </c>
      <c r="X12" s="68">
        <v>1.1200000000000001</v>
      </c>
      <c r="Y12" s="68">
        <v>4</v>
      </c>
      <c r="Z12" s="68">
        <v>10</v>
      </c>
      <c r="AA12" s="68">
        <v>3</v>
      </c>
      <c r="AB12" s="68" t="s">
        <v>1276</v>
      </c>
      <c r="AC12" s="70">
        <v>2019</v>
      </c>
      <c r="AD12" s="70" t="s">
        <v>1953</v>
      </c>
      <c r="AG12" s="52" t="s">
        <v>1054</v>
      </c>
      <c r="AH12" s="137">
        <v>8.6</v>
      </c>
      <c r="AK12" s="17" t="s">
        <v>1814</v>
      </c>
      <c r="AL12" s="17"/>
      <c r="AM12" s="1"/>
      <c r="AN12" s="17"/>
      <c r="AO12" s="17"/>
    </row>
    <row r="13" spans="1:41" ht="16.2" thickBot="1">
      <c r="A13" s="6" t="s">
        <v>10</v>
      </c>
      <c r="B13" s="262">
        <v>9.5</v>
      </c>
      <c r="C13" s="4"/>
      <c r="D13" s="4"/>
      <c r="E13" s="4"/>
      <c r="F13" s="4"/>
      <c r="G13" s="6" t="s">
        <v>32</v>
      </c>
      <c r="H13" s="262">
        <v>9</v>
      </c>
      <c r="I13" s="11"/>
      <c r="J13" s="11"/>
      <c r="K13" s="11"/>
      <c r="L13" s="11"/>
      <c r="M13" s="11"/>
      <c r="N13" s="11"/>
      <c r="O13" s="23"/>
      <c r="R13" s="59">
        <v>11</v>
      </c>
      <c r="S13" s="52" t="s">
        <v>341</v>
      </c>
      <c r="T13" s="52" t="s">
        <v>781</v>
      </c>
      <c r="U13" s="69">
        <v>9.4</v>
      </c>
      <c r="V13" s="207">
        <v>9.5500000000000007</v>
      </c>
      <c r="W13" s="52">
        <v>9.5</v>
      </c>
      <c r="X13" s="52">
        <v>0.8</v>
      </c>
      <c r="Y13" s="52">
        <v>2</v>
      </c>
      <c r="Z13" s="52">
        <v>5</v>
      </c>
      <c r="AA13" s="52">
        <v>0</v>
      </c>
      <c r="AB13" s="52" t="s">
        <v>768</v>
      </c>
      <c r="AC13" s="69">
        <v>1977</v>
      </c>
      <c r="AD13" s="69" t="s">
        <v>1954</v>
      </c>
      <c r="AG13" s="68" t="s">
        <v>1055</v>
      </c>
      <c r="AH13" s="136">
        <v>8.5</v>
      </c>
      <c r="AK13" t="s">
        <v>1815</v>
      </c>
      <c r="AL13" s="17"/>
      <c r="AM13" s="1"/>
      <c r="AN13" s="17"/>
      <c r="AO13" s="17"/>
    </row>
    <row r="14" spans="1:41" ht="18.600000000000001" thickBot="1">
      <c r="A14" s="6" t="s">
        <v>11</v>
      </c>
      <c r="B14" s="263"/>
      <c r="C14" s="4"/>
      <c r="D14" s="108" t="s">
        <v>901</v>
      </c>
      <c r="E14" s="3">
        <f>ROUND(SUM(E15:E28)/COUNT(E15:E28), 2)</f>
        <v>9</v>
      </c>
      <c r="F14" s="4"/>
      <c r="G14" s="6" t="s">
        <v>33</v>
      </c>
      <c r="H14" s="262">
        <v>8.5</v>
      </c>
      <c r="I14" s="11"/>
      <c r="J14" s="110" t="s">
        <v>903</v>
      </c>
      <c r="K14" s="3">
        <f>ROUND(SUM(K15:K23)/COUNT(K15:K23), 2)</f>
        <v>8.83</v>
      </c>
      <c r="L14" s="4"/>
      <c r="M14" s="111" t="s">
        <v>904</v>
      </c>
      <c r="N14" s="3">
        <f>ROUND(SUM(N15:N26)/COUNT(N15:N26), 2)</f>
        <v>8.67</v>
      </c>
      <c r="O14" s="22"/>
      <c r="R14" s="59">
        <v>12</v>
      </c>
      <c r="S14" s="68" t="s">
        <v>339</v>
      </c>
      <c r="T14" s="68" t="s">
        <v>275</v>
      </c>
      <c r="U14" s="70">
        <v>9.3800000000000008</v>
      </c>
      <c r="V14" s="208">
        <v>9.5299999999999994</v>
      </c>
      <c r="W14" s="68">
        <v>9.5</v>
      </c>
      <c r="X14" s="68">
        <v>0.78</v>
      </c>
      <c r="Y14" s="68">
        <v>3</v>
      </c>
      <c r="Z14" s="68">
        <v>8</v>
      </c>
      <c r="AA14" s="68">
        <v>0</v>
      </c>
      <c r="AB14" s="68" t="s">
        <v>773</v>
      </c>
      <c r="AC14" s="70">
        <v>1971</v>
      </c>
      <c r="AD14" s="70" t="s">
        <v>1949</v>
      </c>
      <c r="AG14" s="52" t="s">
        <v>1056</v>
      </c>
      <c r="AH14" s="137" t="s">
        <v>2205</v>
      </c>
    </row>
    <row r="15" spans="1:41" ht="16.2" thickBot="1">
      <c r="A15" s="11"/>
      <c r="B15" s="11"/>
      <c r="C15" s="4"/>
      <c r="D15" s="13" t="s">
        <v>63</v>
      </c>
      <c r="E15" s="261">
        <v>9</v>
      </c>
      <c r="F15" s="4"/>
      <c r="G15" s="9" t="s">
        <v>34</v>
      </c>
      <c r="H15" s="263">
        <v>8.5</v>
      </c>
      <c r="I15" s="11"/>
      <c r="J15" s="6" t="s">
        <v>87</v>
      </c>
      <c r="K15" s="261">
        <v>9</v>
      </c>
      <c r="L15" s="4"/>
      <c r="M15" s="6" t="s">
        <v>96</v>
      </c>
      <c r="N15" s="261">
        <v>8.5</v>
      </c>
      <c r="O15" s="22"/>
      <c r="R15" s="59">
        <v>13</v>
      </c>
      <c r="S15" s="52" t="s">
        <v>340</v>
      </c>
      <c r="T15" s="52" t="s">
        <v>1200</v>
      </c>
      <c r="U15" s="69">
        <v>9.4</v>
      </c>
      <c r="V15" s="176">
        <v>9.4600000000000009</v>
      </c>
      <c r="W15" s="52">
        <v>9</v>
      </c>
      <c r="X15" s="52">
        <v>0.73</v>
      </c>
      <c r="Y15" s="52">
        <v>2</v>
      </c>
      <c r="Z15" s="52">
        <v>5</v>
      </c>
      <c r="AA15" s="52">
        <v>0</v>
      </c>
      <c r="AB15" s="52" t="s">
        <v>767</v>
      </c>
      <c r="AC15" s="69">
        <v>1969</v>
      </c>
      <c r="AD15" s="69" t="s">
        <v>1955</v>
      </c>
      <c r="AK15" t="s">
        <v>384</v>
      </c>
    </row>
    <row r="16" spans="1:41" ht="18.600000000000001" thickBot="1">
      <c r="A16" s="109" t="s">
        <v>902</v>
      </c>
      <c r="B16" s="3">
        <f>ROUND(SUM(B17:B24)/COUNT(B17:B24), 2)</f>
        <v>9.25</v>
      </c>
      <c r="C16" s="4"/>
      <c r="D16" s="6" t="s">
        <v>64</v>
      </c>
      <c r="E16" s="262">
        <v>10.5</v>
      </c>
      <c r="F16" s="11"/>
      <c r="G16" s="11"/>
      <c r="H16" s="11"/>
      <c r="I16" s="11"/>
      <c r="J16" s="6" t="s">
        <v>88</v>
      </c>
      <c r="K16" s="262">
        <v>10</v>
      </c>
      <c r="L16" s="4"/>
      <c r="M16" s="6" t="s">
        <v>97</v>
      </c>
      <c r="N16" s="262">
        <v>10</v>
      </c>
      <c r="O16" s="22"/>
      <c r="R16" s="59">
        <v>14</v>
      </c>
      <c r="S16" s="68" t="s">
        <v>2097</v>
      </c>
      <c r="T16" s="68" t="s">
        <v>2090</v>
      </c>
      <c r="U16" s="70">
        <v>9.31</v>
      </c>
      <c r="V16" s="294">
        <v>9.43</v>
      </c>
      <c r="W16" s="68">
        <v>9.25</v>
      </c>
      <c r="X16" s="68">
        <v>0.75</v>
      </c>
      <c r="Y16" s="68">
        <v>3</v>
      </c>
      <c r="Z16" s="68">
        <v>8</v>
      </c>
      <c r="AA16" s="68">
        <v>0</v>
      </c>
      <c r="AB16" s="68" t="s">
        <v>2100</v>
      </c>
      <c r="AC16" s="70">
        <v>1970</v>
      </c>
      <c r="AD16" s="70" t="s">
        <v>1954</v>
      </c>
      <c r="AG16" s="135" t="s">
        <v>1057</v>
      </c>
      <c r="AH16" s="135"/>
    </row>
    <row r="17" spans="1:37" ht="18.600000000000001" thickBot="1">
      <c r="A17" s="6" t="s">
        <v>55</v>
      </c>
      <c r="B17" s="261">
        <v>9.5</v>
      </c>
      <c r="C17" s="4"/>
      <c r="D17" s="6" t="s">
        <v>65</v>
      </c>
      <c r="E17" s="262">
        <v>10</v>
      </c>
      <c r="F17" s="12"/>
      <c r="G17" s="144" t="s">
        <v>1198</v>
      </c>
      <c r="H17" s="3">
        <f>ROUND(SUM(H18:H28)/COUNT(H18:H28), 2)</f>
        <v>8.68</v>
      </c>
      <c r="I17" s="11"/>
      <c r="J17" s="6" t="s">
        <v>89</v>
      </c>
      <c r="K17" s="262">
        <v>9.5</v>
      </c>
      <c r="L17" s="4"/>
      <c r="M17" s="6" t="s">
        <v>98</v>
      </c>
      <c r="N17" s="262">
        <v>8</v>
      </c>
      <c r="O17" s="22"/>
      <c r="R17" s="59">
        <v>15</v>
      </c>
      <c r="S17" s="52" t="s">
        <v>344</v>
      </c>
      <c r="T17" s="52" t="s">
        <v>56</v>
      </c>
      <c r="U17" s="69">
        <v>9.25</v>
      </c>
      <c r="V17" s="209">
        <v>9.3699999999999992</v>
      </c>
      <c r="W17" s="52">
        <v>9.25</v>
      </c>
      <c r="X17" s="52">
        <v>0.83</v>
      </c>
      <c r="Y17" s="52">
        <v>3</v>
      </c>
      <c r="Z17" s="52">
        <v>8</v>
      </c>
      <c r="AA17" s="52">
        <v>0</v>
      </c>
      <c r="AB17" s="52" t="s">
        <v>789</v>
      </c>
      <c r="AC17" s="69">
        <v>1986</v>
      </c>
      <c r="AD17" s="69" t="s">
        <v>1956</v>
      </c>
      <c r="AG17" s="68" t="s">
        <v>1058</v>
      </c>
      <c r="AH17" s="136">
        <v>1.06</v>
      </c>
    </row>
    <row r="18" spans="1:37">
      <c r="A18" s="6" t="s">
        <v>56</v>
      </c>
      <c r="B18" s="262">
        <v>10</v>
      </c>
      <c r="C18" s="4"/>
      <c r="D18" s="6" t="s">
        <v>66</v>
      </c>
      <c r="E18" s="262">
        <v>9.5</v>
      </c>
      <c r="F18" s="12"/>
      <c r="G18" s="6" t="s">
        <v>76</v>
      </c>
      <c r="H18" s="261">
        <v>10</v>
      </c>
      <c r="I18" s="11"/>
      <c r="J18" s="6" t="s">
        <v>90</v>
      </c>
      <c r="K18" s="262">
        <v>8.5</v>
      </c>
      <c r="L18" s="4"/>
      <c r="M18" s="6" t="s">
        <v>99</v>
      </c>
      <c r="N18" s="262">
        <v>8.5</v>
      </c>
      <c r="O18" s="22"/>
      <c r="R18" s="59">
        <v>16</v>
      </c>
      <c r="S18" s="68" t="s">
        <v>336</v>
      </c>
      <c r="T18" s="68" t="s">
        <v>292</v>
      </c>
      <c r="U18" s="70">
        <v>9.15</v>
      </c>
      <c r="V18" s="209">
        <v>9.3699999999999992</v>
      </c>
      <c r="W18" s="68">
        <v>9</v>
      </c>
      <c r="X18" s="68">
        <v>1</v>
      </c>
      <c r="Y18" s="68">
        <v>4</v>
      </c>
      <c r="Z18" s="68">
        <v>11</v>
      </c>
      <c r="AA18" s="68">
        <v>1</v>
      </c>
      <c r="AB18" s="68" t="s">
        <v>870</v>
      </c>
      <c r="AC18" s="70">
        <v>2000</v>
      </c>
      <c r="AD18" s="70" t="s">
        <v>1957</v>
      </c>
      <c r="AG18" s="52" t="s">
        <v>1059</v>
      </c>
      <c r="AH18" s="138">
        <v>0.1234</v>
      </c>
    </row>
    <row r="19" spans="1:37">
      <c r="A19" s="6" t="s">
        <v>57</v>
      </c>
      <c r="B19" s="262">
        <v>8.5</v>
      </c>
      <c r="C19" s="4"/>
      <c r="D19" s="6" t="s">
        <v>67</v>
      </c>
      <c r="E19" s="262">
        <v>8.5</v>
      </c>
      <c r="F19" s="12"/>
      <c r="G19" s="6" t="s">
        <v>77</v>
      </c>
      <c r="H19" s="262">
        <v>8.5</v>
      </c>
      <c r="I19" s="11"/>
      <c r="J19" s="6" t="s">
        <v>91</v>
      </c>
      <c r="K19" s="262">
        <v>7.5</v>
      </c>
      <c r="L19" s="4"/>
      <c r="M19" s="6" t="s">
        <v>100</v>
      </c>
      <c r="N19" s="262">
        <v>8.5</v>
      </c>
      <c r="O19" s="22"/>
      <c r="R19" s="59">
        <v>17</v>
      </c>
      <c r="S19" s="52" t="s">
        <v>340</v>
      </c>
      <c r="T19" s="52" t="s">
        <v>1019</v>
      </c>
      <c r="U19" s="69">
        <v>9.3000000000000007</v>
      </c>
      <c r="V19" s="210">
        <v>9.36</v>
      </c>
      <c r="W19" s="52">
        <v>9</v>
      </c>
      <c r="X19" s="52">
        <v>0.87</v>
      </c>
      <c r="Y19" s="52">
        <v>2</v>
      </c>
      <c r="Z19" s="52">
        <v>5</v>
      </c>
      <c r="AA19" s="52">
        <v>0</v>
      </c>
      <c r="AB19" s="52" t="s">
        <v>767</v>
      </c>
      <c r="AC19" s="69">
        <v>2024</v>
      </c>
      <c r="AD19" s="69" t="s">
        <v>1958</v>
      </c>
      <c r="AG19" s="68" t="s">
        <v>1060</v>
      </c>
      <c r="AH19" s="136" t="s">
        <v>1837</v>
      </c>
    </row>
    <row r="20" spans="1:37">
      <c r="A20" s="6" t="s">
        <v>58</v>
      </c>
      <c r="B20" s="262">
        <v>10</v>
      </c>
      <c r="C20" s="4"/>
      <c r="D20" s="6" t="s">
        <v>68</v>
      </c>
      <c r="E20" s="262"/>
      <c r="F20" s="12"/>
      <c r="G20" s="6" t="s">
        <v>78</v>
      </c>
      <c r="H20" s="262">
        <v>10</v>
      </c>
      <c r="I20" s="11"/>
      <c r="J20" s="6" t="s">
        <v>92</v>
      </c>
      <c r="K20" s="262">
        <v>8</v>
      </c>
      <c r="L20" s="4"/>
      <c r="M20" s="6" t="s">
        <v>101</v>
      </c>
      <c r="N20" s="262">
        <v>7.5</v>
      </c>
      <c r="O20" s="22"/>
      <c r="R20" s="59">
        <v>18</v>
      </c>
      <c r="S20" s="68" t="s">
        <v>345</v>
      </c>
      <c r="T20" s="68" t="s">
        <v>189</v>
      </c>
      <c r="U20" s="70">
        <v>9.2100000000000009</v>
      </c>
      <c r="V20" s="211">
        <v>9.34</v>
      </c>
      <c r="W20" s="68">
        <v>9.25</v>
      </c>
      <c r="X20" s="68">
        <v>0.85</v>
      </c>
      <c r="Y20" s="68">
        <v>5</v>
      </c>
      <c r="Z20" s="68">
        <v>13</v>
      </c>
      <c r="AA20" s="68">
        <v>1</v>
      </c>
      <c r="AB20" s="68" t="s">
        <v>770</v>
      </c>
      <c r="AC20" s="70">
        <v>2008</v>
      </c>
      <c r="AD20" s="70" t="s">
        <v>1959</v>
      </c>
      <c r="AG20" s="52" t="s">
        <v>1061</v>
      </c>
      <c r="AH20" s="137" t="s">
        <v>1873</v>
      </c>
    </row>
    <row r="21" spans="1:37">
      <c r="A21" s="6" t="s">
        <v>59</v>
      </c>
      <c r="B21" s="262">
        <v>8.5</v>
      </c>
      <c r="C21" s="4"/>
      <c r="D21" s="6" t="s">
        <v>69</v>
      </c>
      <c r="E21" s="262">
        <v>9</v>
      </c>
      <c r="F21" s="12"/>
      <c r="G21" s="6" t="s">
        <v>79</v>
      </c>
      <c r="H21" s="262">
        <v>9</v>
      </c>
      <c r="I21" s="11"/>
      <c r="J21" s="6" t="s">
        <v>93</v>
      </c>
      <c r="K21" s="262">
        <v>8.5</v>
      </c>
      <c r="L21" s="4"/>
      <c r="M21" s="6" t="s">
        <v>102</v>
      </c>
      <c r="N21" s="262">
        <v>10</v>
      </c>
      <c r="O21" s="22"/>
      <c r="R21" s="59">
        <v>19</v>
      </c>
      <c r="S21" s="52" t="s">
        <v>343</v>
      </c>
      <c r="T21" s="52" t="s">
        <v>132</v>
      </c>
      <c r="U21" s="69">
        <v>9.2100000000000009</v>
      </c>
      <c r="V21" s="212">
        <v>9.2799999999999994</v>
      </c>
      <c r="W21" s="52">
        <v>9</v>
      </c>
      <c r="X21" s="52">
        <v>0.8</v>
      </c>
      <c r="Y21" s="52">
        <v>2</v>
      </c>
      <c r="Z21" s="52">
        <v>7</v>
      </c>
      <c r="AA21" s="52">
        <v>0</v>
      </c>
      <c r="AB21" s="52" t="s">
        <v>790</v>
      </c>
      <c r="AC21" s="69">
        <v>2001</v>
      </c>
      <c r="AD21" s="69" t="s">
        <v>1947</v>
      </c>
      <c r="AK21" t="s">
        <v>278</v>
      </c>
    </row>
    <row r="22" spans="1:37">
      <c r="A22" s="6" t="s">
        <v>60</v>
      </c>
      <c r="B22" s="262">
        <v>9</v>
      </c>
      <c r="C22" s="4"/>
      <c r="D22" s="6" t="s">
        <v>70</v>
      </c>
      <c r="E22" s="262">
        <v>8</v>
      </c>
      <c r="F22" s="12"/>
      <c r="G22" s="6" t="s">
        <v>80</v>
      </c>
      <c r="H22" s="262">
        <v>8</v>
      </c>
      <c r="I22" s="11"/>
      <c r="J22" s="6" t="s">
        <v>94</v>
      </c>
      <c r="K22" s="262">
        <v>8</v>
      </c>
      <c r="L22" s="4"/>
      <c r="M22" s="6" t="s">
        <v>103</v>
      </c>
      <c r="N22" s="262">
        <v>9</v>
      </c>
      <c r="O22" s="22"/>
      <c r="R22" s="59">
        <v>20</v>
      </c>
      <c r="S22" s="68" t="s">
        <v>455</v>
      </c>
      <c r="T22" s="68" t="s">
        <v>36</v>
      </c>
      <c r="U22" s="70">
        <v>9.15</v>
      </c>
      <c r="V22" s="130">
        <v>9.23</v>
      </c>
      <c r="W22" s="68">
        <v>9</v>
      </c>
      <c r="X22" s="68">
        <v>0.78</v>
      </c>
      <c r="Y22" s="68">
        <v>3</v>
      </c>
      <c r="Z22" s="68">
        <v>10</v>
      </c>
      <c r="AA22" s="68">
        <v>0</v>
      </c>
      <c r="AB22" s="68" t="s">
        <v>767</v>
      </c>
      <c r="AC22" s="70">
        <v>1982</v>
      </c>
      <c r="AD22" s="70" t="s">
        <v>1949</v>
      </c>
      <c r="AG22" s="135" t="s">
        <v>1062</v>
      </c>
      <c r="AH22" s="135"/>
      <c r="AK22" t="s">
        <v>279</v>
      </c>
    </row>
    <row r="23" spans="1:37" ht="16.2" thickBot="1">
      <c r="A23" s="6" t="s">
        <v>61</v>
      </c>
      <c r="B23" s="262">
        <v>10.5</v>
      </c>
      <c r="C23" s="4"/>
      <c r="D23" s="6" t="s">
        <v>71</v>
      </c>
      <c r="E23" s="262">
        <v>10</v>
      </c>
      <c r="F23" s="12"/>
      <c r="G23" s="6" t="s">
        <v>81</v>
      </c>
      <c r="H23" s="262">
        <v>8.5</v>
      </c>
      <c r="I23" s="11"/>
      <c r="J23" s="9" t="s">
        <v>95</v>
      </c>
      <c r="K23" s="262">
        <v>10.5</v>
      </c>
      <c r="L23" s="4"/>
      <c r="M23" s="6" t="s">
        <v>104</v>
      </c>
      <c r="N23" s="262">
        <v>8.5</v>
      </c>
      <c r="O23" s="22"/>
      <c r="R23" s="59">
        <v>21</v>
      </c>
      <c r="S23" s="52" t="s">
        <v>491</v>
      </c>
      <c r="T23" s="52" t="s">
        <v>509</v>
      </c>
      <c r="U23" s="69">
        <v>9.17</v>
      </c>
      <c r="V23" s="130">
        <v>9.23</v>
      </c>
      <c r="W23" s="52">
        <v>9</v>
      </c>
      <c r="X23" s="52">
        <v>0.69</v>
      </c>
      <c r="Y23" s="52">
        <v>1</v>
      </c>
      <c r="Z23" s="52">
        <v>6</v>
      </c>
      <c r="AA23" s="52">
        <v>0</v>
      </c>
      <c r="AB23" s="52" t="s">
        <v>769</v>
      </c>
      <c r="AC23" s="69">
        <v>2007</v>
      </c>
      <c r="AD23" s="69" t="s">
        <v>1960</v>
      </c>
      <c r="AG23" s="68" t="s">
        <v>1063</v>
      </c>
      <c r="AH23" s="136" t="s">
        <v>2174</v>
      </c>
      <c r="AK23" t="s">
        <v>280</v>
      </c>
    </row>
    <row r="24" spans="1:37" ht="16.2" thickBot="1">
      <c r="A24" s="9" t="s">
        <v>62</v>
      </c>
      <c r="B24" s="263">
        <v>8</v>
      </c>
      <c r="C24" s="4"/>
      <c r="D24" s="6" t="s">
        <v>72</v>
      </c>
      <c r="E24" s="262">
        <v>8.5</v>
      </c>
      <c r="F24" s="12"/>
      <c r="G24" s="6" t="s">
        <v>82</v>
      </c>
      <c r="H24" s="262">
        <v>8</v>
      </c>
      <c r="I24" s="11"/>
      <c r="J24" s="11"/>
      <c r="K24" s="11"/>
      <c r="L24" s="11"/>
      <c r="M24" s="6" t="s">
        <v>105</v>
      </c>
      <c r="N24" s="262">
        <v>7.5</v>
      </c>
      <c r="O24" s="22"/>
      <c r="R24" s="59">
        <v>22</v>
      </c>
      <c r="S24" s="68" t="s">
        <v>344</v>
      </c>
      <c r="T24" s="68" t="s">
        <v>706</v>
      </c>
      <c r="U24" s="70">
        <v>9.1300000000000008</v>
      </c>
      <c r="V24" s="213">
        <v>9.2100000000000009</v>
      </c>
      <c r="W24" s="68">
        <v>9</v>
      </c>
      <c r="X24" s="68">
        <v>0.93</v>
      </c>
      <c r="Y24" s="68">
        <v>3</v>
      </c>
      <c r="Z24" s="68">
        <v>8</v>
      </c>
      <c r="AA24" s="68">
        <v>0</v>
      </c>
      <c r="AB24" s="68" t="s">
        <v>789</v>
      </c>
      <c r="AC24" s="70">
        <v>1984</v>
      </c>
      <c r="AD24" s="70" t="s">
        <v>1957</v>
      </c>
      <c r="AG24" s="52" t="s">
        <v>1064</v>
      </c>
      <c r="AH24" s="137" t="s">
        <v>2199</v>
      </c>
    </row>
    <row r="25" spans="1:37" ht="18.600000000000001" thickBot="1">
      <c r="A25" s="4"/>
      <c r="B25" s="4"/>
      <c r="C25" s="4"/>
      <c r="D25" s="6" t="s">
        <v>73</v>
      </c>
      <c r="E25" s="262">
        <v>9.5</v>
      </c>
      <c r="F25" s="12"/>
      <c r="G25" s="6" t="s">
        <v>83</v>
      </c>
      <c r="H25" s="262">
        <v>9.5</v>
      </c>
      <c r="I25" s="11"/>
      <c r="J25" s="107" t="s">
        <v>900</v>
      </c>
      <c r="K25" s="3">
        <f>ROUND(SUM(K26:K38)/COUNT(K26:K38), 2)</f>
        <v>8.42</v>
      </c>
      <c r="L25" s="4"/>
      <c r="M25" s="6" t="s">
        <v>106</v>
      </c>
      <c r="N25" s="262">
        <v>9</v>
      </c>
      <c r="O25" s="22"/>
      <c r="R25" s="59">
        <v>23</v>
      </c>
      <c r="S25" s="52" t="s">
        <v>922</v>
      </c>
      <c r="T25" s="52" t="s">
        <v>913</v>
      </c>
      <c r="U25" s="69">
        <v>9.06</v>
      </c>
      <c r="V25" s="140">
        <v>9.1</v>
      </c>
      <c r="W25" s="52">
        <v>8.75</v>
      </c>
      <c r="X25" s="52">
        <v>0.92</v>
      </c>
      <c r="Y25" s="52">
        <v>3</v>
      </c>
      <c r="Z25" s="52">
        <v>9</v>
      </c>
      <c r="AA25" s="52">
        <v>1</v>
      </c>
      <c r="AB25" s="52" t="s">
        <v>923</v>
      </c>
      <c r="AC25" s="69">
        <v>2021</v>
      </c>
      <c r="AD25" s="69" t="s">
        <v>1946</v>
      </c>
      <c r="AK25" t="s">
        <v>1821</v>
      </c>
    </row>
    <row r="26" spans="1:37" ht="18.600000000000001" thickBot="1">
      <c r="A26" s="145" t="s">
        <v>1199</v>
      </c>
      <c r="B26" s="3">
        <f>ROUND(SUM(B27:B31)/COUNT(B27:B31), 2)</f>
        <v>9.4</v>
      </c>
      <c r="C26" s="4"/>
      <c r="D26" s="6" t="s">
        <v>74</v>
      </c>
      <c r="E26" s="262">
        <v>8</v>
      </c>
      <c r="F26" s="12"/>
      <c r="G26" s="6" t="s">
        <v>84</v>
      </c>
      <c r="H26" s="262">
        <v>7.5</v>
      </c>
      <c r="I26" s="11"/>
      <c r="J26" s="6" t="s">
        <v>113</v>
      </c>
      <c r="K26" s="261">
        <v>10</v>
      </c>
      <c r="L26" s="4"/>
      <c r="M26" s="9" t="s">
        <v>107</v>
      </c>
      <c r="N26" s="263">
        <v>9</v>
      </c>
      <c r="O26" s="22"/>
      <c r="R26" s="59">
        <v>24</v>
      </c>
      <c r="S26" s="68" t="s">
        <v>346</v>
      </c>
      <c r="T26" s="68" t="s">
        <v>159</v>
      </c>
      <c r="U26" s="70">
        <v>9</v>
      </c>
      <c r="V26" s="140">
        <v>9.09</v>
      </c>
      <c r="W26" s="68">
        <v>9</v>
      </c>
      <c r="X26" s="68">
        <v>0.85</v>
      </c>
      <c r="Y26" s="68">
        <v>3</v>
      </c>
      <c r="Z26" s="68">
        <v>14</v>
      </c>
      <c r="AA26" s="68">
        <v>1</v>
      </c>
      <c r="AB26" s="68" t="s">
        <v>771</v>
      </c>
      <c r="AC26" s="70">
        <v>2001</v>
      </c>
      <c r="AD26" s="70" t="s">
        <v>1961</v>
      </c>
      <c r="AG26" s="135" t="s">
        <v>1065</v>
      </c>
      <c r="AH26" s="135"/>
      <c r="AK26" t="s">
        <v>290</v>
      </c>
    </row>
    <row r="27" spans="1:37" ht="16.2" thickBot="1">
      <c r="A27" s="6" t="s">
        <v>108</v>
      </c>
      <c r="B27" s="261">
        <v>10</v>
      </c>
      <c r="C27" s="4"/>
      <c r="D27" s="6" t="s">
        <v>75</v>
      </c>
      <c r="E27" s="262">
        <v>9</v>
      </c>
      <c r="F27" s="12"/>
      <c r="G27" s="6" t="s">
        <v>85</v>
      </c>
      <c r="H27" s="262">
        <v>8.5</v>
      </c>
      <c r="I27" s="11"/>
      <c r="J27" s="6" t="s">
        <v>114</v>
      </c>
      <c r="K27" s="262">
        <v>9.5</v>
      </c>
      <c r="L27" s="4"/>
      <c r="M27" s="4"/>
      <c r="N27" s="4"/>
      <c r="O27" s="22"/>
      <c r="R27" s="59">
        <v>25</v>
      </c>
      <c r="S27" s="52" t="s">
        <v>347</v>
      </c>
      <c r="T27" s="52" t="s">
        <v>265</v>
      </c>
      <c r="U27" s="69">
        <v>9</v>
      </c>
      <c r="V27" s="140">
        <v>9.09</v>
      </c>
      <c r="W27" s="52">
        <v>9</v>
      </c>
      <c r="X27" s="52">
        <v>0.82</v>
      </c>
      <c r="Y27" s="52">
        <v>2</v>
      </c>
      <c r="Z27" s="52">
        <v>9</v>
      </c>
      <c r="AA27" s="52">
        <v>0</v>
      </c>
      <c r="AB27" s="52" t="s">
        <v>789</v>
      </c>
      <c r="AC27" s="69">
        <v>1990</v>
      </c>
      <c r="AD27" s="69" t="s">
        <v>1962</v>
      </c>
      <c r="AG27" s="68" t="s">
        <v>1066</v>
      </c>
      <c r="AH27" s="136" t="s">
        <v>2206</v>
      </c>
    </row>
    <row r="28" spans="1:37" ht="18.600000000000001" thickBot="1">
      <c r="A28" s="6" t="s">
        <v>109</v>
      </c>
      <c r="B28" s="262">
        <v>9</v>
      </c>
      <c r="C28" s="11"/>
      <c r="D28" s="9" t="s">
        <v>1909</v>
      </c>
      <c r="E28" s="263">
        <v>7.5</v>
      </c>
      <c r="F28" s="11"/>
      <c r="G28" s="9" t="s">
        <v>86</v>
      </c>
      <c r="H28" s="263">
        <v>8</v>
      </c>
      <c r="I28" s="11"/>
      <c r="J28" s="6" t="s">
        <v>115</v>
      </c>
      <c r="K28" s="262">
        <v>8.5</v>
      </c>
      <c r="L28" s="4"/>
      <c r="M28" s="26" t="s">
        <v>326</v>
      </c>
      <c r="N28" s="14">
        <f>ROUND(SUM(N29:N37)/COUNT(N29:N37), 2)</f>
        <v>8.89</v>
      </c>
      <c r="O28" s="22"/>
      <c r="R28" s="59">
        <v>26</v>
      </c>
      <c r="S28" s="68" t="s">
        <v>344</v>
      </c>
      <c r="T28" s="68" t="s">
        <v>1144</v>
      </c>
      <c r="U28" s="70">
        <v>9</v>
      </c>
      <c r="V28" s="214">
        <v>9.08</v>
      </c>
      <c r="W28" s="68">
        <v>9</v>
      </c>
      <c r="X28" s="68">
        <v>0.88</v>
      </c>
      <c r="Y28" s="68">
        <v>2</v>
      </c>
      <c r="Z28" s="68">
        <v>9</v>
      </c>
      <c r="AA28" s="68">
        <v>0</v>
      </c>
      <c r="AB28" s="68" t="s">
        <v>789</v>
      </c>
      <c r="AC28" s="70">
        <v>1988</v>
      </c>
      <c r="AD28" s="70" t="s">
        <v>1963</v>
      </c>
      <c r="AG28" s="52" t="s">
        <v>1067</v>
      </c>
      <c r="AH28" s="137" t="s">
        <v>2207</v>
      </c>
      <c r="AK28" s="15"/>
    </row>
    <row r="29" spans="1:37" ht="16.2" thickBot="1">
      <c r="A29" s="6" t="s">
        <v>441</v>
      </c>
      <c r="B29" s="262">
        <v>10.5</v>
      </c>
      <c r="C29" s="11"/>
      <c r="D29" s="11"/>
      <c r="E29" s="11"/>
      <c r="F29" s="4"/>
      <c r="G29" s="12"/>
      <c r="H29" s="12"/>
      <c r="I29" s="11"/>
      <c r="J29" s="6" t="s">
        <v>116</v>
      </c>
      <c r="K29" s="262">
        <v>8.5</v>
      </c>
      <c r="L29" s="4"/>
      <c r="M29" s="7" t="s">
        <v>133</v>
      </c>
      <c r="N29" s="261">
        <v>10</v>
      </c>
      <c r="O29" s="22"/>
      <c r="R29" s="59">
        <v>27</v>
      </c>
      <c r="S29" s="52" t="s">
        <v>491</v>
      </c>
      <c r="T29" s="52" t="s">
        <v>661</v>
      </c>
      <c r="U29" s="69">
        <v>8.94</v>
      </c>
      <c r="V29" s="215">
        <v>9.0399999999999991</v>
      </c>
      <c r="W29" s="52">
        <v>9</v>
      </c>
      <c r="X29" s="52">
        <v>0.86</v>
      </c>
      <c r="Y29" s="52">
        <v>2</v>
      </c>
      <c r="Z29" s="52">
        <v>9</v>
      </c>
      <c r="AA29" s="52">
        <v>0</v>
      </c>
      <c r="AB29" s="52" t="s">
        <v>769</v>
      </c>
      <c r="AC29" s="69">
        <v>2005</v>
      </c>
      <c r="AD29" s="69" t="s">
        <v>1964</v>
      </c>
      <c r="AG29" s="68" t="s">
        <v>1068</v>
      </c>
      <c r="AH29" s="136" t="s">
        <v>2208</v>
      </c>
      <c r="AK29" s="67" t="s">
        <v>525</v>
      </c>
    </row>
    <row r="30" spans="1:37" ht="18.600000000000001" thickBot="1">
      <c r="A30" s="6" t="s">
        <v>111</v>
      </c>
      <c r="B30" s="262">
        <v>8.5</v>
      </c>
      <c r="C30" s="11"/>
      <c r="D30" s="104" t="s">
        <v>897</v>
      </c>
      <c r="E30" s="3">
        <f>ROUND(SUM(E31:E37)/COUNT(E31:E37), 2)</f>
        <v>9.2100000000000009</v>
      </c>
      <c r="F30" s="4"/>
      <c r="G30" s="102" t="s">
        <v>895</v>
      </c>
      <c r="H30" s="3">
        <f>ROUND(SUM(H31:H45)/COUNT(H31:H45), 2)</f>
        <v>9.61</v>
      </c>
      <c r="I30" s="11"/>
      <c r="J30" s="6" t="s">
        <v>117</v>
      </c>
      <c r="K30" s="262">
        <v>9.5</v>
      </c>
      <c r="L30" s="4"/>
      <c r="M30" s="8" t="s">
        <v>134</v>
      </c>
      <c r="N30" s="262">
        <v>9</v>
      </c>
      <c r="O30" s="22"/>
      <c r="R30" s="59">
        <v>28</v>
      </c>
      <c r="S30" s="68" t="s">
        <v>343</v>
      </c>
      <c r="T30" s="68" t="s">
        <v>981</v>
      </c>
      <c r="U30" s="70">
        <v>9</v>
      </c>
      <c r="V30" s="215">
        <v>9.0399999999999991</v>
      </c>
      <c r="W30" s="68">
        <v>8.75</v>
      </c>
      <c r="X30" s="68">
        <v>0.87</v>
      </c>
      <c r="Y30" s="68">
        <v>2</v>
      </c>
      <c r="Z30" s="68">
        <v>8</v>
      </c>
      <c r="AA30" s="68">
        <v>0</v>
      </c>
      <c r="AB30" s="68" t="s">
        <v>790</v>
      </c>
      <c r="AC30" s="70">
        <v>2005</v>
      </c>
      <c r="AD30" s="70" t="s">
        <v>1965</v>
      </c>
      <c r="AG30" s="52" t="s">
        <v>1069</v>
      </c>
      <c r="AH30" s="137" t="s">
        <v>2209</v>
      </c>
      <c r="AK30" s="15"/>
    </row>
    <row r="31" spans="1:37" ht="16.2" thickBot="1">
      <c r="A31" s="9" t="s">
        <v>112</v>
      </c>
      <c r="B31" s="263">
        <v>9</v>
      </c>
      <c r="C31" s="11"/>
      <c r="D31" s="6" t="s">
        <v>126</v>
      </c>
      <c r="E31" s="261">
        <v>9</v>
      </c>
      <c r="F31" s="4"/>
      <c r="G31" s="7" t="s">
        <v>143</v>
      </c>
      <c r="H31" s="261">
        <v>10</v>
      </c>
      <c r="I31" s="11"/>
      <c r="J31" s="6" t="s">
        <v>118</v>
      </c>
      <c r="K31" s="262">
        <v>8.5</v>
      </c>
      <c r="L31" s="4"/>
      <c r="M31" s="8" t="s">
        <v>135</v>
      </c>
      <c r="N31" s="262">
        <v>8</v>
      </c>
      <c r="O31" s="22"/>
      <c r="R31" s="59">
        <v>29</v>
      </c>
      <c r="S31" s="52" t="s">
        <v>336</v>
      </c>
      <c r="T31" s="52" t="s">
        <v>443</v>
      </c>
      <c r="U31" s="69">
        <v>8.9600000000000009</v>
      </c>
      <c r="V31" s="155">
        <v>9.01</v>
      </c>
      <c r="W31" s="52">
        <v>8.75</v>
      </c>
      <c r="X31" s="52">
        <v>0.83</v>
      </c>
      <c r="Y31" s="52">
        <v>3</v>
      </c>
      <c r="Z31" s="52">
        <v>12</v>
      </c>
      <c r="AA31" s="52">
        <v>0</v>
      </c>
      <c r="AB31" s="52" t="s">
        <v>787</v>
      </c>
      <c r="AC31" s="69">
        <v>1995</v>
      </c>
      <c r="AD31" s="69" t="s">
        <v>1966</v>
      </c>
      <c r="AG31" s="68" t="s">
        <v>1070</v>
      </c>
      <c r="AH31" s="136" t="s">
        <v>2210</v>
      </c>
      <c r="AK31" s="54" t="s">
        <v>364</v>
      </c>
    </row>
    <row r="32" spans="1:37" ht="16.2" thickBot="1">
      <c r="A32" s="4"/>
      <c r="B32" s="4"/>
      <c r="C32" s="11"/>
      <c r="D32" s="6" t="s">
        <v>127</v>
      </c>
      <c r="E32" s="262">
        <v>10</v>
      </c>
      <c r="F32" s="4"/>
      <c r="G32" s="8" t="s">
        <v>144</v>
      </c>
      <c r="H32" s="262">
        <v>10.5</v>
      </c>
      <c r="I32" s="4"/>
      <c r="J32" s="6" t="s">
        <v>119</v>
      </c>
      <c r="K32" s="262">
        <v>7.5</v>
      </c>
      <c r="L32" s="4"/>
      <c r="M32" s="8" t="s">
        <v>136</v>
      </c>
      <c r="N32" s="262">
        <v>8.5</v>
      </c>
      <c r="O32" s="22"/>
      <c r="R32" s="59">
        <v>30</v>
      </c>
      <c r="S32" s="68" t="s">
        <v>1578</v>
      </c>
      <c r="T32" s="68" t="s">
        <v>1579</v>
      </c>
      <c r="U32" s="70">
        <v>8.67</v>
      </c>
      <c r="V32" s="216">
        <v>9</v>
      </c>
      <c r="W32" s="68">
        <v>8.5</v>
      </c>
      <c r="X32" s="68">
        <v>0.98</v>
      </c>
      <c r="Y32" s="68">
        <v>5</v>
      </c>
      <c r="Z32" s="68">
        <v>26</v>
      </c>
      <c r="AA32" s="68">
        <v>0</v>
      </c>
      <c r="AB32" s="68" t="s">
        <v>1580</v>
      </c>
      <c r="AC32" s="70">
        <v>2017</v>
      </c>
      <c r="AD32" s="70" t="s">
        <v>1955</v>
      </c>
      <c r="AG32" s="52" t="s">
        <v>1071</v>
      </c>
      <c r="AH32" s="137" t="s">
        <v>2211</v>
      </c>
      <c r="AK32" t="s">
        <v>365</v>
      </c>
    </row>
    <row r="33" spans="1:37" ht="18.600000000000001" thickBot="1">
      <c r="A33" s="103" t="s">
        <v>896</v>
      </c>
      <c r="B33" s="14">
        <f>ROUND(SUM(B34:B45)/COUNT(B34:B45), 2)</f>
        <v>9.5500000000000007</v>
      </c>
      <c r="C33" s="11"/>
      <c r="D33" s="6" t="s">
        <v>128</v>
      </c>
      <c r="E33" s="262">
        <v>9</v>
      </c>
      <c r="F33" s="4"/>
      <c r="G33" s="6" t="s">
        <v>145</v>
      </c>
      <c r="H33" s="262">
        <v>10</v>
      </c>
      <c r="I33" s="4"/>
      <c r="J33" s="6" t="s">
        <v>120</v>
      </c>
      <c r="K33" s="262">
        <v>9</v>
      </c>
      <c r="L33" s="4"/>
      <c r="M33" s="8" t="s">
        <v>137</v>
      </c>
      <c r="N33" s="262">
        <v>9</v>
      </c>
      <c r="O33" s="22"/>
      <c r="R33" s="59">
        <v>31</v>
      </c>
      <c r="S33" s="52" t="s">
        <v>341</v>
      </c>
      <c r="T33" s="52" t="s">
        <v>1851</v>
      </c>
      <c r="U33" s="69">
        <v>8.92</v>
      </c>
      <c r="V33" s="275">
        <v>8.9700000000000006</v>
      </c>
      <c r="W33" s="52">
        <v>8.75</v>
      </c>
      <c r="X33" s="52">
        <v>0.79</v>
      </c>
      <c r="Y33" s="52">
        <v>1</v>
      </c>
      <c r="Z33" s="52">
        <v>6</v>
      </c>
      <c r="AA33" s="52">
        <v>0</v>
      </c>
      <c r="AB33" s="52" t="s">
        <v>1090</v>
      </c>
      <c r="AC33" s="69">
        <v>1971</v>
      </c>
      <c r="AD33" s="69" t="s">
        <v>1967</v>
      </c>
      <c r="AK33" t="s">
        <v>366</v>
      </c>
    </row>
    <row r="34" spans="1:37">
      <c r="A34" s="13" t="s">
        <v>146</v>
      </c>
      <c r="B34" s="261">
        <v>9</v>
      </c>
      <c r="C34" s="11"/>
      <c r="D34" s="6" t="s">
        <v>129</v>
      </c>
      <c r="E34" s="262">
        <v>10.5</v>
      </c>
      <c r="F34" s="4"/>
      <c r="G34" s="6" t="s">
        <v>201</v>
      </c>
      <c r="H34" s="262"/>
      <c r="I34" s="4"/>
      <c r="J34" s="6" t="s">
        <v>121</v>
      </c>
      <c r="K34" s="262">
        <v>8</v>
      </c>
      <c r="L34" s="4"/>
      <c r="M34" s="8" t="s">
        <v>138</v>
      </c>
      <c r="N34" s="262">
        <v>8</v>
      </c>
      <c r="O34" s="22"/>
      <c r="R34" s="59">
        <v>32</v>
      </c>
      <c r="S34" s="68" t="s">
        <v>354</v>
      </c>
      <c r="T34" s="68" t="s">
        <v>1645</v>
      </c>
      <c r="U34" s="70">
        <v>8.94</v>
      </c>
      <c r="V34" s="217">
        <v>8.9499999999999993</v>
      </c>
      <c r="W34" s="68">
        <v>8.5</v>
      </c>
      <c r="X34" s="68">
        <v>0.76</v>
      </c>
      <c r="Y34" s="68">
        <v>2</v>
      </c>
      <c r="Z34" s="68">
        <v>10</v>
      </c>
      <c r="AA34" s="68">
        <v>1</v>
      </c>
      <c r="AB34" s="68" t="s">
        <v>1663</v>
      </c>
      <c r="AC34" s="70">
        <v>2000</v>
      </c>
      <c r="AD34" s="70" t="s">
        <v>1954</v>
      </c>
      <c r="AG34" s="135" t="s">
        <v>1072</v>
      </c>
      <c r="AH34" s="135"/>
      <c r="AK34" t="s">
        <v>367</v>
      </c>
    </row>
    <row r="35" spans="1:37">
      <c r="A35" s="6" t="s">
        <v>147</v>
      </c>
      <c r="B35" s="262">
        <v>10.5</v>
      </c>
      <c r="C35" s="11"/>
      <c r="D35" s="6" t="s">
        <v>130</v>
      </c>
      <c r="E35" s="262">
        <v>9.5</v>
      </c>
      <c r="F35" s="4"/>
      <c r="G35" s="6" t="s">
        <v>202</v>
      </c>
      <c r="H35" s="262">
        <v>10.5</v>
      </c>
      <c r="I35" s="4"/>
      <c r="J35" s="6" t="s">
        <v>122</v>
      </c>
      <c r="K35" s="262">
        <v>7</v>
      </c>
      <c r="L35" s="4"/>
      <c r="M35" s="8" t="s">
        <v>139</v>
      </c>
      <c r="N35" s="262">
        <v>9</v>
      </c>
      <c r="O35" s="22"/>
      <c r="R35" s="59">
        <v>33</v>
      </c>
      <c r="S35" s="52" t="s">
        <v>355</v>
      </c>
      <c r="T35" s="52" t="s">
        <v>1888</v>
      </c>
      <c r="U35" s="69">
        <v>8.9600000000000009</v>
      </c>
      <c r="V35" s="279">
        <v>8.93</v>
      </c>
      <c r="W35" s="52">
        <v>9</v>
      </c>
      <c r="X35" s="52">
        <v>0.59</v>
      </c>
      <c r="Y35" s="52">
        <v>2</v>
      </c>
      <c r="Z35" s="52">
        <v>12</v>
      </c>
      <c r="AA35" s="52">
        <v>0</v>
      </c>
      <c r="AB35" s="52" t="s">
        <v>1889</v>
      </c>
      <c r="AC35" s="69">
        <v>2003</v>
      </c>
      <c r="AD35" s="69" t="s">
        <v>1968</v>
      </c>
      <c r="AG35" s="68" t="s">
        <v>1073</v>
      </c>
      <c r="AH35" s="136" t="s">
        <v>1074</v>
      </c>
      <c r="AK35" t="s">
        <v>368</v>
      </c>
    </row>
    <row r="36" spans="1:37">
      <c r="A36" s="6" t="s">
        <v>148</v>
      </c>
      <c r="B36" s="262">
        <v>9.5</v>
      </c>
      <c r="C36" s="11"/>
      <c r="D36" s="6" t="s">
        <v>131</v>
      </c>
      <c r="E36" s="262">
        <v>8</v>
      </c>
      <c r="F36" s="4"/>
      <c r="G36" s="6" t="s">
        <v>203</v>
      </c>
      <c r="H36" s="262"/>
      <c r="I36" s="4"/>
      <c r="J36" s="6" t="s">
        <v>123</v>
      </c>
      <c r="K36" s="262"/>
      <c r="L36" s="4"/>
      <c r="M36" s="8" t="s">
        <v>140</v>
      </c>
      <c r="N36" s="262">
        <v>8.5</v>
      </c>
      <c r="O36" s="22"/>
      <c r="R36" s="59">
        <v>34</v>
      </c>
      <c r="S36" s="68" t="s">
        <v>1356</v>
      </c>
      <c r="T36" s="68" t="s">
        <v>1347</v>
      </c>
      <c r="U36" s="70">
        <v>8.9499999999999993</v>
      </c>
      <c r="V36" s="287">
        <v>8.91</v>
      </c>
      <c r="W36" s="68">
        <v>9</v>
      </c>
      <c r="X36" s="68">
        <v>0.54</v>
      </c>
      <c r="Y36" s="68">
        <v>1</v>
      </c>
      <c r="Z36" s="68">
        <v>11</v>
      </c>
      <c r="AA36" s="68">
        <v>0</v>
      </c>
      <c r="AB36" s="68" t="s">
        <v>1360</v>
      </c>
      <c r="AC36" s="70">
        <v>2025</v>
      </c>
      <c r="AD36" s="70" t="s">
        <v>1972</v>
      </c>
      <c r="AG36" s="52" t="s">
        <v>1075</v>
      </c>
      <c r="AH36" s="137" t="s">
        <v>1838</v>
      </c>
      <c r="AK36" t="s">
        <v>420</v>
      </c>
    </row>
    <row r="37" spans="1:37" ht="16.2" thickBot="1">
      <c r="A37" s="6" t="s">
        <v>149</v>
      </c>
      <c r="B37" s="262">
        <v>9.5</v>
      </c>
      <c r="C37" s="11"/>
      <c r="D37" s="9" t="s">
        <v>132</v>
      </c>
      <c r="E37" s="263">
        <v>8.5</v>
      </c>
      <c r="F37" s="4"/>
      <c r="G37" s="6" t="s">
        <v>204</v>
      </c>
      <c r="H37" s="262">
        <v>8.5</v>
      </c>
      <c r="I37" s="4"/>
      <c r="J37" s="6" t="s">
        <v>124</v>
      </c>
      <c r="K37" s="262">
        <v>7.5</v>
      </c>
      <c r="L37" s="4"/>
      <c r="M37" s="10" t="s">
        <v>141</v>
      </c>
      <c r="N37" s="263">
        <v>10</v>
      </c>
      <c r="O37" s="22"/>
      <c r="R37" s="59">
        <v>35</v>
      </c>
      <c r="S37" s="52" t="s">
        <v>1196</v>
      </c>
      <c r="T37" s="52" t="s">
        <v>2155</v>
      </c>
      <c r="U37" s="69">
        <v>8.7200000000000006</v>
      </c>
      <c r="V37" s="287">
        <v>8.91</v>
      </c>
      <c r="W37" s="52">
        <v>8.5</v>
      </c>
      <c r="X37" s="52">
        <v>0.85</v>
      </c>
      <c r="Y37" s="52">
        <v>5</v>
      </c>
      <c r="Z37" s="52">
        <v>30</v>
      </c>
      <c r="AA37" s="52">
        <v>1</v>
      </c>
      <c r="AB37" s="52" t="s">
        <v>1580</v>
      </c>
      <c r="AC37" s="69">
        <v>2013</v>
      </c>
      <c r="AD37" s="69" t="s">
        <v>2159</v>
      </c>
      <c r="AG37" s="68" t="s">
        <v>1076</v>
      </c>
      <c r="AH37" s="136" t="s">
        <v>2060</v>
      </c>
      <c r="AK37" t="s">
        <v>1275</v>
      </c>
    </row>
    <row r="38" spans="1:37" ht="16.2" thickBot="1">
      <c r="A38" s="6" t="s">
        <v>150</v>
      </c>
      <c r="B38" s="262">
        <v>10.5</v>
      </c>
      <c r="C38" s="4"/>
      <c r="D38" s="4"/>
      <c r="E38" s="4"/>
      <c r="F38" s="4"/>
      <c r="G38" s="6" t="s">
        <v>205</v>
      </c>
      <c r="H38" s="262"/>
      <c r="I38" s="4"/>
      <c r="J38" s="9" t="s">
        <v>125</v>
      </c>
      <c r="K38" s="263">
        <v>7.5</v>
      </c>
      <c r="L38" s="4"/>
      <c r="M38" s="21"/>
      <c r="N38" s="21"/>
      <c r="O38" s="22"/>
      <c r="R38" s="59">
        <v>36</v>
      </c>
      <c r="S38" s="68" t="s">
        <v>1196</v>
      </c>
      <c r="T38" s="68" t="s">
        <v>1577</v>
      </c>
      <c r="U38" s="70">
        <v>8.7200000000000006</v>
      </c>
      <c r="V38" s="53">
        <v>8.89</v>
      </c>
      <c r="W38" s="68">
        <v>8.5</v>
      </c>
      <c r="X38" s="68">
        <v>1.03</v>
      </c>
      <c r="Y38" s="68">
        <v>5</v>
      </c>
      <c r="Z38" s="68">
        <v>24</v>
      </c>
      <c r="AA38" s="68">
        <v>1</v>
      </c>
      <c r="AB38" s="68" t="s">
        <v>1580</v>
      </c>
      <c r="AC38" s="70">
        <v>2011</v>
      </c>
      <c r="AD38" s="70" t="s">
        <v>1969</v>
      </c>
      <c r="AG38" s="52" t="s">
        <v>1077</v>
      </c>
      <c r="AH38" s="137" t="s">
        <v>1839</v>
      </c>
    </row>
    <row r="39" spans="1:37" ht="18.600000000000001" thickBot="1">
      <c r="A39" s="6" t="s">
        <v>151</v>
      </c>
      <c r="B39" s="262">
        <v>9.5</v>
      </c>
      <c r="C39" s="4"/>
      <c r="D39" s="101" t="s">
        <v>894</v>
      </c>
      <c r="E39" s="3">
        <f>ROUND(SUM(E40:E52)/COUNT(E40:E52), 2)</f>
        <v>8.65</v>
      </c>
      <c r="F39" s="4"/>
      <c r="G39" s="6" t="s">
        <v>206</v>
      </c>
      <c r="H39" s="262">
        <v>9</v>
      </c>
      <c r="I39" s="4"/>
      <c r="J39" s="21"/>
      <c r="K39" s="21"/>
      <c r="L39" s="4"/>
      <c r="M39" s="28" t="s">
        <v>327</v>
      </c>
      <c r="N39" s="14">
        <f>ROUND(SUM(N40:N52)/COUNT(N40:N52), 2)</f>
        <v>9.2100000000000009</v>
      </c>
      <c r="O39" s="22"/>
      <c r="R39" s="59">
        <v>37</v>
      </c>
      <c r="S39" s="52" t="s">
        <v>730</v>
      </c>
      <c r="T39" s="52" t="s">
        <v>1451</v>
      </c>
      <c r="U39" s="69">
        <v>8.8800000000000008</v>
      </c>
      <c r="V39" s="53">
        <v>8.89</v>
      </c>
      <c r="W39" s="52">
        <v>8.5</v>
      </c>
      <c r="X39" s="52">
        <v>0.74</v>
      </c>
      <c r="Y39" s="52">
        <v>2</v>
      </c>
      <c r="Z39" s="52">
        <v>15</v>
      </c>
      <c r="AA39" s="52">
        <v>2</v>
      </c>
      <c r="AB39" s="52" t="s">
        <v>1452</v>
      </c>
      <c r="AC39" s="69">
        <v>2005</v>
      </c>
      <c r="AD39" s="69" t="s">
        <v>1960</v>
      </c>
      <c r="AK39" t="s">
        <v>798</v>
      </c>
    </row>
    <row r="40" spans="1:37" ht="18.600000000000001" thickBot="1">
      <c r="A40" s="6" t="s">
        <v>152</v>
      </c>
      <c r="B40" s="262"/>
      <c r="C40" s="4"/>
      <c r="D40" s="7" t="s">
        <v>164</v>
      </c>
      <c r="E40" s="261">
        <v>8.5</v>
      </c>
      <c r="F40" s="4"/>
      <c r="G40" s="6" t="s">
        <v>207</v>
      </c>
      <c r="H40" s="262"/>
      <c r="I40" s="4"/>
      <c r="J40" s="105" t="s">
        <v>898</v>
      </c>
      <c r="K40" s="14">
        <f>ROUND(SUM(K41:K52)/COUNT(K41:K52), 2)</f>
        <v>8.3800000000000008</v>
      </c>
      <c r="L40" s="4"/>
      <c r="M40" s="6" t="s">
        <v>176</v>
      </c>
      <c r="N40" s="261">
        <v>10</v>
      </c>
      <c r="O40" s="22"/>
      <c r="R40" s="59">
        <v>38</v>
      </c>
      <c r="S40" s="68" t="s">
        <v>1396</v>
      </c>
      <c r="T40" s="68" t="s">
        <v>1397</v>
      </c>
      <c r="U40" s="70">
        <v>8.82</v>
      </c>
      <c r="V40" s="218">
        <v>8.8800000000000008</v>
      </c>
      <c r="W40" s="68">
        <v>8.75</v>
      </c>
      <c r="X40" s="68">
        <v>0.92</v>
      </c>
      <c r="Y40" s="68">
        <v>3</v>
      </c>
      <c r="Z40" s="68">
        <v>16</v>
      </c>
      <c r="AA40" s="68">
        <v>2</v>
      </c>
      <c r="AB40" s="68" t="s">
        <v>1398</v>
      </c>
      <c r="AC40" s="70">
        <v>2015</v>
      </c>
      <c r="AD40" s="70" t="s">
        <v>1970</v>
      </c>
      <c r="AG40" s="135" t="s">
        <v>1078</v>
      </c>
      <c r="AH40" s="135"/>
    </row>
    <row r="41" spans="1:37">
      <c r="A41" s="6" t="s">
        <v>153</v>
      </c>
      <c r="B41" s="262">
        <v>9</v>
      </c>
      <c r="C41" s="4"/>
      <c r="D41" s="8" t="s">
        <v>165</v>
      </c>
      <c r="E41" s="262">
        <v>9</v>
      </c>
      <c r="F41" s="4"/>
      <c r="G41" s="6" t="s">
        <v>208</v>
      </c>
      <c r="H41" s="262">
        <v>10</v>
      </c>
      <c r="I41" s="4"/>
      <c r="J41" s="13" t="s">
        <v>190</v>
      </c>
      <c r="K41" s="261">
        <v>9</v>
      </c>
      <c r="L41" s="4"/>
      <c r="M41" s="6" t="s">
        <v>177</v>
      </c>
      <c r="N41" s="262">
        <v>9.5</v>
      </c>
      <c r="O41" s="22"/>
      <c r="R41" s="59">
        <v>39</v>
      </c>
      <c r="S41" s="52" t="s">
        <v>1515</v>
      </c>
      <c r="T41" s="52" t="s">
        <v>1516</v>
      </c>
      <c r="U41" s="69">
        <v>8.93</v>
      </c>
      <c r="V41" s="218">
        <v>8.8800000000000008</v>
      </c>
      <c r="W41" s="52">
        <v>9</v>
      </c>
      <c r="X41" s="52">
        <v>0.73</v>
      </c>
      <c r="Y41" s="52">
        <v>1</v>
      </c>
      <c r="Z41" s="52">
        <v>7</v>
      </c>
      <c r="AA41" s="52">
        <v>0</v>
      </c>
      <c r="AB41" s="52" t="s">
        <v>1519</v>
      </c>
      <c r="AC41" s="69">
        <v>2000</v>
      </c>
      <c r="AD41" s="69" t="s">
        <v>1966</v>
      </c>
      <c r="AG41" s="68" t="s">
        <v>1079</v>
      </c>
      <c r="AH41" s="136" t="s">
        <v>2212</v>
      </c>
    </row>
    <row r="42" spans="1:37">
      <c r="A42" s="6" t="s">
        <v>154</v>
      </c>
      <c r="B42" s="262">
        <v>9.5</v>
      </c>
      <c r="C42" s="4"/>
      <c r="D42" s="8" t="s">
        <v>166</v>
      </c>
      <c r="E42" s="262">
        <v>8.5</v>
      </c>
      <c r="F42" s="4"/>
      <c r="G42" s="6" t="s">
        <v>209</v>
      </c>
      <c r="H42" s="262"/>
      <c r="I42" s="4"/>
      <c r="J42" s="6" t="s">
        <v>191</v>
      </c>
      <c r="K42" s="262">
        <v>8.5</v>
      </c>
      <c r="L42" s="4"/>
      <c r="M42" s="6" t="s">
        <v>178</v>
      </c>
      <c r="N42" s="262">
        <v>9</v>
      </c>
      <c r="O42" s="22"/>
      <c r="R42" s="59">
        <v>40</v>
      </c>
      <c r="S42" s="68" t="s">
        <v>1619</v>
      </c>
      <c r="T42" s="68" t="s">
        <v>1620</v>
      </c>
      <c r="U42" s="70">
        <v>8.9</v>
      </c>
      <c r="V42" s="218">
        <v>8.8800000000000008</v>
      </c>
      <c r="W42" s="68">
        <v>9</v>
      </c>
      <c r="X42" s="68">
        <v>0.66</v>
      </c>
      <c r="Y42" s="68">
        <v>1</v>
      </c>
      <c r="Z42" s="68">
        <v>5</v>
      </c>
      <c r="AA42" s="68">
        <v>0</v>
      </c>
      <c r="AB42" s="68" t="s">
        <v>1621</v>
      </c>
      <c r="AC42" s="70">
        <v>1974</v>
      </c>
      <c r="AD42" s="70" t="s">
        <v>1955</v>
      </c>
      <c r="AG42" s="52" t="s">
        <v>1080</v>
      </c>
      <c r="AH42" s="137">
        <v>88</v>
      </c>
      <c r="AK42" t="s">
        <v>1017</v>
      </c>
    </row>
    <row r="43" spans="1:37">
      <c r="A43" s="6" t="s">
        <v>155</v>
      </c>
      <c r="B43" s="262">
        <v>9.5</v>
      </c>
      <c r="C43" s="4"/>
      <c r="D43" s="8" t="s">
        <v>167</v>
      </c>
      <c r="E43" s="262">
        <v>10</v>
      </c>
      <c r="F43" s="4"/>
      <c r="G43" s="6" t="s">
        <v>210</v>
      </c>
      <c r="H43" s="262">
        <v>9.5</v>
      </c>
      <c r="I43" s="4"/>
      <c r="J43" s="6" t="s">
        <v>192</v>
      </c>
      <c r="K43" s="262">
        <v>9</v>
      </c>
      <c r="L43" s="4"/>
      <c r="M43" s="6" t="s">
        <v>179</v>
      </c>
      <c r="N43" s="262">
        <v>10.5</v>
      </c>
      <c r="O43" s="22"/>
      <c r="R43" s="59">
        <v>41</v>
      </c>
      <c r="S43" s="52" t="s">
        <v>1774</v>
      </c>
      <c r="T43" s="52" t="s">
        <v>1775</v>
      </c>
      <c r="U43" s="69">
        <v>8.91</v>
      </c>
      <c r="V43" s="218">
        <v>8.8800000000000008</v>
      </c>
      <c r="W43" s="52">
        <v>9</v>
      </c>
      <c r="X43" s="52">
        <v>0.67</v>
      </c>
      <c r="Y43" s="52">
        <v>2</v>
      </c>
      <c r="Z43" s="52">
        <v>11</v>
      </c>
      <c r="AA43" s="52">
        <v>0</v>
      </c>
      <c r="AB43" s="52" t="s">
        <v>1110</v>
      </c>
      <c r="AC43" s="69">
        <v>1994</v>
      </c>
      <c r="AD43" s="69" t="s">
        <v>1971</v>
      </c>
      <c r="AG43" s="68" t="s">
        <v>1081</v>
      </c>
      <c r="AH43" s="136" t="s">
        <v>2072</v>
      </c>
    </row>
    <row r="44" spans="1:37">
      <c r="A44" s="6" t="s">
        <v>156</v>
      </c>
      <c r="B44" s="262">
        <v>10</v>
      </c>
      <c r="C44" s="4"/>
      <c r="D44" s="8" t="s">
        <v>168</v>
      </c>
      <c r="E44" s="262">
        <v>9</v>
      </c>
      <c r="F44" s="4"/>
      <c r="G44" s="6" t="s">
        <v>211</v>
      </c>
      <c r="H44" s="262"/>
      <c r="I44" s="4"/>
      <c r="J44" s="6" t="s">
        <v>193</v>
      </c>
      <c r="K44" s="262">
        <v>9.5</v>
      </c>
      <c r="L44" s="4"/>
      <c r="M44" s="6" t="s">
        <v>180</v>
      </c>
      <c r="N44" s="262">
        <v>8.5</v>
      </c>
      <c r="O44" s="22"/>
      <c r="R44" s="59">
        <v>42</v>
      </c>
      <c r="S44" s="68" t="s">
        <v>348</v>
      </c>
      <c r="T44" s="68" t="s">
        <v>349</v>
      </c>
      <c r="U44" s="70">
        <v>8.89</v>
      </c>
      <c r="V44" s="219">
        <v>8.8699999999999992</v>
      </c>
      <c r="W44" s="68">
        <v>9</v>
      </c>
      <c r="X44" s="68">
        <v>0.7</v>
      </c>
      <c r="Y44" s="68">
        <v>2</v>
      </c>
      <c r="Z44" s="68">
        <v>9</v>
      </c>
      <c r="AA44" s="68">
        <v>0</v>
      </c>
      <c r="AB44" s="68" t="s">
        <v>772</v>
      </c>
      <c r="AC44" s="70">
        <v>2020</v>
      </c>
      <c r="AD44" s="70" t="s">
        <v>1972</v>
      </c>
      <c r="AG44" s="52" t="s">
        <v>1082</v>
      </c>
      <c r="AH44" s="137" t="s">
        <v>2200</v>
      </c>
    </row>
    <row r="45" spans="1:37" ht="16.2" thickBot="1">
      <c r="A45" s="9" t="s">
        <v>157</v>
      </c>
      <c r="B45" s="263">
        <v>8.5</v>
      </c>
      <c r="C45" s="4"/>
      <c r="D45" s="8" t="s">
        <v>160</v>
      </c>
      <c r="E45" s="262">
        <v>8</v>
      </c>
      <c r="F45" s="4"/>
      <c r="G45" s="6" t="s">
        <v>212</v>
      </c>
      <c r="H45" s="263">
        <v>8.5</v>
      </c>
      <c r="I45" s="4"/>
      <c r="J45" s="6" t="s">
        <v>194</v>
      </c>
      <c r="K45" s="262">
        <v>7.5</v>
      </c>
      <c r="L45" s="4"/>
      <c r="M45" s="6" t="s">
        <v>181</v>
      </c>
      <c r="N45" s="262">
        <v>8</v>
      </c>
      <c r="O45" s="22"/>
      <c r="R45" s="59">
        <v>43</v>
      </c>
      <c r="S45" s="52" t="s">
        <v>350</v>
      </c>
      <c r="T45" s="52" t="s">
        <v>350</v>
      </c>
      <c r="U45" s="69">
        <v>8.83</v>
      </c>
      <c r="V45" s="177">
        <v>8.86</v>
      </c>
      <c r="W45" s="52">
        <v>8.5</v>
      </c>
      <c r="X45" s="52">
        <v>0.82</v>
      </c>
      <c r="Y45" s="52">
        <v>2</v>
      </c>
      <c r="Z45" s="52">
        <v>9</v>
      </c>
      <c r="AA45" s="52">
        <v>0</v>
      </c>
      <c r="AB45" s="52" t="s">
        <v>1228</v>
      </c>
      <c r="AC45" s="69">
        <v>1978</v>
      </c>
      <c r="AD45" s="69" t="s">
        <v>1954</v>
      </c>
      <c r="AG45" s="68" t="s">
        <v>1083</v>
      </c>
      <c r="AH45" s="136" t="s">
        <v>1084</v>
      </c>
    </row>
    <row r="46" spans="1:37" ht="16.2" thickBot="1">
      <c r="A46" s="19"/>
      <c r="B46" s="19"/>
      <c r="C46" s="4"/>
      <c r="D46" s="8" t="s">
        <v>169</v>
      </c>
      <c r="E46" s="262">
        <v>9</v>
      </c>
      <c r="F46" s="4"/>
      <c r="G46" s="19"/>
      <c r="H46" s="19"/>
      <c r="I46" s="4"/>
      <c r="J46" s="6" t="s">
        <v>195</v>
      </c>
      <c r="K46" s="262">
        <v>10</v>
      </c>
      <c r="L46" s="4"/>
      <c r="M46" s="6" t="s">
        <v>182</v>
      </c>
      <c r="N46" s="262">
        <v>8.5</v>
      </c>
      <c r="O46" s="22"/>
      <c r="R46" s="59">
        <v>44</v>
      </c>
      <c r="S46" s="68" t="s">
        <v>354</v>
      </c>
      <c r="T46" s="68" t="s">
        <v>1006</v>
      </c>
      <c r="U46" s="70">
        <v>8.73</v>
      </c>
      <c r="V46" s="178">
        <v>8.85</v>
      </c>
      <c r="W46" s="68">
        <v>9</v>
      </c>
      <c r="X46" s="68">
        <v>0.96</v>
      </c>
      <c r="Y46" s="68">
        <v>2</v>
      </c>
      <c r="Z46" s="68">
        <v>11</v>
      </c>
      <c r="AA46" s="68">
        <v>0</v>
      </c>
      <c r="AB46" s="68" t="s">
        <v>1012</v>
      </c>
      <c r="AC46" s="70">
        <v>2002</v>
      </c>
      <c r="AD46" s="70" t="s">
        <v>1956</v>
      </c>
    </row>
    <row r="47" spans="1:37" ht="18.600000000000001" thickBot="1">
      <c r="A47" s="100" t="s">
        <v>893</v>
      </c>
      <c r="B47" s="14">
        <f>ROUND(SUM(B48:B57)/COUNT(B48:B57), 2)</f>
        <v>8.7799999999999994</v>
      </c>
      <c r="C47" s="4"/>
      <c r="D47" s="8" t="s">
        <v>170</v>
      </c>
      <c r="E47" s="262">
        <v>8.5</v>
      </c>
      <c r="F47" s="22"/>
      <c r="G47" s="106" t="s">
        <v>899</v>
      </c>
      <c r="H47" s="3">
        <f>ROUND(SUM(H48:H55)/COUNT(H48:H55), 2)</f>
        <v>9.3800000000000008</v>
      </c>
      <c r="I47" s="4"/>
      <c r="J47" s="6" t="s">
        <v>196</v>
      </c>
      <c r="K47" s="262">
        <v>8</v>
      </c>
      <c r="L47" s="4"/>
      <c r="M47" s="6" t="s">
        <v>183</v>
      </c>
      <c r="N47" s="262">
        <v>8.5</v>
      </c>
      <c r="O47" s="22"/>
      <c r="R47" s="59">
        <v>45</v>
      </c>
      <c r="S47" s="52" t="s">
        <v>350</v>
      </c>
      <c r="T47" s="52" t="s">
        <v>95</v>
      </c>
      <c r="U47" s="69">
        <v>8.83</v>
      </c>
      <c r="V47" s="220">
        <v>8.84</v>
      </c>
      <c r="W47" s="52">
        <v>8.5</v>
      </c>
      <c r="X47" s="52">
        <v>0.94</v>
      </c>
      <c r="Y47" s="52">
        <v>2</v>
      </c>
      <c r="Z47" s="52">
        <v>9</v>
      </c>
      <c r="AA47" s="52">
        <v>0</v>
      </c>
      <c r="AB47" s="52" t="s">
        <v>773</v>
      </c>
      <c r="AC47" s="69">
        <v>1985</v>
      </c>
      <c r="AD47" s="69" t="s">
        <v>1956</v>
      </c>
      <c r="AG47" s="135" t="s">
        <v>1085</v>
      </c>
      <c r="AH47" s="135"/>
    </row>
    <row r="48" spans="1:37">
      <c r="A48" s="7" t="s">
        <v>255</v>
      </c>
      <c r="B48" s="261"/>
      <c r="C48" s="4"/>
      <c r="D48" s="8" t="s">
        <v>171</v>
      </c>
      <c r="E48" s="262">
        <v>8</v>
      </c>
      <c r="F48" s="4"/>
      <c r="G48" s="7" t="s">
        <v>213</v>
      </c>
      <c r="H48" s="261">
        <v>10</v>
      </c>
      <c r="I48" s="4"/>
      <c r="J48" s="6" t="s">
        <v>162</v>
      </c>
      <c r="K48" s="262">
        <v>7.5</v>
      </c>
      <c r="L48" s="4"/>
      <c r="M48" s="6" t="s">
        <v>184</v>
      </c>
      <c r="N48" s="262">
        <v>10</v>
      </c>
      <c r="O48" s="22"/>
      <c r="R48" s="59">
        <v>46</v>
      </c>
      <c r="S48" s="68" t="s">
        <v>1548</v>
      </c>
      <c r="T48" s="68" t="s">
        <v>1549</v>
      </c>
      <c r="U48" s="70">
        <v>8.82</v>
      </c>
      <c r="V48" s="220">
        <v>8.84</v>
      </c>
      <c r="W48" s="68">
        <v>8.5</v>
      </c>
      <c r="X48" s="68">
        <v>0.81</v>
      </c>
      <c r="Y48" s="68">
        <v>2</v>
      </c>
      <c r="Z48" s="68">
        <v>12</v>
      </c>
      <c r="AA48" s="68">
        <v>1</v>
      </c>
      <c r="AB48" s="68" t="s">
        <v>790</v>
      </c>
      <c r="AC48" s="70">
        <v>2005</v>
      </c>
      <c r="AD48" s="70" t="s">
        <v>1965</v>
      </c>
      <c r="AG48" s="52" t="s">
        <v>1086</v>
      </c>
      <c r="AH48" s="137" t="s">
        <v>2201</v>
      </c>
    </row>
    <row r="49" spans="1:34">
      <c r="A49" s="8" t="s">
        <v>256</v>
      </c>
      <c r="B49" s="262">
        <v>10</v>
      </c>
      <c r="C49" s="4"/>
      <c r="D49" s="8" t="s">
        <v>172</v>
      </c>
      <c r="E49" s="262">
        <v>10</v>
      </c>
      <c r="F49" s="4"/>
      <c r="G49" s="8" t="s">
        <v>214</v>
      </c>
      <c r="H49" s="262">
        <v>9.5</v>
      </c>
      <c r="I49" s="4"/>
      <c r="J49" s="6" t="s">
        <v>197</v>
      </c>
      <c r="K49" s="262">
        <v>7</v>
      </c>
      <c r="L49" s="4"/>
      <c r="M49" s="6" t="s">
        <v>185</v>
      </c>
      <c r="N49" s="262"/>
      <c r="O49" s="22"/>
      <c r="R49" s="59">
        <v>47</v>
      </c>
      <c r="S49" s="52" t="s">
        <v>1407</v>
      </c>
      <c r="T49" s="52" t="s">
        <v>1400</v>
      </c>
      <c r="U49" s="69">
        <v>8.86</v>
      </c>
      <c r="V49" s="220">
        <v>8.83</v>
      </c>
      <c r="W49" s="52">
        <v>9</v>
      </c>
      <c r="X49" s="52">
        <v>0.69</v>
      </c>
      <c r="Y49" s="52">
        <v>1</v>
      </c>
      <c r="Z49" s="52">
        <v>7</v>
      </c>
      <c r="AA49" s="52">
        <v>0</v>
      </c>
      <c r="AB49" s="52" t="s">
        <v>1409</v>
      </c>
      <c r="AC49" s="69">
        <v>1971</v>
      </c>
      <c r="AD49" s="69" t="s">
        <v>1973</v>
      </c>
      <c r="AG49" s="68" t="s">
        <v>1092</v>
      </c>
      <c r="AH49" s="136" t="s">
        <v>1152</v>
      </c>
    </row>
    <row r="50" spans="1:34">
      <c r="A50" s="8" t="s">
        <v>257</v>
      </c>
      <c r="B50" s="262">
        <v>9</v>
      </c>
      <c r="C50" s="4"/>
      <c r="D50" s="8" t="s">
        <v>173</v>
      </c>
      <c r="E50" s="262">
        <v>8.5</v>
      </c>
      <c r="F50" s="4"/>
      <c r="G50" s="8" t="s">
        <v>215</v>
      </c>
      <c r="H50" s="262">
        <v>9.5</v>
      </c>
      <c r="I50" s="4"/>
      <c r="J50" s="6" t="s">
        <v>198</v>
      </c>
      <c r="K50" s="262">
        <v>7</v>
      </c>
      <c r="L50" s="4"/>
      <c r="M50" s="6" t="s">
        <v>186</v>
      </c>
      <c r="N50" s="262">
        <v>8</v>
      </c>
      <c r="O50" s="22"/>
      <c r="R50" s="59">
        <v>48</v>
      </c>
      <c r="S50" s="68" t="s">
        <v>1724</v>
      </c>
      <c r="T50" s="68" t="s">
        <v>2189</v>
      </c>
      <c r="U50" s="70">
        <v>8.81</v>
      </c>
      <c r="V50" s="220">
        <v>8.83</v>
      </c>
      <c r="W50" s="68">
        <v>8.5</v>
      </c>
      <c r="X50" s="68">
        <v>0.79</v>
      </c>
      <c r="Y50" s="68">
        <v>1</v>
      </c>
      <c r="Z50" s="68">
        <v>8</v>
      </c>
      <c r="AA50" s="68">
        <v>0</v>
      </c>
      <c r="AB50" s="68" t="s">
        <v>1378</v>
      </c>
      <c r="AC50" s="70">
        <v>1988</v>
      </c>
      <c r="AD50" s="70" t="s">
        <v>1948</v>
      </c>
      <c r="AG50" s="52" t="s">
        <v>1088</v>
      </c>
      <c r="AH50" s="137" t="s">
        <v>1089</v>
      </c>
    </row>
    <row r="51" spans="1:34">
      <c r="A51" s="8" t="s">
        <v>258</v>
      </c>
      <c r="B51" s="262">
        <v>9</v>
      </c>
      <c r="C51" s="4"/>
      <c r="D51" s="8" t="s">
        <v>174</v>
      </c>
      <c r="E51" s="262">
        <v>8</v>
      </c>
      <c r="F51" s="4"/>
      <c r="G51" s="8" t="s">
        <v>216</v>
      </c>
      <c r="H51" s="262">
        <v>10.5</v>
      </c>
      <c r="I51" s="4"/>
      <c r="J51" s="6" t="s">
        <v>199</v>
      </c>
      <c r="K51" s="262">
        <v>7.5</v>
      </c>
      <c r="L51" s="4"/>
      <c r="M51" s="6" t="s">
        <v>187</v>
      </c>
      <c r="N51" s="262">
        <v>10</v>
      </c>
      <c r="O51" s="22"/>
      <c r="R51" s="59">
        <v>49</v>
      </c>
      <c r="S51" s="52" t="s">
        <v>597</v>
      </c>
      <c r="T51" s="52" t="s">
        <v>598</v>
      </c>
      <c r="U51" s="69">
        <v>8.7799999999999994</v>
      </c>
      <c r="V51" s="179">
        <v>8.7899999999999991</v>
      </c>
      <c r="W51" s="52">
        <v>8.5</v>
      </c>
      <c r="X51" s="52">
        <v>0.97</v>
      </c>
      <c r="Y51" s="52">
        <v>2</v>
      </c>
      <c r="Z51" s="52">
        <v>9</v>
      </c>
      <c r="AA51" s="52">
        <v>0</v>
      </c>
      <c r="AB51" s="52" t="s">
        <v>833</v>
      </c>
      <c r="AC51" s="69">
        <v>1983</v>
      </c>
      <c r="AD51" s="69" t="s">
        <v>1957</v>
      </c>
      <c r="AG51" s="68" t="s">
        <v>1091</v>
      </c>
      <c r="AH51" s="136" t="s">
        <v>2015</v>
      </c>
    </row>
    <row r="52" spans="1:34" ht="16.2" thickBot="1">
      <c r="A52" s="8" t="s">
        <v>259</v>
      </c>
      <c r="B52" s="262">
        <v>8</v>
      </c>
      <c r="C52" s="4"/>
      <c r="D52" s="10" t="s">
        <v>175</v>
      </c>
      <c r="E52" s="263">
        <v>7.5</v>
      </c>
      <c r="F52" s="4"/>
      <c r="G52" s="8" t="s">
        <v>217</v>
      </c>
      <c r="H52" s="262">
        <v>8.5</v>
      </c>
      <c r="I52" s="4"/>
      <c r="J52" s="9" t="s">
        <v>200</v>
      </c>
      <c r="K52" s="263">
        <v>10</v>
      </c>
      <c r="L52" s="4"/>
      <c r="M52" s="9" t="s">
        <v>188</v>
      </c>
      <c r="N52" s="263">
        <v>10</v>
      </c>
      <c r="O52" s="22"/>
      <c r="R52" s="59">
        <v>50</v>
      </c>
      <c r="S52" s="68" t="s">
        <v>346</v>
      </c>
      <c r="T52" s="68" t="s">
        <v>640</v>
      </c>
      <c r="U52" s="70">
        <v>8.77</v>
      </c>
      <c r="V52" s="179">
        <v>8.7899999999999991</v>
      </c>
      <c r="W52" s="68">
        <v>8.5</v>
      </c>
      <c r="X52" s="68">
        <v>0.99</v>
      </c>
      <c r="Y52" s="68">
        <v>3</v>
      </c>
      <c r="Z52" s="68">
        <v>13</v>
      </c>
      <c r="AA52" s="68">
        <v>0</v>
      </c>
      <c r="AB52" s="68" t="s">
        <v>771</v>
      </c>
      <c r="AC52" s="70">
        <v>2013</v>
      </c>
      <c r="AD52" s="70" t="s">
        <v>1974</v>
      </c>
      <c r="AG52" s="52" t="s">
        <v>1114</v>
      </c>
      <c r="AH52" s="137" t="s">
        <v>1823</v>
      </c>
    </row>
    <row r="53" spans="1:34" ht="16.2" thickBot="1">
      <c r="A53" s="8" t="s">
        <v>260</v>
      </c>
      <c r="B53" s="262">
        <v>8</v>
      </c>
      <c r="C53" s="4"/>
      <c r="D53" s="19"/>
      <c r="E53" s="21"/>
      <c r="F53" s="4"/>
      <c r="G53" s="8" t="s">
        <v>218</v>
      </c>
      <c r="H53" s="262">
        <v>8</v>
      </c>
      <c r="I53" s="4"/>
      <c r="J53" s="21"/>
      <c r="K53" s="21"/>
      <c r="L53" s="4"/>
      <c r="M53" s="21"/>
      <c r="N53" s="21"/>
      <c r="O53" s="22"/>
      <c r="R53" s="59">
        <v>51</v>
      </c>
      <c r="S53" s="52" t="s">
        <v>830</v>
      </c>
      <c r="T53" s="52" t="s">
        <v>831</v>
      </c>
      <c r="U53" s="69">
        <v>8.82</v>
      </c>
      <c r="V53" s="179">
        <v>8.7899999999999991</v>
      </c>
      <c r="W53" s="52">
        <v>9</v>
      </c>
      <c r="X53" s="52">
        <v>0.86</v>
      </c>
      <c r="Y53" s="52">
        <v>3</v>
      </c>
      <c r="Z53" s="52">
        <v>13</v>
      </c>
      <c r="AA53" s="52">
        <v>2</v>
      </c>
      <c r="AB53" s="52" t="s">
        <v>832</v>
      </c>
      <c r="AC53" s="69">
        <v>2010</v>
      </c>
      <c r="AD53" s="69" t="s">
        <v>1975</v>
      </c>
      <c r="AG53" s="68" t="s">
        <v>1093</v>
      </c>
      <c r="AH53" s="136" t="s">
        <v>1094</v>
      </c>
    </row>
    <row r="54" spans="1:34" ht="18.600000000000001" thickBot="1">
      <c r="A54" s="8" t="s">
        <v>261</v>
      </c>
      <c r="B54" s="262">
        <v>8</v>
      </c>
      <c r="C54" s="4"/>
      <c r="D54" s="99" t="s">
        <v>892</v>
      </c>
      <c r="E54" s="14">
        <f>ROUND(SUM(E55:E63)/COUNT(E55:E63), 2)</f>
        <v>9</v>
      </c>
      <c r="F54" s="4"/>
      <c r="G54" s="8" t="s">
        <v>219</v>
      </c>
      <c r="H54" s="262">
        <v>9</v>
      </c>
      <c r="I54" s="22"/>
      <c r="J54" s="58" t="s">
        <v>407</v>
      </c>
      <c r="K54" s="3">
        <f>ROUND(SUM(K55:K64)/COUNT(K55:K64), 2)</f>
        <v>8.35</v>
      </c>
      <c r="L54" s="4"/>
      <c r="M54" s="98" t="s">
        <v>891</v>
      </c>
      <c r="N54" s="14">
        <f>ROUND(SUM(N55:N65)/COUNT(N55:N65), 2)</f>
        <v>9.15</v>
      </c>
      <c r="O54" s="22"/>
      <c r="R54" s="59">
        <v>52</v>
      </c>
      <c r="S54" s="68" t="s">
        <v>1301</v>
      </c>
      <c r="T54" s="68" t="s">
        <v>1302</v>
      </c>
      <c r="U54" s="70">
        <v>8.67</v>
      </c>
      <c r="V54" s="179">
        <v>8.7899999999999991</v>
      </c>
      <c r="W54" s="68">
        <v>9</v>
      </c>
      <c r="X54" s="68">
        <v>1.08</v>
      </c>
      <c r="Y54" s="68">
        <v>2</v>
      </c>
      <c r="Z54" s="68">
        <v>9</v>
      </c>
      <c r="AA54" s="68">
        <v>0</v>
      </c>
      <c r="AB54" s="68" t="s">
        <v>1306</v>
      </c>
      <c r="AC54" s="70">
        <v>2008</v>
      </c>
      <c r="AD54" s="70" t="s">
        <v>1976</v>
      </c>
      <c r="AG54" s="52" t="s">
        <v>1095</v>
      </c>
      <c r="AH54" s="137" t="s">
        <v>1094</v>
      </c>
    </row>
    <row r="55" spans="1:34" ht="16.2" thickBot="1">
      <c r="A55" s="8" t="s">
        <v>262</v>
      </c>
      <c r="B55" s="262">
        <v>8</v>
      </c>
      <c r="C55" s="4"/>
      <c r="D55" s="7" t="s">
        <v>266</v>
      </c>
      <c r="E55" s="261">
        <v>10</v>
      </c>
      <c r="F55" s="4"/>
      <c r="G55" s="10" t="s">
        <v>220</v>
      </c>
      <c r="H55" s="263">
        <v>10</v>
      </c>
      <c r="I55" s="4"/>
      <c r="J55" s="7" t="s">
        <v>302</v>
      </c>
      <c r="K55" s="261">
        <v>10</v>
      </c>
      <c r="L55" s="4"/>
      <c r="M55" s="7" t="s">
        <v>291</v>
      </c>
      <c r="N55" s="261">
        <v>10</v>
      </c>
      <c r="O55" s="22"/>
      <c r="R55" s="59">
        <v>53</v>
      </c>
      <c r="S55" s="52" t="s">
        <v>1701</v>
      </c>
      <c r="T55" s="52" t="s">
        <v>1700</v>
      </c>
      <c r="U55" s="69">
        <v>8.85</v>
      </c>
      <c r="V55" s="221">
        <v>8.7799999999999994</v>
      </c>
      <c r="W55" s="52">
        <v>8.75</v>
      </c>
      <c r="X55" s="52">
        <v>0.55000000000000004</v>
      </c>
      <c r="Y55" s="52">
        <v>1</v>
      </c>
      <c r="Z55" s="52">
        <v>10</v>
      </c>
      <c r="AA55" s="52">
        <v>0</v>
      </c>
      <c r="AB55" s="52" t="s">
        <v>1702</v>
      </c>
      <c r="AC55" s="69">
        <v>2014</v>
      </c>
      <c r="AD55" s="69" t="s">
        <v>1977</v>
      </c>
      <c r="AG55" s="68" t="s">
        <v>1087</v>
      </c>
      <c r="AH55" s="136" t="s">
        <v>1891</v>
      </c>
    </row>
    <row r="56" spans="1:34" ht="16.2" thickBot="1">
      <c r="A56" s="8" t="s">
        <v>263</v>
      </c>
      <c r="B56" s="262">
        <v>10</v>
      </c>
      <c r="C56" s="4"/>
      <c r="D56" s="8" t="s">
        <v>267</v>
      </c>
      <c r="E56" s="262">
        <v>9.5</v>
      </c>
      <c r="F56" s="4"/>
      <c r="G56" s="21"/>
      <c r="H56" s="21"/>
      <c r="I56" s="4"/>
      <c r="J56" s="8" t="s">
        <v>303</v>
      </c>
      <c r="K56" s="262">
        <v>9</v>
      </c>
      <c r="L56" s="4"/>
      <c r="M56" s="8" t="s">
        <v>292</v>
      </c>
      <c r="N56" s="262">
        <v>8.5</v>
      </c>
      <c r="O56" s="22"/>
      <c r="R56" s="59">
        <v>54</v>
      </c>
      <c r="S56" s="68" t="s">
        <v>340</v>
      </c>
      <c r="T56" s="68" t="s">
        <v>1417</v>
      </c>
      <c r="U56" s="70">
        <v>8.83</v>
      </c>
      <c r="V56" s="180">
        <v>8.77</v>
      </c>
      <c r="W56" s="68">
        <v>8.75</v>
      </c>
      <c r="X56" s="68">
        <v>0.62</v>
      </c>
      <c r="Y56" s="68">
        <v>1</v>
      </c>
      <c r="Z56" s="68">
        <v>6</v>
      </c>
      <c r="AA56" s="68">
        <v>0</v>
      </c>
      <c r="AB56" s="68" t="s">
        <v>1420</v>
      </c>
      <c r="AC56" s="70">
        <v>2023</v>
      </c>
      <c r="AD56" s="70" t="s">
        <v>1978</v>
      </c>
      <c r="AG56" s="52" t="s">
        <v>1090</v>
      </c>
      <c r="AH56" s="137" t="s">
        <v>2193</v>
      </c>
    </row>
    <row r="57" spans="1:34" ht="18.600000000000001" thickBot="1">
      <c r="A57" s="10" t="s">
        <v>264</v>
      </c>
      <c r="B57" s="263">
        <v>9</v>
      </c>
      <c r="C57" s="4"/>
      <c r="D57" s="8" t="s">
        <v>268</v>
      </c>
      <c r="E57" s="262">
        <v>8</v>
      </c>
      <c r="F57" s="22"/>
      <c r="G57" s="297" t="s">
        <v>2124</v>
      </c>
      <c r="H57" s="3">
        <f>ROUND(SUM(H58:H67)/COUNT(H58:H67), 2)</f>
        <v>8.35</v>
      </c>
      <c r="I57" s="4"/>
      <c r="J57" s="8" t="s">
        <v>304</v>
      </c>
      <c r="K57" s="262">
        <v>8</v>
      </c>
      <c r="L57" s="4"/>
      <c r="M57" s="8" t="s">
        <v>293</v>
      </c>
      <c r="N57" s="262">
        <v>9</v>
      </c>
      <c r="O57" s="22"/>
      <c r="R57" s="59">
        <v>55</v>
      </c>
      <c r="S57" s="52" t="s">
        <v>1808</v>
      </c>
      <c r="T57" s="52" t="s">
        <v>1809</v>
      </c>
      <c r="U57" s="69">
        <v>8.83</v>
      </c>
      <c r="V57" s="180">
        <v>8.77</v>
      </c>
      <c r="W57" s="52">
        <v>8.75</v>
      </c>
      <c r="X57" s="52">
        <v>0.62</v>
      </c>
      <c r="Y57" s="52">
        <v>1</v>
      </c>
      <c r="Z57" s="52">
        <v>6</v>
      </c>
      <c r="AA57" s="52">
        <v>0</v>
      </c>
      <c r="AB57" s="52" t="s">
        <v>1813</v>
      </c>
      <c r="AC57" s="69">
        <v>1991</v>
      </c>
      <c r="AD57" s="69" t="s">
        <v>1978</v>
      </c>
      <c r="AG57" s="68" t="s">
        <v>773</v>
      </c>
      <c r="AH57" s="136" t="s">
        <v>1153</v>
      </c>
    </row>
    <row r="58" spans="1:34" ht="16.2" thickBot="1">
      <c r="A58" s="21"/>
      <c r="B58" s="21"/>
      <c r="C58" s="4"/>
      <c r="D58" s="8" t="s">
        <v>269</v>
      </c>
      <c r="E58" s="262">
        <v>8.5</v>
      </c>
      <c r="F58" s="4"/>
      <c r="G58" s="7" t="s">
        <v>313</v>
      </c>
      <c r="H58" s="261">
        <v>8</v>
      </c>
      <c r="I58" s="4"/>
      <c r="J58" s="8" t="s">
        <v>305</v>
      </c>
      <c r="K58" s="262">
        <v>7</v>
      </c>
      <c r="L58" s="4"/>
      <c r="M58" s="8" t="s">
        <v>294</v>
      </c>
      <c r="N58" s="262">
        <v>10.5</v>
      </c>
      <c r="O58" s="22"/>
      <c r="R58" s="59">
        <v>56</v>
      </c>
      <c r="S58" s="68" t="s">
        <v>355</v>
      </c>
      <c r="T58" s="68" t="s">
        <v>1201</v>
      </c>
      <c r="U58" s="70">
        <v>8.73</v>
      </c>
      <c r="V58" s="131">
        <v>8.76</v>
      </c>
      <c r="W58" s="68">
        <v>8.5</v>
      </c>
      <c r="X58" s="68">
        <v>0.87</v>
      </c>
      <c r="Y58" s="68">
        <v>2</v>
      </c>
      <c r="Z58" s="68">
        <v>13</v>
      </c>
      <c r="AA58" s="68">
        <v>0</v>
      </c>
      <c r="AB58" s="68" t="s">
        <v>1203</v>
      </c>
      <c r="AC58" s="70">
        <v>2009</v>
      </c>
      <c r="AD58" s="70" t="s">
        <v>1979</v>
      </c>
      <c r="AG58" s="52" t="s">
        <v>2121</v>
      </c>
      <c r="AH58" s="137" t="s">
        <v>2183</v>
      </c>
    </row>
    <row r="59" spans="1:34" ht="18.600000000000001" thickBot="1">
      <c r="A59" s="49" t="s">
        <v>360</v>
      </c>
      <c r="B59" s="14">
        <f>ROUND(SUM(B60:B69)/COUNT(B60:B69), 2)</f>
        <v>8.33</v>
      </c>
      <c r="C59" s="4"/>
      <c r="D59" s="8" t="s">
        <v>270</v>
      </c>
      <c r="E59" s="262">
        <v>9</v>
      </c>
      <c r="F59" s="4"/>
      <c r="G59" s="8" t="s">
        <v>314</v>
      </c>
      <c r="H59" s="262">
        <v>10</v>
      </c>
      <c r="I59" s="4"/>
      <c r="J59" s="8" t="s">
        <v>306</v>
      </c>
      <c r="K59" s="262">
        <v>8</v>
      </c>
      <c r="L59" s="4"/>
      <c r="M59" s="8" t="s">
        <v>295</v>
      </c>
      <c r="N59" s="262">
        <v>8</v>
      </c>
      <c r="O59" s="22"/>
      <c r="R59" s="59">
        <v>57</v>
      </c>
      <c r="S59" s="52" t="s">
        <v>351</v>
      </c>
      <c r="T59" s="52" t="s">
        <v>277</v>
      </c>
      <c r="U59" s="69">
        <v>8.7799999999999994</v>
      </c>
      <c r="V59" s="131">
        <v>8.76</v>
      </c>
      <c r="W59" s="52">
        <v>9</v>
      </c>
      <c r="X59" s="52">
        <v>0.79</v>
      </c>
      <c r="Y59" s="52">
        <v>2</v>
      </c>
      <c r="Z59" s="52">
        <v>10</v>
      </c>
      <c r="AA59" s="52">
        <v>1</v>
      </c>
      <c r="AB59" s="52" t="s">
        <v>774</v>
      </c>
      <c r="AC59" s="69">
        <v>1994</v>
      </c>
      <c r="AD59" s="69" t="s">
        <v>1978</v>
      </c>
      <c r="AG59" s="68" t="s">
        <v>1892</v>
      </c>
      <c r="AH59" s="136" t="s">
        <v>1893</v>
      </c>
    </row>
    <row r="60" spans="1:34">
      <c r="A60" s="7" t="s">
        <v>281</v>
      </c>
      <c r="B60" s="261">
        <v>8</v>
      </c>
      <c r="C60" s="4"/>
      <c r="D60" s="8" t="s">
        <v>271</v>
      </c>
      <c r="E60" s="262">
        <v>9</v>
      </c>
      <c r="F60" s="4"/>
      <c r="G60" s="8" t="s">
        <v>315</v>
      </c>
      <c r="H60" s="262">
        <v>10</v>
      </c>
      <c r="I60" s="4"/>
      <c r="J60" s="8" t="s">
        <v>307</v>
      </c>
      <c r="K60" s="262">
        <v>8</v>
      </c>
      <c r="L60" s="4"/>
      <c r="M60" s="8" t="s">
        <v>296</v>
      </c>
      <c r="N60" s="262">
        <v>8.5</v>
      </c>
      <c r="O60" s="22"/>
      <c r="R60" s="59">
        <v>58</v>
      </c>
      <c r="S60" s="68" t="s">
        <v>851</v>
      </c>
      <c r="T60" s="68" t="s">
        <v>846</v>
      </c>
      <c r="U60" s="70">
        <v>8.7100000000000009</v>
      </c>
      <c r="V60" s="131">
        <v>8.76</v>
      </c>
      <c r="W60" s="68">
        <v>8.5</v>
      </c>
      <c r="X60" s="68">
        <v>0.75</v>
      </c>
      <c r="Y60" s="68">
        <v>2</v>
      </c>
      <c r="Z60" s="68">
        <v>14</v>
      </c>
      <c r="AA60" s="68">
        <v>0</v>
      </c>
      <c r="AB60" s="68" t="s">
        <v>852</v>
      </c>
      <c r="AC60" s="70">
        <v>2005</v>
      </c>
      <c r="AD60" s="70" t="s">
        <v>1980</v>
      </c>
      <c r="AG60" s="52" t="s">
        <v>1634</v>
      </c>
      <c r="AH60" s="137" t="s">
        <v>1635</v>
      </c>
    </row>
    <row r="61" spans="1:34">
      <c r="A61" s="8" t="s">
        <v>282</v>
      </c>
      <c r="B61" s="262">
        <v>7</v>
      </c>
      <c r="C61" s="4"/>
      <c r="D61" s="8" t="s">
        <v>272</v>
      </c>
      <c r="E61" s="262">
        <v>10.5</v>
      </c>
      <c r="F61" s="4"/>
      <c r="G61" s="8" t="s">
        <v>316</v>
      </c>
      <c r="H61" s="262">
        <v>9</v>
      </c>
      <c r="I61" s="4"/>
      <c r="J61" s="8" t="s">
        <v>308</v>
      </c>
      <c r="K61" s="262">
        <v>9</v>
      </c>
      <c r="L61" s="4"/>
      <c r="M61" s="8" t="s">
        <v>297</v>
      </c>
      <c r="N61" s="262">
        <v>7.5</v>
      </c>
      <c r="O61" s="22"/>
      <c r="R61" s="59">
        <v>59</v>
      </c>
      <c r="S61" s="52" t="s">
        <v>1504</v>
      </c>
      <c r="T61" s="52" t="s">
        <v>1505</v>
      </c>
      <c r="U61" s="69">
        <v>8.73</v>
      </c>
      <c r="V61" s="131">
        <v>8.76</v>
      </c>
      <c r="W61" s="52">
        <v>8.5</v>
      </c>
      <c r="X61" s="52">
        <v>0.75</v>
      </c>
      <c r="Y61" s="52">
        <v>1</v>
      </c>
      <c r="Z61" s="52">
        <v>13</v>
      </c>
      <c r="AA61" s="52">
        <v>0</v>
      </c>
      <c r="AB61" s="52" t="s">
        <v>1506</v>
      </c>
      <c r="AC61" s="69">
        <v>1992</v>
      </c>
      <c r="AD61" s="69" t="s">
        <v>1974</v>
      </c>
      <c r="AG61" s="68" t="s">
        <v>1097</v>
      </c>
      <c r="AH61" s="136" t="s">
        <v>1098</v>
      </c>
    </row>
    <row r="62" spans="1:34">
      <c r="A62" s="8" t="s">
        <v>283</v>
      </c>
      <c r="B62" s="262">
        <v>7.5</v>
      </c>
      <c r="C62" s="4"/>
      <c r="D62" s="8" t="s">
        <v>273</v>
      </c>
      <c r="E62" s="262">
        <v>8</v>
      </c>
      <c r="F62" s="4"/>
      <c r="G62" s="8" t="s">
        <v>317</v>
      </c>
      <c r="H62" s="262">
        <v>7</v>
      </c>
      <c r="I62" s="4"/>
      <c r="J62" s="8" t="s">
        <v>309</v>
      </c>
      <c r="K62" s="262">
        <v>8</v>
      </c>
      <c r="L62" s="4"/>
      <c r="M62" s="8" t="s">
        <v>298</v>
      </c>
      <c r="N62" s="262">
        <v>10</v>
      </c>
      <c r="O62" s="22"/>
      <c r="R62" s="59">
        <v>60</v>
      </c>
      <c r="S62" s="68" t="s">
        <v>336</v>
      </c>
      <c r="T62" s="68" t="s">
        <v>570</v>
      </c>
      <c r="U62" s="70">
        <v>8.77</v>
      </c>
      <c r="V62" s="222">
        <v>8.75</v>
      </c>
      <c r="W62" s="68">
        <v>9</v>
      </c>
      <c r="X62" s="68">
        <v>0.72</v>
      </c>
      <c r="Y62" s="68">
        <v>1</v>
      </c>
      <c r="Z62" s="68">
        <v>11</v>
      </c>
      <c r="AA62" s="68">
        <v>0</v>
      </c>
      <c r="AB62" s="68" t="s">
        <v>766</v>
      </c>
      <c r="AC62" s="70">
        <v>2016</v>
      </c>
      <c r="AD62" s="70" t="s">
        <v>1976</v>
      </c>
      <c r="AG62" s="52" t="s">
        <v>1378</v>
      </c>
      <c r="AH62" s="137" t="s">
        <v>2122</v>
      </c>
    </row>
    <row r="63" spans="1:34" ht="16.2" thickBot="1">
      <c r="A63" s="8" t="s">
        <v>284</v>
      </c>
      <c r="B63" s="262">
        <v>8.5</v>
      </c>
      <c r="C63" s="4"/>
      <c r="D63" s="10" t="s">
        <v>274</v>
      </c>
      <c r="E63" s="263">
        <v>8.5</v>
      </c>
      <c r="F63" s="4"/>
      <c r="G63" s="8" t="s">
        <v>318</v>
      </c>
      <c r="H63" s="262">
        <v>8.5</v>
      </c>
      <c r="I63" s="4"/>
      <c r="J63" s="8" t="s">
        <v>310</v>
      </c>
      <c r="K63" s="262">
        <v>8.5</v>
      </c>
      <c r="L63" s="4"/>
      <c r="M63" s="8" t="s">
        <v>299</v>
      </c>
      <c r="N63" s="262">
        <v>9</v>
      </c>
      <c r="O63" s="22"/>
      <c r="R63" s="59">
        <v>61</v>
      </c>
      <c r="S63" s="52" t="s">
        <v>730</v>
      </c>
      <c r="T63" s="52" t="s">
        <v>726</v>
      </c>
      <c r="U63" s="69">
        <v>8.67</v>
      </c>
      <c r="V63" s="222">
        <v>8.75</v>
      </c>
      <c r="W63" s="52">
        <v>8</v>
      </c>
      <c r="X63" s="52">
        <v>1.04</v>
      </c>
      <c r="Y63" s="52">
        <v>4</v>
      </c>
      <c r="Z63" s="52">
        <v>16</v>
      </c>
      <c r="AA63" s="52">
        <v>1</v>
      </c>
      <c r="AB63" s="52" t="s">
        <v>791</v>
      </c>
      <c r="AC63" s="69">
        <v>2010</v>
      </c>
      <c r="AD63" s="69" t="s">
        <v>1981</v>
      </c>
      <c r="AG63" s="68" t="s">
        <v>1418</v>
      </c>
      <c r="AH63" s="136" t="s">
        <v>1419</v>
      </c>
    </row>
    <row r="64" spans="1:34" ht="16.2" thickBot="1">
      <c r="A64" s="8" t="s">
        <v>285</v>
      </c>
      <c r="B64" s="262">
        <v>9</v>
      </c>
      <c r="C64" s="4"/>
      <c r="D64" s="19"/>
      <c r="E64" s="21"/>
      <c r="F64" s="4"/>
      <c r="G64" s="8" t="s">
        <v>319</v>
      </c>
      <c r="H64" s="262">
        <v>7.5</v>
      </c>
      <c r="I64" s="4"/>
      <c r="J64" s="10" t="s">
        <v>311</v>
      </c>
      <c r="K64" s="263">
        <v>8</v>
      </c>
      <c r="L64" s="4"/>
      <c r="M64" s="8" t="s">
        <v>300</v>
      </c>
      <c r="N64" s="262">
        <v>10.5</v>
      </c>
      <c r="O64" s="22"/>
      <c r="R64" s="59">
        <v>62</v>
      </c>
      <c r="S64" s="68" t="s">
        <v>752</v>
      </c>
      <c r="T64" s="68" t="s">
        <v>753</v>
      </c>
      <c r="U64" s="70">
        <v>8.86</v>
      </c>
      <c r="V64" s="222">
        <v>8.75</v>
      </c>
      <c r="W64" s="68">
        <v>8.5</v>
      </c>
      <c r="X64" s="68">
        <v>0.77</v>
      </c>
      <c r="Y64" s="68">
        <v>3</v>
      </c>
      <c r="Z64" s="68">
        <v>11</v>
      </c>
      <c r="AA64" s="68">
        <v>0</v>
      </c>
      <c r="AB64" s="68" t="s">
        <v>853</v>
      </c>
      <c r="AC64" s="70">
        <v>2002</v>
      </c>
      <c r="AD64" s="70" t="s">
        <v>1971</v>
      </c>
      <c r="AG64" s="52" t="s">
        <v>1104</v>
      </c>
      <c r="AH64" s="137" t="s">
        <v>1676</v>
      </c>
    </row>
    <row r="65" spans="1:34" ht="18.600000000000001" thickBot="1">
      <c r="A65" s="8" t="s">
        <v>286</v>
      </c>
      <c r="B65" s="262">
        <v>9.5</v>
      </c>
      <c r="C65" s="22"/>
      <c r="D65" s="97" t="s">
        <v>890</v>
      </c>
      <c r="E65" s="3">
        <f>ROUND(SUM(E66:E78)/COUNT(E66:E78), 2)</f>
        <v>8.4600000000000009</v>
      </c>
      <c r="F65" s="4"/>
      <c r="G65" s="8" t="s">
        <v>320</v>
      </c>
      <c r="H65" s="262">
        <v>10</v>
      </c>
      <c r="I65" s="4"/>
      <c r="J65" s="21"/>
      <c r="K65" s="21"/>
      <c r="L65" s="4"/>
      <c r="M65" s="10" t="s">
        <v>301</v>
      </c>
      <c r="N65" s="263"/>
      <c r="O65" s="22"/>
      <c r="R65" s="59">
        <v>63</v>
      </c>
      <c r="S65" s="52" t="s">
        <v>343</v>
      </c>
      <c r="T65" s="52" t="s">
        <v>911</v>
      </c>
      <c r="U65" s="69">
        <v>8.7100000000000009</v>
      </c>
      <c r="V65" s="181">
        <v>8.73</v>
      </c>
      <c r="W65" s="52">
        <v>8.5</v>
      </c>
      <c r="X65" s="52">
        <v>0.96</v>
      </c>
      <c r="Y65" s="52">
        <v>1</v>
      </c>
      <c r="Z65" s="52">
        <v>7</v>
      </c>
      <c r="AA65" s="52">
        <v>0</v>
      </c>
      <c r="AB65" s="52" t="s">
        <v>790</v>
      </c>
      <c r="AC65" s="69">
        <v>1999</v>
      </c>
      <c r="AD65" s="69" t="s">
        <v>1982</v>
      </c>
      <c r="AG65" s="68" t="s">
        <v>789</v>
      </c>
      <c r="AH65" s="136" t="s">
        <v>1154</v>
      </c>
    </row>
    <row r="66" spans="1:34" ht="18.600000000000001" thickBot="1">
      <c r="A66" s="8" t="s">
        <v>287</v>
      </c>
      <c r="B66" s="262">
        <v>10</v>
      </c>
      <c r="C66" s="22"/>
      <c r="D66" s="5" t="s">
        <v>369</v>
      </c>
      <c r="E66" s="262">
        <v>8</v>
      </c>
      <c r="F66" s="4"/>
      <c r="G66" s="8" t="s">
        <v>321</v>
      </c>
      <c r="H66" s="262">
        <v>7.5</v>
      </c>
      <c r="I66" s="22"/>
      <c r="J66" s="56" t="s">
        <v>394</v>
      </c>
      <c r="K66" s="3">
        <f>ROUND(SUM(K67:K75)/COUNT(K67:K75), 2)</f>
        <v>8</v>
      </c>
      <c r="L66" s="4"/>
      <c r="M66" s="21"/>
      <c r="N66" s="21"/>
      <c r="O66" s="22"/>
      <c r="R66" s="59">
        <v>64</v>
      </c>
      <c r="S66" s="68" t="s">
        <v>406</v>
      </c>
      <c r="T66" s="68" t="s">
        <v>400</v>
      </c>
      <c r="U66" s="70">
        <v>8.6999999999999993</v>
      </c>
      <c r="V66" s="147">
        <v>8.7200000000000006</v>
      </c>
      <c r="W66" s="68">
        <v>8.5</v>
      </c>
      <c r="X66" s="68">
        <v>1.08</v>
      </c>
      <c r="Y66" s="68">
        <v>2</v>
      </c>
      <c r="Z66" s="68">
        <v>10</v>
      </c>
      <c r="AA66" s="68">
        <v>0</v>
      </c>
      <c r="AB66" s="68" t="s">
        <v>775</v>
      </c>
      <c r="AC66" s="70">
        <v>1990</v>
      </c>
      <c r="AD66" s="70" t="s">
        <v>1983</v>
      </c>
      <c r="AG66" s="52" t="s">
        <v>1245</v>
      </c>
      <c r="AH66" s="137" t="s">
        <v>1246</v>
      </c>
    </row>
    <row r="67" spans="1:34" ht="18.600000000000001" thickBot="1">
      <c r="A67" s="8" t="s">
        <v>288</v>
      </c>
      <c r="B67" s="262">
        <v>8</v>
      </c>
      <c r="C67" s="22"/>
      <c r="D67" s="5" t="s">
        <v>370</v>
      </c>
      <c r="E67" s="262">
        <v>10</v>
      </c>
      <c r="F67" s="4"/>
      <c r="G67" s="10" t="s">
        <v>322</v>
      </c>
      <c r="H67" s="263">
        <v>6</v>
      </c>
      <c r="I67" s="4"/>
      <c r="J67" s="7" t="s">
        <v>385</v>
      </c>
      <c r="K67" s="261"/>
      <c r="L67" s="22"/>
      <c r="M67" s="129" t="s">
        <v>1015</v>
      </c>
      <c r="N67" s="3">
        <f>ROUND(SUM(N68:N77)/COUNT(N68:N77), 2)</f>
        <v>8.6999999999999993</v>
      </c>
      <c r="O67" s="22"/>
      <c r="R67" s="59">
        <v>65</v>
      </c>
      <c r="S67" s="52" t="s">
        <v>1463</v>
      </c>
      <c r="T67" s="52" t="s">
        <v>1464</v>
      </c>
      <c r="U67" s="69">
        <v>8.83</v>
      </c>
      <c r="V67" s="147">
        <v>8.7200000000000006</v>
      </c>
      <c r="W67" s="52">
        <v>8.5</v>
      </c>
      <c r="X67" s="52">
        <v>0.57999999999999996</v>
      </c>
      <c r="Y67" s="52">
        <v>1</v>
      </c>
      <c r="Z67" s="52">
        <v>9</v>
      </c>
      <c r="AA67" s="52">
        <v>0</v>
      </c>
      <c r="AB67" s="52" t="s">
        <v>1467</v>
      </c>
      <c r="AC67" s="69">
        <v>2016</v>
      </c>
      <c r="AD67" s="69" t="s">
        <v>1975</v>
      </c>
      <c r="AG67" s="68" t="s">
        <v>1247</v>
      </c>
      <c r="AH67" s="136" t="s">
        <v>1246</v>
      </c>
    </row>
    <row r="68" spans="1:34" ht="16.2" thickBot="1">
      <c r="A68" s="10" t="s">
        <v>289</v>
      </c>
      <c r="B68" s="263">
        <v>7.5</v>
      </c>
      <c r="C68" s="22"/>
      <c r="D68" s="5" t="s">
        <v>371</v>
      </c>
      <c r="E68" s="262">
        <v>9</v>
      </c>
      <c r="F68" s="4"/>
      <c r="G68" s="21"/>
      <c r="H68" s="21"/>
      <c r="I68" s="4"/>
      <c r="J68" s="8" t="s">
        <v>386</v>
      </c>
      <c r="K68" s="262">
        <v>7</v>
      </c>
      <c r="L68" s="22"/>
      <c r="M68" s="5" t="s">
        <v>396</v>
      </c>
      <c r="N68" s="262">
        <v>10.5</v>
      </c>
      <c r="O68" s="22"/>
      <c r="R68" s="59">
        <v>66</v>
      </c>
      <c r="S68" s="68" t="s">
        <v>419</v>
      </c>
      <c r="T68" s="68" t="s">
        <v>417</v>
      </c>
      <c r="U68" s="70">
        <v>8.67</v>
      </c>
      <c r="V68" s="142">
        <v>8.7100000000000009</v>
      </c>
      <c r="W68" s="68">
        <v>8.5</v>
      </c>
      <c r="X68" s="68">
        <v>0.85</v>
      </c>
      <c r="Y68" s="68">
        <v>2</v>
      </c>
      <c r="Z68" s="68">
        <v>12</v>
      </c>
      <c r="AA68" s="68">
        <v>0</v>
      </c>
      <c r="AB68" s="68" t="s">
        <v>833</v>
      </c>
      <c r="AC68" s="70">
        <v>1989</v>
      </c>
      <c r="AD68" s="70" t="s">
        <v>1984</v>
      </c>
      <c r="AG68" s="52" t="s">
        <v>1422</v>
      </c>
      <c r="AH68" s="137" t="s">
        <v>1246</v>
      </c>
    </row>
    <row r="69" spans="1:34" ht="18.600000000000001" thickBot="1">
      <c r="A69" s="21"/>
      <c r="B69" s="21"/>
      <c r="C69" s="22"/>
      <c r="D69" s="5" t="s">
        <v>372</v>
      </c>
      <c r="E69" s="262">
        <v>8.5</v>
      </c>
      <c r="F69" s="22"/>
      <c r="G69" s="96" t="s">
        <v>889</v>
      </c>
      <c r="H69" s="3">
        <f>ROUND(SUM(H70:H81)/COUNT(H70:H81), 2)</f>
        <v>8.67</v>
      </c>
      <c r="I69" s="4"/>
      <c r="J69" s="8" t="s">
        <v>387</v>
      </c>
      <c r="K69" s="262">
        <v>8.5</v>
      </c>
      <c r="L69" s="22"/>
      <c r="M69" s="5" t="s">
        <v>397</v>
      </c>
      <c r="N69" s="262">
        <v>9.5</v>
      </c>
      <c r="O69" s="22"/>
      <c r="R69" s="59">
        <v>67</v>
      </c>
      <c r="S69" s="52" t="s">
        <v>1530</v>
      </c>
      <c r="T69" s="52" t="s">
        <v>1531</v>
      </c>
      <c r="U69" s="69">
        <v>8.75</v>
      </c>
      <c r="V69" s="148">
        <v>8.6999999999999993</v>
      </c>
      <c r="W69" s="52">
        <v>8.75</v>
      </c>
      <c r="X69" s="52">
        <v>0.75</v>
      </c>
      <c r="Y69" s="52">
        <v>2</v>
      </c>
      <c r="Z69" s="52">
        <v>10</v>
      </c>
      <c r="AA69" s="52">
        <v>0</v>
      </c>
      <c r="AB69" s="52" t="s">
        <v>1532</v>
      </c>
      <c r="AC69" s="69">
        <v>1998</v>
      </c>
      <c r="AD69" s="69" t="s">
        <v>1985</v>
      </c>
      <c r="AG69" s="68" t="s">
        <v>1824</v>
      </c>
      <c r="AH69" s="136" t="s">
        <v>1246</v>
      </c>
    </row>
    <row r="70" spans="1:34" ht="18.600000000000001" thickBot="1">
      <c r="A70" s="64" t="s">
        <v>475</v>
      </c>
      <c r="B70" s="3">
        <f>ROUND(SUM(B71:B77)/COUNT(B71:B77), 2)</f>
        <v>7.29</v>
      </c>
      <c r="C70" s="22"/>
      <c r="D70" s="5" t="s">
        <v>373</v>
      </c>
      <c r="E70" s="262">
        <v>10</v>
      </c>
      <c r="F70" s="22"/>
      <c r="G70" s="5" t="s">
        <v>408</v>
      </c>
      <c r="H70" s="262">
        <v>8.5</v>
      </c>
      <c r="I70" s="4"/>
      <c r="J70" s="8" t="s">
        <v>388</v>
      </c>
      <c r="K70" s="262">
        <v>8.5</v>
      </c>
      <c r="L70" s="22"/>
      <c r="M70" s="5" t="s">
        <v>398</v>
      </c>
      <c r="N70" s="262">
        <v>8</v>
      </c>
      <c r="O70" s="22"/>
      <c r="R70" s="59">
        <v>68</v>
      </c>
      <c r="S70" s="68" t="s">
        <v>1724</v>
      </c>
      <c r="T70" s="68" t="s">
        <v>1720</v>
      </c>
      <c r="U70" s="70">
        <v>8.81</v>
      </c>
      <c r="V70" s="148">
        <v>8.6999999999999993</v>
      </c>
      <c r="W70" s="68">
        <v>8.5</v>
      </c>
      <c r="X70" s="68">
        <v>0.83</v>
      </c>
      <c r="Y70" s="68">
        <v>2</v>
      </c>
      <c r="Z70" s="68">
        <v>8</v>
      </c>
      <c r="AA70" s="68">
        <v>0</v>
      </c>
      <c r="AB70" s="68" t="s">
        <v>1378</v>
      </c>
      <c r="AC70" s="70">
        <v>1982</v>
      </c>
      <c r="AD70" s="70" t="s">
        <v>1962</v>
      </c>
      <c r="AG70" s="52" t="s">
        <v>1484</v>
      </c>
      <c r="AH70" s="137" t="s">
        <v>1246</v>
      </c>
    </row>
    <row r="71" spans="1:34">
      <c r="A71" s="13" t="s">
        <v>421</v>
      </c>
      <c r="B71" s="261">
        <v>8</v>
      </c>
      <c r="C71" s="22"/>
      <c r="D71" s="5" t="s">
        <v>374</v>
      </c>
      <c r="E71" s="262">
        <v>8</v>
      </c>
      <c r="F71" s="22"/>
      <c r="G71" s="5" t="s">
        <v>409</v>
      </c>
      <c r="H71" s="262">
        <v>9</v>
      </c>
      <c r="I71" s="4"/>
      <c r="J71" s="8" t="s">
        <v>389</v>
      </c>
      <c r="K71" s="262">
        <v>8</v>
      </c>
      <c r="L71" s="22"/>
      <c r="M71" s="5" t="s">
        <v>399</v>
      </c>
      <c r="N71" s="262">
        <v>8.5</v>
      </c>
      <c r="O71" s="22"/>
      <c r="R71" s="59">
        <v>69</v>
      </c>
      <c r="S71" s="52" t="s">
        <v>1483</v>
      </c>
      <c r="T71" s="52" t="s">
        <v>1488</v>
      </c>
      <c r="U71" s="69">
        <v>8.8000000000000007</v>
      </c>
      <c r="V71" s="198">
        <v>8.68</v>
      </c>
      <c r="W71" s="52">
        <v>8.5</v>
      </c>
      <c r="X71" s="52">
        <v>0.7</v>
      </c>
      <c r="Y71" s="52">
        <v>2</v>
      </c>
      <c r="Z71" s="52">
        <v>15</v>
      </c>
      <c r="AA71" s="52">
        <v>0</v>
      </c>
      <c r="AB71" s="52" t="s">
        <v>1485</v>
      </c>
      <c r="AC71" s="69">
        <v>2012</v>
      </c>
      <c r="AD71" s="69" t="s">
        <v>1961</v>
      </c>
      <c r="AG71" s="68" t="s">
        <v>1408</v>
      </c>
      <c r="AH71" s="136" t="s">
        <v>1100</v>
      </c>
    </row>
    <row r="72" spans="1:34">
      <c r="A72" s="6" t="s">
        <v>422</v>
      </c>
      <c r="B72" s="262">
        <v>7</v>
      </c>
      <c r="C72" s="22"/>
      <c r="D72" s="5" t="s">
        <v>375</v>
      </c>
      <c r="E72" s="262">
        <v>7.5</v>
      </c>
      <c r="F72" s="22"/>
      <c r="G72" s="5" t="s">
        <v>410</v>
      </c>
      <c r="H72" s="262">
        <v>8.5</v>
      </c>
      <c r="I72" s="4"/>
      <c r="J72" s="8" t="s">
        <v>390</v>
      </c>
      <c r="K72" s="262">
        <v>8.5</v>
      </c>
      <c r="L72" s="22"/>
      <c r="M72" s="5" t="s">
        <v>400</v>
      </c>
      <c r="N72" s="262">
        <v>10</v>
      </c>
      <c r="O72" s="22"/>
      <c r="R72" s="59">
        <v>70</v>
      </c>
      <c r="S72" s="68" t="s">
        <v>1357</v>
      </c>
      <c r="T72" s="68" t="s">
        <v>1358</v>
      </c>
      <c r="U72" s="70">
        <v>8.77</v>
      </c>
      <c r="V72" s="202">
        <v>8.65</v>
      </c>
      <c r="W72" s="68">
        <v>8.5</v>
      </c>
      <c r="X72" s="68">
        <v>0.75</v>
      </c>
      <c r="Y72" s="68">
        <v>2</v>
      </c>
      <c r="Z72" s="68">
        <v>14</v>
      </c>
      <c r="AA72" s="68">
        <v>1</v>
      </c>
      <c r="AB72" s="68" t="s">
        <v>1361</v>
      </c>
      <c r="AC72" s="70">
        <v>2002</v>
      </c>
      <c r="AD72" s="70" t="s">
        <v>1963</v>
      </c>
      <c r="AG72" s="52" t="s">
        <v>1101</v>
      </c>
      <c r="AH72" s="137" t="s">
        <v>1100</v>
      </c>
    </row>
    <row r="73" spans="1:34">
      <c r="A73" s="6" t="s">
        <v>423</v>
      </c>
      <c r="B73" s="262">
        <v>6.5</v>
      </c>
      <c r="C73" s="22"/>
      <c r="D73" s="5" t="s">
        <v>376</v>
      </c>
      <c r="E73" s="262">
        <v>9</v>
      </c>
      <c r="F73" s="22"/>
      <c r="G73" s="5" t="s">
        <v>411</v>
      </c>
      <c r="H73" s="262">
        <v>10</v>
      </c>
      <c r="I73" s="4"/>
      <c r="J73" s="8" t="s">
        <v>391</v>
      </c>
      <c r="K73" s="262">
        <v>8.5</v>
      </c>
      <c r="L73" s="22"/>
      <c r="M73" s="5" t="s">
        <v>401</v>
      </c>
      <c r="N73" s="262">
        <v>8.5</v>
      </c>
      <c r="O73" s="22"/>
      <c r="R73" s="59">
        <v>71</v>
      </c>
      <c r="S73" s="52" t="s">
        <v>344</v>
      </c>
      <c r="T73" s="52" t="s">
        <v>344</v>
      </c>
      <c r="U73" s="69">
        <v>8.4600000000000009</v>
      </c>
      <c r="V73" s="202">
        <v>8.65</v>
      </c>
      <c r="W73" s="52">
        <v>8.5</v>
      </c>
      <c r="X73" s="52">
        <v>1.33</v>
      </c>
      <c r="Y73" s="52">
        <v>3</v>
      </c>
      <c r="Z73" s="52">
        <v>12</v>
      </c>
      <c r="AA73" s="52">
        <v>0</v>
      </c>
      <c r="AB73" s="52" t="s">
        <v>1378</v>
      </c>
      <c r="AC73" s="69">
        <v>2021</v>
      </c>
      <c r="AD73" s="69" t="s">
        <v>1982</v>
      </c>
      <c r="AG73" s="68" t="s">
        <v>1262</v>
      </c>
      <c r="AH73" s="136" t="s">
        <v>1726</v>
      </c>
    </row>
    <row r="74" spans="1:34">
      <c r="A74" s="6" t="s">
        <v>424</v>
      </c>
      <c r="B74" s="262">
        <v>7</v>
      </c>
      <c r="C74" s="22"/>
      <c r="D74" s="5" t="s">
        <v>377</v>
      </c>
      <c r="E74" s="262">
        <v>7</v>
      </c>
      <c r="F74" s="22"/>
      <c r="G74" s="5" t="s">
        <v>412</v>
      </c>
      <c r="H74" s="262">
        <v>8.5</v>
      </c>
      <c r="I74" s="4"/>
      <c r="J74" s="8" t="s">
        <v>392</v>
      </c>
      <c r="K74" s="262">
        <v>7.5</v>
      </c>
      <c r="L74" s="22"/>
      <c r="M74" s="5" t="s">
        <v>402</v>
      </c>
      <c r="N74" s="262">
        <v>7.5</v>
      </c>
      <c r="O74" s="22"/>
      <c r="R74" s="59">
        <v>72</v>
      </c>
      <c r="S74" s="68" t="s">
        <v>1674</v>
      </c>
      <c r="T74" s="68" t="s">
        <v>1670</v>
      </c>
      <c r="U74" s="70">
        <v>8.75</v>
      </c>
      <c r="V74" s="202">
        <v>8.65</v>
      </c>
      <c r="W74" s="68">
        <v>8.5</v>
      </c>
      <c r="X74" s="68">
        <v>0.56000000000000005</v>
      </c>
      <c r="Y74" s="68">
        <v>1</v>
      </c>
      <c r="Z74" s="68">
        <v>9</v>
      </c>
      <c r="AA74" s="68">
        <v>1</v>
      </c>
      <c r="AB74" s="68" t="s">
        <v>1677</v>
      </c>
      <c r="AC74" s="70">
        <v>2000</v>
      </c>
      <c r="AD74" s="70" t="s">
        <v>1950</v>
      </c>
      <c r="AG74" s="52" t="s">
        <v>1110</v>
      </c>
      <c r="AH74" s="137" t="s">
        <v>1778</v>
      </c>
    </row>
    <row r="75" spans="1:34" ht="16.2" thickBot="1">
      <c r="A75" s="6" t="s">
        <v>425</v>
      </c>
      <c r="B75" s="262">
        <v>8</v>
      </c>
      <c r="C75" s="22"/>
      <c r="D75" s="5" t="s">
        <v>378</v>
      </c>
      <c r="E75" s="262">
        <v>8.5</v>
      </c>
      <c r="F75" s="22"/>
      <c r="G75" s="5" t="s">
        <v>413</v>
      </c>
      <c r="H75" s="262">
        <v>10.5</v>
      </c>
      <c r="I75" s="4"/>
      <c r="J75" s="10" t="s">
        <v>393</v>
      </c>
      <c r="K75" s="263">
        <v>7.5</v>
      </c>
      <c r="L75" s="22"/>
      <c r="M75" s="5" t="s">
        <v>403</v>
      </c>
      <c r="N75" s="262">
        <v>8</v>
      </c>
      <c r="O75" s="22"/>
      <c r="R75" s="59">
        <v>73</v>
      </c>
      <c r="S75" s="52" t="s">
        <v>1258</v>
      </c>
      <c r="T75" s="52" t="s">
        <v>1252</v>
      </c>
      <c r="U75" s="69">
        <v>8.75</v>
      </c>
      <c r="V75" s="223">
        <v>8.6300000000000008</v>
      </c>
      <c r="W75" s="52">
        <v>8.5</v>
      </c>
      <c r="X75" s="52">
        <v>0.8</v>
      </c>
      <c r="Y75" s="52">
        <v>1</v>
      </c>
      <c r="Z75" s="52">
        <v>7</v>
      </c>
      <c r="AA75" s="52">
        <v>1</v>
      </c>
      <c r="AB75" s="52" t="s">
        <v>1259</v>
      </c>
      <c r="AC75" s="69">
        <v>2013</v>
      </c>
      <c r="AD75" s="69" t="s">
        <v>1964</v>
      </c>
      <c r="AG75" s="68" t="s">
        <v>1117</v>
      </c>
      <c r="AH75" s="136" t="s">
        <v>1489</v>
      </c>
    </row>
    <row r="76" spans="1:34" ht="16.2" thickBot="1">
      <c r="A76" s="6" t="s">
        <v>426</v>
      </c>
      <c r="B76" s="262">
        <v>7.5</v>
      </c>
      <c r="C76" s="22"/>
      <c r="D76" s="5" t="s">
        <v>379</v>
      </c>
      <c r="E76" s="262">
        <v>8</v>
      </c>
      <c r="F76" s="22"/>
      <c r="G76" s="5" t="s">
        <v>414</v>
      </c>
      <c r="H76" s="262">
        <v>9</v>
      </c>
      <c r="I76" s="4"/>
      <c r="J76" s="21"/>
      <c r="K76" s="21"/>
      <c r="L76" s="22"/>
      <c r="M76" s="5" t="s">
        <v>404</v>
      </c>
      <c r="N76" s="262">
        <v>7</v>
      </c>
      <c r="O76" s="22"/>
      <c r="R76" s="59">
        <v>74</v>
      </c>
      <c r="S76" s="68" t="s">
        <v>1633</v>
      </c>
      <c r="T76" s="68" t="s">
        <v>1626</v>
      </c>
      <c r="U76" s="70">
        <v>8.75</v>
      </c>
      <c r="V76" s="223">
        <v>8.6300000000000008</v>
      </c>
      <c r="W76" s="68">
        <v>8.5</v>
      </c>
      <c r="X76" s="68">
        <v>0.87</v>
      </c>
      <c r="Y76" s="68">
        <v>2</v>
      </c>
      <c r="Z76" s="68">
        <v>10</v>
      </c>
      <c r="AA76" s="68">
        <v>0</v>
      </c>
      <c r="AB76" s="68" t="s">
        <v>1636</v>
      </c>
      <c r="AC76" s="70">
        <v>1979</v>
      </c>
      <c r="AD76" s="70" t="s">
        <v>1967</v>
      </c>
      <c r="AG76" s="52" t="s">
        <v>1107</v>
      </c>
      <c r="AH76" s="137" t="s">
        <v>1489</v>
      </c>
    </row>
    <row r="77" spans="1:34" ht="18.600000000000001" thickBot="1">
      <c r="A77" s="9" t="s">
        <v>427</v>
      </c>
      <c r="B77" s="263">
        <v>7</v>
      </c>
      <c r="C77" s="22"/>
      <c r="D77" s="5" t="s">
        <v>381</v>
      </c>
      <c r="E77" s="262">
        <v>8.5</v>
      </c>
      <c r="F77" s="22"/>
      <c r="G77" s="5" t="s">
        <v>415</v>
      </c>
      <c r="H77" s="262">
        <v>8.5</v>
      </c>
      <c r="I77" s="22"/>
      <c r="J77" s="114" t="s">
        <v>907</v>
      </c>
      <c r="K77" s="3">
        <f>ROUND(SUM(K78:K88)/COUNT(K78:K88), 2)</f>
        <v>7.77</v>
      </c>
      <c r="L77" s="22"/>
      <c r="M77" s="57" t="s">
        <v>405</v>
      </c>
      <c r="N77" s="263">
        <v>9.5</v>
      </c>
      <c r="O77" s="22"/>
      <c r="R77" s="59">
        <v>75</v>
      </c>
      <c r="S77" s="52" t="s">
        <v>1169</v>
      </c>
      <c r="T77" s="52" t="s">
        <v>1735</v>
      </c>
      <c r="U77" s="69">
        <v>8.57</v>
      </c>
      <c r="V77" s="223">
        <v>8.6300000000000008</v>
      </c>
      <c r="W77" s="52">
        <v>8.5</v>
      </c>
      <c r="X77" s="52">
        <v>0.78</v>
      </c>
      <c r="Y77" s="52">
        <v>3</v>
      </c>
      <c r="Z77" s="52">
        <v>28</v>
      </c>
      <c r="AA77" s="52">
        <v>1</v>
      </c>
      <c r="AB77" s="52" t="s">
        <v>1762</v>
      </c>
      <c r="AC77" s="69">
        <v>1995</v>
      </c>
      <c r="AD77" s="69" t="s">
        <v>1977</v>
      </c>
      <c r="AG77" s="68" t="s">
        <v>1362</v>
      </c>
      <c r="AH77" s="136" t="s">
        <v>1363</v>
      </c>
    </row>
    <row r="78" spans="1:34" ht="16.2" thickBot="1">
      <c r="A78" s="21"/>
      <c r="B78" s="21"/>
      <c r="C78" s="22"/>
      <c r="D78" s="55" t="s">
        <v>380</v>
      </c>
      <c r="E78" s="263">
        <v>8</v>
      </c>
      <c r="F78" s="22"/>
      <c r="G78" s="5" t="s">
        <v>416</v>
      </c>
      <c r="H78" s="264">
        <v>7.5</v>
      </c>
      <c r="I78" s="4"/>
      <c r="J78" s="7" t="s">
        <v>430</v>
      </c>
      <c r="K78" s="261">
        <v>8.5</v>
      </c>
      <c r="L78" s="4"/>
      <c r="M78" s="21"/>
      <c r="N78" s="21"/>
      <c r="O78" s="22"/>
      <c r="R78" s="59">
        <v>76</v>
      </c>
      <c r="S78" s="68" t="s">
        <v>612</v>
      </c>
      <c r="T78" s="68" t="s">
        <v>613</v>
      </c>
      <c r="U78" s="70">
        <v>8.73</v>
      </c>
      <c r="V78" s="196">
        <v>8.6199999999999992</v>
      </c>
      <c r="W78" s="68">
        <v>8.5</v>
      </c>
      <c r="X78" s="68">
        <v>0.89</v>
      </c>
      <c r="Y78" s="68">
        <v>3</v>
      </c>
      <c r="Z78" s="68">
        <v>13</v>
      </c>
      <c r="AA78" s="68">
        <v>2</v>
      </c>
      <c r="AB78" s="68" t="s">
        <v>834</v>
      </c>
      <c r="AC78" s="70">
        <v>2015</v>
      </c>
      <c r="AD78" s="70" t="s">
        <v>1960</v>
      </c>
      <c r="AG78" s="52" t="s">
        <v>1102</v>
      </c>
      <c r="AH78" s="137" t="s">
        <v>2016</v>
      </c>
    </row>
    <row r="79" spans="1:34" ht="18.600000000000001" thickBot="1">
      <c r="A79" s="65" t="s">
        <v>490</v>
      </c>
      <c r="B79" s="3">
        <f>ROUND(SUM(B80:B91)/COUNT(B80:B91), 2)</f>
        <v>8.9600000000000009</v>
      </c>
      <c r="C79" s="4"/>
      <c r="D79" s="19"/>
      <c r="E79" s="21"/>
      <c r="F79" s="22"/>
      <c r="G79" s="5" t="s">
        <v>417</v>
      </c>
      <c r="H79" s="262">
        <v>8.5</v>
      </c>
      <c r="I79" s="4"/>
      <c r="J79" s="8" t="s">
        <v>431</v>
      </c>
      <c r="K79" s="262">
        <v>8.5</v>
      </c>
      <c r="L79" s="22"/>
      <c r="M79" s="128" t="s">
        <v>1014</v>
      </c>
      <c r="N79" s="3">
        <f>ROUND(SUM(N80:N91)/COUNT(N80:N91), 2)</f>
        <v>8.67</v>
      </c>
      <c r="O79" s="22"/>
      <c r="R79" s="59">
        <v>77</v>
      </c>
      <c r="S79" s="52" t="s">
        <v>1463</v>
      </c>
      <c r="T79" s="52" t="s">
        <v>1712</v>
      </c>
      <c r="U79" s="69">
        <v>8.7100000000000009</v>
      </c>
      <c r="V79" s="196">
        <v>8.6199999999999992</v>
      </c>
      <c r="W79" s="52">
        <v>8.5</v>
      </c>
      <c r="X79" s="52">
        <v>0.65</v>
      </c>
      <c r="Y79" s="52">
        <v>1</v>
      </c>
      <c r="Z79" s="52">
        <v>8</v>
      </c>
      <c r="AA79" s="52">
        <v>1</v>
      </c>
      <c r="AB79" s="52" t="s">
        <v>1713</v>
      </c>
      <c r="AC79" s="69">
        <v>2016</v>
      </c>
      <c r="AD79" s="69" t="s">
        <v>1986</v>
      </c>
      <c r="AG79" s="68" t="s">
        <v>1533</v>
      </c>
      <c r="AH79" s="136" t="s">
        <v>1261</v>
      </c>
    </row>
    <row r="80" spans="1:34" ht="18.600000000000001" thickBot="1">
      <c r="A80" s="7" t="s">
        <v>442</v>
      </c>
      <c r="B80" s="261">
        <v>8.5</v>
      </c>
      <c r="C80" s="4"/>
      <c r="D80" s="95" t="s">
        <v>888</v>
      </c>
      <c r="E80" s="3">
        <f>ROUND(SUM(E81:E99)/COUNT(E81:E99), 2)</f>
        <v>8.18</v>
      </c>
      <c r="F80" s="22"/>
      <c r="G80" s="5" t="s">
        <v>418</v>
      </c>
      <c r="H80" s="262">
        <v>8</v>
      </c>
      <c r="I80" s="4"/>
      <c r="J80" s="8" t="s">
        <v>432</v>
      </c>
      <c r="K80" s="262">
        <v>7.5</v>
      </c>
      <c r="L80" s="22"/>
      <c r="M80" s="5" t="s">
        <v>478</v>
      </c>
      <c r="N80" s="262">
        <v>10</v>
      </c>
      <c r="O80" s="22"/>
      <c r="R80" s="59">
        <v>78</v>
      </c>
      <c r="S80" s="68" t="s">
        <v>2068</v>
      </c>
      <c r="T80" s="68" t="s">
        <v>2069</v>
      </c>
      <c r="U80" s="70">
        <v>8.67</v>
      </c>
      <c r="V80" s="291">
        <v>8.61</v>
      </c>
      <c r="W80" s="68">
        <v>8.75</v>
      </c>
      <c r="X80" s="68">
        <v>0.62</v>
      </c>
      <c r="Y80" s="68">
        <v>0</v>
      </c>
      <c r="Z80" s="68">
        <v>6</v>
      </c>
      <c r="AA80" s="68">
        <v>0</v>
      </c>
      <c r="AB80" s="68" t="s">
        <v>1090</v>
      </c>
      <c r="AC80" s="70">
        <v>2013</v>
      </c>
      <c r="AD80" s="70" t="s">
        <v>1956</v>
      </c>
      <c r="AG80" s="52" t="s">
        <v>1678</v>
      </c>
      <c r="AH80" s="137" t="s">
        <v>1261</v>
      </c>
    </row>
    <row r="81" spans="1:34" ht="16.2" thickBot="1">
      <c r="A81" s="8" t="s">
        <v>443</v>
      </c>
      <c r="B81" s="262">
        <v>9</v>
      </c>
      <c r="C81" s="4"/>
      <c r="D81" s="13" t="s">
        <v>456</v>
      </c>
      <c r="E81" s="261">
        <v>10</v>
      </c>
      <c r="F81" s="22"/>
      <c r="G81" s="55" t="s">
        <v>301</v>
      </c>
      <c r="H81" s="263">
        <v>7.5</v>
      </c>
      <c r="I81" s="4"/>
      <c r="J81" s="8" t="s">
        <v>433</v>
      </c>
      <c r="K81" s="262">
        <v>7</v>
      </c>
      <c r="L81" s="22"/>
      <c r="M81" s="5" t="s">
        <v>479</v>
      </c>
      <c r="N81" s="262">
        <v>10</v>
      </c>
      <c r="O81" s="22"/>
      <c r="R81" s="59">
        <v>79</v>
      </c>
      <c r="S81" s="52" t="s">
        <v>945</v>
      </c>
      <c r="T81" s="52" t="s">
        <v>926</v>
      </c>
      <c r="U81" s="69">
        <v>8.5500000000000007</v>
      </c>
      <c r="V81" s="224">
        <v>8.6</v>
      </c>
      <c r="W81" s="52">
        <v>8.5</v>
      </c>
      <c r="X81" s="52">
        <v>0.96</v>
      </c>
      <c r="Y81" s="52">
        <v>3</v>
      </c>
      <c r="Z81" s="52">
        <v>19</v>
      </c>
      <c r="AA81" s="52">
        <v>0</v>
      </c>
      <c r="AB81" s="52" t="s">
        <v>946</v>
      </c>
      <c r="AC81" s="69">
        <v>1979</v>
      </c>
      <c r="AD81" s="69" t="s">
        <v>1963</v>
      </c>
      <c r="AG81" s="68" t="s">
        <v>1679</v>
      </c>
      <c r="AH81" s="136" t="s">
        <v>1261</v>
      </c>
    </row>
    <row r="82" spans="1:34" ht="16.2" thickBot="1">
      <c r="A82" s="8" t="s">
        <v>444</v>
      </c>
      <c r="B82" s="262">
        <v>10</v>
      </c>
      <c r="C82" s="4"/>
      <c r="D82" s="6" t="s">
        <v>457</v>
      </c>
      <c r="E82" s="262">
        <v>8</v>
      </c>
      <c r="F82" s="4"/>
      <c r="G82" s="21"/>
      <c r="H82" s="21"/>
      <c r="I82" s="4"/>
      <c r="J82" s="8" t="s">
        <v>434</v>
      </c>
      <c r="K82" s="262">
        <v>8</v>
      </c>
      <c r="L82" s="22"/>
      <c r="M82" s="5" t="s">
        <v>480</v>
      </c>
      <c r="N82" s="262">
        <v>8</v>
      </c>
      <c r="O82" s="22"/>
      <c r="R82" s="59">
        <v>80</v>
      </c>
      <c r="S82" s="68" t="s">
        <v>352</v>
      </c>
      <c r="T82" s="68" t="s">
        <v>246</v>
      </c>
      <c r="U82" s="70">
        <v>8.68</v>
      </c>
      <c r="V82" s="183">
        <v>8.58</v>
      </c>
      <c r="W82" s="68">
        <v>8.5</v>
      </c>
      <c r="X82" s="68">
        <v>0.81</v>
      </c>
      <c r="Y82" s="68">
        <v>2</v>
      </c>
      <c r="Z82" s="68">
        <v>11</v>
      </c>
      <c r="AA82" s="68">
        <v>0</v>
      </c>
      <c r="AB82" s="68" t="s">
        <v>776</v>
      </c>
      <c r="AC82" s="70">
        <v>1998</v>
      </c>
      <c r="AD82" s="70" t="s">
        <v>1980</v>
      </c>
      <c r="AG82" s="52" t="s">
        <v>1260</v>
      </c>
      <c r="AH82" s="137" t="s">
        <v>1261</v>
      </c>
    </row>
    <row r="83" spans="1:34" ht="18.600000000000001" thickBot="1">
      <c r="A83" s="8" t="s">
        <v>445</v>
      </c>
      <c r="B83" s="262">
        <v>10.5</v>
      </c>
      <c r="C83" s="4"/>
      <c r="D83" s="6" t="s">
        <v>458</v>
      </c>
      <c r="E83" s="262">
        <v>8.5</v>
      </c>
      <c r="F83" s="22"/>
      <c r="G83" s="66" t="s">
        <v>493</v>
      </c>
      <c r="H83" s="3">
        <f>ROUND(SUM(H84:H95)/COUNT(H84:H95), 2)</f>
        <v>7.67</v>
      </c>
      <c r="I83" s="4"/>
      <c r="J83" s="8" t="s">
        <v>435</v>
      </c>
      <c r="K83" s="262">
        <v>7.5</v>
      </c>
      <c r="L83" s="22"/>
      <c r="M83" s="5" t="s">
        <v>481</v>
      </c>
      <c r="N83" s="262">
        <v>9</v>
      </c>
      <c r="O83" s="22"/>
      <c r="R83" s="59">
        <v>81</v>
      </c>
      <c r="S83" s="52" t="s">
        <v>740</v>
      </c>
      <c r="T83" s="52" t="s">
        <v>741</v>
      </c>
      <c r="U83" s="69">
        <v>8.67</v>
      </c>
      <c r="V83" s="183">
        <v>8.58</v>
      </c>
      <c r="W83" s="52">
        <v>8.5</v>
      </c>
      <c r="X83" s="52">
        <v>0.62</v>
      </c>
      <c r="Y83" s="52">
        <v>1</v>
      </c>
      <c r="Z83" s="52">
        <v>9</v>
      </c>
      <c r="AA83" s="52">
        <v>0</v>
      </c>
      <c r="AB83" s="52" t="s">
        <v>792</v>
      </c>
      <c r="AC83" s="69">
        <v>1992</v>
      </c>
      <c r="AD83" s="69" t="s">
        <v>1972</v>
      </c>
      <c r="AG83" s="68" t="s">
        <v>1637</v>
      </c>
      <c r="AH83" s="136" t="s">
        <v>1261</v>
      </c>
    </row>
    <row r="84" spans="1:34">
      <c r="A84" s="8" t="s">
        <v>446</v>
      </c>
      <c r="B84" s="262">
        <v>8</v>
      </c>
      <c r="C84" s="4"/>
      <c r="D84" s="6" t="s">
        <v>459</v>
      </c>
      <c r="E84" s="262">
        <v>10</v>
      </c>
      <c r="F84" s="22"/>
      <c r="G84" s="5" t="s">
        <v>494</v>
      </c>
      <c r="H84" s="261">
        <v>8</v>
      </c>
      <c r="I84" s="4"/>
      <c r="J84" s="8" t="s">
        <v>436</v>
      </c>
      <c r="K84" s="262">
        <v>7.5</v>
      </c>
      <c r="L84" s="22"/>
      <c r="M84" s="5" t="s">
        <v>482</v>
      </c>
      <c r="N84" s="262">
        <v>8</v>
      </c>
      <c r="O84" s="22"/>
      <c r="R84" s="59">
        <v>82</v>
      </c>
      <c r="S84" s="68" t="s">
        <v>353</v>
      </c>
      <c r="T84" s="68" t="s">
        <v>161</v>
      </c>
      <c r="U84" s="70">
        <v>8.67</v>
      </c>
      <c r="V84" s="225">
        <v>8.57</v>
      </c>
      <c r="W84" s="68">
        <v>8.5</v>
      </c>
      <c r="X84" s="68">
        <v>0.77</v>
      </c>
      <c r="Y84" s="68">
        <v>2</v>
      </c>
      <c r="Z84" s="68">
        <v>12</v>
      </c>
      <c r="AA84" s="68">
        <v>0</v>
      </c>
      <c r="AB84" s="68" t="s">
        <v>777</v>
      </c>
      <c r="AC84" s="70">
        <v>1977</v>
      </c>
      <c r="AD84" s="70" t="s">
        <v>1978</v>
      </c>
      <c r="AG84" s="52" t="s">
        <v>1103</v>
      </c>
      <c r="AH84" s="137" t="s">
        <v>1874</v>
      </c>
    </row>
    <row r="85" spans="1:34">
      <c r="A85" s="8" t="s">
        <v>447</v>
      </c>
      <c r="B85" s="262">
        <v>8.5</v>
      </c>
      <c r="C85" s="4"/>
      <c r="D85" s="6" t="s">
        <v>460</v>
      </c>
      <c r="E85" s="262">
        <v>8.5</v>
      </c>
      <c r="F85" s="22"/>
      <c r="G85" s="5" t="s">
        <v>495</v>
      </c>
      <c r="H85" s="262">
        <v>8</v>
      </c>
      <c r="I85" s="4"/>
      <c r="J85" s="8" t="s">
        <v>437</v>
      </c>
      <c r="K85" s="262">
        <v>7.5</v>
      </c>
      <c r="L85" s="22"/>
      <c r="M85" s="5" t="s">
        <v>483</v>
      </c>
      <c r="N85" s="262">
        <v>8</v>
      </c>
      <c r="O85" s="22"/>
      <c r="R85" s="59">
        <v>83</v>
      </c>
      <c r="S85" s="52" t="s">
        <v>491</v>
      </c>
      <c r="T85" s="52" t="s">
        <v>492</v>
      </c>
      <c r="U85" s="69">
        <v>8.67</v>
      </c>
      <c r="V85" s="225">
        <v>8.57</v>
      </c>
      <c r="W85" s="52">
        <v>8.5</v>
      </c>
      <c r="X85" s="52">
        <v>0.92</v>
      </c>
      <c r="Y85" s="52">
        <v>3</v>
      </c>
      <c r="Z85" s="52">
        <v>12</v>
      </c>
      <c r="AA85" s="52">
        <v>0</v>
      </c>
      <c r="AB85" s="52" t="s">
        <v>769</v>
      </c>
      <c r="AC85" s="69">
        <v>2002</v>
      </c>
      <c r="AD85" s="69" t="s">
        <v>1975</v>
      </c>
      <c r="AG85" s="68" t="s">
        <v>1096</v>
      </c>
      <c r="AH85" s="136" t="s">
        <v>1662</v>
      </c>
    </row>
    <row r="86" spans="1:34">
      <c r="A86" s="8" t="s">
        <v>448</v>
      </c>
      <c r="B86" s="262">
        <v>9</v>
      </c>
      <c r="C86" s="4"/>
      <c r="D86" s="6" t="s">
        <v>461</v>
      </c>
      <c r="E86" s="262">
        <v>7</v>
      </c>
      <c r="F86" s="22"/>
      <c r="G86" s="5" t="s">
        <v>496</v>
      </c>
      <c r="H86" s="262">
        <v>8</v>
      </c>
      <c r="I86" s="4"/>
      <c r="J86" s="8" t="s">
        <v>438</v>
      </c>
      <c r="K86" s="262">
        <v>7</v>
      </c>
      <c r="L86" s="22"/>
      <c r="M86" s="5" t="s">
        <v>484</v>
      </c>
      <c r="N86" s="262">
        <v>8.5</v>
      </c>
      <c r="O86" s="22"/>
      <c r="R86" s="59">
        <v>84</v>
      </c>
      <c r="S86" s="68" t="s">
        <v>782</v>
      </c>
      <c r="T86" s="68" t="s">
        <v>783</v>
      </c>
      <c r="U86" s="70">
        <v>8.67</v>
      </c>
      <c r="V86" s="225">
        <v>8.57</v>
      </c>
      <c r="W86" s="68">
        <v>8.5</v>
      </c>
      <c r="X86" s="68">
        <v>0.75</v>
      </c>
      <c r="Y86" s="68">
        <v>1</v>
      </c>
      <c r="Z86" s="68">
        <v>6</v>
      </c>
      <c r="AA86" s="68">
        <v>0</v>
      </c>
      <c r="AB86" s="68" t="s">
        <v>785</v>
      </c>
      <c r="AC86" s="70">
        <v>2024</v>
      </c>
      <c r="AD86" s="70" t="s">
        <v>1985</v>
      </c>
      <c r="AG86" s="52" t="s">
        <v>788</v>
      </c>
      <c r="AH86" s="137" t="s">
        <v>2073</v>
      </c>
    </row>
    <row r="87" spans="1:34">
      <c r="A87" s="8" t="s">
        <v>449</v>
      </c>
      <c r="B87" s="262">
        <v>8</v>
      </c>
      <c r="C87" s="4"/>
      <c r="D87" s="6" t="s">
        <v>462</v>
      </c>
      <c r="E87" s="262">
        <v>7.5</v>
      </c>
      <c r="F87" s="22"/>
      <c r="G87" s="5" t="s">
        <v>497</v>
      </c>
      <c r="H87" s="262">
        <v>8.5</v>
      </c>
      <c r="I87" s="4"/>
      <c r="J87" s="8" t="s">
        <v>439</v>
      </c>
      <c r="K87" s="262">
        <v>7.5</v>
      </c>
      <c r="L87" s="22"/>
      <c r="M87" s="5" t="s">
        <v>485</v>
      </c>
      <c r="N87" s="262">
        <v>9</v>
      </c>
      <c r="O87" s="22"/>
      <c r="R87" s="59">
        <v>85</v>
      </c>
      <c r="S87" s="52" t="s">
        <v>354</v>
      </c>
      <c r="T87" s="52" t="s">
        <v>160</v>
      </c>
      <c r="U87" s="69">
        <v>8.65</v>
      </c>
      <c r="V87" s="132">
        <v>8.56</v>
      </c>
      <c r="W87" s="52">
        <v>8.5</v>
      </c>
      <c r="X87" s="52">
        <v>0.72</v>
      </c>
      <c r="Y87" s="52">
        <v>2</v>
      </c>
      <c r="Z87" s="52">
        <v>13</v>
      </c>
      <c r="AA87" s="52">
        <v>0</v>
      </c>
      <c r="AB87" s="52" t="s">
        <v>796</v>
      </c>
      <c r="AC87" s="69">
        <v>2005</v>
      </c>
      <c r="AD87" s="69" t="s">
        <v>1982</v>
      </c>
      <c r="AG87" s="68" t="s">
        <v>1215</v>
      </c>
      <c r="AH87" s="136" t="s">
        <v>1105</v>
      </c>
    </row>
    <row r="88" spans="1:34" ht="16.2" thickBot="1">
      <c r="A88" s="8" t="s">
        <v>450</v>
      </c>
      <c r="B88" s="262">
        <v>8.5</v>
      </c>
      <c r="C88" s="4"/>
      <c r="D88" s="6" t="s">
        <v>463</v>
      </c>
      <c r="E88" s="262">
        <v>9</v>
      </c>
      <c r="F88" s="22"/>
      <c r="G88" s="5" t="s">
        <v>498</v>
      </c>
      <c r="H88" s="262">
        <v>7</v>
      </c>
      <c r="I88" s="4"/>
      <c r="J88" s="10" t="s">
        <v>440</v>
      </c>
      <c r="K88" s="263">
        <v>9</v>
      </c>
      <c r="L88" s="22"/>
      <c r="M88" s="5" t="s">
        <v>486</v>
      </c>
      <c r="N88" s="262">
        <v>8</v>
      </c>
      <c r="O88" s="22"/>
      <c r="R88" s="59">
        <v>86</v>
      </c>
      <c r="S88" s="68" t="s">
        <v>336</v>
      </c>
      <c r="T88" s="68" t="s">
        <v>869</v>
      </c>
      <c r="U88" s="70">
        <v>8.5</v>
      </c>
      <c r="V88" s="132">
        <v>8.56</v>
      </c>
      <c r="W88" s="68">
        <v>8.5</v>
      </c>
      <c r="X88" s="68">
        <v>0.96</v>
      </c>
      <c r="Y88" s="68">
        <v>2</v>
      </c>
      <c r="Z88" s="68">
        <v>14</v>
      </c>
      <c r="AA88" s="68">
        <v>1</v>
      </c>
      <c r="AB88" s="68" t="s">
        <v>766</v>
      </c>
      <c r="AC88" s="70">
        <v>2003</v>
      </c>
      <c r="AD88" s="70" t="s">
        <v>1981</v>
      </c>
      <c r="AG88" s="52" t="s">
        <v>1517</v>
      </c>
      <c r="AH88" s="137" t="s">
        <v>1105</v>
      </c>
    </row>
    <row r="89" spans="1:34" ht="16.2" thickBot="1">
      <c r="A89" s="8" t="s">
        <v>451</v>
      </c>
      <c r="B89" s="262">
        <v>9.5</v>
      </c>
      <c r="C89" s="4"/>
      <c r="D89" s="6" t="s">
        <v>464</v>
      </c>
      <c r="E89" s="262">
        <v>7</v>
      </c>
      <c r="F89" s="22"/>
      <c r="G89" s="5" t="s">
        <v>499</v>
      </c>
      <c r="H89" s="262">
        <v>8</v>
      </c>
      <c r="I89" s="4"/>
      <c r="J89" s="21"/>
      <c r="K89" s="21"/>
      <c r="L89" s="22"/>
      <c r="M89" s="5" t="s">
        <v>487</v>
      </c>
      <c r="N89" s="262">
        <v>7</v>
      </c>
      <c r="O89" s="22"/>
      <c r="R89" s="59">
        <v>87</v>
      </c>
      <c r="S89" s="52" t="s">
        <v>970</v>
      </c>
      <c r="T89" s="52" t="s">
        <v>968</v>
      </c>
      <c r="U89" s="69">
        <v>8.67</v>
      </c>
      <c r="V89" s="132">
        <v>8.56</v>
      </c>
      <c r="W89" s="52">
        <v>8.5</v>
      </c>
      <c r="X89" s="52">
        <v>0.71</v>
      </c>
      <c r="Y89" s="52">
        <v>1</v>
      </c>
      <c r="Z89" s="52">
        <v>10</v>
      </c>
      <c r="AA89" s="52">
        <v>1</v>
      </c>
      <c r="AB89" s="52" t="s">
        <v>971</v>
      </c>
      <c r="AC89" s="69">
        <v>1999</v>
      </c>
      <c r="AD89" s="69" t="s">
        <v>1987</v>
      </c>
      <c r="AG89" s="68" t="s">
        <v>1518</v>
      </c>
      <c r="AH89" s="136" t="s">
        <v>1105</v>
      </c>
    </row>
    <row r="90" spans="1:34" ht="18.600000000000001" thickBot="1">
      <c r="A90" s="8" t="s">
        <v>452</v>
      </c>
      <c r="B90" s="262">
        <v>8</v>
      </c>
      <c r="C90" s="4"/>
      <c r="D90" s="6" t="s">
        <v>465</v>
      </c>
      <c r="E90" s="262">
        <v>8</v>
      </c>
      <c r="F90" s="22"/>
      <c r="G90" s="5" t="s">
        <v>500</v>
      </c>
      <c r="H90" s="262">
        <v>7</v>
      </c>
      <c r="I90" s="22"/>
      <c r="J90" s="73" t="s">
        <v>508</v>
      </c>
      <c r="K90" s="3">
        <f>ROUND(SUM(K91:K96)/COUNT(K91:K96), 2)</f>
        <v>9.17</v>
      </c>
      <c r="L90" s="22"/>
      <c r="M90" s="5" t="s">
        <v>488</v>
      </c>
      <c r="N90" s="262">
        <v>8.5</v>
      </c>
      <c r="O90" s="22"/>
      <c r="R90" s="59">
        <v>88</v>
      </c>
      <c r="S90" s="68" t="s">
        <v>339</v>
      </c>
      <c r="T90" s="68" t="s">
        <v>2171</v>
      </c>
      <c r="U90" s="70">
        <v>8.6</v>
      </c>
      <c r="V90" s="300">
        <v>8.5399999999999991</v>
      </c>
      <c r="W90" s="68">
        <v>8</v>
      </c>
      <c r="X90" s="68">
        <v>1.02</v>
      </c>
      <c r="Y90" s="68">
        <v>2</v>
      </c>
      <c r="Z90" s="68">
        <v>10</v>
      </c>
      <c r="AA90" s="68">
        <v>0</v>
      </c>
      <c r="AB90" s="68" t="s">
        <v>2180</v>
      </c>
      <c r="AC90" s="70">
        <v>1970</v>
      </c>
      <c r="AD90" s="70" t="s">
        <v>1985</v>
      </c>
      <c r="AG90" s="52" t="s">
        <v>1106</v>
      </c>
      <c r="AH90" s="137" t="s">
        <v>1105</v>
      </c>
    </row>
    <row r="91" spans="1:34" ht="16.2" thickBot="1">
      <c r="A91" s="10" t="s">
        <v>453</v>
      </c>
      <c r="B91" s="263">
        <v>10</v>
      </c>
      <c r="C91" s="4"/>
      <c r="D91" s="6" t="s">
        <v>466</v>
      </c>
      <c r="E91" s="262">
        <v>7.5</v>
      </c>
      <c r="F91" s="22"/>
      <c r="G91" s="5" t="s">
        <v>501</v>
      </c>
      <c r="H91" s="262">
        <v>8</v>
      </c>
      <c r="I91" s="4"/>
      <c r="J91" s="7" t="s">
        <v>509</v>
      </c>
      <c r="K91" s="261">
        <v>9.5</v>
      </c>
      <c r="L91" s="22"/>
      <c r="M91" s="55" t="s">
        <v>489</v>
      </c>
      <c r="N91" s="263">
        <v>10</v>
      </c>
      <c r="O91" s="22"/>
      <c r="R91" s="59">
        <v>89</v>
      </c>
      <c r="S91" s="52" t="s">
        <v>1905</v>
      </c>
      <c r="T91" s="52" t="s">
        <v>1906</v>
      </c>
      <c r="U91" s="69">
        <v>8.6</v>
      </c>
      <c r="V91" s="281">
        <v>8.52</v>
      </c>
      <c r="W91" s="52">
        <v>8.5</v>
      </c>
      <c r="X91" s="52">
        <v>0.66</v>
      </c>
      <c r="Y91" s="52">
        <v>1</v>
      </c>
      <c r="Z91" s="52">
        <v>10</v>
      </c>
      <c r="AA91" s="52">
        <v>0</v>
      </c>
      <c r="AB91" s="52" t="s">
        <v>1907</v>
      </c>
      <c r="AC91" s="69">
        <v>2024</v>
      </c>
      <c r="AD91" s="69" t="s">
        <v>1985</v>
      </c>
      <c r="AG91" s="68" t="s">
        <v>1111</v>
      </c>
      <c r="AH91" s="136" t="s">
        <v>1534</v>
      </c>
    </row>
    <row r="92" spans="1:34" ht="16.2" thickBot="1">
      <c r="A92" s="21"/>
      <c r="B92" s="21"/>
      <c r="C92" s="4"/>
      <c r="D92" s="6" t="s">
        <v>467</v>
      </c>
      <c r="E92" s="262">
        <v>8.5</v>
      </c>
      <c r="F92" s="22"/>
      <c r="G92" s="5" t="s">
        <v>502</v>
      </c>
      <c r="H92" s="262">
        <v>7</v>
      </c>
      <c r="I92" s="4"/>
      <c r="J92" s="8" t="s">
        <v>510</v>
      </c>
      <c r="K92" s="262">
        <v>8.5</v>
      </c>
      <c r="L92" s="4"/>
      <c r="M92" s="21"/>
      <c r="N92" s="21"/>
      <c r="O92" s="22"/>
      <c r="R92" s="59">
        <v>90</v>
      </c>
      <c r="S92" s="68" t="s">
        <v>1660</v>
      </c>
      <c r="T92" s="68" t="s">
        <v>1661</v>
      </c>
      <c r="U92" s="70">
        <v>8.6</v>
      </c>
      <c r="V92" s="226">
        <v>8.5</v>
      </c>
      <c r="W92" s="68">
        <v>8.5</v>
      </c>
      <c r="X92" s="68">
        <v>0.83</v>
      </c>
      <c r="Y92" s="68">
        <v>1</v>
      </c>
      <c r="Z92" s="68">
        <v>10</v>
      </c>
      <c r="AA92" s="68">
        <v>0</v>
      </c>
      <c r="AB92" s="68" t="s">
        <v>775</v>
      </c>
      <c r="AC92" s="70">
        <v>1993</v>
      </c>
      <c r="AD92" s="70" t="s">
        <v>1962</v>
      </c>
      <c r="AG92" s="52" t="s">
        <v>1109</v>
      </c>
      <c r="AH92" s="137" t="s">
        <v>1108</v>
      </c>
    </row>
    <row r="93" spans="1:34" ht="18.600000000000001" thickBot="1">
      <c r="A93" s="115" t="s">
        <v>908</v>
      </c>
      <c r="B93" s="14">
        <f>ROUND(SUM(B94:B101)/COUNT(B94:B101), 2)</f>
        <v>8.5</v>
      </c>
      <c r="C93" s="4"/>
      <c r="D93" s="6" t="s">
        <v>468</v>
      </c>
      <c r="E93" s="262">
        <v>8</v>
      </c>
      <c r="F93" s="22"/>
      <c r="G93" s="5" t="s">
        <v>503</v>
      </c>
      <c r="H93" s="262">
        <v>8</v>
      </c>
      <c r="I93" s="4"/>
      <c r="J93" s="8" t="s">
        <v>511</v>
      </c>
      <c r="K93" s="262">
        <v>10.5</v>
      </c>
      <c r="L93" s="22"/>
      <c r="M93" s="127" t="s">
        <v>1013</v>
      </c>
      <c r="N93" s="3">
        <f>ROUND(SUM(N94:N110)/COUNT(N94:N110), 2)</f>
        <v>8.5</v>
      </c>
      <c r="O93" s="22"/>
      <c r="R93" s="59">
        <v>91</v>
      </c>
      <c r="S93" s="52" t="s">
        <v>1036</v>
      </c>
      <c r="T93" s="52" t="s">
        <v>1037</v>
      </c>
      <c r="U93" s="69">
        <v>8.5500000000000007</v>
      </c>
      <c r="V93" s="227">
        <v>8.4700000000000006</v>
      </c>
      <c r="W93" s="52">
        <v>8.5</v>
      </c>
      <c r="X93" s="52">
        <v>0.69</v>
      </c>
      <c r="Y93" s="52">
        <v>1</v>
      </c>
      <c r="Z93" s="52">
        <v>12</v>
      </c>
      <c r="AA93" s="52">
        <v>1</v>
      </c>
      <c r="AB93" s="52" t="s">
        <v>788</v>
      </c>
      <c r="AC93" s="69">
        <v>1999</v>
      </c>
      <c r="AD93" s="69" t="s">
        <v>1951</v>
      </c>
      <c r="AG93" s="68" t="s">
        <v>787</v>
      </c>
      <c r="AH93" s="136" t="s">
        <v>1777</v>
      </c>
    </row>
    <row r="94" spans="1:34">
      <c r="A94" s="13" t="s">
        <v>515</v>
      </c>
      <c r="B94" s="261">
        <v>10</v>
      </c>
      <c r="C94" s="4"/>
      <c r="D94" s="6" t="s">
        <v>469</v>
      </c>
      <c r="E94" s="262">
        <v>8</v>
      </c>
      <c r="F94" s="22"/>
      <c r="G94" s="5" t="s">
        <v>504</v>
      </c>
      <c r="H94" s="262">
        <v>6.5</v>
      </c>
      <c r="I94" s="4"/>
      <c r="J94" s="8" t="s">
        <v>512</v>
      </c>
      <c r="K94" s="262">
        <v>9</v>
      </c>
      <c r="L94" s="4"/>
      <c r="M94" s="7" t="s">
        <v>527</v>
      </c>
      <c r="N94" s="261">
        <v>8</v>
      </c>
      <c r="O94" s="22"/>
      <c r="R94" s="59">
        <v>92</v>
      </c>
      <c r="S94" s="68" t="s">
        <v>343</v>
      </c>
      <c r="T94" s="68" t="s">
        <v>2059</v>
      </c>
      <c r="U94" s="70">
        <v>8.5</v>
      </c>
      <c r="V94" s="289">
        <v>8.4600000000000009</v>
      </c>
      <c r="W94" s="68">
        <v>8.5</v>
      </c>
      <c r="X94" s="68">
        <v>0.35</v>
      </c>
      <c r="Y94" s="68">
        <v>0</v>
      </c>
      <c r="Z94" s="68">
        <v>8</v>
      </c>
      <c r="AA94" s="68">
        <v>0</v>
      </c>
      <c r="AB94" s="68" t="s">
        <v>788</v>
      </c>
      <c r="AC94" s="70">
        <v>2024</v>
      </c>
      <c r="AD94" s="70" t="s">
        <v>1993</v>
      </c>
      <c r="AG94" s="52" t="s">
        <v>1202</v>
      </c>
      <c r="AH94" s="137" t="s">
        <v>2175</v>
      </c>
    </row>
    <row r="95" spans="1:34" ht="16.2" thickBot="1">
      <c r="A95" s="6" t="s">
        <v>516</v>
      </c>
      <c r="B95" s="262">
        <v>9.5</v>
      </c>
      <c r="C95" s="4"/>
      <c r="D95" s="6" t="s">
        <v>470</v>
      </c>
      <c r="E95" s="262">
        <v>7</v>
      </c>
      <c r="F95" s="22"/>
      <c r="G95" s="9" t="s">
        <v>505</v>
      </c>
      <c r="H95" s="263">
        <v>8</v>
      </c>
      <c r="I95" s="4"/>
      <c r="J95" s="8" t="s">
        <v>513</v>
      </c>
      <c r="K95" s="262">
        <v>9</v>
      </c>
      <c r="L95" s="4"/>
      <c r="M95" s="8" t="s">
        <v>528</v>
      </c>
      <c r="N95" s="262">
        <v>8</v>
      </c>
      <c r="O95" s="22"/>
      <c r="R95" s="59">
        <v>93</v>
      </c>
      <c r="S95" s="52" t="s">
        <v>1243</v>
      </c>
      <c r="T95" s="52" t="s">
        <v>1244</v>
      </c>
      <c r="U95" s="69">
        <v>8.5299999999999994</v>
      </c>
      <c r="V95" s="251">
        <v>8.4499999999999993</v>
      </c>
      <c r="W95" s="52">
        <v>8.5</v>
      </c>
      <c r="X95" s="52">
        <v>0.96</v>
      </c>
      <c r="Y95" s="52">
        <v>3</v>
      </c>
      <c r="Z95" s="52">
        <v>15</v>
      </c>
      <c r="AA95" s="52">
        <v>0</v>
      </c>
      <c r="AB95" s="52" t="s">
        <v>1248</v>
      </c>
      <c r="AC95" s="69">
        <v>2024</v>
      </c>
      <c r="AD95" s="69" t="s">
        <v>1954</v>
      </c>
      <c r="AG95" s="68" t="s">
        <v>1581</v>
      </c>
      <c r="AH95" s="136" t="s">
        <v>2175</v>
      </c>
    </row>
    <row r="96" spans="1:34" ht="16.2" thickBot="1">
      <c r="A96" s="6" t="s">
        <v>517</v>
      </c>
      <c r="B96" s="262">
        <v>8.5</v>
      </c>
      <c r="C96" s="4"/>
      <c r="D96" s="6" t="s">
        <v>471</v>
      </c>
      <c r="E96" s="262">
        <v>8.5</v>
      </c>
      <c r="F96" s="4"/>
      <c r="G96" s="21"/>
      <c r="H96" s="21"/>
      <c r="I96" s="4"/>
      <c r="J96" s="10" t="s">
        <v>514</v>
      </c>
      <c r="K96" s="263">
        <v>8.5</v>
      </c>
      <c r="L96" s="4"/>
      <c r="M96" s="8" t="s">
        <v>529</v>
      </c>
      <c r="N96" s="262">
        <v>9</v>
      </c>
      <c r="O96" s="22"/>
      <c r="R96" s="59">
        <v>94</v>
      </c>
      <c r="S96" s="68" t="s">
        <v>1799</v>
      </c>
      <c r="T96" s="68" t="s">
        <v>1800</v>
      </c>
      <c r="U96" s="70">
        <v>8.5</v>
      </c>
      <c r="V96" s="251">
        <v>8.4499999999999993</v>
      </c>
      <c r="W96" s="68">
        <v>8.5</v>
      </c>
      <c r="X96" s="68">
        <v>0.41</v>
      </c>
      <c r="Y96" s="68">
        <v>0</v>
      </c>
      <c r="Z96" s="68">
        <v>9</v>
      </c>
      <c r="AA96" s="68">
        <v>0</v>
      </c>
      <c r="AB96" s="68" t="s">
        <v>1248</v>
      </c>
      <c r="AC96" s="70">
        <v>2026</v>
      </c>
      <c r="AD96" s="70" t="s">
        <v>1988</v>
      </c>
      <c r="AG96" s="52" t="s">
        <v>1118</v>
      </c>
      <c r="AH96" s="137" t="s">
        <v>1842</v>
      </c>
    </row>
    <row r="97" spans="1:34" ht="18.600000000000001" thickBot="1">
      <c r="A97" s="6" t="s">
        <v>518</v>
      </c>
      <c r="B97" s="262">
        <v>8</v>
      </c>
      <c r="C97" s="4"/>
      <c r="D97" s="6" t="s">
        <v>472</v>
      </c>
      <c r="E97" s="262">
        <v>8.5</v>
      </c>
      <c r="F97" s="22"/>
      <c r="G97" s="71" t="s">
        <v>556</v>
      </c>
      <c r="H97" s="3">
        <f>ROUND(SUM(H98:H108)/COUNT(H98:H109), 2)</f>
        <v>8.77</v>
      </c>
      <c r="I97" s="4"/>
      <c r="J97" s="21"/>
      <c r="K97" s="21"/>
      <c r="L97" s="4"/>
      <c r="M97" s="8" t="s">
        <v>530</v>
      </c>
      <c r="N97" s="262"/>
      <c r="O97" s="22"/>
      <c r="R97" s="59">
        <v>95</v>
      </c>
      <c r="S97" s="52" t="s">
        <v>544</v>
      </c>
      <c r="T97" s="52" t="s">
        <v>545</v>
      </c>
      <c r="U97" s="69">
        <v>8.5</v>
      </c>
      <c r="V97" s="228">
        <v>8.43</v>
      </c>
      <c r="W97" s="52">
        <v>8.5</v>
      </c>
      <c r="X97" s="52">
        <v>0.59</v>
      </c>
      <c r="Y97" s="52">
        <v>0</v>
      </c>
      <c r="Z97" s="52">
        <v>17</v>
      </c>
      <c r="AA97" s="52">
        <v>4</v>
      </c>
      <c r="AB97" s="52" t="s">
        <v>797</v>
      </c>
      <c r="AC97" s="69">
        <v>2016</v>
      </c>
      <c r="AD97" s="69" t="s">
        <v>1986</v>
      </c>
      <c r="AG97" s="68" t="s">
        <v>1307</v>
      </c>
      <c r="AH97" s="136" t="s">
        <v>1113</v>
      </c>
    </row>
    <row r="98" spans="1:34" ht="18.600000000000001" thickBot="1">
      <c r="A98" s="6" t="s">
        <v>519</v>
      </c>
      <c r="B98" s="262">
        <v>8.5</v>
      </c>
      <c r="C98" s="4"/>
      <c r="D98" s="6" t="s">
        <v>473</v>
      </c>
      <c r="E98" s="262">
        <v>7</v>
      </c>
      <c r="F98" s="4"/>
      <c r="G98" s="7" t="s">
        <v>546</v>
      </c>
      <c r="H98" s="261">
        <v>9.5</v>
      </c>
      <c r="I98" s="22"/>
      <c r="J98" s="72" t="s">
        <v>557</v>
      </c>
      <c r="K98" s="3">
        <f>ROUND(SUM(K99:K109)/COUNT(K99:K109), 2)</f>
        <v>9.61</v>
      </c>
      <c r="L98" s="4"/>
      <c r="M98" s="8" t="s">
        <v>531</v>
      </c>
      <c r="N98" s="262">
        <v>8.5</v>
      </c>
      <c r="O98" s="22"/>
      <c r="R98" s="59">
        <v>96</v>
      </c>
      <c r="S98" s="68" t="s">
        <v>343</v>
      </c>
      <c r="T98" s="68" t="s">
        <v>523</v>
      </c>
      <c r="U98" s="70">
        <v>8.5</v>
      </c>
      <c r="V98" s="229">
        <v>8.41</v>
      </c>
      <c r="W98" s="68">
        <v>8.5</v>
      </c>
      <c r="X98" s="68">
        <v>0.94</v>
      </c>
      <c r="Y98" s="68">
        <v>1</v>
      </c>
      <c r="Z98" s="68">
        <v>8</v>
      </c>
      <c r="AA98" s="68">
        <v>0</v>
      </c>
      <c r="AB98" s="68" t="s">
        <v>790</v>
      </c>
      <c r="AC98" s="70">
        <v>2003</v>
      </c>
      <c r="AD98" s="70" t="s">
        <v>1985</v>
      </c>
      <c r="AG98" s="52" t="s">
        <v>792</v>
      </c>
      <c r="AH98" s="137" t="s">
        <v>1113</v>
      </c>
    </row>
    <row r="99" spans="1:34" ht="16.2" thickBot="1">
      <c r="A99" s="6" t="s">
        <v>520</v>
      </c>
      <c r="B99" s="262">
        <v>7.5</v>
      </c>
      <c r="C99" s="4"/>
      <c r="D99" s="9" t="s">
        <v>474</v>
      </c>
      <c r="E99" s="263">
        <v>9</v>
      </c>
      <c r="F99" s="4"/>
      <c r="G99" s="8" t="s">
        <v>547</v>
      </c>
      <c r="H99" s="262">
        <v>8.5</v>
      </c>
      <c r="I99" s="4"/>
      <c r="J99" s="7" t="s">
        <v>558</v>
      </c>
      <c r="K99" s="261">
        <v>10.5</v>
      </c>
      <c r="L99" s="4"/>
      <c r="M99" s="8" t="s">
        <v>532</v>
      </c>
      <c r="N99" s="262">
        <v>7.5</v>
      </c>
      <c r="O99" s="22"/>
      <c r="R99" s="59">
        <v>97</v>
      </c>
      <c r="S99" s="52" t="s">
        <v>382</v>
      </c>
      <c r="T99" s="52" t="s">
        <v>383</v>
      </c>
      <c r="U99" s="69">
        <v>8.4600000000000009</v>
      </c>
      <c r="V99" s="230">
        <v>8.39</v>
      </c>
      <c r="W99" s="52">
        <v>8.5</v>
      </c>
      <c r="X99" s="52">
        <v>0.84</v>
      </c>
      <c r="Y99" s="52">
        <v>2</v>
      </c>
      <c r="Z99" s="52">
        <v>13</v>
      </c>
      <c r="AA99" s="52">
        <v>0</v>
      </c>
      <c r="AB99" s="52" t="s">
        <v>794</v>
      </c>
      <c r="AC99" s="69">
        <v>2018</v>
      </c>
      <c r="AD99" s="69" t="s">
        <v>1969</v>
      </c>
      <c r="AG99" s="68" t="s">
        <v>1115</v>
      </c>
      <c r="AH99" s="136" t="s">
        <v>1113</v>
      </c>
    </row>
    <row r="100" spans="1:34" ht="16.2" thickBot="1">
      <c r="A100" s="6" t="s">
        <v>521</v>
      </c>
      <c r="B100" s="262">
        <v>9</v>
      </c>
      <c r="C100" s="4"/>
      <c r="D100" s="19"/>
      <c r="E100" s="21"/>
      <c r="F100" s="4"/>
      <c r="G100" s="8" t="s">
        <v>548</v>
      </c>
      <c r="H100" s="262">
        <v>8.5</v>
      </c>
      <c r="I100" s="4"/>
      <c r="J100" s="8" t="s">
        <v>559</v>
      </c>
      <c r="K100" s="262">
        <v>10</v>
      </c>
      <c r="L100" s="4"/>
      <c r="M100" s="8" t="s">
        <v>533</v>
      </c>
      <c r="N100" s="262">
        <v>9.5</v>
      </c>
      <c r="O100" s="22"/>
      <c r="R100" s="59">
        <v>98</v>
      </c>
      <c r="S100" s="68" t="s">
        <v>1290</v>
      </c>
      <c r="T100" s="68" t="s">
        <v>1280</v>
      </c>
      <c r="U100" s="70">
        <v>8.4499999999999993</v>
      </c>
      <c r="V100" s="185">
        <v>8.3800000000000008</v>
      </c>
      <c r="W100" s="68">
        <v>8.5</v>
      </c>
      <c r="X100" s="68">
        <v>0.78</v>
      </c>
      <c r="Y100" s="68">
        <v>1</v>
      </c>
      <c r="Z100" s="68">
        <v>11</v>
      </c>
      <c r="AA100" s="68">
        <v>0</v>
      </c>
      <c r="AB100" s="68" t="s">
        <v>1291</v>
      </c>
      <c r="AC100" s="70">
        <v>2024</v>
      </c>
      <c r="AD100" s="70" t="s">
        <v>1988</v>
      </c>
      <c r="AG100" s="52" t="s">
        <v>1119</v>
      </c>
      <c r="AH100" s="137" t="s">
        <v>1910</v>
      </c>
    </row>
    <row r="101" spans="1:34" ht="18.600000000000001" thickBot="1">
      <c r="A101" s="9" t="s">
        <v>522</v>
      </c>
      <c r="B101" s="263">
        <v>7</v>
      </c>
      <c r="C101" s="4"/>
      <c r="D101" s="94" t="s">
        <v>887</v>
      </c>
      <c r="E101" s="3">
        <f>ROUND(SUM(E102:E115)/COUNT(E102:E115), 2)</f>
        <v>8.31</v>
      </c>
      <c r="F101" s="4"/>
      <c r="G101" s="8" t="s">
        <v>549</v>
      </c>
      <c r="H101" s="262">
        <v>8</v>
      </c>
      <c r="I101" s="4"/>
      <c r="J101" s="8" t="s">
        <v>560</v>
      </c>
      <c r="K101" s="262">
        <v>8.5</v>
      </c>
      <c r="L101" s="4"/>
      <c r="M101" s="8" t="s">
        <v>543</v>
      </c>
      <c r="N101" s="262"/>
      <c r="O101" s="22"/>
      <c r="R101" s="59">
        <v>99</v>
      </c>
      <c r="S101" s="52" t="s">
        <v>2085</v>
      </c>
      <c r="T101" s="52" t="s">
        <v>2086</v>
      </c>
      <c r="U101" s="69">
        <v>8.43</v>
      </c>
      <c r="V101" s="185">
        <v>8.3800000000000008</v>
      </c>
      <c r="W101" s="52">
        <v>8.5</v>
      </c>
      <c r="X101" s="52">
        <v>0.49</v>
      </c>
      <c r="Y101" s="52">
        <v>0</v>
      </c>
      <c r="Z101" s="52">
        <v>8</v>
      </c>
      <c r="AA101" s="52">
        <v>1</v>
      </c>
      <c r="AB101" s="52" t="s">
        <v>2087</v>
      </c>
      <c r="AC101" s="69">
        <v>2026</v>
      </c>
      <c r="AD101" s="69" t="s">
        <v>1980</v>
      </c>
      <c r="AG101" s="68" t="s">
        <v>2184</v>
      </c>
      <c r="AH101" s="136" t="s">
        <v>1908</v>
      </c>
    </row>
    <row r="102" spans="1:34" ht="16.2" thickBot="1">
      <c r="A102" s="21"/>
      <c r="B102" s="21"/>
      <c r="C102" s="22"/>
      <c r="D102" s="7" t="s">
        <v>572</v>
      </c>
      <c r="E102" s="265"/>
      <c r="F102" s="4"/>
      <c r="G102" s="8" t="s">
        <v>550</v>
      </c>
      <c r="H102" s="262">
        <v>9</v>
      </c>
      <c r="I102" s="4"/>
      <c r="J102" s="8" t="s">
        <v>561</v>
      </c>
      <c r="K102" s="262">
        <v>9.5</v>
      </c>
      <c r="L102" s="4"/>
      <c r="M102" s="8" t="s">
        <v>534</v>
      </c>
      <c r="N102" s="262">
        <v>9</v>
      </c>
      <c r="O102" s="22"/>
      <c r="R102" s="59">
        <v>100</v>
      </c>
      <c r="S102" s="68" t="s">
        <v>1686</v>
      </c>
      <c r="T102" s="68" t="s">
        <v>1687</v>
      </c>
      <c r="U102" s="70">
        <v>8.4</v>
      </c>
      <c r="V102" s="231">
        <v>8.3699999999999992</v>
      </c>
      <c r="W102" s="68">
        <v>8.5</v>
      </c>
      <c r="X102" s="68">
        <v>0.37</v>
      </c>
      <c r="Y102" s="68">
        <v>0</v>
      </c>
      <c r="Z102" s="68">
        <v>5</v>
      </c>
      <c r="AA102" s="68">
        <v>0</v>
      </c>
      <c r="AB102" s="68" t="s">
        <v>1688</v>
      </c>
      <c r="AC102" s="70">
        <v>2026</v>
      </c>
      <c r="AD102" s="70" t="s">
        <v>1960</v>
      </c>
      <c r="AG102" s="52" t="s">
        <v>1907</v>
      </c>
      <c r="AH102" s="137" t="s">
        <v>1908</v>
      </c>
    </row>
    <row r="103" spans="1:34" ht="18.600000000000001" thickBot="1">
      <c r="A103" s="74" t="s">
        <v>587</v>
      </c>
      <c r="B103" s="3">
        <f>ROUND(SUM(B104:B112)/COUNT(B104:B112), 2)</f>
        <v>8.7799999999999994</v>
      </c>
      <c r="C103" s="22"/>
      <c r="D103" s="20" t="s">
        <v>573</v>
      </c>
      <c r="E103" s="262">
        <v>8</v>
      </c>
      <c r="F103" s="4"/>
      <c r="G103" s="8" t="s">
        <v>551</v>
      </c>
      <c r="H103" s="262">
        <v>8</v>
      </c>
      <c r="I103" s="4"/>
      <c r="J103" s="8" t="s">
        <v>562</v>
      </c>
      <c r="K103" s="262">
        <v>10</v>
      </c>
      <c r="L103" s="4"/>
      <c r="M103" s="8" t="s">
        <v>535</v>
      </c>
      <c r="N103" s="262"/>
      <c r="O103" s="22"/>
      <c r="R103" s="59">
        <v>101</v>
      </c>
      <c r="S103" s="52" t="s">
        <v>358</v>
      </c>
      <c r="T103" s="52" t="s">
        <v>359</v>
      </c>
      <c r="U103" s="69">
        <v>8.42</v>
      </c>
      <c r="V103" s="186">
        <v>8.34</v>
      </c>
      <c r="W103" s="52">
        <v>8.5</v>
      </c>
      <c r="X103" s="52">
        <v>0.91</v>
      </c>
      <c r="Y103" s="52">
        <v>1</v>
      </c>
      <c r="Z103" s="52">
        <v>13</v>
      </c>
      <c r="AA103" s="52">
        <v>1</v>
      </c>
      <c r="AB103" s="52" t="s">
        <v>779</v>
      </c>
      <c r="AC103" s="69">
        <v>2000</v>
      </c>
      <c r="AD103" s="69" t="s">
        <v>1983</v>
      </c>
      <c r="AG103" s="68" t="s">
        <v>1120</v>
      </c>
      <c r="AH103" s="136" t="s">
        <v>1121</v>
      </c>
    </row>
    <row r="104" spans="1:34">
      <c r="A104" s="5" t="s">
        <v>588</v>
      </c>
      <c r="B104" s="262">
        <v>9.5</v>
      </c>
      <c r="C104" s="41"/>
      <c r="D104" s="20" t="s">
        <v>574</v>
      </c>
      <c r="E104" s="262">
        <v>9</v>
      </c>
      <c r="F104" s="4"/>
      <c r="G104" s="8" t="s">
        <v>552</v>
      </c>
      <c r="H104" s="262">
        <v>9.5</v>
      </c>
      <c r="I104" s="4"/>
      <c r="J104" s="8" t="s">
        <v>563</v>
      </c>
      <c r="K104" s="262"/>
      <c r="L104" s="4"/>
      <c r="M104" s="8" t="s">
        <v>536</v>
      </c>
      <c r="N104" s="262">
        <v>8</v>
      </c>
      <c r="O104" s="22"/>
      <c r="R104" s="59">
        <v>102</v>
      </c>
      <c r="S104" s="68" t="s">
        <v>1548</v>
      </c>
      <c r="T104" s="68" t="s">
        <v>1604</v>
      </c>
      <c r="U104" s="70">
        <v>8.44</v>
      </c>
      <c r="V104" s="186">
        <v>8.34</v>
      </c>
      <c r="W104" s="68">
        <v>8.5</v>
      </c>
      <c r="X104" s="68">
        <v>1.28</v>
      </c>
      <c r="Y104" s="68">
        <v>2</v>
      </c>
      <c r="Z104" s="68">
        <v>10</v>
      </c>
      <c r="AA104" s="68">
        <v>1</v>
      </c>
      <c r="AB104" s="68" t="s">
        <v>1609</v>
      </c>
      <c r="AC104" s="70">
        <v>2016</v>
      </c>
      <c r="AD104" s="70" t="s">
        <v>1985</v>
      </c>
      <c r="AG104" s="52" t="s">
        <v>1486</v>
      </c>
      <c r="AH104" s="137" t="s">
        <v>2156</v>
      </c>
    </row>
    <row r="105" spans="1:34">
      <c r="A105" s="5" t="s">
        <v>589</v>
      </c>
      <c r="B105" s="262">
        <v>9</v>
      </c>
      <c r="C105" s="4"/>
      <c r="D105" s="8" t="s">
        <v>575</v>
      </c>
      <c r="E105" s="262">
        <v>8.5</v>
      </c>
      <c r="F105" s="4"/>
      <c r="G105" s="8" t="s">
        <v>553</v>
      </c>
      <c r="H105" s="262">
        <v>10</v>
      </c>
      <c r="I105" s="4"/>
      <c r="J105" s="8" t="s">
        <v>564</v>
      </c>
      <c r="K105" s="262">
        <v>9</v>
      </c>
      <c r="L105" s="4"/>
      <c r="M105" s="8" t="s">
        <v>537</v>
      </c>
      <c r="N105" s="262"/>
      <c r="O105" s="22"/>
      <c r="R105" s="59">
        <v>103</v>
      </c>
      <c r="S105" s="52" t="s">
        <v>2120</v>
      </c>
      <c r="T105" s="52" t="s">
        <v>2106</v>
      </c>
      <c r="U105" s="69">
        <v>8.3800000000000008</v>
      </c>
      <c r="V105" s="296">
        <v>8.33</v>
      </c>
      <c r="W105" s="52">
        <v>8.5</v>
      </c>
      <c r="X105" s="52">
        <v>0.78</v>
      </c>
      <c r="Y105" s="52">
        <v>2</v>
      </c>
      <c r="Z105" s="52">
        <v>19</v>
      </c>
      <c r="AA105" s="52">
        <v>2</v>
      </c>
      <c r="AB105" s="52" t="s">
        <v>2123</v>
      </c>
      <c r="AC105" s="69">
        <v>1994</v>
      </c>
      <c r="AD105" s="69" t="s">
        <v>1947</v>
      </c>
      <c r="AG105" s="68" t="s">
        <v>1116</v>
      </c>
      <c r="AH105" s="136" t="s">
        <v>1466</v>
      </c>
    </row>
    <row r="106" spans="1:34">
      <c r="A106" s="5" t="s">
        <v>590</v>
      </c>
      <c r="B106" s="262">
        <v>10</v>
      </c>
      <c r="C106" s="4"/>
      <c r="D106" s="8" t="s">
        <v>576</v>
      </c>
      <c r="E106" s="262">
        <v>7.5</v>
      </c>
      <c r="F106" s="4"/>
      <c r="G106" s="8" t="s">
        <v>554</v>
      </c>
      <c r="H106" s="262">
        <v>9</v>
      </c>
      <c r="I106" s="4"/>
      <c r="J106" s="8" t="s">
        <v>565</v>
      </c>
      <c r="K106" s="262">
        <v>10.5</v>
      </c>
      <c r="L106" s="4"/>
      <c r="M106" s="8" t="s">
        <v>538</v>
      </c>
      <c r="N106" s="262">
        <v>8</v>
      </c>
      <c r="O106" s="22"/>
      <c r="R106" s="59">
        <v>104</v>
      </c>
      <c r="S106" s="68" t="s">
        <v>1169</v>
      </c>
      <c r="T106" s="68" t="s">
        <v>1170</v>
      </c>
      <c r="U106" s="70">
        <v>8.4600000000000009</v>
      </c>
      <c r="V106" s="232">
        <v>8.27</v>
      </c>
      <c r="W106" s="68">
        <v>8</v>
      </c>
      <c r="X106" s="68">
        <v>1.1299999999999999</v>
      </c>
      <c r="Y106" s="68">
        <v>3</v>
      </c>
      <c r="Z106" s="68">
        <v>13</v>
      </c>
      <c r="AA106" s="68">
        <v>1</v>
      </c>
      <c r="AB106" s="68" t="s">
        <v>1171</v>
      </c>
      <c r="AC106" s="70">
        <v>1993</v>
      </c>
      <c r="AD106" s="70" t="s">
        <v>1982</v>
      </c>
      <c r="AG106" s="52" t="s">
        <v>1122</v>
      </c>
      <c r="AH106" s="137" t="s">
        <v>1911</v>
      </c>
    </row>
    <row r="107" spans="1:34">
      <c r="A107" s="5" t="s">
        <v>591</v>
      </c>
      <c r="B107" s="262">
        <v>8.5</v>
      </c>
      <c r="C107" s="4"/>
      <c r="D107" s="8" t="s">
        <v>577</v>
      </c>
      <c r="E107" s="262">
        <v>7.5</v>
      </c>
      <c r="F107" s="4"/>
      <c r="G107" s="8" t="s">
        <v>555</v>
      </c>
      <c r="H107" s="262">
        <v>7.5</v>
      </c>
      <c r="I107" s="4"/>
      <c r="J107" s="8" t="s">
        <v>566</v>
      </c>
      <c r="K107" s="264">
        <v>8.5</v>
      </c>
      <c r="L107" s="4"/>
      <c r="M107" s="8" t="s">
        <v>539</v>
      </c>
      <c r="N107" s="262">
        <v>9</v>
      </c>
      <c r="O107" s="22"/>
      <c r="R107" s="59">
        <v>105</v>
      </c>
      <c r="S107" s="52" t="s">
        <v>343</v>
      </c>
      <c r="T107" s="52" t="s">
        <v>1872</v>
      </c>
      <c r="U107" s="69">
        <v>8.2899999999999991</v>
      </c>
      <c r="V107" s="232">
        <v>8.27</v>
      </c>
      <c r="W107" s="52">
        <v>8.5</v>
      </c>
      <c r="X107" s="52">
        <v>0.45</v>
      </c>
      <c r="Y107" s="52">
        <v>0</v>
      </c>
      <c r="Z107" s="52">
        <v>9</v>
      </c>
      <c r="AA107" s="52">
        <v>2</v>
      </c>
      <c r="AB107" s="52" t="s">
        <v>790</v>
      </c>
      <c r="AC107" s="69">
        <v>1998</v>
      </c>
      <c r="AD107" s="69" t="s">
        <v>1982</v>
      </c>
      <c r="AG107" s="68" t="s">
        <v>1112</v>
      </c>
      <c r="AH107" s="136" t="s">
        <v>1811</v>
      </c>
    </row>
    <row r="108" spans="1:34" ht="16.2" thickBot="1">
      <c r="A108" s="5" t="s">
        <v>592</v>
      </c>
      <c r="B108" s="262">
        <v>8</v>
      </c>
      <c r="C108" s="4"/>
      <c r="D108" s="8" t="s">
        <v>578</v>
      </c>
      <c r="E108" s="262">
        <v>10</v>
      </c>
      <c r="F108" s="4"/>
      <c r="G108" s="10" t="s">
        <v>571</v>
      </c>
      <c r="H108" s="263">
        <v>9</v>
      </c>
      <c r="I108" s="4"/>
      <c r="J108" s="8" t="s">
        <v>567</v>
      </c>
      <c r="K108" s="262">
        <v>10</v>
      </c>
      <c r="L108" s="4"/>
      <c r="M108" s="8" t="s">
        <v>540</v>
      </c>
      <c r="N108" s="262">
        <v>9</v>
      </c>
      <c r="O108" s="22"/>
      <c r="R108" s="59">
        <v>106</v>
      </c>
      <c r="S108" s="68" t="s">
        <v>356</v>
      </c>
      <c r="T108" s="68" t="s">
        <v>162</v>
      </c>
      <c r="U108" s="70">
        <v>8.3800000000000008</v>
      </c>
      <c r="V108" s="233">
        <v>8.25</v>
      </c>
      <c r="W108" s="68">
        <v>8.25</v>
      </c>
      <c r="X108" s="68">
        <v>1.06</v>
      </c>
      <c r="Y108" s="68">
        <v>2</v>
      </c>
      <c r="Z108" s="68">
        <v>12</v>
      </c>
      <c r="AA108" s="68">
        <v>0</v>
      </c>
      <c r="AB108" s="68" t="s">
        <v>835</v>
      </c>
      <c r="AC108" s="70">
        <v>1992</v>
      </c>
      <c r="AD108" s="70" t="s">
        <v>1979</v>
      </c>
      <c r="AG108" s="52" t="s">
        <v>1099</v>
      </c>
      <c r="AH108" s="137" t="s">
        <v>1124</v>
      </c>
    </row>
    <row r="109" spans="1:34" ht="16.2" thickBot="1">
      <c r="A109" s="5" t="s">
        <v>593</v>
      </c>
      <c r="B109" s="262">
        <v>7.5</v>
      </c>
      <c r="C109" s="4"/>
      <c r="D109" s="8" t="s">
        <v>50</v>
      </c>
      <c r="E109" s="262">
        <v>9</v>
      </c>
      <c r="F109" s="4"/>
      <c r="G109" s="21"/>
      <c r="H109" s="21"/>
      <c r="I109" s="4"/>
      <c r="J109" s="10" t="s">
        <v>568</v>
      </c>
      <c r="K109" s="263"/>
      <c r="L109" s="4"/>
      <c r="M109" s="8" t="s">
        <v>541</v>
      </c>
      <c r="N109" s="262">
        <v>9</v>
      </c>
      <c r="O109" s="22"/>
      <c r="R109" s="59">
        <v>107</v>
      </c>
      <c r="S109" s="52" t="s">
        <v>343</v>
      </c>
      <c r="T109" s="52" t="s">
        <v>1733</v>
      </c>
      <c r="U109" s="69">
        <v>8.4</v>
      </c>
      <c r="V109" s="233">
        <v>8.25</v>
      </c>
      <c r="W109" s="52">
        <v>8</v>
      </c>
      <c r="X109" s="52">
        <v>0.86</v>
      </c>
      <c r="Y109" s="52">
        <v>1</v>
      </c>
      <c r="Z109" s="52">
        <v>5</v>
      </c>
      <c r="AA109" s="52">
        <v>0</v>
      </c>
      <c r="AB109" s="52" t="s">
        <v>788</v>
      </c>
      <c r="AC109" s="69">
        <v>1996</v>
      </c>
      <c r="AD109" s="69" t="s">
        <v>1974</v>
      </c>
      <c r="AG109" s="68" t="s">
        <v>1123</v>
      </c>
      <c r="AH109" s="136" t="s">
        <v>1124</v>
      </c>
    </row>
    <row r="110" spans="1:34" ht="18.600000000000001" thickBot="1">
      <c r="A110" s="5" t="s">
        <v>594</v>
      </c>
      <c r="B110" s="262">
        <v>8</v>
      </c>
      <c r="C110" s="4"/>
      <c r="D110" s="8" t="s">
        <v>579</v>
      </c>
      <c r="E110" s="262">
        <v>8</v>
      </c>
      <c r="F110" s="22"/>
      <c r="G110" s="93" t="s">
        <v>886</v>
      </c>
      <c r="H110" s="3">
        <f>ROUND(SUM(H111:H124)/COUNT(H111:H124), 2)</f>
        <v>8.73</v>
      </c>
      <c r="I110" s="4"/>
      <c r="J110" s="21"/>
      <c r="K110" s="21"/>
      <c r="L110" s="4"/>
      <c r="M110" s="10" t="s">
        <v>542</v>
      </c>
      <c r="N110" s="263">
        <v>8</v>
      </c>
      <c r="O110" s="22"/>
      <c r="R110" s="59">
        <v>108</v>
      </c>
      <c r="S110" s="68" t="s">
        <v>335</v>
      </c>
      <c r="T110" s="68" t="s">
        <v>319</v>
      </c>
      <c r="U110" s="70">
        <v>8.35</v>
      </c>
      <c r="V110" s="234">
        <v>8.2200000000000006</v>
      </c>
      <c r="W110" s="68">
        <v>8.25</v>
      </c>
      <c r="X110" s="68">
        <v>1.32</v>
      </c>
      <c r="Y110" s="68">
        <v>3</v>
      </c>
      <c r="Z110" s="68">
        <v>10</v>
      </c>
      <c r="AA110" s="68">
        <v>0</v>
      </c>
      <c r="AB110" s="68" t="s">
        <v>786</v>
      </c>
      <c r="AC110" s="70">
        <v>1993</v>
      </c>
      <c r="AD110" s="70" t="s">
        <v>1975</v>
      </c>
      <c r="AG110" s="52" t="s">
        <v>1125</v>
      </c>
      <c r="AH110" s="137" t="s">
        <v>1124</v>
      </c>
    </row>
    <row r="111" spans="1:34" ht="18.600000000000001" thickBot="1">
      <c r="A111" s="5" t="s">
        <v>595</v>
      </c>
      <c r="B111" s="262">
        <v>8</v>
      </c>
      <c r="C111" s="4"/>
      <c r="D111" s="8" t="s">
        <v>580</v>
      </c>
      <c r="E111" s="262">
        <v>7.5</v>
      </c>
      <c r="F111" s="4"/>
      <c r="G111" s="7" t="s">
        <v>599</v>
      </c>
      <c r="H111" s="261">
        <v>10</v>
      </c>
      <c r="I111" s="22"/>
      <c r="J111" s="92" t="s">
        <v>885</v>
      </c>
      <c r="K111" s="3">
        <f>ROUND(SUM(K112:K125)/COUNT(K112:K125), 2)</f>
        <v>7.96</v>
      </c>
      <c r="L111" s="4"/>
      <c r="M111" s="21"/>
      <c r="N111" s="21"/>
      <c r="O111" s="22"/>
      <c r="R111" s="59">
        <v>109</v>
      </c>
      <c r="S111" s="52" t="s">
        <v>357</v>
      </c>
      <c r="T111" s="52" t="s">
        <v>312</v>
      </c>
      <c r="U111" s="69">
        <v>8.35</v>
      </c>
      <c r="V111" s="235">
        <v>8.1999999999999993</v>
      </c>
      <c r="W111" s="52">
        <v>8</v>
      </c>
      <c r="X111" s="52">
        <v>0.78</v>
      </c>
      <c r="Y111" s="52">
        <v>1</v>
      </c>
      <c r="Z111" s="52">
        <v>10</v>
      </c>
      <c r="AA111" s="52">
        <v>0</v>
      </c>
      <c r="AB111" s="52" t="s">
        <v>837</v>
      </c>
      <c r="AC111" s="69">
        <v>1979</v>
      </c>
      <c r="AD111" s="69" t="s">
        <v>1978</v>
      </c>
      <c r="AG111" s="68" t="s">
        <v>1689</v>
      </c>
      <c r="AH111" s="136" t="s">
        <v>1124</v>
      </c>
    </row>
    <row r="112" spans="1:34" ht="18.600000000000001" thickBot="1">
      <c r="A112" s="57" t="s">
        <v>596</v>
      </c>
      <c r="B112" s="263">
        <v>10.5</v>
      </c>
      <c r="C112" s="4"/>
      <c r="D112" s="8" t="s">
        <v>581</v>
      </c>
      <c r="E112" s="262">
        <v>7.5</v>
      </c>
      <c r="F112" s="4"/>
      <c r="G112" s="8" t="s">
        <v>600</v>
      </c>
      <c r="H112" s="262">
        <v>8</v>
      </c>
      <c r="I112" s="22"/>
      <c r="J112" s="5" t="s">
        <v>614</v>
      </c>
      <c r="K112" s="262">
        <v>8</v>
      </c>
      <c r="L112" s="22"/>
      <c r="M112" s="76" t="s">
        <v>626</v>
      </c>
      <c r="N112" s="3">
        <f>ROUND(SUM(N113:N125)/COUNT(N113:N125), 2)</f>
        <v>8.77</v>
      </c>
      <c r="O112" s="22"/>
      <c r="R112" s="59">
        <v>110</v>
      </c>
      <c r="S112" s="68" t="s">
        <v>362</v>
      </c>
      <c r="T112" s="68" t="s">
        <v>363</v>
      </c>
      <c r="U112" s="70">
        <v>8.33</v>
      </c>
      <c r="V112" s="187">
        <v>8.17</v>
      </c>
      <c r="W112" s="68">
        <v>8</v>
      </c>
      <c r="X112" s="68">
        <v>0.94</v>
      </c>
      <c r="Y112" s="68">
        <v>1</v>
      </c>
      <c r="Z112" s="68">
        <v>9</v>
      </c>
      <c r="AA112" s="68">
        <v>0</v>
      </c>
      <c r="AB112" s="68" t="s">
        <v>774</v>
      </c>
      <c r="AC112" s="70">
        <v>1993</v>
      </c>
      <c r="AD112" s="70" t="s">
        <v>1973</v>
      </c>
      <c r="AG112" s="52" t="s">
        <v>1126</v>
      </c>
      <c r="AH112" s="137" t="s">
        <v>1127</v>
      </c>
    </row>
    <row r="113" spans="1:34" ht="16.2" thickBot="1">
      <c r="A113" s="21"/>
      <c r="B113" s="21"/>
      <c r="C113" s="22"/>
      <c r="D113" s="20" t="s">
        <v>582</v>
      </c>
      <c r="E113" s="262">
        <v>8</v>
      </c>
      <c r="F113" s="4"/>
      <c r="G113" s="8" t="s">
        <v>601</v>
      </c>
      <c r="H113" s="262">
        <v>8.5</v>
      </c>
      <c r="I113" s="22"/>
      <c r="J113" s="5" t="s">
        <v>615</v>
      </c>
      <c r="K113" s="262">
        <v>10.5</v>
      </c>
      <c r="L113" s="22"/>
      <c r="M113" s="5" t="s">
        <v>627</v>
      </c>
      <c r="N113" s="262">
        <v>9</v>
      </c>
      <c r="O113" s="22"/>
      <c r="R113" s="59">
        <v>111</v>
      </c>
      <c r="S113" s="52" t="s">
        <v>585</v>
      </c>
      <c r="T113" s="52" t="s">
        <v>586</v>
      </c>
      <c r="U113" s="69">
        <v>8.31</v>
      </c>
      <c r="V113" s="187">
        <v>8.16</v>
      </c>
      <c r="W113" s="52">
        <v>8</v>
      </c>
      <c r="X113" s="52">
        <v>0.89</v>
      </c>
      <c r="Y113" s="52">
        <v>2</v>
      </c>
      <c r="Z113" s="52">
        <v>14</v>
      </c>
      <c r="AA113" s="52">
        <v>1</v>
      </c>
      <c r="AB113" s="52" t="s">
        <v>778</v>
      </c>
      <c r="AC113" s="69">
        <v>2016</v>
      </c>
      <c r="AD113" s="69" t="s">
        <v>1969</v>
      </c>
      <c r="AG113" s="68" t="s">
        <v>1128</v>
      </c>
      <c r="AH113" s="136" t="s">
        <v>1129</v>
      </c>
    </row>
    <row r="114" spans="1:34" ht="18.600000000000001" thickBot="1">
      <c r="A114" s="91" t="s">
        <v>884</v>
      </c>
      <c r="B114" s="3">
        <f>ROUND(SUM(B115:B132)/COUNT(B115:B132), 2)</f>
        <v>7.72</v>
      </c>
      <c r="C114" s="22"/>
      <c r="D114" s="20" t="s">
        <v>583</v>
      </c>
      <c r="E114" s="262">
        <v>7.5</v>
      </c>
      <c r="F114" s="4"/>
      <c r="G114" s="8" t="s">
        <v>602</v>
      </c>
      <c r="H114" s="262">
        <v>9</v>
      </c>
      <c r="I114" s="22"/>
      <c r="J114" s="5" t="s">
        <v>616</v>
      </c>
      <c r="K114" s="262">
        <v>6</v>
      </c>
      <c r="L114" s="22"/>
      <c r="M114" s="5" t="s">
        <v>628</v>
      </c>
      <c r="N114" s="262">
        <v>8.5</v>
      </c>
      <c r="O114" s="22"/>
      <c r="R114" s="59">
        <v>112</v>
      </c>
      <c r="S114" s="68" t="s">
        <v>815</v>
      </c>
      <c r="T114" s="68" t="s">
        <v>816</v>
      </c>
      <c r="U114" s="70">
        <v>8.33</v>
      </c>
      <c r="V114" s="187">
        <v>8.16</v>
      </c>
      <c r="W114" s="68">
        <v>8</v>
      </c>
      <c r="X114" s="68">
        <v>1.1599999999999999</v>
      </c>
      <c r="Y114" s="68">
        <v>3</v>
      </c>
      <c r="Z114" s="68">
        <v>15</v>
      </c>
      <c r="AA114" s="68">
        <v>0</v>
      </c>
      <c r="AB114" s="68" t="s">
        <v>836</v>
      </c>
      <c r="AC114" s="70">
        <v>2003</v>
      </c>
      <c r="AD114" s="70" t="s">
        <v>1989</v>
      </c>
      <c r="AG114" s="52" t="s">
        <v>778</v>
      </c>
      <c r="AH114" s="137" t="s">
        <v>1812</v>
      </c>
    </row>
    <row r="115" spans="1:34" ht="16.2" thickBot="1">
      <c r="A115" s="7" t="s">
        <v>641</v>
      </c>
      <c r="B115" s="262">
        <v>7.5</v>
      </c>
      <c r="C115" s="4"/>
      <c r="D115" s="10" t="s">
        <v>584</v>
      </c>
      <c r="E115" s="263">
        <v>10</v>
      </c>
      <c r="F115" s="4"/>
      <c r="G115" s="8" t="s">
        <v>603</v>
      </c>
      <c r="H115" s="262">
        <v>10</v>
      </c>
      <c r="I115" s="22"/>
      <c r="J115" s="5" t="s">
        <v>617</v>
      </c>
      <c r="K115" s="262">
        <v>9</v>
      </c>
      <c r="L115" s="22"/>
      <c r="M115" s="5" t="s">
        <v>629</v>
      </c>
      <c r="N115" s="262">
        <v>9</v>
      </c>
      <c r="O115" s="22"/>
      <c r="R115" s="59">
        <v>113</v>
      </c>
      <c r="S115" s="52" t="s">
        <v>1860</v>
      </c>
      <c r="T115" s="52" t="s">
        <v>1860</v>
      </c>
      <c r="U115" s="69">
        <v>8.2899999999999991</v>
      </c>
      <c r="V115" s="187">
        <v>8.16</v>
      </c>
      <c r="W115" s="52">
        <v>8</v>
      </c>
      <c r="X115" s="52">
        <v>0.52</v>
      </c>
      <c r="Y115" s="52">
        <v>0</v>
      </c>
      <c r="Z115" s="52">
        <v>7</v>
      </c>
      <c r="AA115" s="52">
        <v>0</v>
      </c>
      <c r="AB115" s="52" t="s">
        <v>1861</v>
      </c>
      <c r="AC115" s="69">
        <v>2018</v>
      </c>
      <c r="AD115" s="69" t="s">
        <v>1990</v>
      </c>
      <c r="AG115" s="68" t="s">
        <v>1303</v>
      </c>
      <c r="AH115" s="136" t="s">
        <v>1304</v>
      </c>
    </row>
    <row r="116" spans="1:34" ht="16.2" thickBot="1">
      <c r="A116" s="8" t="s">
        <v>642</v>
      </c>
      <c r="B116" s="262">
        <v>8</v>
      </c>
      <c r="C116" s="4"/>
      <c r="D116" s="19"/>
      <c r="E116" s="19"/>
      <c r="F116" s="4"/>
      <c r="G116" s="8" t="s">
        <v>604</v>
      </c>
      <c r="H116" s="262"/>
      <c r="I116" s="22"/>
      <c r="J116" s="5" t="s">
        <v>618</v>
      </c>
      <c r="K116" s="262">
        <v>8.5</v>
      </c>
      <c r="L116" s="22"/>
      <c r="M116" s="5" t="s">
        <v>630</v>
      </c>
      <c r="N116" s="262">
        <v>8</v>
      </c>
      <c r="O116" s="22"/>
      <c r="R116" s="59">
        <v>114</v>
      </c>
      <c r="S116" s="68" t="s">
        <v>336</v>
      </c>
      <c r="T116" s="68" t="s">
        <v>625</v>
      </c>
      <c r="U116" s="70">
        <v>8.0500000000000007</v>
      </c>
      <c r="V116" s="175">
        <v>8.11</v>
      </c>
      <c r="W116" s="68">
        <v>8.25</v>
      </c>
      <c r="X116" s="68">
        <v>1.19</v>
      </c>
      <c r="Y116" s="68">
        <v>1</v>
      </c>
      <c r="Z116" s="68">
        <v>11</v>
      </c>
      <c r="AA116" s="68">
        <v>1</v>
      </c>
      <c r="AB116" s="68" t="s">
        <v>766</v>
      </c>
      <c r="AC116" s="70">
        <v>2001</v>
      </c>
      <c r="AD116" s="70" t="s">
        <v>1985</v>
      </c>
      <c r="AG116" s="52" t="s">
        <v>1305</v>
      </c>
      <c r="AH116" s="137" t="s">
        <v>1304</v>
      </c>
    </row>
    <row r="117" spans="1:34" ht="18.600000000000001" thickBot="1">
      <c r="A117" s="8" t="s">
        <v>643</v>
      </c>
      <c r="B117" s="262">
        <v>8</v>
      </c>
      <c r="C117" s="22"/>
      <c r="D117" s="90" t="s">
        <v>883</v>
      </c>
      <c r="E117" s="3">
        <f>ROUND(SUM(E118:E131)/COUNT(E118:E131), 2)</f>
        <v>8.76</v>
      </c>
      <c r="F117" s="4"/>
      <c r="G117" s="8" t="s">
        <v>605</v>
      </c>
      <c r="H117" s="262">
        <v>10</v>
      </c>
      <c r="I117" s="22"/>
      <c r="J117" s="5" t="s">
        <v>619</v>
      </c>
      <c r="K117" s="262">
        <v>8.5</v>
      </c>
      <c r="L117" s="22"/>
      <c r="M117" s="5" t="s">
        <v>631</v>
      </c>
      <c r="N117" s="262">
        <v>10</v>
      </c>
      <c r="O117" s="22"/>
      <c r="R117" s="59">
        <v>115</v>
      </c>
      <c r="S117" s="52" t="s">
        <v>476</v>
      </c>
      <c r="T117" s="52" t="s">
        <v>477</v>
      </c>
      <c r="U117" s="69">
        <v>8.18</v>
      </c>
      <c r="V117" s="236">
        <v>8.06</v>
      </c>
      <c r="W117" s="52">
        <v>8</v>
      </c>
      <c r="X117" s="52">
        <v>0.89</v>
      </c>
      <c r="Y117" s="52">
        <v>2</v>
      </c>
      <c r="Z117" s="52">
        <v>19</v>
      </c>
      <c r="AA117" s="52">
        <v>0</v>
      </c>
      <c r="AB117" s="52" t="s">
        <v>793</v>
      </c>
      <c r="AC117" s="69">
        <v>2023</v>
      </c>
      <c r="AD117" s="69" t="s">
        <v>1968</v>
      </c>
      <c r="AG117" s="68" t="s">
        <v>1611</v>
      </c>
      <c r="AH117" s="136" t="s">
        <v>1612</v>
      </c>
    </row>
    <row r="118" spans="1:34">
      <c r="A118" s="8" t="s">
        <v>644</v>
      </c>
      <c r="B118" s="262">
        <v>7</v>
      </c>
      <c r="C118" s="22"/>
      <c r="D118" s="5" t="s">
        <v>661</v>
      </c>
      <c r="E118" s="262">
        <v>9</v>
      </c>
      <c r="F118" s="4"/>
      <c r="G118" s="8" t="s">
        <v>606</v>
      </c>
      <c r="H118" s="262">
        <v>7.5</v>
      </c>
      <c r="I118" s="22"/>
      <c r="J118" s="5" t="s">
        <v>620</v>
      </c>
      <c r="K118" s="262">
        <v>7.5</v>
      </c>
      <c r="L118" s="22"/>
      <c r="M118" s="5" t="s">
        <v>632</v>
      </c>
      <c r="N118" s="262">
        <v>9.5</v>
      </c>
      <c r="O118" s="22"/>
      <c r="R118" s="59">
        <v>116</v>
      </c>
      <c r="S118" s="68" t="s">
        <v>348</v>
      </c>
      <c r="T118" s="68" t="s">
        <v>1913</v>
      </c>
      <c r="U118" s="70">
        <v>8.18</v>
      </c>
      <c r="V118" s="236">
        <v>8.06</v>
      </c>
      <c r="W118" s="68">
        <v>8</v>
      </c>
      <c r="X118" s="68">
        <v>0.86</v>
      </c>
      <c r="Y118" s="68">
        <v>1</v>
      </c>
      <c r="Z118" s="68">
        <v>11</v>
      </c>
      <c r="AA118" s="68">
        <v>0</v>
      </c>
      <c r="AB118" s="68" t="s">
        <v>1923</v>
      </c>
      <c r="AC118" s="70">
        <v>2001</v>
      </c>
      <c r="AD118" s="70" t="s">
        <v>1946</v>
      </c>
      <c r="AG118" s="52" t="s">
        <v>2087</v>
      </c>
      <c r="AH118" s="137" t="s">
        <v>2098</v>
      </c>
    </row>
    <row r="119" spans="1:34">
      <c r="A119" s="8" t="s">
        <v>645</v>
      </c>
      <c r="B119" s="262">
        <v>7.5</v>
      </c>
      <c r="C119" s="22"/>
      <c r="D119" s="5" t="s">
        <v>662</v>
      </c>
      <c r="E119" s="262">
        <v>9.5</v>
      </c>
      <c r="F119" s="4"/>
      <c r="G119" s="8" t="s">
        <v>607</v>
      </c>
      <c r="H119" s="262"/>
      <c r="I119" s="22"/>
      <c r="J119" s="5" t="s">
        <v>621</v>
      </c>
      <c r="K119" s="262">
        <v>7</v>
      </c>
      <c r="L119" s="22"/>
      <c r="M119" s="5" t="s">
        <v>633</v>
      </c>
      <c r="N119" s="262">
        <v>10.5</v>
      </c>
      <c r="O119" s="22"/>
      <c r="R119" s="59">
        <v>117</v>
      </c>
      <c r="S119" s="52" t="s">
        <v>730</v>
      </c>
      <c r="T119" s="52" t="s">
        <v>1309</v>
      </c>
      <c r="U119" s="69">
        <v>8.11</v>
      </c>
      <c r="V119" s="188">
        <v>8</v>
      </c>
      <c r="W119" s="52">
        <v>8</v>
      </c>
      <c r="X119" s="52">
        <v>0.71</v>
      </c>
      <c r="Y119" s="52">
        <v>0</v>
      </c>
      <c r="Z119" s="52">
        <v>15</v>
      </c>
      <c r="AA119" s="52">
        <v>1</v>
      </c>
      <c r="AB119" s="52" t="s">
        <v>1325</v>
      </c>
      <c r="AC119" s="69">
        <v>2026</v>
      </c>
      <c r="AD119" s="69" t="s">
        <v>1965</v>
      </c>
      <c r="AG119" s="68" t="s">
        <v>1133</v>
      </c>
      <c r="AH119" s="136" t="s">
        <v>1308</v>
      </c>
    </row>
    <row r="120" spans="1:34">
      <c r="A120" s="8" t="s">
        <v>646</v>
      </c>
      <c r="B120" s="262">
        <v>8</v>
      </c>
      <c r="C120" s="22"/>
      <c r="D120" s="5" t="s">
        <v>500</v>
      </c>
      <c r="E120" s="262">
        <v>10</v>
      </c>
      <c r="F120" s="4"/>
      <c r="G120" s="75" t="s">
        <v>608</v>
      </c>
      <c r="H120" s="262">
        <v>8</v>
      </c>
      <c r="I120" s="22"/>
      <c r="J120" s="5" t="s">
        <v>622</v>
      </c>
      <c r="K120" s="262"/>
      <c r="L120" s="22"/>
      <c r="M120" s="5" t="s">
        <v>634</v>
      </c>
      <c r="N120" s="262">
        <v>10</v>
      </c>
      <c r="O120" s="22"/>
      <c r="R120" s="59">
        <v>118</v>
      </c>
      <c r="S120" s="68" t="s">
        <v>395</v>
      </c>
      <c r="T120" s="68" t="s">
        <v>388</v>
      </c>
      <c r="U120" s="70">
        <v>8</v>
      </c>
      <c r="V120" s="237">
        <v>7.98</v>
      </c>
      <c r="W120" s="68">
        <v>8.25</v>
      </c>
      <c r="X120" s="68">
        <v>0.56000000000000005</v>
      </c>
      <c r="Y120" s="68">
        <v>0</v>
      </c>
      <c r="Z120" s="68">
        <v>9</v>
      </c>
      <c r="AA120" s="68">
        <v>1</v>
      </c>
      <c r="AB120" s="68" t="s">
        <v>769</v>
      </c>
      <c r="AC120" s="70">
        <v>2005</v>
      </c>
      <c r="AD120" s="70" t="s">
        <v>1980</v>
      </c>
      <c r="AG120" s="52" t="s">
        <v>1134</v>
      </c>
      <c r="AH120" s="137" t="s">
        <v>1308</v>
      </c>
    </row>
    <row r="121" spans="1:34">
      <c r="A121" s="8" t="s">
        <v>647</v>
      </c>
      <c r="B121" s="262">
        <v>8</v>
      </c>
      <c r="C121" s="22"/>
      <c r="D121" s="5" t="s">
        <v>663</v>
      </c>
      <c r="E121" s="262">
        <v>8</v>
      </c>
      <c r="F121" s="4"/>
      <c r="G121" s="8" t="s">
        <v>609</v>
      </c>
      <c r="H121" s="262">
        <v>8</v>
      </c>
      <c r="I121" s="22"/>
      <c r="J121" s="5" t="s">
        <v>623</v>
      </c>
      <c r="K121" s="262">
        <v>7</v>
      </c>
      <c r="L121" s="22"/>
      <c r="M121" s="5" t="s">
        <v>635</v>
      </c>
      <c r="N121" s="262">
        <v>8.5</v>
      </c>
      <c r="O121" s="22"/>
      <c r="R121" s="59">
        <v>119</v>
      </c>
      <c r="S121" s="52" t="s">
        <v>346</v>
      </c>
      <c r="T121" s="52" t="s">
        <v>704</v>
      </c>
      <c r="U121" s="69">
        <v>8.07</v>
      </c>
      <c r="V121" s="189">
        <v>7.95</v>
      </c>
      <c r="W121" s="52">
        <v>8</v>
      </c>
      <c r="X121" s="52">
        <v>1.07</v>
      </c>
      <c r="Y121" s="52">
        <v>2</v>
      </c>
      <c r="Z121" s="52">
        <v>16</v>
      </c>
      <c r="AA121" s="52">
        <v>2</v>
      </c>
      <c r="AB121" s="52" t="s">
        <v>771</v>
      </c>
      <c r="AC121" s="69">
        <v>1997</v>
      </c>
      <c r="AD121" s="69" t="s">
        <v>1974</v>
      </c>
      <c r="AG121" s="68" t="s">
        <v>2157</v>
      </c>
      <c r="AH121" s="136" t="s">
        <v>1131</v>
      </c>
    </row>
    <row r="122" spans="1:34" ht="16.2" thickBot="1">
      <c r="A122" s="8" t="s">
        <v>648</v>
      </c>
      <c r="B122" s="262">
        <v>8</v>
      </c>
      <c r="C122" s="22"/>
      <c r="D122" s="5" t="s">
        <v>664</v>
      </c>
      <c r="E122" s="262">
        <v>10.5</v>
      </c>
      <c r="F122" s="4"/>
      <c r="G122" s="8" t="s">
        <v>610</v>
      </c>
      <c r="H122" s="262">
        <v>8</v>
      </c>
      <c r="I122" s="22"/>
      <c r="J122" s="9" t="s">
        <v>624</v>
      </c>
      <c r="K122" s="263">
        <v>8.5</v>
      </c>
      <c r="L122" s="22"/>
      <c r="M122" s="5" t="s">
        <v>636</v>
      </c>
      <c r="N122" s="262">
        <v>7.5</v>
      </c>
      <c r="O122" s="22"/>
      <c r="R122" s="59">
        <v>120</v>
      </c>
      <c r="S122" s="68" t="s">
        <v>1433</v>
      </c>
      <c r="T122" s="68" t="s">
        <v>1434</v>
      </c>
      <c r="U122" s="70">
        <v>8.0500000000000007</v>
      </c>
      <c r="V122" s="189">
        <v>7.95</v>
      </c>
      <c r="W122" s="68">
        <v>8</v>
      </c>
      <c r="X122" s="68">
        <v>0.72</v>
      </c>
      <c r="Y122" s="68">
        <v>0</v>
      </c>
      <c r="Z122" s="68">
        <v>10</v>
      </c>
      <c r="AA122" s="68">
        <v>0</v>
      </c>
      <c r="AB122" s="68" t="s">
        <v>765</v>
      </c>
      <c r="AC122" s="70">
        <v>2026</v>
      </c>
      <c r="AD122" s="70" t="s">
        <v>1980</v>
      </c>
      <c r="AG122" s="52" t="s">
        <v>1130</v>
      </c>
      <c r="AH122" s="137" t="s">
        <v>1131</v>
      </c>
    </row>
    <row r="123" spans="1:34" ht="16.2" thickBot="1">
      <c r="A123" s="8" t="s">
        <v>649</v>
      </c>
      <c r="B123" s="262">
        <v>6.5</v>
      </c>
      <c r="C123" s="22"/>
      <c r="D123" s="5" t="s">
        <v>665</v>
      </c>
      <c r="E123" s="262">
        <v>8</v>
      </c>
      <c r="F123" s="4"/>
      <c r="G123" s="10" t="s">
        <v>611</v>
      </c>
      <c r="H123" s="263">
        <v>9</v>
      </c>
      <c r="I123" s="4"/>
      <c r="J123" s="21"/>
      <c r="K123" s="21"/>
      <c r="L123" s="22"/>
      <c r="M123" s="5" t="s">
        <v>637</v>
      </c>
      <c r="N123" s="262">
        <v>8</v>
      </c>
      <c r="O123" s="22"/>
      <c r="R123" s="59">
        <v>121</v>
      </c>
      <c r="S123" s="52" t="s">
        <v>343</v>
      </c>
      <c r="T123" s="52" t="s">
        <v>1788</v>
      </c>
      <c r="U123" s="69">
        <v>8.06</v>
      </c>
      <c r="V123" s="189">
        <v>7.95</v>
      </c>
      <c r="W123" s="52">
        <v>8</v>
      </c>
      <c r="X123" s="52">
        <v>0.81</v>
      </c>
      <c r="Y123" s="52">
        <v>0</v>
      </c>
      <c r="Z123" s="52">
        <v>8</v>
      </c>
      <c r="AA123" s="52">
        <v>0</v>
      </c>
      <c r="AB123" s="52" t="s">
        <v>1090</v>
      </c>
      <c r="AC123" s="69">
        <v>2014</v>
      </c>
      <c r="AD123" s="69" t="s">
        <v>1989</v>
      </c>
      <c r="AG123" s="68" t="s">
        <v>1132</v>
      </c>
      <c r="AH123" s="136" t="s">
        <v>1131</v>
      </c>
    </row>
    <row r="124" spans="1:34" ht="18.600000000000001" thickBot="1">
      <c r="A124" s="8" t="s">
        <v>650</v>
      </c>
      <c r="B124" s="262">
        <v>7.5</v>
      </c>
      <c r="C124" s="22"/>
      <c r="D124" s="5" t="s">
        <v>666</v>
      </c>
      <c r="E124" s="262">
        <v>9</v>
      </c>
      <c r="F124" s="4"/>
      <c r="G124" s="21"/>
      <c r="H124" s="21"/>
      <c r="I124" s="4"/>
      <c r="J124" s="79" t="s">
        <v>679</v>
      </c>
      <c r="K124" s="3">
        <f>ROUND(SUM(K125:K134)/COUNT(K125:K134), 2)</f>
        <v>7.06</v>
      </c>
      <c r="L124" s="22"/>
      <c r="M124" s="5" t="s">
        <v>638</v>
      </c>
      <c r="N124" s="262">
        <v>8.5</v>
      </c>
      <c r="O124" s="22"/>
      <c r="R124" s="59">
        <v>122</v>
      </c>
      <c r="S124" s="68" t="s">
        <v>346</v>
      </c>
      <c r="T124" s="68" t="s">
        <v>1582</v>
      </c>
      <c r="U124" s="70">
        <v>8</v>
      </c>
      <c r="V124" s="238">
        <v>7.79</v>
      </c>
      <c r="W124" s="68">
        <v>7.5</v>
      </c>
      <c r="X124" s="68">
        <v>0.88</v>
      </c>
      <c r="Y124" s="68">
        <v>0</v>
      </c>
      <c r="Z124" s="68">
        <v>10</v>
      </c>
      <c r="AA124" s="68">
        <v>1</v>
      </c>
      <c r="AB124" s="68" t="s">
        <v>1593</v>
      </c>
      <c r="AC124" s="70">
        <v>2005</v>
      </c>
      <c r="AD124" s="70" t="s">
        <v>1972</v>
      </c>
      <c r="AG124" s="52" t="s">
        <v>1137</v>
      </c>
      <c r="AH124" s="137" t="s">
        <v>1703</v>
      </c>
    </row>
    <row r="125" spans="1:34" ht="18.600000000000001" thickBot="1">
      <c r="A125" s="8" t="s">
        <v>651</v>
      </c>
      <c r="B125" s="262">
        <v>7</v>
      </c>
      <c r="C125" s="22"/>
      <c r="D125" s="5" t="s">
        <v>667</v>
      </c>
      <c r="E125" s="262">
        <v>8.5</v>
      </c>
      <c r="F125" s="22"/>
      <c r="G125" s="151" t="s">
        <v>1257</v>
      </c>
      <c r="H125" s="3">
        <f>ROUND(SUM(H126:H129)/COUNT(H126:H129), 2)</f>
        <v>9.8800000000000008</v>
      </c>
      <c r="I125" s="4"/>
      <c r="J125" s="13" t="s">
        <v>669</v>
      </c>
      <c r="K125" s="262"/>
      <c r="L125" s="22"/>
      <c r="M125" s="55" t="s">
        <v>639</v>
      </c>
      <c r="N125" s="263">
        <v>7</v>
      </c>
      <c r="O125" s="22"/>
      <c r="R125" s="59">
        <v>123</v>
      </c>
      <c r="S125" s="52" t="s">
        <v>336</v>
      </c>
      <c r="T125" s="52" t="s">
        <v>956</v>
      </c>
      <c r="U125" s="69">
        <v>7.88</v>
      </c>
      <c r="V125" s="239">
        <v>7.74</v>
      </c>
      <c r="W125" s="52">
        <v>7.75</v>
      </c>
      <c r="X125" s="52">
        <v>0.86</v>
      </c>
      <c r="Y125" s="52">
        <v>0</v>
      </c>
      <c r="Z125" s="52">
        <v>8</v>
      </c>
      <c r="AA125" s="52">
        <v>0</v>
      </c>
      <c r="AB125" s="52" t="s">
        <v>957</v>
      </c>
      <c r="AC125" s="69">
        <v>2011</v>
      </c>
      <c r="AD125" s="69" t="s">
        <v>1983</v>
      </c>
      <c r="AG125" s="68" t="s">
        <v>794</v>
      </c>
      <c r="AH125" s="136" t="s">
        <v>1135</v>
      </c>
    </row>
    <row r="126" spans="1:34" ht="16.2" thickBot="1">
      <c r="A126" s="8" t="s">
        <v>652</v>
      </c>
      <c r="B126" s="262">
        <v>8</v>
      </c>
      <c r="C126" s="4"/>
      <c r="D126" s="9" t="s">
        <v>668</v>
      </c>
      <c r="E126" s="263">
        <v>8</v>
      </c>
      <c r="F126" s="4"/>
      <c r="G126" s="13" t="s">
        <v>682</v>
      </c>
      <c r="H126" s="261">
        <v>10.5</v>
      </c>
      <c r="I126" s="4"/>
      <c r="J126" s="6" t="s">
        <v>670</v>
      </c>
      <c r="K126" s="262">
        <v>7.5</v>
      </c>
      <c r="L126" s="4"/>
      <c r="M126" s="21"/>
      <c r="N126" s="21"/>
      <c r="O126" s="22"/>
      <c r="R126" s="59">
        <v>124</v>
      </c>
      <c r="S126" s="68" t="s">
        <v>659</v>
      </c>
      <c r="T126" s="68" t="s">
        <v>660</v>
      </c>
      <c r="U126" s="70">
        <v>7.72</v>
      </c>
      <c r="V126" s="240">
        <v>7.7</v>
      </c>
      <c r="W126" s="68">
        <v>8</v>
      </c>
      <c r="X126" s="68">
        <v>0.57999999999999996</v>
      </c>
      <c r="Y126" s="68">
        <v>0</v>
      </c>
      <c r="Z126" s="68">
        <v>18</v>
      </c>
      <c r="AA126" s="68">
        <v>0</v>
      </c>
      <c r="AB126" s="68" t="s">
        <v>794</v>
      </c>
      <c r="AC126" s="70">
        <v>2026</v>
      </c>
      <c r="AD126" s="70" t="s">
        <v>1971</v>
      </c>
      <c r="AG126" s="52" t="s">
        <v>786</v>
      </c>
      <c r="AH126" s="137" t="s">
        <v>1843</v>
      </c>
    </row>
    <row r="127" spans="1:34" ht="18.600000000000001" thickBot="1">
      <c r="A127" s="8" t="s">
        <v>653</v>
      </c>
      <c r="B127" s="262">
        <v>7</v>
      </c>
      <c r="C127" s="4"/>
      <c r="D127" s="19"/>
      <c r="E127" s="21"/>
      <c r="F127" s="4"/>
      <c r="G127" s="6" t="s">
        <v>683</v>
      </c>
      <c r="H127" s="262">
        <v>9.5</v>
      </c>
      <c r="I127" s="41"/>
      <c r="J127" s="6" t="s">
        <v>671</v>
      </c>
      <c r="K127" s="262">
        <v>7</v>
      </c>
      <c r="L127" s="22"/>
      <c r="M127" s="80" t="s">
        <v>713</v>
      </c>
      <c r="N127" s="3">
        <f>ROUND(SUM(N128:N135)/COUNT(N128:N135), 2)</f>
        <v>9.1300000000000008</v>
      </c>
      <c r="O127" s="22"/>
      <c r="R127" s="59">
        <v>125</v>
      </c>
      <c r="S127" s="52" t="s">
        <v>506</v>
      </c>
      <c r="T127" s="52" t="s">
        <v>507</v>
      </c>
      <c r="U127" s="69">
        <v>7.67</v>
      </c>
      <c r="V127" s="241">
        <v>7.66</v>
      </c>
      <c r="W127" s="52">
        <v>8</v>
      </c>
      <c r="X127" s="52">
        <v>0.59</v>
      </c>
      <c r="Y127" s="52">
        <v>0</v>
      </c>
      <c r="Z127" s="52">
        <v>12</v>
      </c>
      <c r="AA127" s="52">
        <v>0</v>
      </c>
      <c r="AB127" s="52" t="s">
        <v>780</v>
      </c>
      <c r="AC127" s="69">
        <v>2021</v>
      </c>
      <c r="AD127" s="69" t="s">
        <v>1986</v>
      </c>
      <c r="AG127" s="68" t="s">
        <v>1944</v>
      </c>
      <c r="AH127" s="136" t="s">
        <v>1945</v>
      </c>
    </row>
    <row r="128" spans="1:34" ht="18.600000000000001" thickBot="1">
      <c r="A128" s="8" t="s">
        <v>654</v>
      </c>
      <c r="B128" s="262">
        <v>8</v>
      </c>
      <c r="C128" s="4"/>
      <c r="D128" s="89" t="s">
        <v>882</v>
      </c>
      <c r="E128" s="3">
        <f>ROUND(SUM(E129:E144)/COUNT(E129:E144), 2)</f>
        <v>8.07</v>
      </c>
      <c r="F128" s="4"/>
      <c r="G128" s="6" t="s">
        <v>684</v>
      </c>
      <c r="H128" s="262">
        <v>10.5</v>
      </c>
      <c r="I128" s="4"/>
      <c r="J128" s="6" t="s">
        <v>672</v>
      </c>
      <c r="K128" s="262">
        <v>7</v>
      </c>
      <c r="L128" s="4"/>
      <c r="M128" s="13" t="s">
        <v>705</v>
      </c>
      <c r="N128" s="261">
        <v>8.5</v>
      </c>
      <c r="O128" s="22"/>
      <c r="R128" s="59">
        <v>126</v>
      </c>
      <c r="S128" s="68" t="s">
        <v>347</v>
      </c>
      <c r="T128" s="68" t="s">
        <v>347</v>
      </c>
      <c r="U128" s="70">
        <v>7.77</v>
      </c>
      <c r="V128" s="242">
        <v>7.64</v>
      </c>
      <c r="W128" s="68">
        <v>7.5</v>
      </c>
      <c r="X128" s="68">
        <v>0.62</v>
      </c>
      <c r="Y128" s="68">
        <v>0</v>
      </c>
      <c r="Z128" s="68">
        <v>11</v>
      </c>
      <c r="AA128" s="68">
        <v>0</v>
      </c>
      <c r="AB128" s="68" t="s">
        <v>789</v>
      </c>
      <c r="AC128" s="70">
        <v>2026</v>
      </c>
      <c r="AD128" s="70" t="s">
        <v>1957</v>
      </c>
      <c r="AG128" s="52" t="s">
        <v>1326</v>
      </c>
      <c r="AH128" s="137" t="s">
        <v>1327</v>
      </c>
    </row>
    <row r="129" spans="1:34" ht="16.2" thickBot="1">
      <c r="A129" s="8" t="s">
        <v>655</v>
      </c>
      <c r="B129" s="262">
        <v>8.5</v>
      </c>
      <c r="C129" s="4"/>
      <c r="D129" s="13" t="s">
        <v>688</v>
      </c>
      <c r="E129" s="261">
        <v>7.5</v>
      </c>
      <c r="F129" s="4"/>
      <c r="G129" s="9" t="s">
        <v>685</v>
      </c>
      <c r="H129" s="263">
        <v>9</v>
      </c>
      <c r="I129" s="4"/>
      <c r="J129" s="6" t="s">
        <v>673</v>
      </c>
      <c r="K129" s="262">
        <v>6.5</v>
      </c>
      <c r="L129" s="4"/>
      <c r="M129" s="6" t="s">
        <v>706</v>
      </c>
      <c r="N129" s="262">
        <v>10</v>
      </c>
      <c r="O129" s="22"/>
      <c r="R129" s="59">
        <v>127</v>
      </c>
      <c r="S129" s="52" t="s">
        <v>1213</v>
      </c>
      <c r="T129" s="52" t="s">
        <v>1214</v>
      </c>
      <c r="U129" s="69">
        <v>7.71</v>
      </c>
      <c r="V129" s="190">
        <v>7.61</v>
      </c>
      <c r="W129" s="52">
        <v>7.5</v>
      </c>
      <c r="X129" s="52">
        <v>0.45</v>
      </c>
      <c r="Y129" s="52">
        <v>0</v>
      </c>
      <c r="Z129" s="52">
        <v>8</v>
      </c>
      <c r="AA129" s="52">
        <v>1</v>
      </c>
      <c r="AB129" s="52" t="s">
        <v>1216</v>
      </c>
      <c r="AC129" s="69">
        <v>2020</v>
      </c>
      <c r="AD129" s="69" t="s">
        <v>1991</v>
      </c>
      <c r="AG129" s="68" t="s">
        <v>1595</v>
      </c>
      <c r="AH129" s="136" t="s">
        <v>1596</v>
      </c>
    </row>
    <row r="130" spans="1:34" ht="16.2" thickBot="1">
      <c r="A130" s="8" t="s">
        <v>656</v>
      </c>
      <c r="B130" s="262">
        <v>8</v>
      </c>
      <c r="C130" s="4"/>
      <c r="D130" s="6" t="s">
        <v>689</v>
      </c>
      <c r="E130" s="262"/>
      <c r="F130" s="4"/>
      <c r="G130" s="21"/>
      <c r="H130" s="21"/>
      <c r="I130" s="4"/>
      <c r="J130" s="6" t="s">
        <v>674</v>
      </c>
      <c r="K130" s="262">
        <v>8</v>
      </c>
      <c r="L130" s="4"/>
      <c r="M130" s="6" t="s">
        <v>707</v>
      </c>
      <c r="N130" s="262">
        <v>10</v>
      </c>
      <c r="O130" s="22"/>
      <c r="R130" s="59">
        <v>128</v>
      </c>
      <c r="S130" s="68" t="s">
        <v>336</v>
      </c>
      <c r="T130" s="68" t="s">
        <v>995</v>
      </c>
      <c r="U130" s="70">
        <v>7.5</v>
      </c>
      <c r="V130" s="243">
        <v>7.4</v>
      </c>
      <c r="W130" s="68">
        <v>7.5</v>
      </c>
      <c r="X130" s="68">
        <v>0.76</v>
      </c>
      <c r="Y130" s="68">
        <v>0</v>
      </c>
      <c r="Z130" s="68">
        <v>12</v>
      </c>
      <c r="AA130" s="68">
        <v>0</v>
      </c>
      <c r="AB130" s="68" t="s">
        <v>787</v>
      </c>
      <c r="AC130" s="70">
        <v>1993</v>
      </c>
      <c r="AD130" s="70" t="s">
        <v>1949</v>
      </c>
      <c r="AG130" s="52" t="s">
        <v>1597</v>
      </c>
      <c r="AH130" s="137" t="s">
        <v>1596</v>
      </c>
    </row>
    <row r="131" spans="1:34" ht="18.600000000000001" thickBot="1">
      <c r="A131" s="8" t="s">
        <v>657</v>
      </c>
      <c r="B131" s="262">
        <v>9</v>
      </c>
      <c r="C131" s="4"/>
      <c r="D131" s="6" t="s">
        <v>690</v>
      </c>
      <c r="E131" s="262">
        <v>9</v>
      </c>
      <c r="F131" s="22"/>
      <c r="G131" s="88" t="s">
        <v>881</v>
      </c>
      <c r="H131" s="3">
        <f>ROUND(SUM(H132:H147)/COUNT(H132:H147), 2)</f>
        <v>8.67</v>
      </c>
      <c r="I131" s="4"/>
      <c r="J131" s="6" t="s">
        <v>675</v>
      </c>
      <c r="K131" s="262">
        <v>6.5</v>
      </c>
      <c r="L131" s="4"/>
      <c r="M131" s="6" t="s">
        <v>708</v>
      </c>
      <c r="N131" s="262">
        <v>10.5</v>
      </c>
      <c r="O131" s="22"/>
      <c r="R131" s="59">
        <v>129</v>
      </c>
      <c r="S131" s="52" t="s">
        <v>830</v>
      </c>
      <c r="T131" s="52" t="s">
        <v>1932</v>
      </c>
      <c r="U131" s="69">
        <v>7.31</v>
      </c>
      <c r="V131" s="285">
        <v>7.2</v>
      </c>
      <c r="W131" s="52">
        <v>7.25</v>
      </c>
      <c r="X131" s="52">
        <v>0.73</v>
      </c>
      <c r="Y131" s="52">
        <v>0</v>
      </c>
      <c r="Z131" s="52">
        <v>18</v>
      </c>
      <c r="AA131" s="52">
        <v>0</v>
      </c>
      <c r="AB131" s="52" t="s">
        <v>1136</v>
      </c>
      <c r="AC131" s="69">
        <v>2026</v>
      </c>
      <c r="AD131" s="69" t="s">
        <v>1949</v>
      </c>
      <c r="AG131" s="68" t="s">
        <v>1136</v>
      </c>
      <c r="AH131" s="136" t="s">
        <v>2017</v>
      </c>
    </row>
    <row r="132" spans="1:34" ht="16.2" thickBot="1">
      <c r="A132" s="8" t="s">
        <v>658</v>
      </c>
      <c r="B132" s="262">
        <v>7.5</v>
      </c>
      <c r="C132" s="4"/>
      <c r="D132" s="6" t="s">
        <v>691</v>
      </c>
      <c r="E132" s="262">
        <v>10</v>
      </c>
      <c r="F132" s="4"/>
      <c r="G132" s="13" t="s">
        <v>714</v>
      </c>
      <c r="H132" s="261"/>
      <c r="I132" s="4"/>
      <c r="J132" s="6" t="s">
        <v>676</v>
      </c>
      <c r="K132" s="262">
        <v>7</v>
      </c>
      <c r="L132" s="4"/>
      <c r="M132" s="6" t="s">
        <v>709</v>
      </c>
      <c r="N132" s="262">
        <v>8.5</v>
      </c>
      <c r="O132" s="22"/>
      <c r="R132" s="59">
        <v>130</v>
      </c>
      <c r="S132" s="68" t="s">
        <v>428</v>
      </c>
      <c r="T132" s="68" t="s">
        <v>429</v>
      </c>
      <c r="U132" s="70">
        <v>7.29</v>
      </c>
      <c r="V132" s="244">
        <v>7.16</v>
      </c>
      <c r="W132" s="68">
        <v>7</v>
      </c>
      <c r="X132" s="68">
        <v>0.52</v>
      </c>
      <c r="Y132" s="68">
        <v>0</v>
      </c>
      <c r="Z132" s="68">
        <v>7</v>
      </c>
      <c r="AA132" s="68">
        <v>0</v>
      </c>
      <c r="AB132" s="68" t="s">
        <v>795</v>
      </c>
      <c r="AC132" s="70">
        <v>2021</v>
      </c>
      <c r="AD132" s="70" t="s">
        <v>1992</v>
      </c>
      <c r="AG132" s="52" t="s">
        <v>1216</v>
      </c>
      <c r="AH132" s="137" t="s">
        <v>1227</v>
      </c>
    </row>
    <row r="133" spans="1:34" ht="16.2" thickBot="1">
      <c r="A133" s="77"/>
      <c r="B133" s="19"/>
      <c r="C133" s="4"/>
      <c r="D133" s="6" t="s">
        <v>692</v>
      </c>
      <c r="E133" s="262">
        <v>8</v>
      </c>
      <c r="F133" s="4"/>
      <c r="G133" s="6" t="s">
        <v>715</v>
      </c>
      <c r="H133" s="262">
        <v>8</v>
      </c>
      <c r="I133" s="4"/>
      <c r="J133" s="6" t="s">
        <v>677</v>
      </c>
      <c r="K133" s="262">
        <v>7</v>
      </c>
      <c r="L133" s="4"/>
      <c r="M133" s="6" t="s">
        <v>710</v>
      </c>
      <c r="N133" s="262">
        <v>7.5</v>
      </c>
      <c r="O133" s="22"/>
      <c r="R133" s="59">
        <v>131</v>
      </c>
      <c r="S133" s="52" t="s">
        <v>680</v>
      </c>
      <c r="T133" s="52" t="s">
        <v>681</v>
      </c>
      <c r="U133" s="69">
        <v>7.06</v>
      </c>
      <c r="V133" s="245">
        <v>6.99</v>
      </c>
      <c r="W133" s="52">
        <v>7</v>
      </c>
      <c r="X133" s="52">
        <v>0.44</v>
      </c>
      <c r="Y133" s="52">
        <v>0</v>
      </c>
      <c r="Z133" s="52">
        <v>10</v>
      </c>
      <c r="AA133" s="52">
        <v>1</v>
      </c>
      <c r="AB133" s="52" t="s">
        <v>788</v>
      </c>
      <c r="AC133" s="69">
        <v>2026</v>
      </c>
      <c r="AD133" s="69" t="s">
        <v>1993</v>
      </c>
      <c r="AG133" s="68" t="s">
        <v>1138</v>
      </c>
      <c r="AH133" s="136" t="s">
        <v>1139</v>
      </c>
    </row>
    <row r="134" spans="1:34" ht="18.600000000000001" thickBot="1">
      <c r="A134" s="116" t="s">
        <v>909</v>
      </c>
      <c r="B134" s="3">
        <f>ROUND(SUM(B135:B143)/COUNT(B135:B143), 2)</f>
        <v>8.67</v>
      </c>
      <c r="C134" s="4"/>
      <c r="D134" s="6" t="s">
        <v>693</v>
      </c>
      <c r="E134" s="262">
        <v>8.5</v>
      </c>
      <c r="F134" s="4"/>
      <c r="G134" s="6" t="s">
        <v>716</v>
      </c>
      <c r="H134" s="262">
        <v>8</v>
      </c>
      <c r="I134" s="4"/>
      <c r="J134" s="9" t="s">
        <v>678</v>
      </c>
      <c r="K134" s="263">
        <v>7</v>
      </c>
      <c r="L134" s="4"/>
      <c r="M134" s="6" t="s">
        <v>711</v>
      </c>
      <c r="N134" s="262">
        <v>9</v>
      </c>
      <c r="O134" s="22"/>
      <c r="R134" s="59">
        <v>132</v>
      </c>
      <c r="S134" s="68" t="s">
        <v>344</v>
      </c>
      <c r="T134" s="68" t="s">
        <v>1827</v>
      </c>
      <c r="U134" s="70">
        <v>3.68</v>
      </c>
      <c r="V134" s="256">
        <v>3.37</v>
      </c>
      <c r="W134" s="68">
        <v>3</v>
      </c>
      <c r="X134" s="68">
        <v>1.37</v>
      </c>
      <c r="Y134" s="68">
        <v>0</v>
      </c>
      <c r="Z134" s="68">
        <v>11</v>
      </c>
      <c r="AA134" s="68">
        <v>0</v>
      </c>
      <c r="AB134" s="68" t="s">
        <v>786</v>
      </c>
      <c r="AC134" s="70">
        <v>2003</v>
      </c>
      <c r="AD134" s="70" t="s">
        <v>1950</v>
      </c>
      <c r="AG134" s="52" t="s">
        <v>1140</v>
      </c>
      <c r="AH134" s="137" t="s">
        <v>1139</v>
      </c>
    </row>
    <row r="135" spans="1:34" ht="16.2" thickBot="1">
      <c r="A135" s="13" t="s">
        <v>731</v>
      </c>
      <c r="B135" s="261">
        <v>9</v>
      </c>
      <c r="C135" s="4"/>
      <c r="D135" s="6" t="s">
        <v>694</v>
      </c>
      <c r="E135" s="262">
        <v>10</v>
      </c>
      <c r="F135" s="4"/>
      <c r="G135" s="6" t="s">
        <v>717</v>
      </c>
      <c r="H135" s="262">
        <v>10</v>
      </c>
      <c r="I135" s="4"/>
      <c r="J135" s="21"/>
      <c r="K135" s="21"/>
      <c r="L135" s="4"/>
      <c r="M135" s="9" t="s">
        <v>712</v>
      </c>
      <c r="N135" s="263">
        <v>9</v>
      </c>
      <c r="O135" s="22"/>
      <c r="AG135" s="68" t="s">
        <v>795</v>
      </c>
      <c r="AH135" s="136" t="s">
        <v>1141</v>
      </c>
    </row>
    <row r="136" spans="1:34" ht="18.600000000000001" thickBot="1">
      <c r="A136" s="6" t="s">
        <v>732</v>
      </c>
      <c r="B136" s="262">
        <v>9</v>
      </c>
      <c r="C136" s="4"/>
      <c r="D136" s="6" t="s">
        <v>695</v>
      </c>
      <c r="E136" s="262">
        <v>8</v>
      </c>
      <c r="F136" s="4"/>
      <c r="G136" s="6" t="s">
        <v>718</v>
      </c>
      <c r="H136" s="262">
        <v>9</v>
      </c>
      <c r="I136" s="22"/>
      <c r="J136" s="258" t="s">
        <v>1840</v>
      </c>
      <c r="K136" s="14">
        <f>ROUND(SUM(K137:K147)/COUNT(K137:K147), 2)</f>
        <v>8.86</v>
      </c>
      <c r="L136" s="4"/>
      <c r="M136" s="21"/>
      <c r="N136" s="21"/>
      <c r="O136" s="22"/>
      <c r="R136" s="301" t="s">
        <v>1359</v>
      </c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</row>
    <row r="137" spans="1:34" ht="18.600000000000001" thickBot="1">
      <c r="A137" s="6" t="s">
        <v>733</v>
      </c>
      <c r="B137" s="262">
        <v>8.5</v>
      </c>
      <c r="C137" s="4"/>
      <c r="D137" s="6" t="s">
        <v>696</v>
      </c>
      <c r="E137" s="262">
        <v>8</v>
      </c>
      <c r="F137" s="4"/>
      <c r="G137" s="6" t="s">
        <v>719</v>
      </c>
      <c r="H137" s="262">
        <v>8.5</v>
      </c>
      <c r="I137" s="22"/>
      <c r="J137" s="13" t="s">
        <v>301</v>
      </c>
      <c r="K137" s="261">
        <v>10</v>
      </c>
      <c r="L137" s="22"/>
      <c r="M137" s="87" t="s">
        <v>880</v>
      </c>
      <c r="N137" s="14">
        <f>ROUND(SUM(N138:N142)/COUNT(N138:N142), 2)</f>
        <v>9.4</v>
      </c>
      <c r="O137" s="22"/>
      <c r="R137" s="51" t="s">
        <v>361</v>
      </c>
      <c r="S137" s="51" t="s">
        <v>328</v>
      </c>
      <c r="T137" s="51" t="s">
        <v>526</v>
      </c>
      <c r="U137" s="51" t="s">
        <v>330</v>
      </c>
      <c r="V137" s="51" t="s">
        <v>1016</v>
      </c>
      <c r="W137" s="51" t="s">
        <v>524</v>
      </c>
      <c r="X137" s="51" t="s">
        <v>331</v>
      </c>
      <c r="Y137" s="51" t="s">
        <v>332</v>
      </c>
      <c r="Z137" s="51" t="s">
        <v>333</v>
      </c>
      <c r="AA137" s="51" t="s">
        <v>334</v>
      </c>
      <c r="AB137" s="51" t="s">
        <v>924</v>
      </c>
      <c r="AC137" s="51" t="s">
        <v>1994</v>
      </c>
      <c r="AD137" s="51" t="s">
        <v>1995</v>
      </c>
      <c r="AG137" s="135" t="s">
        <v>2018</v>
      </c>
      <c r="AH137" s="135"/>
    </row>
    <row r="138" spans="1:34">
      <c r="A138" s="6" t="s">
        <v>734</v>
      </c>
      <c r="B138" s="262">
        <v>9</v>
      </c>
      <c r="C138" s="4"/>
      <c r="D138" s="6" t="s">
        <v>697</v>
      </c>
      <c r="E138" s="262">
        <v>7</v>
      </c>
      <c r="F138" s="4"/>
      <c r="G138" s="6" t="s">
        <v>720</v>
      </c>
      <c r="H138" s="262">
        <v>10.5</v>
      </c>
      <c r="I138" s="22"/>
      <c r="J138" s="6" t="s">
        <v>742</v>
      </c>
      <c r="K138" s="262">
        <v>10</v>
      </c>
      <c r="L138" s="22"/>
      <c r="M138" s="13" t="s">
        <v>754</v>
      </c>
      <c r="N138" s="261">
        <v>8.5</v>
      </c>
      <c r="O138" s="22"/>
      <c r="R138" s="60">
        <v>1</v>
      </c>
      <c r="S138" s="52" t="s">
        <v>341</v>
      </c>
      <c r="T138" s="69">
        <v>4</v>
      </c>
      <c r="U138" s="69">
        <v>9.48</v>
      </c>
      <c r="V138" s="206">
        <v>9.73</v>
      </c>
      <c r="W138" s="52">
        <v>9.56</v>
      </c>
      <c r="X138" s="52">
        <v>0.76</v>
      </c>
      <c r="Y138" s="52">
        <v>13</v>
      </c>
      <c r="Z138" s="52">
        <v>26</v>
      </c>
      <c r="AA138" s="52">
        <v>1</v>
      </c>
      <c r="AB138" s="52" t="s">
        <v>1044</v>
      </c>
      <c r="AC138" s="52" t="s">
        <v>1996</v>
      </c>
      <c r="AD138" s="52" t="s">
        <v>1985</v>
      </c>
      <c r="AG138" s="52" t="s">
        <v>2019</v>
      </c>
      <c r="AH138" s="137" t="s">
        <v>2212</v>
      </c>
    </row>
    <row r="139" spans="1:34">
      <c r="A139" s="6" t="s">
        <v>735</v>
      </c>
      <c r="B139" s="262">
        <v>10</v>
      </c>
      <c r="C139" s="4"/>
      <c r="D139" s="6" t="s">
        <v>698</v>
      </c>
      <c r="E139" s="262">
        <v>6.5</v>
      </c>
      <c r="F139" s="4"/>
      <c r="G139" s="6" t="s">
        <v>721</v>
      </c>
      <c r="H139" s="262">
        <v>8</v>
      </c>
      <c r="I139" s="22"/>
      <c r="J139" s="6" t="s">
        <v>743</v>
      </c>
      <c r="K139" s="262">
        <v>8.5</v>
      </c>
      <c r="L139" s="22"/>
      <c r="M139" s="6" t="s">
        <v>755</v>
      </c>
      <c r="N139" s="262">
        <v>10.5</v>
      </c>
      <c r="O139" s="22"/>
      <c r="R139" s="61">
        <v>2</v>
      </c>
      <c r="S139" s="68" t="s">
        <v>335</v>
      </c>
      <c r="T139" s="70">
        <v>5</v>
      </c>
      <c r="U139" s="70">
        <v>9.36</v>
      </c>
      <c r="V139" s="246">
        <v>9.68</v>
      </c>
      <c r="W139" s="68">
        <v>9.65</v>
      </c>
      <c r="X139" s="68">
        <v>0.91</v>
      </c>
      <c r="Y139" s="68">
        <v>22</v>
      </c>
      <c r="Z139" s="68">
        <v>58</v>
      </c>
      <c r="AA139" s="68">
        <v>14</v>
      </c>
      <c r="AB139" s="68" t="s">
        <v>1277</v>
      </c>
      <c r="AC139" s="68" t="s">
        <v>1997</v>
      </c>
      <c r="AD139" s="68" t="s">
        <v>1947</v>
      </c>
      <c r="AG139" s="68" t="s">
        <v>2020</v>
      </c>
      <c r="AH139" s="136">
        <v>1969</v>
      </c>
    </row>
    <row r="140" spans="1:34">
      <c r="A140" s="6" t="s">
        <v>736</v>
      </c>
      <c r="B140" s="262">
        <v>8</v>
      </c>
      <c r="C140" s="4"/>
      <c r="D140" s="6" t="s">
        <v>699</v>
      </c>
      <c r="E140" s="262">
        <v>7</v>
      </c>
      <c r="F140" s="4"/>
      <c r="G140" s="6" t="s">
        <v>722</v>
      </c>
      <c r="H140" s="262">
        <v>8</v>
      </c>
      <c r="I140" s="22"/>
      <c r="J140" s="6" t="s">
        <v>744</v>
      </c>
      <c r="K140" s="262">
        <v>10</v>
      </c>
      <c r="L140" s="22"/>
      <c r="M140" s="6" t="s">
        <v>756</v>
      </c>
      <c r="N140" s="262">
        <v>10</v>
      </c>
      <c r="O140" s="22"/>
      <c r="R140" s="62">
        <v>3</v>
      </c>
      <c r="S140" s="52" t="s">
        <v>340</v>
      </c>
      <c r="T140" s="69">
        <v>3</v>
      </c>
      <c r="U140" s="69">
        <v>9.18</v>
      </c>
      <c r="V140" s="247">
        <v>9.1999999999999993</v>
      </c>
      <c r="W140" s="52">
        <v>8.92</v>
      </c>
      <c r="X140" s="52">
        <v>0.74</v>
      </c>
      <c r="Y140" s="52">
        <v>5</v>
      </c>
      <c r="Z140" s="52">
        <v>16</v>
      </c>
      <c r="AA140" s="52">
        <v>0</v>
      </c>
      <c r="AB140" s="52" t="s">
        <v>1421</v>
      </c>
      <c r="AC140" s="52" t="s">
        <v>1998</v>
      </c>
      <c r="AD140" s="52" t="s">
        <v>1966</v>
      </c>
      <c r="AG140" s="52" t="s">
        <v>2021</v>
      </c>
      <c r="AH140" s="137">
        <v>2026</v>
      </c>
    </row>
    <row r="141" spans="1:34">
      <c r="A141" s="6" t="s">
        <v>737</v>
      </c>
      <c r="B141" s="262">
        <v>8.5</v>
      </c>
      <c r="C141" s="4"/>
      <c r="D141" s="6" t="s">
        <v>700</v>
      </c>
      <c r="E141" s="262">
        <v>7.5</v>
      </c>
      <c r="F141" s="4"/>
      <c r="G141" s="6" t="s">
        <v>723</v>
      </c>
      <c r="H141" s="262">
        <v>10.5</v>
      </c>
      <c r="I141" s="22"/>
      <c r="J141" s="6" t="s">
        <v>745</v>
      </c>
      <c r="K141" s="262">
        <v>9</v>
      </c>
      <c r="L141" s="22"/>
      <c r="M141" s="6" t="s">
        <v>757</v>
      </c>
      <c r="N141" s="262">
        <v>9.5</v>
      </c>
      <c r="O141" s="22"/>
      <c r="R141" s="59">
        <v>4</v>
      </c>
      <c r="S141" s="68" t="s">
        <v>339</v>
      </c>
      <c r="T141" s="70">
        <v>2</v>
      </c>
      <c r="U141" s="70">
        <v>8.99</v>
      </c>
      <c r="V141" s="215">
        <v>9.0399999999999991</v>
      </c>
      <c r="W141" s="68">
        <v>8.75</v>
      </c>
      <c r="X141" s="68">
        <v>0.9</v>
      </c>
      <c r="Y141" s="68">
        <v>5</v>
      </c>
      <c r="Z141" s="68">
        <v>18</v>
      </c>
      <c r="AA141" s="68">
        <v>0</v>
      </c>
      <c r="AB141" s="68" t="s">
        <v>2181</v>
      </c>
      <c r="AC141" s="68" t="s">
        <v>2182</v>
      </c>
      <c r="AD141" s="68" t="s">
        <v>1985</v>
      </c>
      <c r="AG141" s="68" t="s">
        <v>2022</v>
      </c>
      <c r="AH141" s="136" t="s">
        <v>2023</v>
      </c>
    </row>
    <row r="142" spans="1:34" ht="16.2" thickBot="1">
      <c r="A142" s="6" t="s">
        <v>738</v>
      </c>
      <c r="B142" s="262">
        <v>8</v>
      </c>
      <c r="C142" s="4"/>
      <c r="D142" s="6" t="s">
        <v>701</v>
      </c>
      <c r="E142" s="262">
        <v>7</v>
      </c>
      <c r="F142" s="4"/>
      <c r="G142" s="6" t="s">
        <v>724</v>
      </c>
      <c r="H142" s="262">
        <v>8</v>
      </c>
      <c r="I142" s="22"/>
      <c r="J142" s="6" t="s">
        <v>746</v>
      </c>
      <c r="K142" s="262">
        <v>8.5</v>
      </c>
      <c r="L142" s="22"/>
      <c r="M142" s="9" t="s">
        <v>758</v>
      </c>
      <c r="N142" s="263">
        <v>8.5</v>
      </c>
      <c r="O142" s="22"/>
      <c r="R142" s="59">
        <v>5</v>
      </c>
      <c r="S142" s="52" t="s">
        <v>491</v>
      </c>
      <c r="T142" s="69">
        <v>3</v>
      </c>
      <c r="U142" s="69">
        <v>8.93</v>
      </c>
      <c r="V142" s="217">
        <v>8.9499999999999993</v>
      </c>
      <c r="W142" s="52">
        <v>8.83</v>
      </c>
      <c r="X142" s="52">
        <v>0.82</v>
      </c>
      <c r="Y142" s="52">
        <v>6</v>
      </c>
      <c r="Z142" s="52">
        <v>27</v>
      </c>
      <c r="AA142" s="52">
        <v>0</v>
      </c>
      <c r="AB142" s="52" t="s">
        <v>769</v>
      </c>
      <c r="AC142" s="52" t="s">
        <v>1999</v>
      </c>
      <c r="AD142" s="52" t="s">
        <v>1964</v>
      </c>
      <c r="AG142" s="52" t="s">
        <v>2024</v>
      </c>
      <c r="AH142" s="137" t="s">
        <v>2025</v>
      </c>
    </row>
    <row r="143" spans="1:34" ht="16.2" thickBot="1">
      <c r="A143" s="9" t="s">
        <v>739</v>
      </c>
      <c r="B143" s="263">
        <v>8</v>
      </c>
      <c r="C143" s="4"/>
      <c r="D143" s="6" t="s">
        <v>702</v>
      </c>
      <c r="E143" s="262">
        <v>9</v>
      </c>
      <c r="F143" s="4"/>
      <c r="G143" s="6" t="s">
        <v>725</v>
      </c>
      <c r="H143" s="262">
        <v>7</v>
      </c>
      <c r="I143" s="22"/>
      <c r="J143" s="6" t="s">
        <v>747</v>
      </c>
      <c r="K143" s="262">
        <v>8</v>
      </c>
      <c r="L143" s="4"/>
      <c r="M143" s="21"/>
      <c r="N143" s="21"/>
      <c r="O143" s="22"/>
      <c r="R143" s="59">
        <v>6</v>
      </c>
      <c r="S143" s="68" t="s">
        <v>1196</v>
      </c>
      <c r="T143" s="70">
        <v>2</v>
      </c>
      <c r="U143" s="70">
        <v>8.7200000000000006</v>
      </c>
      <c r="V143" s="287">
        <v>8.9</v>
      </c>
      <c r="W143" s="68">
        <v>8.5</v>
      </c>
      <c r="X143" s="68">
        <v>0.94</v>
      </c>
      <c r="Y143" s="68">
        <v>10</v>
      </c>
      <c r="Z143" s="68">
        <v>54</v>
      </c>
      <c r="AA143" s="68">
        <v>2</v>
      </c>
      <c r="AB143" s="68" t="s">
        <v>1580</v>
      </c>
      <c r="AC143" s="68" t="s">
        <v>2172</v>
      </c>
      <c r="AD143" s="68" t="s">
        <v>2173</v>
      </c>
    </row>
    <row r="144" spans="1:34" ht="18.600000000000001" thickBot="1">
      <c r="A144" s="21"/>
      <c r="B144" s="21"/>
      <c r="C144" s="4"/>
      <c r="D144" s="9" t="s">
        <v>703</v>
      </c>
      <c r="E144" s="263"/>
      <c r="F144" s="4"/>
      <c r="G144" s="6" t="s">
        <v>726</v>
      </c>
      <c r="H144" s="262">
        <v>10</v>
      </c>
      <c r="I144" s="22"/>
      <c r="J144" s="6" t="s">
        <v>748</v>
      </c>
      <c r="K144" s="262">
        <v>8.5</v>
      </c>
      <c r="L144" s="22"/>
      <c r="M144" s="81" t="s">
        <v>799</v>
      </c>
      <c r="N144" s="14">
        <f>ROUND(SUM(N145:N150)/COUNT(N145:N150), 2)</f>
        <v>8.67</v>
      </c>
      <c r="O144" s="22"/>
      <c r="R144" s="59">
        <v>7</v>
      </c>
      <c r="S144" s="52" t="s">
        <v>350</v>
      </c>
      <c r="T144" s="69">
        <v>2</v>
      </c>
      <c r="U144" s="69">
        <v>8.83</v>
      </c>
      <c r="V144" s="178">
        <v>8.85</v>
      </c>
      <c r="W144" s="52">
        <v>8.5</v>
      </c>
      <c r="X144" s="52">
        <v>0.88</v>
      </c>
      <c r="Y144" s="52">
        <v>4</v>
      </c>
      <c r="Z144" s="52">
        <v>18</v>
      </c>
      <c r="AA144" s="52">
        <v>0</v>
      </c>
      <c r="AB144" s="52" t="s">
        <v>2075</v>
      </c>
      <c r="AC144" s="52" t="s">
        <v>2001</v>
      </c>
      <c r="AD144" s="52" t="s">
        <v>1966</v>
      </c>
      <c r="AG144" s="135" t="s">
        <v>2026</v>
      </c>
      <c r="AH144" s="135"/>
    </row>
    <row r="145" spans="1:34" ht="18.600000000000001" thickBot="1">
      <c r="A145" s="86" t="s">
        <v>879</v>
      </c>
      <c r="B145" s="14">
        <f>ROUND(SUM(B146:B160)/COUNT(B146:B160), 2)</f>
        <v>8.33</v>
      </c>
      <c r="C145" s="4"/>
      <c r="D145" s="19"/>
      <c r="E145" s="21"/>
      <c r="F145" s="4"/>
      <c r="G145" s="6" t="s">
        <v>727</v>
      </c>
      <c r="H145" s="262">
        <v>8.5</v>
      </c>
      <c r="I145" s="22"/>
      <c r="J145" s="6" t="s">
        <v>749</v>
      </c>
      <c r="K145" s="262">
        <v>8</v>
      </c>
      <c r="L145" s="4"/>
      <c r="M145" s="13" t="s">
        <v>759</v>
      </c>
      <c r="N145" s="261">
        <v>10</v>
      </c>
      <c r="O145" s="22"/>
      <c r="R145" s="59">
        <v>8</v>
      </c>
      <c r="S145" s="68" t="s">
        <v>355</v>
      </c>
      <c r="T145" s="70">
        <v>2</v>
      </c>
      <c r="U145" s="70">
        <v>8.85</v>
      </c>
      <c r="V145" s="220">
        <v>8.84</v>
      </c>
      <c r="W145" s="68">
        <v>8.75</v>
      </c>
      <c r="X145" s="68">
        <v>0.73</v>
      </c>
      <c r="Y145" s="68">
        <v>4</v>
      </c>
      <c r="Z145" s="68">
        <v>25</v>
      </c>
      <c r="AA145" s="68">
        <v>0</v>
      </c>
      <c r="AB145" s="68" t="s">
        <v>1890</v>
      </c>
      <c r="AC145" s="68" t="s">
        <v>2000</v>
      </c>
      <c r="AD145" s="68" t="s">
        <v>1963</v>
      </c>
      <c r="AG145" s="68" t="s">
        <v>2027</v>
      </c>
      <c r="AH145" s="136" t="s">
        <v>2028</v>
      </c>
    </row>
    <row r="146" spans="1:34" ht="18.600000000000001" thickBot="1">
      <c r="A146" s="13" t="s">
        <v>800</v>
      </c>
      <c r="B146" s="261">
        <v>8</v>
      </c>
      <c r="C146" s="22"/>
      <c r="D146" s="82" t="s">
        <v>829</v>
      </c>
      <c r="E146" s="14">
        <f>ROUND(SUM(E147:E159)/COUNT(E147:E159), 2)</f>
        <v>8.82</v>
      </c>
      <c r="F146" s="4"/>
      <c r="G146" s="6" t="s">
        <v>728</v>
      </c>
      <c r="H146" s="262">
        <v>8</v>
      </c>
      <c r="I146" s="22"/>
      <c r="J146" s="6" t="s">
        <v>750</v>
      </c>
      <c r="K146" s="262">
        <v>8</v>
      </c>
      <c r="L146" s="4"/>
      <c r="M146" s="6" t="s">
        <v>760</v>
      </c>
      <c r="N146" s="262">
        <v>8</v>
      </c>
      <c r="O146" s="22"/>
      <c r="R146" s="59">
        <v>9</v>
      </c>
      <c r="S146" s="52" t="s">
        <v>336</v>
      </c>
      <c r="T146" s="69">
        <v>9</v>
      </c>
      <c r="U146" s="69">
        <v>8.67</v>
      </c>
      <c r="V146" s="179">
        <v>8.7899999999999991</v>
      </c>
      <c r="W146" s="52">
        <v>8.69</v>
      </c>
      <c r="X146" s="52">
        <v>0.86</v>
      </c>
      <c r="Y146" s="52">
        <v>20</v>
      </c>
      <c r="Z146" s="52">
        <v>101</v>
      </c>
      <c r="AA146" s="52">
        <v>4</v>
      </c>
      <c r="AB146" s="52" t="s">
        <v>958</v>
      </c>
      <c r="AC146" s="52" t="s">
        <v>2004</v>
      </c>
      <c r="AD146" s="52" t="s">
        <v>1957</v>
      </c>
      <c r="AG146" s="52" t="s">
        <v>2029</v>
      </c>
      <c r="AH146" s="137" t="s">
        <v>2194</v>
      </c>
    </row>
    <row r="147" spans="1:34" ht="16.2" thickBot="1">
      <c r="A147" s="6" t="s">
        <v>801</v>
      </c>
      <c r="B147" s="262">
        <v>9</v>
      </c>
      <c r="C147" s="22"/>
      <c r="D147" s="13" t="s">
        <v>817</v>
      </c>
      <c r="E147" s="261">
        <v>9</v>
      </c>
      <c r="F147" s="4"/>
      <c r="G147" s="9" t="s">
        <v>729</v>
      </c>
      <c r="H147" s="263">
        <v>8</v>
      </c>
      <c r="I147" s="22"/>
      <c r="J147" s="9" t="s">
        <v>751</v>
      </c>
      <c r="K147" s="263">
        <v>9</v>
      </c>
      <c r="L147" s="4"/>
      <c r="M147" s="6" t="s">
        <v>761</v>
      </c>
      <c r="N147" s="262">
        <v>9</v>
      </c>
      <c r="O147" s="22"/>
      <c r="R147" s="59">
        <v>10</v>
      </c>
      <c r="S147" s="68" t="s">
        <v>354</v>
      </c>
      <c r="T147" s="70">
        <v>3</v>
      </c>
      <c r="U147" s="70">
        <v>8.77</v>
      </c>
      <c r="V147" s="179">
        <v>8.7899999999999991</v>
      </c>
      <c r="W147" s="68">
        <v>8.67</v>
      </c>
      <c r="X147" s="68">
        <v>0.81</v>
      </c>
      <c r="Y147" s="68">
        <v>6</v>
      </c>
      <c r="Z147" s="68">
        <v>34</v>
      </c>
      <c r="AA147" s="68">
        <v>1</v>
      </c>
      <c r="AB147" s="68" t="s">
        <v>1675</v>
      </c>
      <c r="AC147" s="68" t="s">
        <v>2002</v>
      </c>
      <c r="AD147" s="68" t="s">
        <v>1976</v>
      </c>
      <c r="AG147" s="68" t="s">
        <v>2030</v>
      </c>
      <c r="AH147" s="136" t="s">
        <v>2031</v>
      </c>
    </row>
    <row r="148" spans="1:34" ht="16.2" thickBot="1">
      <c r="A148" s="6" t="s">
        <v>802</v>
      </c>
      <c r="B148" s="262">
        <v>10</v>
      </c>
      <c r="C148" s="22"/>
      <c r="D148" s="6" t="s">
        <v>818</v>
      </c>
      <c r="E148" s="262">
        <v>8.5</v>
      </c>
      <c r="F148" s="4"/>
      <c r="G148" s="21"/>
      <c r="H148" s="21"/>
      <c r="I148" s="4"/>
      <c r="J148" s="21"/>
      <c r="K148" s="21"/>
      <c r="L148" s="4"/>
      <c r="M148" s="6" t="s">
        <v>762</v>
      </c>
      <c r="N148" s="262">
        <v>8</v>
      </c>
      <c r="O148" s="22"/>
      <c r="R148" s="59">
        <v>11</v>
      </c>
      <c r="S148" s="52" t="s">
        <v>1724</v>
      </c>
      <c r="T148" s="69">
        <v>2</v>
      </c>
      <c r="U148" s="69">
        <v>8.81</v>
      </c>
      <c r="V148" s="180">
        <v>8.77</v>
      </c>
      <c r="W148" s="52">
        <v>8.5</v>
      </c>
      <c r="X148" s="52">
        <v>0.81</v>
      </c>
      <c r="Y148" s="52">
        <v>3</v>
      </c>
      <c r="Z148" s="52">
        <v>16</v>
      </c>
      <c r="AA148" s="52">
        <v>0</v>
      </c>
      <c r="AB148" s="52" t="s">
        <v>2204</v>
      </c>
      <c r="AC148" s="52">
        <v>1982</v>
      </c>
      <c r="AD148" s="52" t="s">
        <v>1962</v>
      </c>
      <c r="AG148" s="52" t="s">
        <v>2032</v>
      </c>
      <c r="AH148" s="137" t="s">
        <v>2158</v>
      </c>
    </row>
    <row r="149" spans="1:34" ht="18.600000000000001" thickBot="1">
      <c r="A149" s="6" t="s">
        <v>803</v>
      </c>
      <c r="B149" s="262">
        <v>8</v>
      </c>
      <c r="C149" s="22"/>
      <c r="D149" s="6" t="s">
        <v>819</v>
      </c>
      <c r="E149" s="262">
        <v>10</v>
      </c>
      <c r="F149" s="22"/>
      <c r="G149" s="85" t="s">
        <v>878</v>
      </c>
      <c r="H149" s="14">
        <f>ROUND(SUM(H150:H163)/COUNT(H150:H163), 2)</f>
        <v>8.7100000000000009</v>
      </c>
      <c r="I149" s="22"/>
      <c r="J149" s="83" t="s">
        <v>854</v>
      </c>
      <c r="K149" s="14">
        <f>ROUND(SUM(K150:K163)/COUNT(K150:K163), 2)</f>
        <v>8.5</v>
      </c>
      <c r="L149" s="4"/>
      <c r="M149" s="6" t="s">
        <v>763</v>
      </c>
      <c r="N149" s="262">
        <v>8</v>
      </c>
      <c r="O149" s="22"/>
      <c r="R149" s="59">
        <v>12</v>
      </c>
      <c r="S149" s="68" t="s">
        <v>1463</v>
      </c>
      <c r="T149" s="70">
        <v>2</v>
      </c>
      <c r="U149" s="70">
        <v>8.77</v>
      </c>
      <c r="V149" s="182">
        <v>8.67</v>
      </c>
      <c r="W149" s="68">
        <v>8.5</v>
      </c>
      <c r="X149" s="68">
        <v>0.62</v>
      </c>
      <c r="Y149" s="68">
        <v>2</v>
      </c>
      <c r="Z149" s="68">
        <v>17</v>
      </c>
      <c r="AA149" s="68">
        <v>1</v>
      </c>
      <c r="AB149" s="68" t="s">
        <v>1725</v>
      </c>
      <c r="AC149" s="68">
        <v>2016</v>
      </c>
      <c r="AD149" s="68" t="s">
        <v>2003</v>
      </c>
      <c r="AG149" s="68" t="s">
        <v>2033</v>
      </c>
      <c r="AH149" s="136" t="s">
        <v>2034</v>
      </c>
    </row>
    <row r="150" spans="1:34" ht="16.2" thickBot="1">
      <c r="A150" s="6" t="s">
        <v>804</v>
      </c>
      <c r="B150" s="262">
        <v>7</v>
      </c>
      <c r="C150" s="22"/>
      <c r="D150" s="6" t="s">
        <v>820</v>
      </c>
      <c r="E150" s="262"/>
      <c r="F150" s="4"/>
      <c r="G150" s="13" t="s">
        <v>838</v>
      </c>
      <c r="H150" s="261">
        <v>10</v>
      </c>
      <c r="I150" s="22"/>
      <c r="J150" s="13" t="s">
        <v>855</v>
      </c>
      <c r="K150" s="261">
        <v>10</v>
      </c>
      <c r="L150" s="4"/>
      <c r="M150" s="9" t="s">
        <v>764</v>
      </c>
      <c r="N150" s="263">
        <v>9</v>
      </c>
      <c r="O150" s="22"/>
      <c r="R150" s="59">
        <v>13</v>
      </c>
      <c r="S150" s="52" t="s">
        <v>1548</v>
      </c>
      <c r="T150" s="69">
        <v>2</v>
      </c>
      <c r="U150" s="69">
        <v>8.6300000000000008</v>
      </c>
      <c r="V150" s="248">
        <v>8.59</v>
      </c>
      <c r="W150" s="52">
        <v>8.5</v>
      </c>
      <c r="X150" s="52">
        <v>1.05</v>
      </c>
      <c r="Y150" s="52">
        <v>4</v>
      </c>
      <c r="Z150" s="52">
        <v>22</v>
      </c>
      <c r="AA150" s="52">
        <v>2</v>
      </c>
      <c r="AB150" s="52" t="s">
        <v>1610</v>
      </c>
      <c r="AC150" s="52" t="s">
        <v>2005</v>
      </c>
      <c r="AD150" s="52" t="s">
        <v>1989</v>
      </c>
      <c r="AG150" s="52" t="s">
        <v>2035</v>
      </c>
      <c r="AH150" s="137" t="s">
        <v>2176</v>
      </c>
    </row>
    <row r="151" spans="1:34" ht="16.2" thickBot="1">
      <c r="A151" s="6" t="s">
        <v>805</v>
      </c>
      <c r="B151" s="262">
        <v>9.5</v>
      </c>
      <c r="C151" s="22"/>
      <c r="D151" s="6" t="s">
        <v>821</v>
      </c>
      <c r="E151" s="262">
        <v>9</v>
      </c>
      <c r="F151" s="4"/>
      <c r="G151" s="6" t="s">
        <v>839</v>
      </c>
      <c r="H151" s="262">
        <v>9</v>
      </c>
      <c r="I151" s="22"/>
      <c r="J151" s="6" t="s">
        <v>856</v>
      </c>
      <c r="K151" s="262">
        <v>9</v>
      </c>
      <c r="L151" s="4"/>
      <c r="M151" s="21"/>
      <c r="N151" s="21"/>
      <c r="O151" s="22"/>
      <c r="R151" s="59">
        <v>14</v>
      </c>
      <c r="S151" s="68" t="s">
        <v>343</v>
      </c>
      <c r="T151" s="70">
        <v>8</v>
      </c>
      <c r="U151" s="70">
        <v>8.58</v>
      </c>
      <c r="V151" s="184">
        <v>8.5500000000000007</v>
      </c>
      <c r="W151" s="68">
        <v>8.4700000000000006</v>
      </c>
      <c r="X151" s="68">
        <v>0.76</v>
      </c>
      <c r="Y151" s="68">
        <v>7</v>
      </c>
      <c r="Z151" s="68">
        <v>60</v>
      </c>
      <c r="AA151" s="68">
        <v>2</v>
      </c>
      <c r="AB151" s="68" t="s">
        <v>2070</v>
      </c>
      <c r="AC151" s="68" t="s">
        <v>2071</v>
      </c>
      <c r="AD151" s="68" t="s">
        <v>1961</v>
      </c>
      <c r="AG151" s="68" t="s">
        <v>2036</v>
      </c>
      <c r="AH151" s="136" t="s">
        <v>2099</v>
      </c>
    </row>
    <row r="152" spans="1:34" ht="18.600000000000001" thickBot="1">
      <c r="A152" s="6" t="s">
        <v>806</v>
      </c>
      <c r="B152" s="262">
        <v>8.5</v>
      </c>
      <c r="C152" s="22"/>
      <c r="D152" s="6" t="s">
        <v>822</v>
      </c>
      <c r="E152" s="262">
        <v>7.5</v>
      </c>
      <c r="F152" s="4"/>
      <c r="G152" s="6" t="s">
        <v>840</v>
      </c>
      <c r="H152" s="262">
        <v>8.5</v>
      </c>
      <c r="I152" s="22"/>
      <c r="J152" s="6" t="s">
        <v>857</v>
      </c>
      <c r="K152" s="262">
        <v>9</v>
      </c>
      <c r="L152" s="22"/>
      <c r="M152" s="84" t="s">
        <v>871</v>
      </c>
      <c r="N152" s="14">
        <f>ROUND(SUM(N153:N159)/COUNT(N153:N159), 2)</f>
        <v>8.7100000000000009</v>
      </c>
      <c r="O152" s="22"/>
      <c r="R152" s="59">
        <v>15</v>
      </c>
      <c r="S152" s="52" t="s">
        <v>730</v>
      </c>
      <c r="T152" s="69">
        <v>3</v>
      </c>
      <c r="U152" s="69">
        <v>8.5500000000000007</v>
      </c>
      <c r="V152" s="184">
        <v>8.5500000000000007</v>
      </c>
      <c r="W152" s="52">
        <v>8.17</v>
      </c>
      <c r="X152" s="52">
        <v>0.83</v>
      </c>
      <c r="Y152" s="52">
        <v>6</v>
      </c>
      <c r="Z152" s="52">
        <v>46</v>
      </c>
      <c r="AA152" s="52">
        <v>4</v>
      </c>
      <c r="AB152" s="52" t="s">
        <v>1465</v>
      </c>
      <c r="AC152" s="52" t="s">
        <v>2006</v>
      </c>
      <c r="AD152" s="52" t="s">
        <v>1969</v>
      </c>
    </row>
    <row r="153" spans="1:34">
      <c r="A153" s="6" t="s">
        <v>807</v>
      </c>
      <c r="B153" s="262">
        <v>8</v>
      </c>
      <c r="C153" s="22"/>
      <c r="D153" s="6" t="s">
        <v>823</v>
      </c>
      <c r="E153" s="262">
        <v>8</v>
      </c>
      <c r="F153" s="4"/>
      <c r="G153" s="6" t="s">
        <v>841</v>
      </c>
      <c r="H153" s="262">
        <v>10.5</v>
      </c>
      <c r="I153" s="22"/>
      <c r="J153" s="6" t="s">
        <v>858</v>
      </c>
      <c r="K153" s="262">
        <v>8.5</v>
      </c>
      <c r="L153" s="22"/>
      <c r="M153" s="13" t="s">
        <v>872</v>
      </c>
      <c r="N153" s="261">
        <v>9</v>
      </c>
      <c r="O153" s="22"/>
      <c r="R153" s="59">
        <v>16</v>
      </c>
      <c r="S153" s="68" t="s">
        <v>348</v>
      </c>
      <c r="T153" s="70">
        <v>2</v>
      </c>
      <c r="U153" s="70">
        <v>8.5399999999999991</v>
      </c>
      <c r="V153" s="227">
        <v>8.4700000000000006</v>
      </c>
      <c r="W153" s="68">
        <v>8.5</v>
      </c>
      <c r="X153" s="68">
        <v>0.78</v>
      </c>
      <c r="Y153" s="68">
        <v>3</v>
      </c>
      <c r="Z153" s="68">
        <v>20</v>
      </c>
      <c r="AA153" s="68">
        <v>0</v>
      </c>
      <c r="AB153" s="68" t="s">
        <v>1943</v>
      </c>
      <c r="AC153" s="68" t="s">
        <v>2007</v>
      </c>
      <c r="AD153" s="68" t="s">
        <v>1962</v>
      </c>
      <c r="AG153" s="135" t="s">
        <v>2037</v>
      </c>
      <c r="AH153" s="135"/>
    </row>
    <row r="154" spans="1:34">
      <c r="A154" s="6" t="s">
        <v>808</v>
      </c>
      <c r="B154" s="262">
        <v>7.5</v>
      </c>
      <c r="C154" s="22"/>
      <c r="D154" s="6" t="s">
        <v>824</v>
      </c>
      <c r="E154" s="262">
        <v>10</v>
      </c>
      <c r="F154" s="4"/>
      <c r="G154" s="6" t="s">
        <v>842</v>
      </c>
      <c r="H154" s="262">
        <v>8</v>
      </c>
      <c r="I154" s="22"/>
      <c r="J154" s="6" t="s">
        <v>859</v>
      </c>
      <c r="K154" s="262">
        <v>8</v>
      </c>
      <c r="L154" s="22"/>
      <c r="M154" s="6" t="s">
        <v>873</v>
      </c>
      <c r="N154" s="262">
        <v>8</v>
      </c>
      <c r="O154" s="22"/>
      <c r="R154" s="59">
        <v>17</v>
      </c>
      <c r="S154" s="52" t="s">
        <v>1169</v>
      </c>
      <c r="T154" s="69">
        <v>2</v>
      </c>
      <c r="U154" s="69">
        <v>8.52</v>
      </c>
      <c r="V154" s="251">
        <v>8.4499999999999993</v>
      </c>
      <c r="W154" s="52">
        <v>8.25</v>
      </c>
      <c r="X154" s="52">
        <v>0.96</v>
      </c>
      <c r="Y154" s="52">
        <v>6</v>
      </c>
      <c r="Z154" s="52">
        <v>41</v>
      </c>
      <c r="AA154" s="52">
        <v>2</v>
      </c>
      <c r="AB154" s="52" t="s">
        <v>1776</v>
      </c>
      <c r="AC154" s="52" t="s">
        <v>2008</v>
      </c>
      <c r="AD154" s="52" t="s">
        <v>2009</v>
      </c>
      <c r="AG154" s="52" t="s">
        <v>2038</v>
      </c>
      <c r="AH154" s="137" t="s">
        <v>2212</v>
      </c>
    </row>
    <row r="155" spans="1:34">
      <c r="A155" s="6" t="s">
        <v>809</v>
      </c>
      <c r="B155" s="262">
        <v>8</v>
      </c>
      <c r="C155" s="22"/>
      <c r="D155" s="6" t="s">
        <v>118</v>
      </c>
      <c r="E155" s="262">
        <v>10</v>
      </c>
      <c r="F155" s="4"/>
      <c r="G155" s="6" t="s">
        <v>54</v>
      </c>
      <c r="H155" s="262">
        <v>8</v>
      </c>
      <c r="I155" s="22"/>
      <c r="J155" s="6" t="s">
        <v>860</v>
      </c>
      <c r="K155" s="262">
        <v>8</v>
      </c>
      <c r="L155" s="22"/>
      <c r="M155" s="6" t="s">
        <v>874</v>
      </c>
      <c r="N155" s="262">
        <v>9.5</v>
      </c>
      <c r="O155" s="22"/>
      <c r="R155" s="59">
        <v>18</v>
      </c>
      <c r="S155" s="68" t="s">
        <v>346</v>
      </c>
      <c r="T155" s="70">
        <v>4</v>
      </c>
      <c r="U155" s="70">
        <v>8.4600000000000009</v>
      </c>
      <c r="V155" s="282">
        <v>8.4</v>
      </c>
      <c r="W155" s="68">
        <v>8.25</v>
      </c>
      <c r="X155" s="68">
        <v>0.95</v>
      </c>
      <c r="Y155" s="68">
        <v>8</v>
      </c>
      <c r="Z155" s="68">
        <v>53</v>
      </c>
      <c r="AA155" s="68">
        <v>4</v>
      </c>
      <c r="AB155" s="68" t="s">
        <v>1594</v>
      </c>
      <c r="AC155" s="68" t="s">
        <v>2010</v>
      </c>
      <c r="AD155" s="68" t="s">
        <v>2003</v>
      </c>
      <c r="AG155" s="68" t="s">
        <v>2039</v>
      </c>
      <c r="AH155" s="136" t="s">
        <v>1989</v>
      </c>
    </row>
    <row r="156" spans="1:34">
      <c r="A156" s="6" t="s">
        <v>810</v>
      </c>
      <c r="B156" s="262">
        <v>10</v>
      </c>
      <c r="C156" s="22"/>
      <c r="D156" s="6" t="s">
        <v>825</v>
      </c>
      <c r="E156" s="262">
        <v>8</v>
      </c>
      <c r="F156" s="4"/>
      <c r="G156" s="6" t="s">
        <v>843</v>
      </c>
      <c r="H156" s="262">
        <v>8</v>
      </c>
      <c r="I156" s="22"/>
      <c r="J156" s="6" t="s">
        <v>861</v>
      </c>
      <c r="K156" s="262">
        <v>7.5</v>
      </c>
      <c r="L156" s="22"/>
      <c r="M156" s="6" t="s">
        <v>875</v>
      </c>
      <c r="N156" s="262">
        <v>8.5</v>
      </c>
      <c r="O156" s="22"/>
      <c r="R156" s="59">
        <v>19</v>
      </c>
      <c r="S156" s="52" t="s">
        <v>347</v>
      </c>
      <c r="T156" s="69">
        <v>2</v>
      </c>
      <c r="U156" s="69">
        <v>8.39</v>
      </c>
      <c r="V156" s="231">
        <v>8.3699999999999992</v>
      </c>
      <c r="W156" s="52">
        <v>8.25</v>
      </c>
      <c r="X156" s="52">
        <v>0.72</v>
      </c>
      <c r="Y156" s="52">
        <v>2</v>
      </c>
      <c r="Z156" s="52">
        <v>20</v>
      </c>
      <c r="AA156" s="52">
        <v>0</v>
      </c>
      <c r="AB156" s="52" t="s">
        <v>789</v>
      </c>
      <c r="AC156" s="52" t="s">
        <v>2011</v>
      </c>
      <c r="AD156" s="52" t="s">
        <v>1948</v>
      </c>
      <c r="AG156" s="52" t="s">
        <v>2040</v>
      </c>
      <c r="AH156" s="137" t="s">
        <v>2177</v>
      </c>
    </row>
    <row r="157" spans="1:34">
      <c r="A157" s="6" t="s">
        <v>811</v>
      </c>
      <c r="B157" s="262">
        <v>6</v>
      </c>
      <c r="C157" s="22"/>
      <c r="D157" s="6" t="s">
        <v>826</v>
      </c>
      <c r="E157" s="262">
        <v>9</v>
      </c>
      <c r="F157" s="4"/>
      <c r="G157" s="6" t="s">
        <v>844</v>
      </c>
      <c r="H157" s="262">
        <v>9</v>
      </c>
      <c r="I157" s="22"/>
      <c r="J157" s="6" t="s">
        <v>862</v>
      </c>
      <c r="K157" s="262">
        <v>7</v>
      </c>
      <c r="L157" s="22"/>
      <c r="M157" s="6" t="s">
        <v>910</v>
      </c>
      <c r="N157" s="262">
        <v>10.5</v>
      </c>
      <c r="O157" s="22"/>
      <c r="R157" s="59">
        <v>20</v>
      </c>
      <c r="S157" s="68" t="s">
        <v>830</v>
      </c>
      <c r="T157" s="70">
        <v>2</v>
      </c>
      <c r="U157" s="70">
        <v>8.07</v>
      </c>
      <c r="V157" s="286">
        <v>7.99</v>
      </c>
      <c r="W157" s="68">
        <v>8.1300000000000008</v>
      </c>
      <c r="X157" s="68">
        <v>0.8</v>
      </c>
      <c r="Y157" s="68">
        <v>3</v>
      </c>
      <c r="Z157" s="68">
        <v>31</v>
      </c>
      <c r="AA157" s="68">
        <v>2</v>
      </c>
      <c r="AB157" s="68" t="s">
        <v>2012</v>
      </c>
      <c r="AC157" s="68" t="s">
        <v>2013</v>
      </c>
      <c r="AD157" s="68" t="s">
        <v>1989</v>
      </c>
      <c r="AG157" s="68" t="s">
        <v>2041</v>
      </c>
      <c r="AH157" s="136" t="s">
        <v>2042</v>
      </c>
    </row>
    <row r="158" spans="1:34">
      <c r="A158" s="6" t="s">
        <v>812</v>
      </c>
      <c r="B158" s="262">
        <v>7</v>
      </c>
      <c r="C158" s="22"/>
      <c r="D158" s="6" t="s">
        <v>827</v>
      </c>
      <c r="E158" s="262">
        <v>8</v>
      </c>
      <c r="F158" s="4"/>
      <c r="G158" s="6" t="s">
        <v>845</v>
      </c>
      <c r="H158" s="262">
        <v>9</v>
      </c>
      <c r="I158" s="22"/>
      <c r="J158" s="6" t="s">
        <v>863</v>
      </c>
      <c r="K158" s="262">
        <v>10.5</v>
      </c>
      <c r="L158" s="22"/>
      <c r="M158" s="6" t="s">
        <v>876</v>
      </c>
      <c r="N158" s="262">
        <v>8</v>
      </c>
      <c r="O158" s="22"/>
      <c r="R158" s="59">
        <v>21</v>
      </c>
      <c r="S158" s="52" t="s">
        <v>344</v>
      </c>
      <c r="T158" s="69">
        <v>5</v>
      </c>
      <c r="U158" s="69">
        <v>7.9</v>
      </c>
      <c r="V158" s="257">
        <v>7.94</v>
      </c>
      <c r="W158" s="52">
        <v>7.75</v>
      </c>
      <c r="X158" s="52">
        <v>1.07</v>
      </c>
      <c r="Y158" s="52">
        <v>11</v>
      </c>
      <c r="Z158" s="52">
        <v>48</v>
      </c>
      <c r="AA158" s="52">
        <v>0</v>
      </c>
      <c r="AB158" s="52" t="s">
        <v>1841</v>
      </c>
      <c r="AC158" s="52" t="s">
        <v>2014</v>
      </c>
      <c r="AD158" s="52" t="s">
        <v>1961</v>
      </c>
    </row>
    <row r="159" spans="1:34" ht="16.2" thickBot="1">
      <c r="A159" s="6" t="s">
        <v>813</v>
      </c>
      <c r="B159" s="262">
        <v>10</v>
      </c>
      <c r="C159" s="4"/>
      <c r="D159" s="9" t="s">
        <v>828</v>
      </c>
      <c r="E159" s="263"/>
      <c r="F159" s="4"/>
      <c r="G159" s="6" t="s">
        <v>846</v>
      </c>
      <c r="H159" s="262">
        <v>8.5</v>
      </c>
      <c r="I159" s="22"/>
      <c r="J159" s="6" t="s">
        <v>864</v>
      </c>
      <c r="K159" s="262"/>
      <c r="L159" s="22"/>
      <c r="M159" s="9" t="s">
        <v>877</v>
      </c>
      <c r="N159" s="263">
        <v>7.5</v>
      </c>
      <c r="O159" s="22"/>
      <c r="AG159" s="135" t="s">
        <v>2043</v>
      </c>
      <c r="AH159" s="135"/>
    </row>
    <row r="160" spans="1:34" ht="18" thickBot="1">
      <c r="A160" s="9" t="s">
        <v>814</v>
      </c>
      <c r="B160" s="263">
        <v>8.5</v>
      </c>
      <c r="C160" s="4"/>
      <c r="D160" s="19"/>
      <c r="E160" s="21"/>
      <c r="F160" s="4"/>
      <c r="G160" s="6" t="s">
        <v>847</v>
      </c>
      <c r="H160" s="262">
        <v>8</v>
      </c>
      <c r="I160" s="22"/>
      <c r="J160" s="6" t="s">
        <v>865</v>
      </c>
      <c r="K160" s="262">
        <v>8.5</v>
      </c>
      <c r="L160" s="4"/>
      <c r="M160" s="21"/>
      <c r="N160" s="21"/>
      <c r="O160" s="22"/>
      <c r="R160" s="301" t="s">
        <v>1810</v>
      </c>
      <c r="S160" s="301"/>
      <c r="T160" s="301"/>
      <c r="U160" s="301"/>
      <c r="V160" s="301"/>
      <c r="AG160" s="52" t="s">
        <v>2044</v>
      </c>
      <c r="AH160" s="137"/>
    </row>
    <row r="161" spans="1:34" ht="18.600000000000001" thickBot="1">
      <c r="A161" s="21"/>
      <c r="B161" s="21"/>
      <c r="C161" s="22"/>
      <c r="D161" s="117" t="s">
        <v>912</v>
      </c>
      <c r="E161" s="14">
        <f>ROUND(SUM(E162:E170)/COUNT(E162:E170), 2)</f>
        <v>9.06</v>
      </c>
      <c r="F161" s="4"/>
      <c r="G161" s="6" t="s">
        <v>848</v>
      </c>
      <c r="H161" s="262">
        <v>8.5</v>
      </c>
      <c r="I161" s="22"/>
      <c r="J161" s="6" t="s">
        <v>866</v>
      </c>
      <c r="K161" s="262">
        <v>8</v>
      </c>
      <c r="L161" s="22"/>
      <c r="M161" s="118" t="s">
        <v>925</v>
      </c>
      <c r="N161" s="14">
        <f>ROUND(SUM(N162:N180)/COUNT(N162:N180), 2)</f>
        <v>8.5500000000000007</v>
      </c>
      <c r="O161" s="22"/>
      <c r="R161" s="51" t="s">
        <v>361</v>
      </c>
      <c r="S161" s="51" t="s">
        <v>328</v>
      </c>
      <c r="T161" s="51" t="s">
        <v>329</v>
      </c>
      <c r="U161" s="51" t="s">
        <v>330</v>
      </c>
      <c r="V161" s="51" t="s">
        <v>1016</v>
      </c>
      <c r="AG161" s="68" t="s">
        <v>1049</v>
      </c>
      <c r="AH161" s="136" t="s">
        <v>2213</v>
      </c>
    </row>
    <row r="162" spans="1:34" ht="18.600000000000001" thickBot="1">
      <c r="A162" s="119" t="s">
        <v>947</v>
      </c>
      <c r="B162" s="14">
        <f>ROUND(SUM(B163:B170)/COUNT(B163:B170), 2)</f>
        <v>7.88</v>
      </c>
      <c r="C162" s="4"/>
      <c r="D162" s="13" t="s">
        <v>913</v>
      </c>
      <c r="E162" s="261">
        <v>10</v>
      </c>
      <c r="F162" s="4"/>
      <c r="G162" s="6" t="s">
        <v>849</v>
      </c>
      <c r="H162" s="262">
        <v>8</v>
      </c>
      <c r="I162" s="22"/>
      <c r="J162" s="6" t="s">
        <v>867</v>
      </c>
      <c r="K162" s="262">
        <v>7.5</v>
      </c>
      <c r="L162" s="4"/>
      <c r="M162" s="13" t="s">
        <v>926</v>
      </c>
      <c r="N162" s="261">
        <v>10</v>
      </c>
      <c r="O162" s="22"/>
      <c r="R162" s="60">
        <v>1</v>
      </c>
      <c r="S162" s="52" t="s">
        <v>1010</v>
      </c>
      <c r="T162" s="52" t="s">
        <v>1008</v>
      </c>
      <c r="U162" s="69">
        <v>10.5</v>
      </c>
      <c r="V162" s="126">
        <v>10.85</v>
      </c>
      <c r="AG162" s="52" t="s">
        <v>2045</v>
      </c>
      <c r="AH162" s="137" t="s">
        <v>2178</v>
      </c>
    </row>
    <row r="163" spans="1:34" ht="16.2" thickBot="1">
      <c r="A163" s="13" t="s">
        <v>948</v>
      </c>
      <c r="B163" s="261">
        <v>9</v>
      </c>
      <c r="C163" s="4"/>
      <c r="D163" s="6" t="s">
        <v>914</v>
      </c>
      <c r="E163" s="262">
        <v>10</v>
      </c>
      <c r="F163" s="4"/>
      <c r="G163" s="9" t="s">
        <v>850</v>
      </c>
      <c r="H163" s="263">
        <v>9</v>
      </c>
      <c r="I163" s="22"/>
      <c r="J163" s="9" t="s">
        <v>868</v>
      </c>
      <c r="K163" s="263">
        <v>9</v>
      </c>
      <c r="L163" s="4"/>
      <c r="M163" s="6" t="s">
        <v>927</v>
      </c>
      <c r="N163" s="262">
        <v>9</v>
      </c>
      <c r="O163" s="22"/>
      <c r="R163" s="61">
        <v>2</v>
      </c>
      <c r="S163" s="68" t="s">
        <v>335</v>
      </c>
      <c r="T163" s="68" t="s">
        <v>7</v>
      </c>
      <c r="U163" s="70">
        <v>9.89</v>
      </c>
      <c r="V163" s="126">
        <v>10.52</v>
      </c>
      <c r="AG163" s="68" t="s">
        <v>1052</v>
      </c>
      <c r="AH163" s="136" t="s">
        <v>2179</v>
      </c>
    </row>
    <row r="164" spans="1:34" ht="16.2" thickBot="1">
      <c r="A164" s="6" t="s">
        <v>949</v>
      </c>
      <c r="B164" s="262">
        <v>7</v>
      </c>
      <c r="C164" s="4"/>
      <c r="D164" s="6" t="s">
        <v>915</v>
      </c>
      <c r="E164" s="262">
        <v>8.5</v>
      </c>
      <c r="F164" s="4"/>
      <c r="G164" s="21"/>
      <c r="H164" s="21"/>
      <c r="I164" s="4"/>
      <c r="J164" s="21"/>
      <c r="K164" s="21"/>
      <c r="L164" s="4"/>
      <c r="M164" s="6" t="s">
        <v>928</v>
      </c>
      <c r="N164" s="262">
        <v>9</v>
      </c>
      <c r="O164" s="22"/>
      <c r="R164" s="62">
        <v>3</v>
      </c>
      <c r="S164" s="52" t="s">
        <v>341</v>
      </c>
      <c r="T164" s="52" t="s">
        <v>1041</v>
      </c>
      <c r="U164" s="69">
        <v>10</v>
      </c>
      <c r="V164" s="126">
        <v>10.39</v>
      </c>
      <c r="AG164" s="52" t="s">
        <v>1058</v>
      </c>
      <c r="AH164" s="137" t="s">
        <v>2202</v>
      </c>
    </row>
    <row r="165" spans="1:34" ht="18.600000000000001" thickBot="1">
      <c r="A165" s="6" t="s">
        <v>950</v>
      </c>
      <c r="B165" s="262">
        <v>7.5</v>
      </c>
      <c r="C165" s="4"/>
      <c r="D165" s="6" t="s">
        <v>916</v>
      </c>
      <c r="E165" s="262">
        <v>8.5</v>
      </c>
      <c r="F165" s="22"/>
      <c r="G165" s="120" t="s">
        <v>959</v>
      </c>
      <c r="H165" s="14">
        <f>ROUND(SUM(H166:H175)/COUNT(H166:H175), 2)</f>
        <v>8.67</v>
      </c>
      <c r="I165" s="22"/>
      <c r="J165" s="121" t="s">
        <v>972</v>
      </c>
      <c r="K165" s="14">
        <f>ROUND(SUM(K166:K173)/COUNT(K166:K173), 2)</f>
        <v>9</v>
      </c>
      <c r="L165" s="4"/>
      <c r="M165" s="6" t="s">
        <v>929</v>
      </c>
      <c r="N165" s="262">
        <v>10</v>
      </c>
      <c r="O165" s="22"/>
      <c r="R165" s="59">
        <v>4</v>
      </c>
      <c r="S165" s="68" t="s">
        <v>336</v>
      </c>
      <c r="T165" s="68" t="s">
        <v>337</v>
      </c>
      <c r="U165" s="70">
        <v>9.6999999999999993</v>
      </c>
      <c r="V165" s="126">
        <v>10.37</v>
      </c>
      <c r="AG165" s="68" t="s">
        <v>332</v>
      </c>
      <c r="AH165" s="136" t="s">
        <v>2195</v>
      </c>
    </row>
    <row r="166" spans="1:34">
      <c r="A166" s="6" t="s">
        <v>951</v>
      </c>
      <c r="B166" s="262">
        <v>6.5</v>
      </c>
      <c r="C166" s="4"/>
      <c r="D166" s="6" t="s">
        <v>917</v>
      </c>
      <c r="E166" s="262"/>
      <c r="F166" s="4"/>
      <c r="G166" s="13" t="s">
        <v>960</v>
      </c>
      <c r="H166" s="261"/>
      <c r="I166" s="22"/>
      <c r="J166" s="13" t="s">
        <v>973</v>
      </c>
      <c r="K166" s="261">
        <v>10.5</v>
      </c>
      <c r="L166" s="4"/>
      <c r="M166" s="6" t="s">
        <v>930</v>
      </c>
      <c r="N166" s="262">
        <v>8.5</v>
      </c>
      <c r="O166" s="22"/>
      <c r="R166" s="59">
        <v>5</v>
      </c>
      <c r="S166" s="52" t="s">
        <v>686</v>
      </c>
      <c r="T166" s="52" t="s">
        <v>687</v>
      </c>
      <c r="U166" s="69">
        <v>9.8800000000000008</v>
      </c>
      <c r="V166" s="126">
        <v>10.220000000000001</v>
      </c>
      <c r="AG166" s="52" t="s">
        <v>2046</v>
      </c>
      <c r="AH166" s="137" t="s">
        <v>2203</v>
      </c>
    </row>
    <row r="167" spans="1:34">
      <c r="A167" s="6" t="s">
        <v>952</v>
      </c>
      <c r="B167" s="262">
        <v>9</v>
      </c>
      <c r="C167" s="4"/>
      <c r="D167" s="6" t="s">
        <v>918</v>
      </c>
      <c r="E167" s="262">
        <v>10.5</v>
      </c>
      <c r="F167" s="4"/>
      <c r="G167" s="6" t="s">
        <v>961</v>
      </c>
      <c r="H167" s="262">
        <v>10</v>
      </c>
      <c r="I167" s="22"/>
      <c r="J167" s="6" t="s">
        <v>974</v>
      </c>
      <c r="K167" s="262">
        <v>10</v>
      </c>
      <c r="L167" s="4"/>
      <c r="M167" s="6" t="s">
        <v>931</v>
      </c>
      <c r="N167" s="262">
        <v>9.5</v>
      </c>
      <c r="O167" s="22"/>
      <c r="R167" s="59">
        <v>6</v>
      </c>
      <c r="S167" s="68" t="s">
        <v>339</v>
      </c>
      <c r="T167" s="68" t="s">
        <v>275</v>
      </c>
      <c r="U167" s="70">
        <v>9.3800000000000008</v>
      </c>
      <c r="V167" s="208">
        <v>9.5299999999999994</v>
      </c>
      <c r="AG167" s="68" t="s">
        <v>2047</v>
      </c>
      <c r="AH167" s="136" t="s">
        <v>2196</v>
      </c>
    </row>
    <row r="168" spans="1:34">
      <c r="A168" s="6" t="s">
        <v>953</v>
      </c>
      <c r="B168" s="262">
        <v>8.5</v>
      </c>
      <c r="C168" s="4"/>
      <c r="D168" s="6" t="s">
        <v>919</v>
      </c>
      <c r="E168" s="262">
        <v>8</v>
      </c>
      <c r="F168" s="4"/>
      <c r="G168" s="6" t="s">
        <v>962</v>
      </c>
      <c r="H168" s="262">
        <v>8.5</v>
      </c>
      <c r="I168" s="22"/>
      <c r="J168" s="6" t="s">
        <v>975</v>
      </c>
      <c r="K168" s="262">
        <v>8.5</v>
      </c>
      <c r="L168" s="4"/>
      <c r="M168" s="6" t="s">
        <v>932</v>
      </c>
      <c r="N168" s="262">
        <v>8</v>
      </c>
      <c r="O168" s="22"/>
      <c r="R168" s="59">
        <v>7</v>
      </c>
      <c r="S168" s="52" t="s">
        <v>340</v>
      </c>
      <c r="T168" s="52" t="s">
        <v>1200</v>
      </c>
      <c r="U168" s="69">
        <v>9.4</v>
      </c>
      <c r="V168" s="176">
        <v>9.4600000000000009</v>
      </c>
    </row>
    <row r="169" spans="1:34">
      <c r="A169" s="6" t="s">
        <v>954</v>
      </c>
      <c r="B169" s="262">
        <v>7.5</v>
      </c>
      <c r="C169" s="4"/>
      <c r="D169" s="6" t="s">
        <v>920</v>
      </c>
      <c r="E169" s="262">
        <v>8</v>
      </c>
      <c r="F169" s="4"/>
      <c r="G169" s="6" t="s">
        <v>963</v>
      </c>
      <c r="H169" s="262">
        <v>8.5</v>
      </c>
      <c r="I169" s="22"/>
      <c r="J169" s="6" t="s">
        <v>976</v>
      </c>
      <c r="K169" s="262">
        <v>8</v>
      </c>
      <c r="L169" s="4"/>
      <c r="M169" s="6" t="s">
        <v>933</v>
      </c>
      <c r="N169" s="262">
        <v>9</v>
      </c>
      <c r="O169" s="22"/>
      <c r="R169" s="59">
        <v>8</v>
      </c>
      <c r="S169" s="68" t="s">
        <v>2097</v>
      </c>
      <c r="T169" s="68" t="s">
        <v>2090</v>
      </c>
      <c r="U169" s="70">
        <v>9.31</v>
      </c>
      <c r="V169" s="294">
        <v>9.43</v>
      </c>
      <c r="AG169" s="68" t="s">
        <v>2048</v>
      </c>
      <c r="AH169" s="136" t="s">
        <v>2197</v>
      </c>
    </row>
    <row r="170" spans="1:34" ht="16.2" thickBot="1">
      <c r="A170" s="9" t="s">
        <v>955</v>
      </c>
      <c r="B170" s="263">
        <v>8</v>
      </c>
      <c r="C170" s="4"/>
      <c r="D170" s="9" t="s">
        <v>921</v>
      </c>
      <c r="E170" s="263">
        <v>9</v>
      </c>
      <c r="F170" s="4"/>
      <c r="G170" s="6" t="s">
        <v>964</v>
      </c>
      <c r="H170" s="262">
        <v>9.5</v>
      </c>
      <c r="I170" s="22"/>
      <c r="J170" s="6" t="s">
        <v>977</v>
      </c>
      <c r="K170" s="262">
        <v>8.5</v>
      </c>
      <c r="L170" s="4"/>
      <c r="M170" s="6" t="s">
        <v>934</v>
      </c>
      <c r="N170" s="262">
        <v>8</v>
      </c>
      <c r="O170" s="22"/>
      <c r="R170" s="59">
        <v>9</v>
      </c>
      <c r="S170" s="52" t="s">
        <v>344</v>
      </c>
      <c r="T170" s="52" t="s">
        <v>56</v>
      </c>
      <c r="U170" s="69">
        <v>9.25</v>
      </c>
      <c r="V170" s="209">
        <v>9.3699999999999992</v>
      </c>
      <c r="AG170" s="52" t="s">
        <v>2049</v>
      </c>
      <c r="AH170" s="137" t="s">
        <v>2198</v>
      </c>
    </row>
    <row r="171" spans="1:34" ht="16.2" thickBot="1">
      <c r="A171" s="21"/>
      <c r="B171" s="21"/>
      <c r="C171" s="4"/>
      <c r="D171" s="19"/>
      <c r="E171" s="21"/>
      <c r="F171" s="4"/>
      <c r="G171" s="6" t="s">
        <v>965</v>
      </c>
      <c r="H171" s="262">
        <v>8</v>
      </c>
      <c r="I171" s="22"/>
      <c r="J171" s="6" t="s">
        <v>978</v>
      </c>
      <c r="K171" s="262">
        <v>8</v>
      </c>
      <c r="L171" s="4"/>
      <c r="M171" s="6" t="s">
        <v>935</v>
      </c>
      <c r="N171" s="262">
        <v>8</v>
      </c>
      <c r="O171" s="22"/>
      <c r="R171" s="59">
        <v>10</v>
      </c>
      <c r="S171" s="68" t="s">
        <v>345</v>
      </c>
      <c r="T171" s="68" t="s">
        <v>189</v>
      </c>
      <c r="U171" s="70">
        <v>9.2100000000000009</v>
      </c>
      <c r="V171" s="211">
        <v>9.34</v>
      </c>
    </row>
    <row r="172" spans="1:34" ht="18.600000000000001" thickBot="1">
      <c r="A172" s="124" t="s">
        <v>996</v>
      </c>
      <c r="B172" s="14">
        <f>ROUND(SUM(B173:B183)/COUNT(B173:B183), 2)</f>
        <v>8.73</v>
      </c>
      <c r="C172" s="22"/>
      <c r="D172" s="122" t="s">
        <v>982</v>
      </c>
      <c r="E172" s="14">
        <f>ROUND(SUM(E173:E184)/COUNT(E173:E184), 2)</f>
        <v>7.5</v>
      </c>
      <c r="F172" s="4"/>
      <c r="G172" s="6" t="s">
        <v>966</v>
      </c>
      <c r="H172" s="262">
        <v>8.5</v>
      </c>
      <c r="I172" s="22"/>
      <c r="J172" s="6" t="s">
        <v>979</v>
      </c>
      <c r="K172" s="262">
        <v>9</v>
      </c>
      <c r="L172" s="4"/>
      <c r="M172" s="6" t="s">
        <v>936</v>
      </c>
      <c r="N172" s="262">
        <v>7.5</v>
      </c>
      <c r="O172" s="22"/>
      <c r="R172" s="59">
        <v>11</v>
      </c>
      <c r="S172" s="52" t="s">
        <v>343</v>
      </c>
      <c r="T172" s="52" t="s">
        <v>132</v>
      </c>
      <c r="U172" s="69">
        <v>9.2100000000000009</v>
      </c>
      <c r="V172" s="212">
        <v>9.2799999999999994</v>
      </c>
    </row>
    <row r="173" spans="1:34" ht="16.2" thickBot="1">
      <c r="A173" s="13" t="s">
        <v>997</v>
      </c>
      <c r="B173" s="261">
        <v>9</v>
      </c>
      <c r="C173" s="41"/>
      <c r="D173" s="123" t="s">
        <v>983</v>
      </c>
      <c r="E173" s="261">
        <v>8</v>
      </c>
      <c r="F173" s="4"/>
      <c r="G173" s="6" t="s">
        <v>967</v>
      </c>
      <c r="H173" s="262">
        <v>9</v>
      </c>
      <c r="I173" s="22"/>
      <c r="J173" s="9" t="s">
        <v>980</v>
      </c>
      <c r="K173" s="263">
        <v>9.5</v>
      </c>
      <c r="L173" s="4"/>
      <c r="M173" s="6" t="s">
        <v>937</v>
      </c>
      <c r="N173" s="262">
        <v>8.5</v>
      </c>
      <c r="O173" s="22"/>
      <c r="R173" s="59">
        <v>12</v>
      </c>
      <c r="S173" s="68" t="s">
        <v>455</v>
      </c>
      <c r="T173" s="68" t="s">
        <v>36</v>
      </c>
      <c r="U173" s="70">
        <v>9.15</v>
      </c>
      <c r="V173" s="130">
        <v>9.23</v>
      </c>
    </row>
    <row r="174" spans="1:34" ht="16.2" thickBot="1">
      <c r="A174" s="6" t="s">
        <v>998</v>
      </c>
      <c r="B174" s="262">
        <v>10</v>
      </c>
      <c r="C174" s="4"/>
      <c r="D174" s="6" t="s">
        <v>984</v>
      </c>
      <c r="E174" s="262">
        <v>9</v>
      </c>
      <c r="F174" s="4"/>
      <c r="G174" s="6" t="s">
        <v>968</v>
      </c>
      <c r="H174" s="262">
        <v>8.5</v>
      </c>
      <c r="I174" s="4"/>
      <c r="J174" s="19"/>
      <c r="K174" s="19"/>
      <c r="L174" s="4"/>
      <c r="M174" s="6" t="s">
        <v>938</v>
      </c>
      <c r="N174" s="262">
        <v>8.5</v>
      </c>
      <c r="O174" s="22"/>
      <c r="R174" s="59">
        <v>13</v>
      </c>
      <c r="S174" s="52" t="s">
        <v>491</v>
      </c>
      <c r="T174" s="52" t="s">
        <v>509</v>
      </c>
      <c r="U174" s="69">
        <v>9.17</v>
      </c>
      <c r="V174" s="130">
        <v>9.23</v>
      </c>
      <c r="X174" s="16"/>
      <c r="Y174" s="16"/>
      <c r="Z174" s="16"/>
    </row>
    <row r="175" spans="1:34" ht="18.600000000000001" thickBot="1">
      <c r="A175" s="6" t="s">
        <v>999</v>
      </c>
      <c r="B175" s="262">
        <v>9</v>
      </c>
      <c r="C175" s="4"/>
      <c r="D175" s="6" t="s">
        <v>985</v>
      </c>
      <c r="E175" s="262">
        <v>7.5</v>
      </c>
      <c r="F175" s="4"/>
      <c r="G175" s="9" t="s">
        <v>969</v>
      </c>
      <c r="H175" s="263">
        <v>7.5</v>
      </c>
      <c r="I175" s="22"/>
      <c r="J175" s="133" t="s">
        <v>1018</v>
      </c>
      <c r="K175" s="14">
        <f>ROUND(SUM(K176:K180)/COUNT(K176:K180), 2)</f>
        <v>9.3000000000000007</v>
      </c>
      <c r="L175" s="4"/>
      <c r="M175" s="6" t="s">
        <v>939</v>
      </c>
      <c r="N175" s="262">
        <v>9</v>
      </c>
      <c r="O175" s="22"/>
      <c r="R175" s="59">
        <v>14</v>
      </c>
      <c r="S175" s="68" t="s">
        <v>922</v>
      </c>
      <c r="T175" s="68" t="s">
        <v>913</v>
      </c>
      <c r="U175" s="70">
        <v>9.06</v>
      </c>
      <c r="V175" s="140">
        <v>9.1</v>
      </c>
      <c r="X175" s="16"/>
      <c r="Y175" s="16"/>
      <c r="Z175" s="16"/>
    </row>
    <row r="176" spans="1:34" ht="16.2" thickBot="1">
      <c r="A176" s="6" t="s">
        <v>1000</v>
      </c>
      <c r="B176" s="262">
        <v>9.5</v>
      </c>
      <c r="C176" s="4"/>
      <c r="D176" s="6" t="s">
        <v>986</v>
      </c>
      <c r="E176" s="262">
        <v>8.5</v>
      </c>
      <c r="F176" s="4"/>
      <c r="G176" s="21"/>
      <c r="H176" s="21"/>
      <c r="I176" s="4"/>
      <c r="J176" s="13" t="s">
        <v>1019</v>
      </c>
      <c r="K176" s="261">
        <v>9</v>
      </c>
      <c r="L176" s="4"/>
      <c r="M176" s="6" t="s">
        <v>940</v>
      </c>
      <c r="N176" s="262">
        <v>7.5</v>
      </c>
      <c r="O176" s="22"/>
      <c r="R176" s="59">
        <v>15</v>
      </c>
      <c r="S176" s="52" t="s">
        <v>346</v>
      </c>
      <c r="T176" s="52" t="s">
        <v>159</v>
      </c>
      <c r="U176" s="69">
        <v>9</v>
      </c>
      <c r="V176" s="140">
        <v>9.09</v>
      </c>
    </row>
    <row r="177" spans="1:22" ht="18.600000000000001" thickBot="1">
      <c r="A177" s="6" t="s">
        <v>1001</v>
      </c>
      <c r="B177" s="262">
        <v>10.5</v>
      </c>
      <c r="C177" s="4"/>
      <c r="D177" s="6" t="s">
        <v>987</v>
      </c>
      <c r="E177" s="262">
        <v>7.5</v>
      </c>
      <c r="F177" s="22"/>
      <c r="G177" s="266" t="s">
        <v>1274</v>
      </c>
      <c r="H177" s="14">
        <f>ROUND(SUM(H178:H189)/COUNT(H178:H189), 2)</f>
        <v>8.5500000000000007</v>
      </c>
      <c r="I177" s="4"/>
      <c r="J177" s="6" t="s">
        <v>1020</v>
      </c>
      <c r="K177" s="262">
        <v>10</v>
      </c>
      <c r="L177" s="4"/>
      <c r="M177" s="6" t="s">
        <v>941</v>
      </c>
      <c r="N177" s="262">
        <v>7</v>
      </c>
      <c r="O177" s="22"/>
      <c r="R177" s="59">
        <v>16</v>
      </c>
      <c r="S177" s="68" t="s">
        <v>347</v>
      </c>
      <c r="T177" s="68" t="s">
        <v>265</v>
      </c>
      <c r="U177" s="70">
        <v>9</v>
      </c>
      <c r="V177" s="140">
        <v>9.09</v>
      </c>
    </row>
    <row r="178" spans="1:22">
      <c r="A178" s="6" t="s">
        <v>1002</v>
      </c>
      <c r="B178" s="262">
        <v>8</v>
      </c>
      <c r="C178" s="4"/>
      <c r="D178" s="6" t="s">
        <v>988</v>
      </c>
      <c r="E178" s="262">
        <v>7.5</v>
      </c>
      <c r="F178" s="4"/>
      <c r="G178" s="13" t="s">
        <v>1024</v>
      </c>
      <c r="H178" s="261"/>
      <c r="I178" s="4"/>
      <c r="J178" s="6" t="s">
        <v>1021</v>
      </c>
      <c r="K178" s="262">
        <v>9</v>
      </c>
      <c r="L178" s="4"/>
      <c r="M178" s="6" t="s">
        <v>942</v>
      </c>
      <c r="N178" s="262">
        <v>7.5</v>
      </c>
      <c r="O178" s="22"/>
      <c r="R178" s="59">
        <v>17</v>
      </c>
      <c r="S178" s="52" t="s">
        <v>354</v>
      </c>
      <c r="T178" s="52" t="s">
        <v>1645</v>
      </c>
      <c r="U178" s="69">
        <v>8.94</v>
      </c>
      <c r="V178" s="217">
        <v>8.9499999999999993</v>
      </c>
    </row>
    <row r="179" spans="1:22">
      <c r="A179" s="6" t="s">
        <v>1003</v>
      </c>
      <c r="B179" s="262">
        <v>7.5</v>
      </c>
      <c r="C179" s="4"/>
      <c r="D179" s="6" t="s">
        <v>989</v>
      </c>
      <c r="E179" s="262">
        <v>6.5</v>
      </c>
      <c r="F179" s="4"/>
      <c r="G179" s="6" t="s">
        <v>1025</v>
      </c>
      <c r="H179" s="262">
        <v>8.5</v>
      </c>
      <c r="I179" s="4"/>
      <c r="J179" s="6" t="s">
        <v>1022</v>
      </c>
      <c r="K179" s="262">
        <v>8</v>
      </c>
      <c r="L179" s="4"/>
      <c r="M179" s="6" t="s">
        <v>943</v>
      </c>
      <c r="N179" s="262">
        <v>7.5</v>
      </c>
      <c r="O179" s="22"/>
      <c r="R179" s="59">
        <v>18</v>
      </c>
      <c r="S179" s="68" t="s">
        <v>355</v>
      </c>
      <c r="T179" s="68" t="s">
        <v>1888</v>
      </c>
      <c r="U179" s="70">
        <v>8.9600000000000009</v>
      </c>
      <c r="V179" s="279">
        <v>8.93</v>
      </c>
    </row>
    <row r="180" spans="1:22" ht="16.2" thickBot="1">
      <c r="A180" s="6" t="s">
        <v>1004</v>
      </c>
      <c r="B180" s="262">
        <v>9</v>
      </c>
      <c r="C180" s="4"/>
      <c r="D180" s="6" t="s">
        <v>990</v>
      </c>
      <c r="E180" s="262">
        <v>7.5</v>
      </c>
      <c r="F180" s="4"/>
      <c r="G180" s="6" t="s">
        <v>1026</v>
      </c>
      <c r="H180" s="262">
        <v>9</v>
      </c>
      <c r="I180" s="4"/>
      <c r="J180" s="9" t="s">
        <v>1023</v>
      </c>
      <c r="K180" s="263">
        <v>10.5</v>
      </c>
      <c r="L180" s="4"/>
      <c r="M180" s="9" t="s">
        <v>944</v>
      </c>
      <c r="N180" s="263">
        <v>10.5</v>
      </c>
      <c r="O180" s="22"/>
      <c r="R180" s="59">
        <v>19</v>
      </c>
      <c r="S180" s="52" t="s">
        <v>1356</v>
      </c>
      <c r="T180" s="52" t="s">
        <v>1347</v>
      </c>
      <c r="U180" s="69">
        <v>8.9499999999999993</v>
      </c>
      <c r="V180" s="287">
        <v>8.91</v>
      </c>
    </row>
    <row r="181" spans="1:22" ht="16.2" thickBot="1">
      <c r="A181" s="6" t="s">
        <v>1005</v>
      </c>
      <c r="B181" s="262">
        <v>8</v>
      </c>
      <c r="C181" s="4"/>
      <c r="D181" s="6" t="s">
        <v>991</v>
      </c>
      <c r="E181" s="262">
        <v>7</v>
      </c>
      <c r="F181" s="4"/>
      <c r="G181" s="6" t="s">
        <v>1027</v>
      </c>
      <c r="H181" s="262">
        <v>8</v>
      </c>
      <c r="I181" s="4"/>
      <c r="J181" s="21"/>
      <c r="K181" s="21"/>
      <c r="L181" s="4"/>
      <c r="M181" s="21"/>
      <c r="N181" s="21"/>
      <c r="O181" s="22"/>
      <c r="R181" s="59">
        <v>20</v>
      </c>
      <c r="S181" s="68" t="s">
        <v>730</v>
      </c>
      <c r="T181" s="68" t="s">
        <v>1451</v>
      </c>
      <c r="U181" s="70">
        <v>8.8800000000000008</v>
      </c>
      <c r="V181" s="53">
        <v>8.89</v>
      </c>
    </row>
    <row r="182" spans="1:22" ht="18.600000000000001" thickBot="1">
      <c r="A182" s="6" t="s">
        <v>1006</v>
      </c>
      <c r="B182" s="262">
        <v>8</v>
      </c>
      <c r="C182" s="4"/>
      <c r="D182" s="6" t="s">
        <v>992</v>
      </c>
      <c r="E182" s="262">
        <v>6.5</v>
      </c>
      <c r="F182" s="4"/>
      <c r="G182" s="6" t="s">
        <v>1028</v>
      </c>
      <c r="H182" s="262">
        <v>8.5</v>
      </c>
      <c r="I182" s="22"/>
      <c r="J182" s="134" t="s">
        <v>1043</v>
      </c>
      <c r="K182" s="14">
        <f>ROUND(SUM(K183:K187)/COUNT(K183:K187), 2)</f>
        <v>10</v>
      </c>
      <c r="L182" s="4"/>
      <c r="M182" s="125" t="s">
        <v>1009</v>
      </c>
      <c r="N182" s="14">
        <f>ROUND(SUM(N183)/COUNT(N183), 2)</f>
        <v>10.5</v>
      </c>
      <c r="O182" s="22"/>
    </row>
    <row r="183" spans="1:22" ht="16.2" thickBot="1">
      <c r="A183" s="9" t="s">
        <v>1007</v>
      </c>
      <c r="B183" s="263">
        <v>7.5</v>
      </c>
      <c r="C183" s="4"/>
      <c r="D183" s="6" t="s">
        <v>993</v>
      </c>
      <c r="E183" s="262">
        <v>6.5</v>
      </c>
      <c r="F183" s="4"/>
      <c r="G183" s="6" t="s">
        <v>1029</v>
      </c>
      <c r="H183" s="262">
        <v>8</v>
      </c>
      <c r="I183" s="22"/>
      <c r="J183" s="13" t="s">
        <v>1038</v>
      </c>
      <c r="K183" s="261">
        <v>10.5</v>
      </c>
      <c r="L183" s="4"/>
      <c r="M183" s="267" t="s">
        <v>1008</v>
      </c>
      <c r="N183" s="268">
        <v>10.5</v>
      </c>
      <c r="O183" s="22"/>
    </row>
    <row r="184" spans="1:22" ht="16.2" thickBot="1">
      <c r="A184" s="21"/>
      <c r="B184" s="21"/>
      <c r="C184" s="4"/>
      <c r="D184" s="9" t="s">
        <v>994</v>
      </c>
      <c r="E184" s="263">
        <v>8</v>
      </c>
      <c r="F184" s="4"/>
      <c r="G184" s="6" t="s">
        <v>1030</v>
      </c>
      <c r="H184" s="262">
        <v>7.5</v>
      </c>
      <c r="I184" s="22"/>
      <c r="J184" s="6" t="s">
        <v>1039</v>
      </c>
      <c r="K184" s="262">
        <v>9</v>
      </c>
      <c r="L184" s="4"/>
      <c r="M184" s="21"/>
      <c r="N184" s="21"/>
      <c r="O184" s="22"/>
    </row>
    <row r="185" spans="1:22" ht="18.600000000000001" thickBot="1">
      <c r="A185" s="139" t="s">
        <v>1142</v>
      </c>
      <c r="B185" s="14">
        <f>ROUND(SUM(B186:B194)/COUNT(B186:B194), 2)</f>
        <v>9</v>
      </c>
      <c r="C185" s="4"/>
      <c r="D185" s="19"/>
      <c r="E185" s="21"/>
      <c r="F185" s="4"/>
      <c r="G185" s="6" t="s">
        <v>1031</v>
      </c>
      <c r="H185" s="262">
        <v>8</v>
      </c>
      <c r="I185" s="22"/>
      <c r="J185" s="6" t="s">
        <v>1040</v>
      </c>
      <c r="K185" s="262">
        <v>10</v>
      </c>
      <c r="L185" s="22"/>
      <c r="M185" s="172" t="s">
        <v>1550</v>
      </c>
      <c r="N185" s="14">
        <f>ROUND(SUM(N186:N209)/COUNT(N186:N209), 2)</f>
        <v>8.7200000000000006</v>
      </c>
      <c r="O185" s="22"/>
    </row>
    <row r="186" spans="1:22" ht="18.600000000000001" thickBot="1">
      <c r="A186" s="13" t="s">
        <v>1143</v>
      </c>
      <c r="B186" s="261">
        <v>9.5</v>
      </c>
      <c r="C186" s="41"/>
      <c r="D186" s="141" t="s">
        <v>1155</v>
      </c>
      <c r="E186" s="14">
        <f>ROUND(SUM(E187:E199)/COUNT(E187:E199), 2)</f>
        <v>8.4600000000000009</v>
      </c>
      <c r="F186" s="4"/>
      <c r="G186" s="6" t="s">
        <v>1032</v>
      </c>
      <c r="H186" s="262">
        <v>9.5</v>
      </c>
      <c r="I186" s="22"/>
      <c r="J186" s="6" t="s">
        <v>1041</v>
      </c>
      <c r="K186" s="262">
        <v>10.5</v>
      </c>
      <c r="L186" s="4"/>
      <c r="M186" s="13" t="s">
        <v>1172</v>
      </c>
      <c r="N186" s="261">
        <v>8</v>
      </c>
      <c r="O186" s="22"/>
    </row>
    <row r="187" spans="1:22" ht="16.2" thickBot="1">
      <c r="A187" s="6" t="s">
        <v>1144</v>
      </c>
      <c r="B187" s="262">
        <v>9</v>
      </c>
      <c r="C187" s="4"/>
      <c r="D187" s="13" t="s">
        <v>1156</v>
      </c>
      <c r="E187" s="261">
        <v>9</v>
      </c>
      <c r="F187" s="4"/>
      <c r="G187" s="6" t="s">
        <v>1033</v>
      </c>
      <c r="H187" s="262">
        <v>10</v>
      </c>
      <c r="I187" s="22"/>
      <c r="J187" s="9" t="s">
        <v>1042</v>
      </c>
      <c r="K187" s="263">
        <v>10</v>
      </c>
      <c r="L187" s="4"/>
      <c r="M187" s="6" t="s">
        <v>1173</v>
      </c>
      <c r="N187" s="262">
        <v>8.5</v>
      </c>
      <c r="O187" s="22"/>
    </row>
    <row r="188" spans="1:22" ht="16.2" thickBot="1">
      <c r="A188" s="6" t="s">
        <v>1145</v>
      </c>
      <c r="B188" s="262">
        <v>10</v>
      </c>
      <c r="C188" s="4"/>
      <c r="D188" s="6" t="s">
        <v>1157</v>
      </c>
      <c r="E188" s="262">
        <v>8</v>
      </c>
      <c r="F188" s="4"/>
      <c r="G188" s="6" t="s">
        <v>1034</v>
      </c>
      <c r="H188" s="262">
        <v>8.5</v>
      </c>
      <c r="I188" s="4"/>
      <c r="J188" s="21"/>
      <c r="K188" s="21"/>
      <c r="L188" s="4"/>
      <c r="M188" s="6" t="s">
        <v>1174</v>
      </c>
      <c r="N188" s="262">
        <v>10</v>
      </c>
      <c r="O188" s="22"/>
    </row>
    <row r="189" spans="1:22" ht="18.600000000000001" thickBot="1">
      <c r="A189" s="6" t="s">
        <v>1146</v>
      </c>
      <c r="B189" s="262">
        <v>10.5</v>
      </c>
      <c r="C189" s="4"/>
      <c r="D189" s="6" t="s">
        <v>1158</v>
      </c>
      <c r="E189" s="262">
        <v>10</v>
      </c>
      <c r="F189" s="4"/>
      <c r="G189" s="9" t="s">
        <v>1035</v>
      </c>
      <c r="H189" s="263">
        <v>8.5</v>
      </c>
      <c r="I189" s="22"/>
      <c r="J189" s="146" t="s">
        <v>1204</v>
      </c>
      <c r="K189" s="14">
        <f>ROUND(SUM(K190:K197)/COUNT(K190:K197), 2)</f>
        <v>7.71</v>
      </c>
      <c r="L189" s="4"/>
      <c r="M189" s="6" t="s">
        <v>1175</v>
      </c>
      <c r="N189" s="262"/>
      <c r="O189" s="22"/>
    </row>
    <row r="190" spans="1:22" ht="16.2" thickBot="1">
      <c r="A190" s="6" t="s">
        <v>1147</v>
      </c>
      <c r="B190" s="262">
        <v>8</v>
      </c>
      <c r="C190" s="4"/>
      <c r="D190" s="6" t="s">
        <v>1159</v>
      </c>
      <c r="E190" s="262">
        <v>7.5</v>
      </c>
      <c r="F190" s="4"/>
      <c r="G190" s="21"/>
      <c r="H190" s="21"/>
      <c r="I190" s="4"/>
      <c r="J190" s="13" t="s">
        <v>1205</v>
      </c>
      <c r="K190" s="261"/>
      <c r="L190" s="4"/>
      <c r="M190" s="6" t="s">
        <v>1176</v>
      </c>
      <c r="N190" s="262">
        <v>10.5</v>
      </c>
      <c r="O190" s="22"/>
    </row>
    <row r="191" spans="1:22" ht="18.600000000000001" thickBot="1">
      <c r="A191" s="6" t="s">
        <v>1148</v>
      </c>
      <c r="B191" s="262">
        <v>8.5</v>
      </c>
      <c r="C191" s="4"/>
      <c r="D191" s="6" t="s">
        <v>1160</v>
      </c>
      <c r="E191" s="262">
        <v>7</v>
      </c>
      <c r="F191" s="22"/>
      <c r="G191" s="149" t="s">
        <v>1217</v>
      </c>
      <c r="H191" s="14">
        <f>ROUND(SUM(H192:H200)/COUNT(H192:H200), 2)</f>
        <v>8.83</v>
      </c>
      <c r="I191" s="4"/>
      <c r="J191" s="6" t="s">
        <v>1206</v>
      </c>
      <c r="K191" s="262">
        <v>7</v>
      </c>
      <c r="L191" s="4"/>
      <c r="M191" s="6" t="s">
        <v>1177</v>
      </c>
      <c r="N191" s="262">
        <v>10</v>
      </c>
      <c r="O191" s="22"/>
    </row>
    <row r="192" spans="1:22">
      <c r="A192" s="6" t="s">
        <v>1149</v>
      </c>
      <c r="B192" s="262">
        <v>8</v>
      </c>
      <c r="C192" s="4"/>
      <c r="D192" s="6" t="s">
        <v>1161</v>
      </c>
      <c r="E192" s="262">
        <v>9.5</v>
      </c>
      <c r="F192" s="4"/>
      <c r="G192" s="13" t="s">
        <v>1218</v>
      </c>
      <c r="H192" s="261">
        <v>9</v>
      </c>
      <c r="I192" s="4"/>
      <c r="J192" s="6" t="s">
        <v>1207</v>
      </c>
      <c r="K192" s="262">
        <v>7.5</v>
      </c>
      <c r="L192" s="4"/>
      <c r="M192" s="6" t="s">
        <v>1178</v>
      </c>
      <c r="N192" s="262">
        <v>9</v>
      </c>
      <c r="O192" s="22"/>
    </row>
    <row r="193" spans="1:15">
      <c r="A193" s="6" t="s">
        <v>1150</v>
      </c>
      <c r="B193" s="262">
        <v>9.5</v>
      </c>
      <c r="C193" s="4"/>
      <c r="D193" s="6" t="s">
        <v>1162</v>
      </c>
      <c r="E193" s="262">
        <v>8</v>
      </c>
      <c r="F193" s="4"/>
      <c r="G193" s="6" t="s">
        <v>1219</v>
      </c>
      <c r="H193" s="262">
        <v>8.5</v>
      </c>
      <c r="I193" s="4"/>
      <c r="J193" s="6" t="s">
        <v>1208</v>
      </c>
      <c r="K193" s="262">
        <v>8</v>
      </c>
      <c r="L193" s="4"/>
      <c r="M193" s="6" t="s">
        <v>1179</v>
      </c>
      <c r="N193" s="262">
        <v>9</v>
      </c>
      <c r="O193" s="22"/>
    </row>
    <row r="194" spans="1:15" ht="16.2" thickBot="1">
      <c r="A194" s="9" t="s">
        <v>1151</v>
      </c>
      <c r="B194" s="263">
        <v>8</v>
      </c>
      <c r="C194" s="4"/>
      <c r="D194" s="6" t="s">
        <v>1163</v>
      </c>
      <c r="E194" s="262">
        <v>7.5</v>
      </c>
      <c r="F194" s="4"/>
      <c r="G194" s="6" t="s">
        <v>1220</v>
      </c>
      <c r="H194" s="262">
        <v>8.5</v>
      </c>
      <c r="I194" s="4"/>
      <c r="J194" s="6" t="s">
        <v>1209</v>
      </c>
      <c r="K194" s="262">
        <v>7.5</v>
      </c>
      <c r="L194" s="4"/>
      <c r="M194" s="6" t="s">
        <v>1180</v>
      </c>
      <c r="N194" s="262">
        <v>8.5</v>
      </c>
      <c r="O194" s="22"/>
    </row>
    <row r="195" spans="1:15" ht="16.2" thickBot="1">
      <c r="A195" s="21"/>
      <c r="B195" s="21"/>
      <c r="C195" s="4"/>
      <c r="D195" s="6" t="s">
        <v>1164</v>
      </c>
      <c r="E195" s="262">
        <v>10</v>
      </c>
      <c r="F195" s="4"/>
      <c r="G195" s="6" t="s">
        <v>1221</v>
      </c>
      <c r="H195" s="262">
        <v>10</v>
      </c>
      <c r="I195" s="4"/>
      <c r="J195" s="6" t="s">
        <v>1210</v>
      </c>
      <c r="K195" s="262">
        <v>8.5</v>
      </c>
      <c r="L195" s="4"/>
      <c r="M195" s="6" t="s">
        <v>1181</v>
      </c>
      <c r="N195" s="262">
        <v>8</v>
      </c>
      <c r="O195" s="22"/>
    </row>
    <row r="196" spans="1:15" ht="18.600000000000001" thickBot="1">
      <c r="A196" s="153" t="s">
        <v>1242</v>
      </c>
      <c r="B196" s="14">
        <f>ROUND(SUM(B197:B211)/COUNT(B197:B211), 2)</f>
        <v>8.5299999999999994</v>
      </c>
      <c r="C196" s="4"/>
      <c r="D196" s="6" t="s">
        <v>1165</v>
      </c>
      <c r="E196" s="262">
        <v>8</v>
      </c>
      <c r="F196" s="4"/>
      <c r="G196" s="6" t="s">
        <v>1222</v>
      </c>
      <c r="H196" s="262">
        <v>8</v>
      </c>
      <c r="I196" s="4"/>
      <c r="J196" s="6" t="s">
        <v>1211</v>
      </c>
      <c r="K196" s="262">
        <v>8</v>
      </c>
      <c r="L196" s="4"/>
      <c r="M196" s="6" t="s">
        <v>1182</v>
      </c>
      <c r="N196" s="262">
        <v>10.5</v>
      </c>
      <c r="O196" s="22"/>
    </row>
    <row r="197" spans="1:15" ht="16.2" thickBot="1">
      <c r="A197" s="269">
        <v>360</v>
      </c>
      <c r="B197" s="261">
        <v>10</v>
      </c>
      <c r="C197" s="4"/>
      <c r="D197" s="6" t="s">
        <v>1166</v>
      </c>
      <c r="E197" s="262">
        <v>7</v>
      </c>
      <c r="F197" s="4"/>
      <c r="G197" s="6" t="s">
        <v>1223</v>
      </c>
      <c r="H197" s="262">
        <v>10.5</v>
      </c>
      <c r="I197" s="4"/>
      <c r="J197" s="9" t="s">
        <v>1212</v>
      </c>
      <c r="K197" s="263">
        <v>7.5</v>
      </c>
      <c r="L197" s="4"/>
      <c r="M197" s="6" t="s">
        <v>1183</v>
      </c>
      <c r="N197" s="262">
        <v>8.5</v>
      </c>
      <c r="O197" s="22"/>
    </row>
    <row r="198" spans="1:15" ht="16.2" thickBot="1">
      <c r="A198" s="6" t="s">
        <v>1229</v>
      </c>
      <c r="B198" s="262">
        <v>8.5</v>
      </c>
      <c r="C198" s="4"/>
      <c r="D198" s="6" t="s">
        <v>1167</v>
      </c>
      <c r="E198" s="262"/>
      <c r="F198" s="4"/>
      <c r="G198" s="6" t="s">
        <v>1224</v>
      </c>
      <c r="H198" s="262">
        <v>8</v>
      </c>
      <c r="I198" s="4"/>
      <c r="J198" s="21"/>
      <c r="K198" s="21"/>
      <c r="L198" s="4"/>
      <c r="M198" s="6" t="s">
        <v>1184</v>
      </c>
      <c r="N198" s="262">
        <v>9</v>
      </c>
      <c r="O198" s="22"/>
    </row>
    <row r="199" spans="1:15" ht="18.600000000000001" thickBot="1">
      <c r="A199" s="6" t="s">
        <v>1230</v>
      </c>
      <c r="B199" s="262">
        <v>8.5</v>
      </c>
      <c r="C199" s="4"/>
      <c r="D199" s="9" t="s">
        <v>1168</v>
      </c>
      <c r="E199" s="263">
        <v>10</v>
      </c>
      <c r="F199" s="4"/>
      <c r="G199" s="6" t="s">
        <v>1225</v>
      </c>
      <c r="H199" s="262">
        <v>8.5</v>
      </c>
      <c r="I199" s="22"/>
      <c r="J199" s="150" t="s">
        <v>1249</v>
      </c>
      <c r="K199" s="14">
        <f>ROUND(SUM(K200:K206)/COUNT(K200:K206), 2)</f>
        <v>8.75</v>
      </c>
      <c r="L199" s="4"/>
      <c r="M199" s="6" t="s">
        <v>1185</v>
      </c>
      <c r="N199" s="262">
        <v>8</v>
      </c>
      <c r="O199" s="22"/>
    </row>
    <row r="200" spans="1:15" ht="16.2" thickBot="1">
      <c r="A200" s="6" t="s">
        <v>1231</v>
      </c>
      <c r="B200" s="262">
        <v>7.5</v>
      </c>
      <c r="C200" s="4"/>
      <c r="D200" s="19"/>
      <c r="E200" s="21"/>
      <c r="F200" s="4"/>
      <c r="G200" s="9" t="s">
        <v>1226</v>
      </c>
      <c r="H200" s="263">
        <v>8.5</v>
      </c>
      <c r="I200" s="4"/>
      <c r="J200" s="13" t="s">
        <v>1250</v>
      </c>
      <c r="K200" s="261">
        <v>10</v>
      </c>
      <c r="L200" s="4"/>
      <c r="M200" s="6" t="s">
        <v>1186</v>
      </c>
      <c r="N200" s="262">
        <v>9</v>
      </c>
      <c r="O200" s="22"/>
    </row>
    <row r="201" spans="1:15" ht="18.600000000000001" thickBot="1">
      <c r="A201" s="6" t="s">
        <v>1232</v>
      </c>
      <c r="B201" s="262">
        <v>8</v>
      </c>
      <c r="C201" s="22"/>
      <c r="D201" s="152" t="s">
        <v>1273</v>
      </c>
      <c r="E201" s="14">
        <f>ROUND(SUM(E202:E211)/COUNT(E202:E211), 2)</f>
        <v>9.36</v>
      </c>
      <c r="F201" s="4"/>
      <c r="G201" s="21"/>
      <c r="H201" s="21"/>
      <c r="I201" s="4"/>
      <c r="J201" s="6" t="s">
        <v>1251</v>
      </c>
      <c r="K201" s="262">
        <v>8</v>
      </c>
      <c r="L201" s="4"/>
      <c r="M201" s="6" t="s">
        <v>1187</v>
      </c>
      <c r="N201" s="262">
        <v>6</v>
      </c>
      <c r="O201" s="22"/>
    </row>
    <row r="202" spans="1:15" ht="18.600000000000001" thickBot="1">
      <c r="A202" s="6" t="s">
        <v>1233</v>
      </c>
      <c r="B202" s="262">
        <v>10</v>
      </c>
      <c r="C202" s="22"/>
      <c r="D202" s="13" t="s">
        <v>1263</v>
      </c>
      <c r="E202" s="261">
        <v>9</v>
      </c>
      <c r="F202" s="22"/>
      <c r="G202" s="154" t="s">
        <v>1278</v>
      </c>
      <c r="H202" s="14">
        <f>ROUND(SUM(H203:H213)/COUNT(H203:H213), 2)</f>
        <v>8.4499999999999993</v>
      </c>
      <c r="I202" s="4"/>
      <c r="J202" s="6" t="s">
        <v>1252</v>
      </c>
      <c r="K202" s="262">
        <v>9.5</v>
      </c>
      <c r="L202" s="4"/>
      <c r="M202" s="6" t="s">
        <v>1188</v>
      </c>
      <c r="N202" s="262">
        <v>7</v>
      </c>
      <c r="O202" s="22"/>
    </row>
    <row r="203" spans="1:15">
      <c r="A203" s="6" t="s">
        <v>1234</v>
      </c>
      <c r="B203" s="262">
        <v>8</v>
      </c>
      <c r="C203" s="22"/>
      <c r="D203" s="6" t="s">
        <v>1264</v>
      </c>
      <c r="E203" s="262">
        <v>10.5</v>
      </c>
      <c r="F203" s="4"/>
      <c r="G203" s="13" t="s">
        <v>1279</v>
      </c>
      <c r="H203" s="261">
        <v>8.5</v>
      </c>
      <c r="I203" s="4"/>
      <c r="J203" s="6" t="s">
        <v>1253</v>
      </c>
      <c r="K203" s="262">
        <v>8</v>
      </c>
      <c r="L203" s="4"/>
      <c r="M203" s="6" t="s">
        <v>1189</v>
      </c>
      <c r="N203" s="262">
        <v>10</v>
      </c>
      <c r="O203" s="22"/>
    </row>
    <row r="204" spans="1:15">
      <c r="A204" s="6" t="s">
        <v>1235</v>
      </c>
      <c r="B204" s="262">
        <v>8.5</v>
      </c>
      <c r="C204" s="22"/>
      <c r="D204" s="6" t="s">
        <v>1265</v>
      </c>
      <c r="E204" s="262"/>
      <c r="F204" s="4"/>
      <c r="G204" s="6" t="s">
        <v>1280</v>
      </c>
      <c r="H204" s="262">
        <v>8.5</v>
      </c>
      <c r="I204" s="4"/>
      <c r="J204" s="6" t="s">
        <v>1254</v>
      </c>
      <c r="K204" s="262">
        <v>9</v>
      </c>
      <c r="L204" s="4"/>
      <c r="M204" s="6" t="s">
        <v>1190</v>
      </c>
      <c r="N204" s="262">
        <v>9</v>
      </c>
      <c r="O204" s="22"/>
    </row>
    <row r="205" spans="1:15">
      <c r="A205" s="6" t="s">
        <v>1236</v>
      </c>
      <c r="B205" s="262">
        <v>7.5</v>
      </c>
      <c r="C205" s="22"/>
      <c r="D205" s="6" t="s">
        <v>1266</v>
      </c>
      <c r="E205" s="262">
        <v>10</v>
      </c>
      <c r="F205" s="4"/>
      <c r="G205" s="6" t="s">
        <v>1281</v>
      </c>
      <c r="H205" s="262">
        <v>9</v>
      </c>
      <c r="I205" s="4"/>
      <c r="J205" s="6" t="s">
        <v>1255</v>
      </c>
      <c r="K205" s="262"/>
      <c r="L205" s="4"/>
      <c r="M205" s="6" t="s">
        <v>1191</v>
      </c>
      <c r="N205" s="262">
        <v>8.5</v>
      </c>
      <c r="O205" s="22"/>
    </row>
    <row r="206" spans="1:15" ht="16.2" thickBot="1">
      <c r="A206" s="6" t="s">
        <v>1237</v>
      </c>
      <c r="B206" s="262">
        <v>8.5</v>
      </c>
      <c r="C206" s="22"/>
      <c r="D206" s="6" t="s">
        <v>1267</v>
      </c>
      <c r="E206" s="262"/>
      <c r="F206" s="4"/>
      <c r="G206" s="6" t="s">
        <v>1282</v>
      </c>
      <c r="H206" s="262">
        <v>10</v>
      </c>
      <c r="I206" s="4"/>
      <c r="J206" s="9" t="s">
        <v>1256</v>
      </c>
      <c r="K206" s="263">
        <v>8</v>
      </c>
      <c r="L206" s="4"/>
      <c r="M206" s="6" t="s">
        <v>1192</v>
      </c>
      <c r="N206" s="262">
        <v>8.5</v>
      </c>
      <c r="O206" s="22"/>
    </row>
    <row r="207" spans="1:15" ht="16.2" thickBot="1">
      <c r="A207" s="6" t="s">
        <v>1238</v>
      </c>
      <c r="B207" s="262">
        <v>10</v>
      </c>
      <c r="C207" s="22"/>
      <c r="D207" s="6" t="s">
        <v>1268</v>
      </c>
      <c r="E207" s="262">
        <v>10</v>
      </c>
      <c r="F207" s="4"/>
      <c r="G207" s="6" t="s">
        <v>1283</v>
      </c>
      <c r="H207" s="262">
        <v>9</v>
      </c>
      <c r="I207" s="4"/>
      <c r="J207" s="21"/>
      <c r="K207" s="21"/>
      <c r="L207" s="4"/>
      <c r="M207" s="6" t="s">
        <v>1193</v>
      </c>
      <c r="N207" s="262">
        <v>8.5</v>
      </c>
      <c r="O207" s="22"/>
    </row>
    <row r="208" spans="1:15" ht="18.600000000000001" thickBot="1">
      <c r="A208" s="6" t="s">
        <v>1239</v>
      </c>
      <c r="B208" s="262">
        <v>9</v>
      </c>
      <c r="C208" s="22"/>
      <c r="D208" s="6" t="s">
        <v>1269</v>
      </c>
      <c r="E208" s="262">
        <v>7.5</v>
      </c>
      <c r="F208" s="4"/>
      <c r="G208" s="6" t="s">
        <v>1284</v>
      </c>
      <c r="H208" s="262">
        <v>8.5</v>
      </c>
      <c r="I208" s="22"/>
      <c r="J208" s="159" t="s">
        <v>1364</v>
      </c>
      <c r="K208" s="14">
        <f>ROUND(SUM(K209:K217)/COUNT(K209:K217), 2)</f>
        <v>8.67</v>
      </c>
      <c r="L208" s="4"/>
      <c r="M208" s="6" t="s">
        <v>1194</v>
      </c>
      <c r="N208" s="262">
        <v>8</v>
      </c>
      <c r="O208" s="22"/>
    </row>
    <row r="209" spans="1:15" ht="16.2" thickBot="1">
      <c r="A209" s="6" t="s">
        <v>1240</v>
      </c>
      <c r="B209" s="262">
        <v>8.5</v>
      </c>
      <c r="C209" s="22"/>
      <c r="D209" s="6" t="s">
        <v>1270</v>
      </c>
      <c r="E209" s="262">
        <v>8</v>
      </c>
      <c r="F209" s="4"/>
      <c r="G209" s="6" t="s">
        <v>1285</v>
      </c>
      <c r="H209" s="262">
        <v>9</v>
      </c>
      <c r="I209" s="4"/>
      <c r="J209" s="13" t="s">
        <v>1292</v>
      </c>
      <c r="K209" s="261">
        <v>9</v>
      </c>
      <c r="L209" s="4"/>
      <c r="M209" s="9" t="s">
        <v>1195</v>
      </c>
      <c r="N209" s="263">
        <v>8.5</v>
      </c>
      <c r="O209" s="22"/>
    </row>
    <row r="210" spans="1:15" ht="16.2" thickBot="1">
      <c r="A210" s="6" t="s">
        <v>1241</v>
      </c>
      <c r="B210" s="262">
        <v>6.5</v>
      </c>
      <c r="C210" s="22"/>
      <c r="D210" s="6" t="s">
        <v>1271</v>
      </c>
      <c r="E210" s="262">
        <v>10.5</v>
      </c>
      <c r="F210" s="4"/>
      <c r="G210" s="6" t="s">
        <v>1286</v>
      </c>
      <c r="H210" s="262">
        <v>8</v>
      </c>
      <c r="I210" s="4"/>
      <c r="J210" s="6" t="s">
        <v>1293</v>
      </c>
      <c r="K210" s="262">
        <v>8</v>
      </c>
      <c r="L210" s="4"/>
      <c r="M210" s="21"/>
      <c r="N210" s="21"/>
      <c r="O210" s="22"/>
    </row>
    <row r="211" spans="1:15" ht="18.600000000000001" thickBot="1">
      <c r="A211" s="270">
        <v>365</v>
      </c>
      <c r="B211" s="263">
        <v>9</v>
      </c>
      <c r="C211" s="4"/>
      <c r="D211" s="9" t="s">
        <v>1272</v>
      </c>
      <c r="E211" s="263"/>
      <c r="F211" s="4"/>
      <c r="G211" s="6" t="s">
        <v>1287</v>
      </c>
      <c r="H211" s="262">
        <v>7.5</v>
      </c>
      <c r="I211" s="4"/>
      <c r="J211" s="6" t="s">
        <v>1294</v>
      </c>
      <c r="K211" s="262">
        <v>10.5</v>
      </c>
      <c r="L211" s="22"/>
      <c r="M211" s="156" t="s">
        <v>1324</v>
      </c>
      <c r="N211" s="14">
        <f>ROUND(SUM(N212:N226)/COUNT(N212:N226), 2)</f>
        <v>8.11</v>
      </c>
      <c r="O211" s="22"/>
    </row>
    <row r="212" spans="1:15" ht="16.2" thickBot="1">
      <c r="A212" s="21"/>
      <c r="B212" s="21"/>
      <c r="C212" s="4"/>
      <c r="D212" s="21"/>
      <c r="E212" s="21"/>
      <c r="F212" s="4"/>
      <c r="G212" s="6" t="s">
        <v>1288</v>
      </c>
      <c r="H212" s="262">
        <v>8</v>
      </c>
      <c r="I212" s="4"/>
      <c r="J212" s="6" t="s">
        <v>1295</v>
      </c>
      <c r="K212" s="262">
        <v>7.5</v>
      </c>
      <c r="L212" s="4"/>
      <c r="M212" s="13" t="s">
        <v>1309</v>
      </c>
      <c r="N212" s="261">
        <v>8</v>
      </c>
      <c r="O212" s="22"/>
    </row>
    <row r="213" spans="1:15" ht="18.600000000000001" thickBot="1">
      <c r="A213" s="158" t="s">
        <v>1343</v>
      </c>
      <c r="B213" s="14">
        <f>ROUND(SUM(B214:B224)/COUNT(B214:B224), 2)</f>
        <v>8.9499999999999993</v>
      </c>
      <c r="C213" s="4"/>
      <c r="D213" s="157" t="s">
        <v>1328</v>
      </c>
      <c r="E213" s="14">
        <f>ROUND(SUM(E214:E227)/COUNT(E214:E227), 2)</f>
        <v>8.77</v>
      </c>
      <c r="F213" s="4"/>
      <c r="G213" s="9" t="s">
        <v>1289</v>
      </c>
      <c r="H213" s="263">
        <v>7</v>
      </c>
      <c r="I213" s="4"/>
      <c r="J213" s="6" t="s">
        <v>1296</v>
      </c>
      <c r="K213" s="262">
        <v>9</v>
      </c>
      <c r="L213" s="4"/>
      <c r="M213" s="6" t="s">
        <v>1310</v>
      </c>
      <c r="N213" s="262">
        <v>7.5</v>
      </c>
      <c r="O213" s="22"/>
    </row>
    <row r="214" spans="1:15" ht="16.2" thickBot="1">
      <c r="A214" s="13" t="s">
        <v>1344</v>
      </c>
      <c r="B214" s="261">
        <v>8.5</v>
      </c>
      <c r="C214" s="4"/>
      <c r="D214" s="13" t="s">
        <v>1329</v>
      </c>
      <c r="E214" s="261">
        <v>9</v>
      </c>
      <c r="F214" s="4"/>
      <c r="G214" s="21"/>
      <c r="H214" s="21"/>
      <c r="I214" s="4"/>
      <c r="J214" s="6" t="s">
        <v>1297</v>
      </c>
      <c r="K214" s="262">
        <v>7</v>
      </c>
      <c r="L214" s="4"/>
      <c r="M214" s="6" t="s">
        <v>1311</v>
      </c>
      <c r="N214" s="262">
        <v>9</v>
      </c>
      <c r="O214" s="22"/>
    </row>
    <row r="215" spans="1:15" ht="18.600000000000001" thickBot="1">
      <c r="A215" s="6" t="s">
        <v>1345</v>
      </c>
      <c r="B215" s="262">
        <v>10</v>
      </c>
      <c r="C215" s="4"/>
      <c r="D215" s="6" t="s">
        <v>1330</v>
      </c>
      <c r="E215" s="262">
        <v>10</v>
      </c>
      <c r="F215" s="22"/>
      <c r="G215" s="164" t="s">
        <v>1365</v>
      </c>
      <c r="H215" s="14">
        <f>ROUND(SUM(H216:H227)/COUNT(H216:H227), 2)</f>
        <v>8.4600000000000009</v>
      </c>
      <c r="I215" s="4"/>
      <c r="J215" s="6" t="s">
        <v>1298</v>
      </c>
      <c r="K215" s="262">
        <v>8</v>
      </c>
      <c r="L215" s="4"/>
      <c r="M215" s="6" t="s">
        <v>1312</v>
      </c>
      <c r="N215" s="262"/>
      <c r="O215" s="22"/>
    </row>
    <row r="216" spans="1:15">
      <c r="A216" s="6" t="s">
        <v>1346</v>
      </c>
      <c r="B216" s="262">
        <v>9.5</v>
      </c>
      <c r="C216" s="4"/>
      <c r="D216" s="6" t="s">
        <v>1331</v>
      </c>
      <c r="E216" s="262">
        <v>9.5</v>
      </c>
      <c r="F216" s="4"/>
      <c r="G216" s="13" t="s">
        <v>1366</v>
      </c>
      <c r="H216" s="261">
        <v>10</v>
      </c>
      <c r="I216" s="4"/>
      <c r="J216" s="6" t="s">
        <v>1299</v>
      </c>
      <c r="K216" s="262">
        <v>9</v>
      </c>
      <c r="L216" s="4"/>
      <c r="M216" s="6" t="s">
        <v>1313</v>
      </c>
      <c r="N216" s="262">
        <v>9</v>
      </c>
      <c r="O216" s="22"/>
    </row>
    <row r="217" spans="1:15" ht="16.2" thickBot="1">
      <c r="A217" s="6" t="s">
        <v>1347</v>
      </c>
      <c r="B217" s="262">
        <v>9</v>
      </c>
      <c r="C217" s="4"/>
      <c r="D217" s="6" t="s">
        <v>1332</v>
      </c>
      <c r="E217" s="262">
        <v>10</v>
      </c>
      <c r="F217" s="4"/>
      <c r="G217" s="6" t="s">
        <v>1367</v>
      </c>
      <c r="H217" s="262">
        <v>9</v>
      </c>
      <c r="I217" s="4"/>
      <c r="J217" s="9" t="s">
        <v>1300</v>
      </c>
      <c r="K217" s="263">
        <v>10</v>
      </c>
      <c r="L217" s="4"/>
      <c r="M217" s="6" t="s">
        <v>1314</v>
      </c>
      <c r="N217" s="262">
        <v>7.5</v>
      </c>
      <c r="O217" s="22"/>
    </row>
    <row r="218" spans="1:15" ht="16.2" thickBot="1">
      <c r="A218" s="6" t="s">
        <v>1348</v>
      </c>
      <c r="B218" s="262">
        <v>9</v>
      </c>
      <c r="C218" s="4"/>
      <c r="D218" s="6" t="s">
        <v>1333</v>
      </c>
      <c r="E218" s="262">
        <v>8.5</v>
      </c>
      <c r="F218" s="4"/>
      <c r="G218" s="6" t="s">
        <v>1368</v>
      </c>
      <c r="H218" s="262">
        <v>8.5</v>
      </c>
      <c r="I218" s="4"/>
      <c r="J218" s="21"/>
      <c r="K218" s="21"/>
      <c r="L218" s="4"/>
      <c r="M218" s="6" t="s">
        <v>1315</v>
      </c>
      <c r="N218" s="262">
        <v>9</v>
      </c>
      <c r="O218" s="22"/>
    </row>
    <row r="219" spans="1:15" ht="18.600000000000001" thickBot="1">
      <c r="A219" s="6" t="s">
        <v>1349</v>
      </c>
      <c r="B219" s="262">
        <v>8.5</v>
      </c>
      <c r="C219" s="4"/>
      <c r="D219" s="6" t="s">
        <v>1334</v>
      </c>
      <c r="E219" s="262"/>
      <c r="F219" s="4"/>
      <c r="G219" s="6" t="s">
        <v>1369</v>
      </c>
      <c r="H219" s="262">
        <v>10.5</v>
      </c>
      <c r="I219" s="22"/>
      <c r="J219" s="160" t="s">
        <v>1379</v>
      </c>
      <c r="K219" s="14">
        <f>ROUND(SUM(K220:K235)/COUNT(K220:K235), 2)</f>
        <v>8.82</v>
      </c>
      <c r="L219" s="4"/>
      <c r="M219" s="6" t="s">
        <v>1316</v>
      </c>
      <c r="N219" s="262">
        <v>9</v>
      </c>
      <c r="O219" s="22"/>
    </row>
    <row r="220" spans="1:15">
      <c r="A220" s="6" t="s">
        <v>1350</v>
      </c>
      <c r="B220" s="262">
        <v>8</v>
      </c>
      <c r="C220" s="4"/>
      <c r="D220" s="6" t="s">
        <v>1335</v>
      </c>
      <c r="E220" s="262">
        <v>8</v>
      </c>
      <c r="F220" s="4"/>
      <c r="G220" s="6" t="s">
        <v>1370</v>
      </c>
      <c r="H220" s="262">
        <v>8.5</v>
      </c>
      <c r="I220" s="4"/>
      <c r="J220" s="13" t="s">
        <v>1380</v>
      </c>
      <c r="K220" s="261">
        <v>10</v>
      </c>
      <c r="L220" s="4"/>
      <c r="M220" s="6" t="s">
        <v>1317</v>
      </c>
      <c r="N220" s="262">
        <v>7.5</v>
      </c>
      <c r="O220" s="22"/>
    </row>
    <row r="221" spans="1:15">
      <c r="A221" s="6" t="s">
        <v>1351</v>
      </c>
      <c r="B221" s="262">
        <v>9.5</v>
      </c>
      <c r="C221" s="4"/>
      <c r="D221" s="6" t="s">
        <v>1336</v>
      </c>
      <c r="E221" s="262">
        <v>9.5</v>
      </c>
      <c r="F221" s="4"/>
      <c r="G221" s="6" t="s">
        <v>1371</v>
      </c>
      <c r="H221" s="262">
        <v>9</v>
      </c>
      <c r="I221" s="4"/>
      <c r="J221" s="6" t="s">
        <v>1381</v>
      </c>
      <c r="K221" s="262"/>
      <c r="L221" s="4"/>
      <c r="M221" s="6" t="s">
        <v>1318</v>
      </c>
      <c r="N221" s="262">
        <v>8</v>
      </c>
      <c r="O221" s="22"/>
    </row>
    <row r="222" spans="1:15">
      <c r="A222" s="6" t="s">
        <v>1352</v>
      </c>
      <c r="B222" s="262">
        <v>9</v>
      </c>
      <c r="C222" s="4"/>
      <c r="D222" s="6" t="s">
        <v>1337</v>
      </c>
      <c r="E222" s="262">
        <v>8</v>
      </c>
      <c r="F222" s="4"/>
      <c r="G222" s="6" t="s">
        <v>1372</v>
      </c>
      <c r="H222" s="262">
        <v>7.5</v>
      </c>
      <c r="I222" s="4"/>
      <c r="J222" s="6" t="s">
        <v>1382</v>
      </c>
      <c r="K222" s="262">
        <v>10.5</v>
      </c>
      <c r="L222" s="4"/>
      <c r="M222" s="6" t="s">
        <v>1319</v>
      </c>
      <c r="N222" s="262">
        <v>9</v>
      </c>
      <c r="O222" s="22"/>
    </row>
    <row r="223" spans="1:15">
      <c r="A223" s="6" t="s">
        <v>1353</v>
      </c>
      <c r="B223" s="262">
        <v>9</v>
      </c>
      <c r="C223" s="4"/>
      <c r="D223" s="6" t="s">
        <v>1338</v>
      </c>
      <c r="E223" s="262">
        <v>8</v>
      </c>
      <c r="F223" s="4"/>
      <c r="G223" s="6" t="s">
        <v>1373</v>
      </c>
      <c r="H223" s="262">
        <v>10.5</v>
      </c>
      <c r="I223" s="4"/>
      <c r="J223" s="6" t="s">
        <v>1383</v>
      </c>
      <c r="K223" s="262">
        <v>8.5</v>
      </c>
      <c r="L223" s="4"/>
      <c r="M223" s="6" t="s">
        <v>1320</v>
      </c>
      <c r="N223" s="262">
        <v>8</v>
      </c>
      <c r="O223" s="22"/>
    </row>
    <row r="224" spans="1:15" ht="16.2" thickBot="1">
      <c r="A224" s="9" t="s">
        <v>1354</v>
      </c>
      <c r="B224" s="263">
        <v>8.5</v>
      </c>
      <c r="C224" s="4"/>
      <c r="D224" s="6" t="s">
        <v>1339</v>
      </c>
      <c r="E224" s="262">
        <v>8</v>
      </c>
      <c r="F224" s="4"/>
      <c r="G224" s="6" t="s">
        <v>1374</v>
      </c>
      <c r="H224" s="262">
        <v>7</v>
      </c>
      <c r="I224" s="4"/>
      <c r="J224" s="6" t="s">
        <v>1384</v>
      </c>
      <c r="K224" s="262">
        <v>9</v>
      </c>
      <c r="L224" s="4"/>
      <c r="M224" s="6" t="s">
        <v>1321</v>
      </c>
      <c r="N224" s="262">
        <v>7</v>
      </c>
      <c r="O224" s="22"/>
    </row>
    <row r="225" spans="1:15" ht="16.2" thickBot="1">
      <c r="A225" s="77"/>
      <c r="B225" s="19"/>
      <c r="C225" s="22"/>
      <c r="D225" s="6" t="s">
        <v>1340</v>
      </c>
      <c r="E225" s="262">
        <v>8</v>
      </c>
      <c r="F225" s="4"/>
      <c r="G225" s="6" t="s">
        <v>1375</v>
      </c>
      <c r="H225" s="262">
        <v>7.5</v>
      </c>
      <c r="I225" s="4"/>
      <c r="J225" s="6" t="s">
        <v>1385</v>
      </c>
      <c r="K225" s="262">
        <v>8</v>
      </c>
      <c r="L225" s="4"/>
      <c r="M225" s="6" t="s">
        <v>1322</v>
      </c>
      <c r="N225" s="262">
        <v>7.5</v>
      </c>
      <c r="O225" s="22"/>
    </row>
    <row r="226" spans="1:15" ht="18.600000000000001" thickBot="1">
      <c r="A226" s="165" t="s">
        <v>1399</v>
      </c>
      <c r="B226" s="14">
        <f>ROUND(SUM(B227:B233)/COUNT(B227:B233), 2)</f>
        <v>8.86</v>
      </c>
      <c r="C226" s="41"/>
      <c r="D226" s="5" t="s">
        <v>1341</v>
      </c>
      <c r="E226" s="262">
        <v>8.5</v>
      </c>
      <c r="F226" s="4"/>
      <c r="G226" s="6" t="s">
        <v>1376</v>
      </c>
      <c r="H226" s="262">
        <v>6.5</v>
      </c>
      <c r="I226" s="4"/>
      <c r="J226" s="6" t="s">
        <v>1386</v>
      </c>
      <c r="K226" s="262">
        <v>9.5</v>
      </c>
      <c r="L226" s="4"/>
      <c r="M226" s="9" t="s">
        <v>1323</v>
      </c>
      <c r="N226" s="263">
        <v>7.5</v>
      </c>
      <c r="O226" s="22"/>
    </row>
    <row r="227" spans="1:15" ht="16.2" thickBot="1">
      <c r="A227" s="13" t="s">
        <v>1400</v>
      </c>
      <c r="B227" s="261">
        <v>10</v>
      </c>
      <c r="C227" s="4"/>
      <c r="D227" s="9" t="s">
        <v>1342</v>
      </c>
      <c r="E227" s="263">
        <v>9</v>
      </c>
      <c r="F227" s="4"/>
      <c r="G227" s="9" t="s">
        <v>1377</v>
      </c>
      <c r="H227" s="263">
        <v>7</v>
      </c>
      <c r="I227" s="4"/>
      <c r="J227" s="6" t="s">
        <v>1387</v>
      </c>
      <c r="K227" s="262"/>
      <c r="L227" s="4"/>
      <c r="M227" s="21"/>
      <c r="N227" s="21"/>
      <c r="O227" s="22"/>
    </row>
    <row r="228" spans="1:15" ht="18.600000000000001" thickBot="1">
      <c r="A228" s="6" t="s">
        <v>1401</v>
      </c>
      <c r="B228" s="262">
        <v>9.5</v>
      </c>
      <c r="C228" s="4"/>
      <c r="D228" s="19"/>
      <c r="E228" s="21"/>
      <c r="F228" s="4"/>
      <c r="G228" s="21"/>
      <c r="H228" s="21"/>
      <c r="I228" s="4"/>
      <c r="J228" s="6" t="s">
        <v>1388</v>
      </c>
      <c r="K228" s="262">
        <v>8</v>
      </c>
      <c r="L228" s="22"/>
      <c r="M228" s="163" t="s">
        <v>1435</v>
      </c>
      <c r="N228" s="14">
        <f>ROUND(SUM(N229:N238)/COUNT(N229:N238), 2)</f>
        <v>8.0500000000000007</v>
      </c>
      <c r="O228" s="22"/>
    </row>
    <row r="229" spans="1:15" ht="18.600000000000001" thickBot="1">
      <c r="A229" s="6" t="s">
        <v>1402</v>
      </c>
      <c r="B229" s="262">
        <v>9</v>
      </c>
      <c r="C229" s="4"/>
      <c r="D229" s="161" t="s">
        <v>1410</v>
      </c>
      <c r="E229" s="14">
        <f>ROUND(SUM(E230:E235)/COUNT(E230:E235), 2)</f>
        <v>8.83</v>
      </c>
      <c r="F229" s="22"/>
      <c r="G229" s="162" t="s">
        <v>1436</v>
      </c>
      <c r="H229" s="14">
        <f>ROUND(SUM(H230:H244)/COUNT(H230:H244), 2)</f>
        <v>8.8800000000000008</v>
      </c>
      <c r="I229" s="4"/>
      <c r="J229" s="6" t="s">
        <v>1389</v>
      </c>
      <c r="K229" s="262">
        <v>8</v>
      </c>
      <c r="L229" s="4"/>
      <c r="M229" s="13" t="s">
        <v>1423</v>
      </c>
      <c r="N229" s="261">
        <v>8</v>
      </c>
      <c r="O229" s="22"/>
    </row>
    <row r="230" spans="1:15">
      <c r="A230" s="6" t="s">
        <v>1403</v>
      </c>
      <c r="B230" s="262">
        <v>8</v>
      </c>
      <c r="C230" s="4"/>
      <c r="D230" s="13" t="s">
        <v>1411</v>
      </c>
      <c r="E230" s="261">
        <v>8.5</v>
      </c>
      <c r="F230" s="4"/>
      <c r="G230" s="13" t="s">
        <v>1437</v>
      </c>
      <c r="H230" s="261"/>
      <c r="I230" s="4"/>
      <c r="J230" s="6" t="s">
        <v>1390</v>
      </c>
      <c r="K230" s="262">
        <v>10</v>
      </c>
      <c r="L230" s="4"/>
      <c r="M230" s="6" t="s">
        <v>1424</v>
      </c>
      <c r="N230" s="262">
        <v>8.5</v>
      </c>
      <c r="O230" s="22"/>
    </row>
    <row r="231" spans="1:15">
      <c r="A231" s="6" t="s">
        <v>1404</v>
      </c>
      <c r="B231" s="262">
        <v>9</v>
      </c>
      <c r="C231" s="4"/>
      <c r="D231" s="6" t="s">
        <v>1412</v>
      </c>
      <c r="E231" s="262">
        <v>8.5</v>
      </c>
      <c r="F231" s="4"/>
      <c r="G231" s="6" t="s">
        <v>1438</v>
      </c>
      <c r="H231" s="262">
        <v>8.5</v>
      </c>
      <c r="I231" s="4"/>
      <c r="J231" s="6" t="s">
        <v>1391</v>
      </c>
      <c r="K231" s="262">
        <v>7.5</v>
      </c>
      <c r="L231" s="4"/>
      <c r="M231" s="6" t="s">
        <v>1425</v>
      </c>
      <c r="N231" s="262">
        <v>9.5</v>
      </c>
      <c r="O231" s="22"/>
    </row>
    <row r="232" spans="1:15">
      <c r="A232" s="6" t="s">
        <v>1405</v>
      </c>
      <c r="B232" s="262">
        <v>8.5</v>
      </c>
      <c r="C232" s="4"/>
      <c r="D232" s="6" t="s">
        <v>1413</v>
      </c>
      <c r="E232" s="262">
        <v>8</v>
      </c>
      <c r="F232" s="4"/>
      <c r="G232" s="6" t="s">
        <v>1439</v>
      </c>
      <c r="H232" s="262">
        <v>9.5</v>
      </c>
      <c r="I232" s="4"/>
      <c r="J232" s="6" t="s">
        <v>1392</v>
      </c>
      <c r="K232" s="262">
        <v>9.5</v>
      </c>
      <c r="L232" s="4"/>
      <c r="M232" s="6" t="s">
        <v>1426</v>
      </c>
      <c r="N232" s="262">
        <v>8.5</v>
      </c>
      <c r="O232" s="22"/>
    </row>
    <row r="233" spans="1:15" ht="16.2" thickBot="1">
      <c r="A233" s="9" t="s">
        <v>1406</v>
      </c>
      <c r="B233" s="263">
        <v>8</v>
      </c>
      <c r="C233" s="4"/>
      <c r="D233" s="6" t="s">
        <v>1414</v>
      </c>
      <c r="E233" s="262">
        <v>9</v>
      </c>
      <c r="F233" s="4"/>
      <c r="G233" s="6" t="s">
        <v>1440</v>
      </c>
      <c r="H233" s="262">
        <v>8.5</v>
      </c>
      <c r="I233" s="4"/>
      <c r="J233" s="6" t="s">
        <v>1393</v>
      </c>
      <c r="K233" s="262">
        <v>8</v>
      </c>
      <c r="L233" s="4"/>
      <c r="M233" s="6" t="s">
        <v>1427</v>
      </c>
      <c r="N233" s="262">
        <v>7</v>
      </c>
      <c r="O233" s="22"/>
    </row>
    <row r="234" spans="1:15" ht="16.2" thickBot="1">
      <c r="A234" s="21"/>
      <c r="B234" s="21"/>
      <c r="C234" s="4"/>
      <c r="D234" s="6" t="s">
        <v>1415</v>
      </c>
      <c r="E234" s="262">
        <v>9</v>
      </c>
      <c r="F234" s="4"/>
      <c r="G234" s="6" t="s">
        <v>1441</v>
      </c>
      <c r="H234" s="262">
        <v>10</v>
      </c>
      <c r="I234" s="4"/>
      <c r="J234" s="6" t="s">
        <v>1394</v>
      </c>
      <c r="K234" s="262">
        <v>9</v>
      </c>
      <c r="L234" s="4"/>
      <c r="M234" s="6" t="s">
        <v>1428</v>
      </c>
      <c r="N234" s="262">
        <v>8</v>
      </c>
      <c r="O234" s="22"/>
    </row>
    <row r="235" spans="1:15" ht="18.600000000000001" thickBot="1">
      <c r="A235" s="168" t="s">
        <v>1453</v>
      </c>
      <c r="B235" s="14">
        <f>ROUND(SUM(B236:B244)/COUNT(B236:B244), 2)</f>
        <v>8.83</v>
      </c>
      <c r="C235" s="4"/>
      <c r="D235" s="9" t="s">
        <v>1416</v>
      </c>
      <c r="E235" s="263">
        <v>10</v>
      </c>
      <c r="F235" s="4"/>
      <c r="G235" s="6" t="s">
        <v>1442</v>
      </c>
      <c r="H235" s="264">
        <v>10.5</v>
      </c>
      <c r="I235" s="4"/>
      <c r="J235" s="9" t="s">
        <v>1395</v>
      </c>
      <c r="K235" s="263">
        <v>8</v>
      </c>
      <c r="L235" s="4"/>
      <c r="M235" s="6" t="s">
        <v>1429</v>
      </c>
      <c r="N235" s="262">
        <v>8.5</v>
      </c>
      <c r="O235" s="22"/>
    </row>
    <row r="236" spans="1:15" ht="16.2" thickBot="1">
      <c r="A236" s="13" t="s">
        <v>1454</v>
      </c>
      <c r="B236" s="261">
        <v>9</v>
      </c>
      <c r="C236" s="4"/>
      <c r="D236" s="21"/>
      <c r="E236" s="21"/>
      <c r="F236" s="4"/>
      <c r="G236" s="6" t="s">
        <v>1443</v>
      </c>
      <c r="H236" s="262">
        <v>9</v>
      </c>
      <c r="I236" s="4"/>
      <c r="J236" s="21"/>
      <c r="K236" s="21"/>
      <c r="L236" s="4"/>
      <c r="M236" s="6" t="s">
        <v>1430</v>
      </c>
      <c r="N236" s="262">
        <v>7</v>
      </c>
      <c r="O236" s="22"/>
    </row>
    <row r="237" spans="1:15" ht="18.600000000000001" thickBot="1">
      <c r="A237" s="6" t="s">
        <v>1455</v>
      </c>
      <c r="B237" s="262">
        <v>10</v>
      </c>
      <c r="C237" s="4"/>
      <c r="D237" s="167" t="s">
        <v>1487</v>
      </c>
      <c r="E237" s="3">
        <f>ROUND(SUM(E238:E252)/COUNT(E238:E252), 2)</f>
        <v>8.8000000000000007</v>
      </c>
      <c r="F237" s="4"/>
      <c r="G237" s="6" t="s">
        <v>1444</v>
      </c>
      <c r="H237" s="262">
        <v>8.5</v>
      </c>
      <c r="I237" s="22"/>
      <c r="J237" s="169" t="s">
        <v>1490</v>
      </c>
      <c r="K237" s="14">
        <f>ROUND(SUM(K238:K250)/COUNT(K238:K250), 2)</f>
        <v>8.73</v>
      </c>
      <c r="L237" s="4"/>
      <c r="M237" s="6" t="s">
        <v>1431</v>
      </c>
      <c r="N237" s="262">
        <v>8</v>
      </c>
      <c r="O237" s="22"/>
    </row>
    <row r="238" spans="1:15" ht="16.2" thickBot="1">
      <c r="A238" s="6" t="s">
        <v>1456</v>
      </c>
      <c r="B238" s="262">
        <v>8.5</v>
      </c>
      <c r="C238" s="4"/>
      <c r="D238" s="13" t="s">
        <v>1468</v>
      </c>
      <c r="E238" s="261">
        <v>8</v>
      </c>
      <c r="F238" s="4"/>
      <c r="G238" s="6" t="s">
        <v>1445</v>
      </c>
      <c r="H238" s="262">
        <v>8.5</v>
      </c>
      <c r="I238" s="4"/>
      <c r="J238" s="13" t="s">
        <v>1503</v>
      </c>
      <c r="K238" s="261">
        <v>10.5</v>
      </c>
      <c r="L238" s="4"/>
      <c r="M238" s="9" t="s">
        <v>1432</v>
      </c>
      <c r="N238" s="263">
        <v>7.5</v>
      </c>
      <c r="O238" s="22"/>
    </row>
    <row r="239" spans="1:15" ht="16.2" thickBot="1">
      <c r="A239" s="6" t="s">
        <v>1457</v>
      </c>
      <c r="B239" s="262">
        <v>8.5</v>
      </c>
      <c r="C239" s="4"/>
      <c r="D239" s="6" t="s">
        <v>1469</v>
      </c>
      <c r="E239" s="262">
        <v>8.5</v>
      </c>
      <c r="F239" s="4"/>
      <c r="G239" s="6" t="s">
        <v>1446</v>
      </c>
      <c r="H239" s="262">
        <v>8</v>
      </c>
      <c r="I239" s="4"/>
      <c r="J239" s="6" t="s">
        <v>1491</v>
      </c>
      <c r="K239" s="262">
        <v>9.5</v>
      </c>
      <c r="L239" s="4"/>
      <c r="M239" s="21"/>
      <c r="N239" s="21"/>
      <c r="O239" s="4"/>
    </row>
    <row r="240" spans="1:15" ht="18.600000000000001" thickBot="1">
      <c r="A240" s="6" t="s">
        <v>1458</v>
      </c>
      <c r="B240" s="262">
        <v>9.5</v>
      </c>
      <c r="C240" s="4"/>
      <c r="D240" s="6" t="s">
        <v>1470</v>
      </c>
      <c r="E240" s="262">
        <v>9.5</v>
      </c>
      <c r="F240" s="4"/>
      <c r="G240" s="6" t="s">
        <v>1447</v>
      </c>
      <c r="H240" s="262"/>
      <c r="I240" s="4"/>
      <c r="J240" s="6" t="s">
        <v>1492</v>
      </c>
      <c r="K240" s="262">
        <v>9</v>
      </c>
      <c r="L240" s="4"/>
      <c r="M240" s="271" t="s">
        <v>1507</v>
      </c>
      <c r="N240" s="3">
        <f>ROUND(SUM(N241:N247)/COUNT(N241:N247), 2)</f>
        <v>8.93</v>
      </c>
      <c r="O240" s="4"/>
    </row>
    <row r="241" spans="1:15">
      <c r="A241" s="6" t="s">
        <v>1459</v>
      </c>
      <c r="B241" s="262">
        <v>8</v>
      </c>
      <c r="C241" s="4"/>
      <c r="D241" s="6" t="s">
        <v>1471</v>
      </c>
      <c r="E241" s="262">
        <v>10</v>
      </c>
      <c r="F241" s="4"/>
      <c r="G241" s="6" t="s">
        <v>1448</v>
      </c>
      <c r="H241" s="262">
        <v>9.5</v>
      </c>
      <c r="I241" s="4"/>
      <c r="J241" s="6" t="s">
        <v>1493</v>
      </c>
      <c r="K241" s="262">
        <v>9.5</v>
      </c>
      <c r="L241" s="4"/>
      <c r="M241" s="13" t="s">
        <v>1508</v>
      </c>
      <c r="N241" s="261">
        <v>9.5</v>
      </c>
      <c r="O241" s="4"/>
    </row>
    <row r="242" spans="1:15">
      <c r="A242" s="6" t="s">
        <v>1460</v>
      </c>
      <c r="B242" s="262">
        <v>8.5</v>
      </c>
      <c r="C242" s="4"/>
      <c r="D242" s="6" t="s">
        <v>1472</v>
      </c>
      <c r="E242" s="262">
        <v>8.5</v>
      </c>
      <c r="F242" s="4"/>
      <c r="G242" s="6" t="s">
        <v>1449</v>
      </c>
      <c r="H242" s="262">
        <v>8</v>
      </c>
      <c r="I242" s="4"/>
      <c r="J242" s="6" t="s">
        <v>1494</v>
      </c>
      <c r="K242" s="262">
        <v>9</v>
      </c>
      <c r="L242" s="4"/>
      <c r="M242" s="6" t="s">
        <v>1509</v>
      </c>
      <c r="N242" s="262">
        <v>8</v>
      </c>
      <c r="O242" s="4"/>
    </row>
    <row r="243" spans="1:15">
      <c r="A243" s="6" t="s">
        <v>1461</v>
      </c>
      <c r="B243" s="262">
        <v>9</v>
      </c>
      <c r="C243" s="4"/>
      <c r="D243" s="6" t="s">
        <v>1473</v>
      </c>
      <c r="E243" s="262">
        <v>9.5</v>
      </c>
      <c r="F243" s="4"/>
      <c r="G243" s="6" t="s">
        <v>1450</v>
      </c>
      <c r="H243" s="262">
        <v>8.5</v>
      </c>
      <c r="I243" s="4"/>
      <c r="J243" s="6" t="s">
        <v>1495</v>
      </c>
      <c r="K243" s="262">
        <v>8</v>
      </c>
      <c r="L243" s="4"/>
      <c r="M243" s="6" t="s">
        <v>1510</v>
      </c>
      <c r="N243" s="262">
        <v>10</v>
      </c>
      <c r="O243" s="4"/>
    </row>
    <row r="244" spans="1:15" ht="16.2" thickBot="1">
      <c r="A244" s="9" t="s">
        <v>1462</v>
      </c>
      <c r="B244" s="263">
        <v>8.5</v>
      </c>
      <c r="C244" s="4"/>
      <c r="D244" s="6" t="s">
        <v>1474</v>
      </c>
      <c r="E244" s="262">
        <v>9.5</v>
      </c>
      <c r="F244" s="4"/>
      <c r="G244" s="9" t="s">
        <v>1451</v>
      </c>
      <c r="H244" s="263">
        <v>8.5</v>
      </c>
      <c r="I244" s="4"/>
      <c r="J244" s="6" t="s">
        <v>1496</v>
      </c>
      <c r="K244" s="262">
        <v>9</v>
      </c>
      <c r="L244" s="4"/>
      <c r="M244" s="6" t="s">
        <v>1511</v>
      </c>
      <c r="N244" s="262">
        <v>8</v>
      </c>
      <c r="O244" s="4"/>
    </row>
    <row r="245" spans="1:15" ht="16.2" thickBot="1">
      <c r="A245" s="4"/>
      <c r="B245" s="4"/>
      <c r="C245" s="4"/>
      <c r="D245" s="6" t="s">
        <v>1475</v>
      </c>
      <c r="E245" s="262">
        <v>8</v>
      </c>
      <c r="F245" s="4"/>
      <c r="G245" s="21"/>
      <c r="H245" s="21"/>
      <c r="I245" s="4"/>
      <c r="J245" s="6" t="s">
        <v>1497</v>
      </c>
      <c r="K245" s="262">
        <v>8.5</v>
      </c>
      <c r="L245" s="4"/>
      <c r="M245" s="6" t="s">
        <v>1512</v>
      </c>
      <c r="N245" s="262">
        <v>9</v>
      </c>
      <c r="O245" s="4"/>
    </row>
    <row r="246" spans="1:15" ht="18.600000000000001" thickBot="1">
      <c r="A246" s="171" t="s">
        <v>1547</v>
      </c>
      <c r="B246" s="14">
        <f>ROUND(SUM(B247:B258)/COUNT(B247:B258), 2)</f>
        <v>8.82</v>
      </c>
      <c r="C246" s="4"/>
      <c r="D246" s="6" t="s">
        <v>1476</v>
      </c>
      <c r="E246" s="262">
        <v>8</v>
      </c>
      <c r="F246" s="4"/>
      <c r="G246" s="170" t="s">
        <v>1529</v>
      </c>
      <c r="H246" s="3">
        <f>ROUND(SUM(H247:H256)/COUNT(H247:H256), 2)</f>
        <v>8.75</v>
      </c>
      <c r="I246" s="4"/>
      <c r="J246" s="6" t="s">
        <v>1498</v>
      </c>
      <c r="K246" s="262">
        <v>8</v>
      </c>
      <c r="L246" s="4"/>
      <c r="M246" s="6" t="s">
        <v>1513</v>
      </c>
      <c r="N246" s="262">
        <v>8.5</v>
      </c>
      <c r="O246" s="4"/>
    </row>
    <row r="247" spans="1:15" ht="16.2" thickBot="1">
      <c r="A247" s="13" t="s">
        <v>1535</v>
      </c>
      <c r="B247" s="261">
        <v>9.5</v>
      </c>
      <c r="C247" s="4"/>
      <c r="D247" s="6" t="s">
        <v>1477</v>
      </c>
      <c r="E247" s="262">
        <v>8.5</v>
      </c>
      <c r="F247" s="4"/>
      <c r="G247" s="6" t="s">
        <v>1520</v>
      </c>
      <c r="H247" s="262">
        <v>10</v>
      </c>
      <c r="I247" s="4"/>
      <c r="J247" s="6" t="s">
        <v>1499</v>
      </c>
      <c r="K247" s="262">
        <v>8</v>
      </c>
      <c r="L247" s="4"/>
      <c r="M247" s="9" t="s">
        <v>1514</v>
      </c>
      <c r="N247" s="263">
        <v>9.5</v>
      </c>
      <c r="O247" s="4"/>
    </row>
    <row r="248" spans="1:15" ht="16.2" thickBot="1">
      <c r="A248" s="6" t="s">
        <v>1536</v>
      </c>
      <c r="B248" s="262">
        <v>8.5</v>
      </c>
      <c r="C248" s="4"/>
      <c r="D248" s="6" t="s">
        <v>1478</v>
      </c>
      <c r="E248" s="262">
        <v>10</v>
      </c>
      <c r="F248" s="4"/>
      <c r="G248" s="6" t="s">
        <v>1521</v>
      </c>
      <c r="H248" s="262">
        <v>9</v>
      </c>
      <c r="I248" s="4"/>
      <c r="J248" s="6" t="s">
        <v>1500</v>
      </c>
      <c r="K248" s="262">
        <v>8</v>
      </c>
      <c r="L248" s="4"/>
      <c r="M248" s="4"/>
      <c r="N248" s="4"/>
      <c r="O248" s="4"/>
    </row>
    <row r="249" spans="1:15" ht="18.600000000000001" thickBot="1">
      <c r="A249" s="6" t="s">
        <v>1537</v>
      </c>
      <c r="B249" s="262">
        <v>8.5</v>
      </c>
      <c r="C249" s="4"/>
      <c r="D249" s="6" t="s">
        <v>1479</v>
      </c>
      <c r="E249" s="262">
        <v>8.5</v>
      </c>
      <c r="F249" s="4"/>
      <c r="G249" s="6" t="s">
        <v>15</v>
      </c>
      <c r="H249" s="262">
        <v>10</v>
      </c>
      <c r="I249" s="4"/>
      <c r="J249" s="6" t="s">
        <v>1501</v>
      </c>
      <c r="K249" s="262">
        <v>8.5</v>
      </c>
      <c r="L249" s="4"/>
      <c r="M249" s="272" t="s">
        <v>1552</v>
      </c>
      <c r="N249" s="14">
        <f>ROUND(SUM(N250:N275)/COUNT(N250:N275), 2)</f>
        <v>8.67</v>
      </c>
      <c r="O249" s="4"/>
    </row>
    <row r="250" spans="1:15" ht="16.2" thickBot="1">
      <c r="A250" s="6" t="s">
        <v>1538</v>
      </c>
      <c r="B250" s="262"/>
      <c r="C250" s="4"/>
      <c r="D250" s="6" t="s">
        <v>1480</v>
      </c>
      <c r="E250" s="262">
        <v>9</v>
      </c>
      <c r="F250" s="4"/>
      <c r="G250" s="6" t="s">
        <v>1522</v>
      </c>
      <c r="H250" s="262">
        <v>9</v>
      </c>
      <c r="I250" s="4"/>
      <c r="J250" s="9" t="s">
        <v>1502</v>
      </c>
      <c r="K250" s="263">
        <v>8</v>
      </c>
      <c r="L250" s="4"/>
      <c r="M250" s="13" t="s">
        <v>1551</v>
      </c>
      <c r="N250" s="261">
        <v>10</v>
      </c>
      <c r="O250" s="4"/>
    </row>
    <row r="251" spans="1:15" ht="16.2" thickBot="1">
      <c r="A251" s="6" t="s">
        <v>1539</v>
      </c>
      <c r="B251" s="262">
        <v>8</v>
      </c>
      <c r="C251" s="4"/>
      <c r="D251" s="6" t="s">
        <v>1481</v>
      </c>
      <c r="E251" s="262">
        <v>8.5</v>
      </c>
      <c r="F251" s="4"/>
      <c r="G251" s="6" t="s">
        <v>1523</v>
      </c>
      <c r="H251" s="262">
        <v>8.5</v>
      </c>
      <c r="I251" s="4"/>
      <c r="J251" s="4"/>
      <c r="K251" s="4"/>
      <c r="L251" s="4"/>
      <c r="M251" s="6" t="s">
        <v>1553</v>
      </c>
      <c r="N251" s="262">
        <v>9</v>
      </c>
      <c r="O251" s="4"/>
    </row>
    <row r="252" spans="1:15" ht="18.600000000000001" thickBot="1">
      <c r="A252" s="6" t="s">
        <v>1540</v>
      </c>
      <c r="B252" s="262">
        <v>10</v>
      </c>
      <c r="C252" s="4"/>
      <c r="D252" s="9" t="s">
        <v>1482</v>
      </c>
      <c r="E252" s="263">
        <v>8</v>
      </c>
      <c r="F252" s="4"/>
      <c r="G252" s="6" t="s">
        <v>1524</v>
      </c>
      <c r="H252" s="262">
        <v>8</v>
      </c>
      <c r="I252" s="4"/>
      <c r="J252" s="173" t="s">
        <v>1592</v>
      </c>
      <c r="K252" s="3">
        <f>ROUND(SUM(K253:K262)/COUNT(K253:K262), 2)</f>
        <v>8</v>
      </c>
      <c r="L252" s="4"/>
      <c r="M252" s="6" t="s">
        <v>1554</v>
      </c>
      <c r="N252" s="262">
        <v>8.5</v>
      </c>
      <c r="O252" s="4"/>
    </row>
    <row r="253" spans="1:15" ht="16.2" thickBot="1">
      <c r="A253" s="6" t="s">
        <v>1541</v>
      </c>
      <c r="B253" s="262">
        <v>10.5</v>
      </c>
      <c r="C253" s="4"/>
      <c r="D253" s="4"/>
      <c r="E253" s="4"/>
      <c r="F253" s="4"/>
      <c r="G253" s="6" t="s">
        <v>1525</v>
      </c>
      <c r="H253" s="262">
        <v>9</v>
      </c>
      <c r="I253" s="4"/>
      <c r="J253" s="13" t="s">
        <v>1582</v>
      </c>
      <c r="K253" s="261">
        <v>8.5</v>
      </c>
      <c r="L253" s="4"/>
      <c r="M253" s="6" t="s">
        <v>1555</v>
      </c>
      <c r="N253" s="262">
        <v>8</v>
      </c>
      <c r="O253" s="4"/>
    </row>
    <row r="254" spans="1:15" ht="18.600000000000001" thickBot="1">
      <c r="A254" s="6" t="s">
        <v>1542</v>
      </c>
      <c r="B254" s="262">
        <v>9</v>
      </c>
      <c r="C254" s="4"/>
      <c r="D254" s="174" t="s">
        <v>1598</v>
      </c>
      <c r="E254" s="3">
        <f>ROUND(SUM(E255:E264)/COUNT(E255:E264), 2)</f>
        <v>8.44</v>
      </c>
      <c r="F254" s="4"/>
      <c r="G254" s="6" t="s">
        <v>1526</v>
      </c>
      <c r="H254" s="262">
        <v>8</v>
      </c>
      <c r="I254" s="4"/>
      <c r="J254" s="6" t="s">
        <v>1583</v>
      </c>
      <c r="K254" s="262">
        <v>7.5</v>
      </c>
      <c r="L254" s="4"/>
      <c r="M254" s="6" t="s">
        <v>1556</v>
      </c>
      <c r="N254" s="262">
        <v>10.5</v>
      </c>
      <c r="O254" s="4"/>
    </row>
    <row r="255" spans="1:15">
      <c r="A255" s="6" t="s">
        <v>1543</v>
      </c>
      <c r="B255" s="262">
        <v>8</v>
      </c>
      <c r="C255" s="4"/>
      <c r="D255" s="13" t="s">
        <v>1599</v>
      </c>
      <c r="E255" s="261">
        <v>8.5</v>
      </c>
      <c r="F255" s="4"/>
      <c r="G255" s="6" t="s">
        <v>1527</v>
      </c>
      <c r="H255" s="262">
        <v>8</v>
      </c>
      <c r="I255" s="4"/>
      <c r="J255" s="6" t="s">
        <v>1584</v>
      </c>
      <c r="K255" s="262">
        <v>9.5</v>
      </c>
      <c r="L255" s="4"/>
      <c r="M255" s="6" t="s">
        <v>1557</v>
      </c>
      <c r="N255" s="262">
        <v>9.5</v>
      </c>
      <c r="O255" s="4"/>
    </row>
    <row r="256" spans="1:15" ht="16.2" thickBot="1">
      <c r="A256" s="6" t="s">
        <v>1544</v>
      </c>
      <c r="B256" s="262">
        <v>8</v>
      </c>
      <c r="C256" s="4"/>
      <c r="D256" s="6" t="s">
        <v>1600</v>
      </c>
      <c r="E256" s="262">
        <v>10</v>
      </c>
      <c r="F256" s="4"/>
      <c r="G256" s="9" t="s">
        <v>1528</v>
      </c>
      <c r="H256" s="263">
        <v>8</v>
      </c>
      <c r="I256" s="4"/>
      <c r="J256" s="6" t="s">
        <v>1585</v>
      </c>
      <c r="K256" s="262">
        <v>7.5</v>
      </c>
      <c r="L256" s="4"/>
      <c r="M256" s="6" t="s">
        <v>9</v>
      </c>
      <c r="N256" s="262">
        <v>8</v>
      </c>
      <c r="O256" s="4"/>
    </row>
    <row r="257" spans="1:15" ht="16.2" thickBot="1">
      <c r="A257" s="6" t="s">
        <v>1545</v>
      </c>
      <c r="B257" s="262">
        <v>8.5</v>
      </c>
      <c r="C257" s="4"/>
      <c r="D257" s="6" t="s">
        <v>1601</v>
      </c>
      <c r="E257" s="262">
        <v>9.5</v>
      </c>
      <c r="F257" s="4"/>
      <c r="G257" s="4"/>
      <c r="H257" s="4"/>
      <c r="I257" s="4"/>
      <c r="J257" s="6" t="s">
        <v>1586</v>
      </c>
      <c r="K257" s="262">
        <v>9</v>
      </c>
      <c r="L257" s="4"/>
      <c r="M257" s="6" t="s">
        <v>1558</v>
      </c>
      <c r="N257" s="262">
        <v>10.5</v>
      </c>
      <c r="O257" s="4"/>
    </row>
    <row r="258" spans="1:15" ht="18.600000000000001" thickBot="1">
      <c r="A258" s="9" t="s">
        <v>1546</v>
      </c>
      <c r="B258" s="263">
        <v>8.5</v>
      </c>
      <c r="C258" s="4"/>
      <c r="D258" s="6" t="s">
        <v>1602</v>
      </c>
      <c r="E258" s="262">
        <v>10</v>
      </c>
      <c r="F258" s="4"/>
      <c r="G258" s="191" t="s">
        <v>1613</v>
      </c>
      <c r="H258" s="14">
        <f>ROUND(SUM(H259:H263)/COUNT(H259:H263), 2)</f>
        <v>8.9</v>
      </c>
      <c r="I258" s="4"/>
      <c r="J258" s="6" t="s">
        <v>1587</v>
      </c>
      <c r="K258" s="262">
        <v>6.5</v>
      </c>
      <c r="L258" s="4"/>
      <c r="M258" s="6" t="s">
        <v>1559</v>
      </c>
      <c r="N258" s="262">
        <v>10.5</v>
      </c>
      <c r="O258" s="4"/>
    </row>
    <row r="259" spans="1:15" ht="16.2" thickBot="1">
      <c r="A259" s="4"/>
      <c r="B259" s="4"/>
      <c r="C259" s="4"/>
      <c r="D259" s="6" t="s">
        <v>1603</v>
      </c>
      <c r="E259" s="262"/>
      <c r="F259" s="4"/>
      <c r="G259" s="13" t="s">
        <v>1614</v>
      </c>
      <c r="H259" s="261">
        <v>9</v>
      </c>
      <c r="I259" s="4"/>
      <c r="J259" s="6" t="s">
        <v>1588</v>
      </c>
      <c r="K259" s="262"/>
      <c r="L259" s="4"/>
      <c r="M259" s="6" t="s">
        <v>1560</v>
      </c>
      <c r="N259" s="262">
        <v>9</v>
      </c>
      <c r="O259" s="4"/>
    </row>
    <row r="260" spans="1:15" ht="18.600000000000001" thickBot="1">
      <c r="A260" s="192" t="s">
        <v>1622</v>
      </c>
      <c r="B260" s="3">
        <f>ROUND(SUM(B261:B270)/COUNT(B261:B270), 2)</f>
        <v>8.75</v>
      </c>
      <c r="C260" s="4"/>
      <c r="D260" s="6" t="s">
        <v>1604</v>
      </c>
      <c r="E260" s="262">
        <v>8</v>
      </c>
      <c r="F260" s="4"/>
      <c r="G260" s="6" t="s">
        <v>1615</v>
      </c>
      <c r="H260" s="262">
        <v>8.5</v>
      </c>
      <c r="I260" s="4"/>
      <c r="J260" s="6" t="s">
        <v>1589</v>
      </c>
      <c r="K260" s="262">
        <v>7.5</v>
      </c>
      <c r="L260" s="4"/>
      <c r="M260" s="6" t="s">
        <v>1561</v>
      </c>
      <c r="N260" s="262">
        <v>8.5</v>
      </c>
      <c r="O260" s="4"/>
    </row>
    <row r="261" spans="1:15">
      <c r="A261" s="6" t="s">
        <v>1623</v>
      </c>
      <c r="B261" s="262">
        <v>8</v>
      </c>
      <c r="C261" s="4"/>
      <c r="D261" s="6" t="s">
        <v>1605</v>
      </c>
      <c r="E261" s="262">
        <v>9</v>
      </c>
      <c r="F261" s="4"/>
      <c r="G261" s="6" t="s">
        <v>1616</v>
      </c>
      <c r="H261" s="262">
        <v>9</v>
      </c>
      <c r="I261" s="4"/>
      <c r="J261" s="6" t="s">
        <v>1590</v>
      </c>
      <c r="K261" s="262">
        <v>8.5</v>
      </c>
      <c r="L261" s="4"/>
      <c r="M261" s="6" t="s">
        <v>1562</v>
      </c>
      <c r="N261" s="262">
        <v>8</v>
      </c>
      <c r="O261" s="4"/>
    </row>
    <row r="262" spans="1:15" ht="16.2" thickBot="1">
      <c r="A262" s="6" t="s">
        <v>1624</v>
      </c>
      <c r="B262" s="262">
        <v>9.5</v>
      </c>
      <c r="C262" s="4"/>
      <c r="D262" s="6" t="s">
        <v>1606</v>
      </c>
      <c r="E262" s="262">
        <v>8</v>
      </c>
      <c r="F262" s="4"/>
      <c r="G262" s="6" t="s">
        <v>1617</v>
      </c>
      <c r="H262" s="262">
        <v>8</v>
      </c>
      <c r="I262" s="4"/>
      <c r="J262" s="9" t="s">
        <v>1591</v>
      </c>
      <c r="K262" s="263">
        <v>7.5</v>
      </c>
      <c r="L262" s="4"/>
      <c r="M262" s="6" t="s">
        <v>1563</v>
      </c>
      <c r="N262" s="262">
        <v>8</v>
      </c>
      <c r="O262" s="4"/>
    </row>
    <row r="263" spans="1:15" ht="16.2" thickBot="1">
      <c r="A263" s="6" t="s">
        <v>1625</v>
      </c>
      <c r="B263" s="262">
        <v>10</v>
      </c>
      <c r="C263" s="4"/>
      <c r="D263" s="6" t="s">
        <v>1607</v>
      </c>
      <c r="E263" s="262">
        <v>7</v>
      </c>
      <c r="F263" s="4"/>
      <c r="G263" s="9" t="s">
        <v>1618</v>
      </c>
      <c r="H263" s="263">
        <v>10</v>
      </c>
      <c r="I263" s="4"/>
      <c r="J263" s="4"/>
      <c r="K263" s="4"/>
      <c r="L263" s="4"/>
      <c r="M263" s="6" t="s">
        <v>1564</v>
      </c>
      <c r="N263" s="262">
        <v>7.5</v>
      </c>
      <c r="O263" s="4"/>
    </row>
    <row r="264" spans="1:15" ht="18.600000000000001" thickBot="1">
      <c r="A264" s="6" t="s">
        <v>1626</v>
      </c>
      <c r="B264" s="262">
        <v>9.5</v>
      </c>
      <c r="C264" s="4"/>
      <c r="D264" s="9" t="s">
        <v>1608</v>
      </c>
      <c r="E264" s="263">
        <v>6</v>
      </c>
      <c r="F264" s="4"/>
      <c r="G264" s="4"/>
      <c r="H264" s="4"/>
      <c r="I264" s="4"/>
      <c r="J264" s="193" t="s">
        <v>1638</v>
      </c>
      <c r="K264" s="3">
        <f>ROUND(SUM(K265:K274)/COUNT(K265:K274), 2)</f>
        <v>8.94</v>
      </c>
      <c r="L264" s="4"/>
      <c r="M264" s="6" t="s">
        <v>1565</v>
      </c>
      <c r="N264" s="262">
        <v>8</v>
      </c>
      <c r="O264" s="4"/>
    </row>
    <row r="265" spans="1:15" ht="18.600000000000001" thickBot="1">
      <c r="A265" s="6" t="s">
        <v>1627</v>
      </c>
      <c r="B265" s="262">
        <v>8</v>
      </c>
      <c r="C265" s="4"/>
      <c r="D265" s="4"/>
      <c r="E265" s="4"/>
      <c r="F265" s="4"/>
      <c r="G265" s="195" t="s">
        <v>1673</v>
      </c>
      <c r="H265" s="14">
        <f>ROUND(SUM(H266:H274)/COUNT(H266:H274), 2)</f>
        <v>8.75</v>
      </c>
      <c r="I265" s="4"/>
      <c r="J265" s="13" t="s">
        <v>1639</v>
      </c>
      <c r="K265" s="261">
        <v>8</v>
      </c>
      <c r="L265" s="4"/>
      <c r="M265" s="6" t="s">
        <v>1566</v>
      </c>
      <c r="N265" s="262">
        <v>9</v>
      </c>
      <c r="O265" s="4"/>
    </row>
    <row r="266" spans="1:15" ht="18.600000000000001" thickBot="1">
      <c r="A266" s="6" t="s">
        <v>1628</v>
      </c>
      <c r="B266" s="262">
        <v>8.5</v>
      </c>
      <c r="C266" s="4"/>
      <c r="D266" s="194" t="s">
        <v>1649</v>
      </c>
      <c r="E266" s="14">
        <f>ROUND(SUM(E267:E276)/COUNT(E267:E276), 2)</f>
        <v>8.6</v>
      </c>
      <c r="F266" s="4"/>
      <c r="G266" s="13" t="s">
        <v>1664</v>
      </c>
      <c r="H266" s="261">
        <v>8.5</v>
      </c>
      <c r="I266" s="4"/>
      <c r="J266" s="6" t="s">
        <v>1640</v>
      </c>
      <c r="K266" s="262">
        <v>8.5</v>
      </c>
      <c r="L266" s="4"/>
      <c r="M266" s="6" t="s">
        <v>1567</v>
      </c>
      <c r="N266" s="262">
        <v>8</v>
      </c>
      <c r="O266" s="4"/>
    </row>
    <row r="267" spans="1:15">
      <c r="A267" s="6" t="s">
        <v>1629</v>
      </c>
      <c r="B267" s="262">
        <v>8.5</v>
      </c>
      <c r="C267" s="4"/>
      <c r="D267" s="13" t="s">
        <v>1650</v>
      </c>
      <c r="E267" s="261">
        <v>9.5</v>
      </c>
      <c r="F267" s="4"/>
      <c r="G267" s="6" t="s">
        <v>1665</v>
      </c>
      <c r="H267" s="262">
        <v>10</v>
      </c>
      <c r="I267" s="4"/>
      <c r="J267" s="6" t="s">
        <v>1641</v>
      </c>
      <c r="K267" s="262">
        <v>8.5</v>
      </c>
      <c r="L267" s="4"/>
      <c r="M267" s="6" t="s">
        <v>1568</v>
      </c>
      <c r="N267" s="262">
        <v>7.5</v>
      </c>
      <c r="O267" s="4"/>
    </row>
    <row r="268" spans="1:15">
      <c r="A268" s="6" t="s">
        <v>1630</v>
      </c>
      <c r="B268" s="262">
        <v>8</v>
      </c>
      <c r="C268" s="4"/>
      <c r="D268" s="6" t="s">
        <v>1651</v>
      </c>
      <c r="E268" s="262">
        <v>8.5</v>
      </c>
      <c r="F268" s="4"/>
      <c r="G268" s="6" t="s">
        <v>1672</v>
      </c>
      <c r="H268" s="262">
        <v>9</v>
      </c>
      <c r="I268" s="4"/>
      <c r="J268" s="6" t="s">
        <v>1642</v>
      </c>
      <c r="K268" s="262">
        <v>9</v>
      </c>
      <c r="L268" s="4"/>
      <c r="M268" s="6" t="s">
        <v>1569</v>
      </c>
      <c r="N268" s="262">
        <v>8</v>
      </c>
      <c r="O268" s="4"/>
    </row>
    <row r="269" spans="1:15">
      <c r="A269" s="6" t="s">
        <v>1631</v>
      </c>
      <c r="B269" s="262">
        <v>7.5</v>
      </c>
      <c r="C269" s="4"/>
      <c r="D269" s="6" t="s">
        <v>1652</v>
      </c>
      <c r="E269" s="262">
        <v>8.5</v>
      </c>
      <c r="F269" s="4"/>
      <c r="G269" s="6" t="s">
        <v>1666</v>
      </c>
      <c r="H269" s="262">
        <v>8.5</v>
      </c>
      <c r="I269" s="4"/>
      <c r="J269" s="6" t="s">
        <v>1643</v>
      </c>
      <c r="K269" s="262">
        <v>10</v>
      </c>
      <c r="L269" s="4"/>
      <c r="M269" s="6" t="s">
        <v>1570</v>
      </c>
      <c r="N269" s="262">
        <v>7.5</v>
      </c>
      <c r="O269" s="4"/>
    </row>
    <row r="270" spans="1:15" ht="16.2" thickBot="1">
      <c r="A270" s="9" t="s">
        <v>1632</v>
      </c>
      <c r="B270" s="263">
        <v>10</v>
      </c>
      <c r="C270" s="4"/>
      <c r="D270" s="6" t="s">
        <v>1653</v>
      </c>
      <c r="E270" s="262">
        <v>8</v>
      </c>
      <c r="F270" s="4"/>
      <c r="G270" s="6" t="s">
        <v>1667</v>
      </c>
      <c r="H270" s="262">
        <v>8.5</v>
      </c>
      <c r="I270" s="4"/>
      <c r="J270" s="6" t="s">
        <v>1644</v>
      </c>
      <c r="K270" s="262">
        <v>10.5</v>
      </c>
      <c r="L270" s="4"/>
      <c r="M270" s="6" t="s">
        <v>1571</v>
      </c>
      <c r="N270" s="262">
        <v>7.5</v>
      </c>
      <c r="O270" s="4"/>
    </row>
    <row r="271" spans="1:15" ht="16.2" thickBot="1">
      <c r="A271" s="4"/>
      <c r="B271" s="4"/>
      <c r="C271" s="4"/>
      <c r="D271" s="6" t="s">
        <v>1654</v>
      </c>
      <c r="E271" s="262">
        <v>7.5</v>
      </c>
      <c r="F271" s="4"/>
      <c r="G271" s="6" t="s">
        <v>1668</v>
      </c>
      <c r="H271" s="262"/>
      <c r="I271" s="4"/>
      <c r="J271" s="6" t="s">
        <v>1645</v>
      </c>
      <c r="K271" s="262"/>
      <c r="L271" s="4"/>
      <c r="M271" s="6" t="s">
        <v>1572</v>
      </c>
      <c r="N271" s="262">
        <v>7.5</v>
      </c>
      <c r="O271" s="4"/>
    </row>
    <row r="272" spans="1:15" ht="18.600000000000001" thickBot="1">
      <c r="A272" s="197" t="s">
        <v>1680</v>
      </c>
      <c r="B272" s="14">
        <f>ROUND(SUM(B273:B277)/COUNT(B273:B277), 2)</f>
        <v>8.4</v>
      </c>
      <c r="C272" s="4"/>
      <c r="D272" s="6" t="s">
        <v>1655</v>
      </c>
      <c r="E272" s="262">
        <v>9.5</v>
      </c>
      <c r="F272" s="4"/>
      <c r="G272" s="6" t="s">
        <v>1669</v>
      </c>
      <c r="H272" s="262">
        <v>8.5</v>
      </c>
      <c r="I272" s="4"/>
      <c r="J272" s="6" t="s">
        <v>1646</v>
      </c>
      <c r="K272" s="262">
        <v>9</v>
      </c>
      <c r="L272" s="4"/>
      <c r="M272" s="6" t="s">
        <v>1573</v>
      </c>
      <c r="N272" s="262">
        <v>9</v>
      </c>
      <c r="O272" s="4"/>
    </row>
    <row r="273" spans="1:15">
      <c r="A273" s="6" t="s">
        <v>1681</v>
      </c>
      <c r="B273" s="262">
        <v>8.5</v>
      </c>
      <c r="C273" s="4"/>
      <c r="D273" s="6" t="s">
        <v>1656</v>
      </c>
      <c r="E273" s="262">
        <v>10</v>
      </c>
      <c r="F273" s="4"/>
      <c r="G273" s="6" t="s">
        <v>1670</v>
      </c>
      <c r="H273" s="262">
        <v>9</v>
      </c>
      <c r="I273" s="4"/>
      <c r="J273" s="6" t="s">
        <v>1647</v>
      </c>
      <c r="K273" s="262">
        <v>8.5</v>
      </c>
      <c r="L273" s="4"/>
      <c r="M273" s="6" t="s">
        <v>1574</v>
      </c>
      <c r="N273" s="262">
        <v>10</v>
      </c>
      <c r="O273" s="4"/>
    </row>
    <row r="274" spans="1:15" ht="16.2" thickBot="1">
      <c r="A274" s="6" t="s">
        <v>1682</v>
      </c>
      <c r="B274" s="262">
        <v>9</v>
      </c>
      <c r="C274" s="4"/>
      <c r="D274" s="6" t="s">
        <v>1657</v>
      </c>
      <c r="E274" s="262">
        <v>8</v>
      </c>
      <c r="F274" s="4"/>
      <c r="G274" s="9" t="s">
        <v>1671</v>
      </c>
      <c r="H274" s="263">
        <v>8</v>
      </c>
      <c r="I274" s="4"/>
      <c r="J274" s="9" t="s">
        <v>1648</v>
      </c>
      <c r="K274" s="263">
        <v>8.5</v>
      </c>
      <c r="L274" s="4"/>
      <c r="M274" s="6" t="s">
        <v>1575</v>
      </c>
      <c r="N274" s="262">
        <v>9</v>
      </c>
      <c r="O274" s="4"/>
    </row>
    <row r="275" spans="1:15" ht="16.2" thickBot="1">
      <c r="A275" s="6" t="s">
        <v>1683</v>
      </c>
      <c r="B275" s="262">
        <v>8.5</v>
      </c>
      <c r="C275" s="4"/>
      <c r="D275" s="6" t="s">
        <v>1658</v>
      </c>
      <c r="E275" s="262">
        <v>7.5</v>
      </c>
      <c r="F275" s="4"/>
      <c r="G275" s="4"/>
      <c r="H275" s="4"/>
      <c r="I275" s="4"/>
      <c r="J275" s="4"/>
      <c r="K275" s="4"/>
      <c r="L275" s="4"/>
      <c r="M275" s="9" t="s">
        <v>1576</v>
      </c>
      <c r="N275" s="263">
        <v>9</v>
      </c>
      <c r="O275" s="4"/>
    </row>
    <row r="276" spans="1:15" ht="18.600000000000001" thickBot="1">
      <c r="A276" s="6" t="s">
        <v>1684</v>
      </c>
      <c r="B276" s="262">
        <v>8</v>
      </c>
      <c r="C276" s="4"/>
      <c r="D276" s="9" t="s">
        <v>1659</v>
      </c>
      <c r="E276" s="263">
        <v>9</v>
      </c>
      <c r="F276" s="4"/>
      <c r="G276" s="199" t="s">
        <v>1690</v>
      </c>
      <c r="H276" s="3">
        <f>ROUND(SUM(H277:H286)/COUNT(H277:H286), 2)</f>
        <v>8.85</v>
      </c>
      <c r="I276" s="4"/>
      <c r="J276" s="200" t="s">
        <v>1714</v>
      </c>
      <c r="K276" s="3">
        <f>ROUND(SUM(K277:K284)/COUNT(K277:K284), 2)</f>
        <v>8.7100000000000009</v>
      </c>
      <c r="L276" s="4"/>
      <c r="M276" s="4"/>
      <c r="N276" s="4"/>
      <c r="O276" s="4"/>
    </row>
    <row r="277" spans="1:15" ht="18.600000000000001" thickBot="1">
      <c r="A277" s="9" t="s">
        <v>1685</v>
      </c>
      <c r="B277" s="263">
        <v>8</v>
      </c>
      <c r="C277" s="4"/>
      <c r="D277" s="4"/>
      <c r="E277" s="4"/>
      <c r="F277" s="4"/>
      <c r="G277" s="13" t="s">
        <v>1691</v>
      </c>
      <c r="H277" s="261">
        <v>9.5</v>
      </c>
      <c r="I277" s="4"/>
      <c r="J277" s="13" t="s">
        <v>1704</v>
      </c>
      <c r="K277" s="261">
        <v>8.5</v>
      </c>
      <c r="L277" s="4"/>
      <c r="M277" s="249" t="s">
        <v>1727</v>
      </c>
      <c r="N277" s="3">
        <f>ROUND(SUM(N278:N282)/COUNT(N278:N282), 2)</f>
        <v>8.4</v>
      </c>
      <c r="O277" s="4"/>
    </row>
    <row r="278" spans="1:15" ht="18.600000000000001" thickBot="1">
      <c r="A278" s="4"/>
      <c r="B278" s="4"/>
      <c r="C278" s="4"/>
      <c r="D278" s="201" t="s">
        <v>1715</v>
      </c>
      <c r="E278" s="14">
        <f>ROUND(SUM(E279:E286)/COUNT(E279:E286), 2)</f>
        <v>8.81</v>
      </c>
      <c r="F278" s="4"/>
      <c r="G278" s="6" t="s">
        <v>1692</v>
      </c>
      <c r="H278" s="262">
        <v>9</v>
      </c>
      <c r="I278" s="4"/>
      <c r="J278" s="6" t="s">
        <v>1705</v>
      </c>
      <c r="K278" s="262">
        <v>9</v>
      </c>
      <c r="L278" s="4"/>
      <c r="M278" s="6" t="s">
        <v>1728</v>
      </c>
      <c r="N278" s="262">
        <v>8</v>
      </c>
      <c r="O278" s="4"/>
    </row>
    <row r="279" spans="1:15" ht="18.600000000000001" thickBot="1">
      <c r="A279" s="250" t="s">
        <v>1734</v>
      </c>
      <c r="B279" s="14">
        <f>ROUND(SUM(B280:B307)/COUNT(B280:B307), 2)</f>
        <v>8.57</v>
      </c>
      <c r="C279" s="4"/>
      <c r="D279" s="13" t="s">
        <v>1716</v>
      </c>
      <c r="E279" s="261">
        <v>8</v>
      </c>
      <c r="F279" s="4"/>
      <c r="G279" s="6" t="s">
        <v>1693</v>
      </c>
      <c r="H279" s="262">
        <v>10</v>
      </c>
      <c r="I279" s="4"/>
      <c r="J279" s="6" t="s">
        <v>1706</v>
      </c>
      <c r="K279" s="262"/>
      <c r="L279" s="4"/>
      <c r="M279" s="6" t="s">
        <v>1729</v>
      </c>
      <c r="N279" s="262">
        <v>7.5</v>
      </c>
      <c r="O279" s="4"/>
    </row>
    <row r="280" spans="1:15">
      <c r="A280" s="13" t="s">
        <v>1735</v>
      </c>
      <c r="B280" s="261"/>
      <c r="C280" s="4"/>
      <c r="D280" s="6" t="s">
        <v>1717</v>
      </c>
      <c r="E280" s="262">
        <v>8.5</v>
      </c>
      <c r="F280" s="4"/>
      <c r="G280" s="6" t="s">
        <v>1694</v>
      </c>
      <c r="H280" s="262">
        <v>8.5</v>
      </c>
      <c r="I280" s="4"/>
      <c r="J280" s="6" t="s">
        <v>1707</v>
      </c>
      <c r="K280" s="262">
        <v>8.5</v>
      </c>
      <c r="L280" s="4"/>
      <c r="M280" s="6" t="s">
        <v>1730</v>
      </c>
      <c r="N280" s="262">
        <v>8</v>
      </c>
      <c r="O280" s="4"/>
    </row>
    <row r="281" spans="1:15">
      <c r="A281" s="6" t="s">
        <v>1736</v>
      </c>
      <c r="B281" s="262">
        <v>10</v>
      </c>
      <c r="C281" s="4"/>
      <c r="D281" s="6" t="s">
        <v>1718</v>
      </c>
      <c r="E281" s="262">
        <v>8</v>
      </c>
      <c r="F281" s="4"/>
      <c r="G281" s="6" t="s">
        <v>1695</v>
      </c>
      <c r="H281" s="262">
        <v>8</v>
      </c>
      <c r="I281" s="4"/>
      <c r="J281" s="6" t="s">
        <v>1708</v>
      </c>
      <c r="K281" s="262">
        <v>10</v>
      </c>
      <c r="L281" s="4"/>
      <c r="M281" s="6" t="s">
        <v>1731</v>
      </c>
      <c r="N281" s="262">
        <v>8.5</v>
      </c>
      <c r="O281" s="4"/>
    </row>
    <row r="282" spans="1:15" ht="16.2" thickBot="1">
      <c r="A282" s="6" t="s">
        <v>1737</v>
      </c>
      <c r="B282" s="262">
        <v>8</v>
      </c>
      <c r="C282" s="4"/>
      <c r="D282" s="6" t="s">
        <v>1719</v>
      </c>
      <c r="E282" s="262">
        <v>8.5</v>
      </c>
      <c r="F282" s="4"/>
      <c r="G282" s="6" t="s">
        <v>1696</v>
      </c>
      <c r="H282" s="262">
        <v>8.5</v>
      </c>
      <c r="I282" s="4"/>
      <c r="J282" s="6" t="s">
        <v>1709</v>
      </c>
      <c r="K282" s="262">
        <v>8</v>
      </c>
      <c r="L282" s="4"/>
      <c r="M282" s="9" t="s">
        <v>1732</v>
      </c>
      <c r="N282" s="263">
        <v>10</v>
      </c>
      <c r="O282" s="4"/>
    </row>
    <row r="283" spans="1:15" ht="16.2" thickBot="1">
      <c r="A283" s="6" t="s">
        <v>1738</v>
      </c>
      <c r="B283" s="262">
        <v>9.5</v>
      </c>
      <c r="C283" s="4"/>
      <c r="D283" s="6" t="s">
        <v>1720</v>
      </c>
      <c r="E283" s="262">
        <v>10</v>
      </c>
      <c r="F283" s="4"/>
      <c r="G283" s="6" t="s">
        <v>1697</v>
      </c>
      <c r="H283" s="262">
        <v>8.5</v>
      </c>
      <c r="I283" s="4"/>
      <c r="J283" s="6" t="s">
        <v>1710</v>
      </c>
      <c r="K283" s="262">
        <v>9</v>
      </c>
      <c r="L283" s="4"/>
      <c r="M283" s="4"/>
      <c r="N283" s="4"/>
      <c r="O283" s="4"/>
    </row>
    <row r="284" spans="1:15" ht="18.600000000000001" thickBot="1">
      <c r="A284" s="6" t="s">
        <v>1739</v>
      </c>
      <c r="B284" s="262">
        <v>8</v>
      </c>
      <c r="C284" s="4"/>
      <c r="D284" s="6" t="s">
        <v>1721</v>
      </c>
      <c r="E284" s="262">
        <v>9.5</v>
      </c>
      <c r="F284" s="4"/>
      <c r="G284" s="6" t="s">
        <v>1698</v>
      </c>
      <c r="H284" s="262">
        <v>9</v>
      </c>
      <c r="I284" s="4"/>
      <c r="J284" s="9" t="s">
        <v>1711</v>
      </c>
      <c r="K284" s="263">
        <v>8</v>
      </c>
      <c r="L284" s="4"/>
      <c r="M284" s="260" t="s">
        <v>1763</v>
      </c>
      <c r="N284" s="252">
        <f>ROUND(SUM(N285:N295)/COUNT(N285:N295), 2)</f>
        <v>8.91</v>
      </c>
      <c r="O284" s="4"/>
    </row>
    <row r="285" spans="1:15" ht="16.2" thickBot="1">
      <c r="A285" s="6" t="s">
        <v>1740</v>
      </c>
      <c r="B285" s="262">
        <v>10</v>
      </c>
      <c r="C285" s="4"/>
      <c r="D285" s="6" t="s">
        <v>1722</v>
      </c>
      <c r="E285" s="262">
        <v>8</v>
      </c>
      <c r="F285" s="4"/>
      <c r="G285" s="6" t="s">
        <v>1699</v>
      </c>
      <c r="H285" s="262">
        <v>8.5</v>
      </c>
      <c r="I285" s="4"/>
      <c r="J285" s="4"/>
      <c r="K285" s="4"/>
      <c r="L285" s="4"/>
      <c r="M285" s="13" t="s">
        <v>1764</v>
      </c>
      <c r="N285" s="261">
        <v>9</v>
      </c>
      <c r="O285" s="4"/>
    </row>
    <row r="286" spans="1:15" ht="18.600000000000001" thickBot="1">
      <c r="A286" s="6" t="s">
        <v>1741</v>
      </c>
      <c r="B286" s="262">
        <v>9</v>
      </c>
      <c r="C286" s="4"/>
      <c r="D286" s="9" t="s">
        <v>1723</v>
      </c>
      <c r="E286" s="263">
        <v>10</v>
      </c>
      <c r="F286" s="4"/>
      <c r="G286" s="9" t="s">
        <v>1700</v>
      </c>
      <c r="H286" s="263">
        <v>9</v>
      </c>
      <c r="I286" s="4"/>
      <c r="J286" s="253" t="s">
        <v>1787</v>
      </c>
      <c r="K286" s="3">
        <f>ROUND(SUM(K287:K294)/COUNT(K287:K294), 2)</f>
        <v>8.06</v>
      </c>
      <c r="L286" s="4"/>
      <c r="M286" s="6" t="s">
        <v>1765</v>
      </c>
      <c r="N286" s="262">
        <v>9.5</v>
      </c>
      <c r="O286" s="4"/>
    </row>
    <row r="287" spans="1:15" ht="16.2" thickBot="1">
      <c r="A287" s="6" t="s">
        <v>1742</v>
      </c>
      <c r="B287" s="262">
        <v>8.5</v>
      </c>
      <c r="C287" s="4"/>
      <c r="D287" s="4"/>
      <c r="E287" s="4"/>
      <c r="F287" s="4"/>
      <c r="G287" s="4"/>
      <c r="H287" s="4"/>
      <c r="I287" s="4"/>
      <c r="J287" s="6" t="s">
        <v>1779</v>
      </c>
      <c r="K287" s="262">
        <v>9</v>
      </c>
      <c r="L287" s="4"/>
      <c r="M287" s="6" t="s">
        <v>1766</v>
      </c>
      <c r="N287" s="262">
        <v>9</v>
      </c>
      <c r="O287" s="4"/>
    </row>
    <row r="288" spans="1:15" ht="18.600000000000001" thickBot="1">
      <c r="A288" s="6" t="s">
        <v>1743</v>
      </c>
      <c r="B288" s="262">
        <v>7.5</v>
      </c>
      <c r="C288" s="4"/>
      <c r="D288" s="254" t="s">
        <v>1789</v>
      </c>
      <c r="E288" s="14">
        <f>ROUND(SUM(E289:E297)/COUNT(E289:E297), 2)</f>
        <v>8.5</v>
      </c>
      <c r="F288" s="4"/>
      <c r="G288" s="259" t="s">
        <v>1801</v>
      </c>
      <c r="H288" s="14">
        <f>ROUND(SUM(H289:H294)/COUNT(H289:H294), 2)</f>
        <v>8.83</v>
      </c>
      <c r="I288" s="4"/>
      <c r="J288" s="6" t="s">
        <v>1780</v>
      </c>
      <c r="K288" s="262">
        <v>9</v>
      </c>
      <c r="L288" s="4"/>
      <c r="M288" s="6" t="s">
        <v>1767</v>
      </c>
      <c r="N288" s="262">
        <v>8.5</v>
      </c>
      <c r="O288" s="4"/>
    </row>
    <row r="289" spans="1:15">
      <c r="A289" s="6" t="s">
        <v>1744</v>
      </c>
      <c r="B289" s="262">
        <v>8.5</v>
      </c>
      <c r="C289" s="4"/>
      <c r="D289" s="13" t="s">
        <v>1790</v>
      </c>
      <c r="E289" s="261">
        <v>8</v>
      </c>
      <c r="F289" s="4"/>
      <c r="G289" s="13" t="s">
        <v>1802</v>
      </c>
      <c r="H289" s="261">
        <v>9</v>
      </c>
      <c r="I289" s="4"/>
      <c r="J289" s="6" t="s">
        <v>1781</v>
      </c>
      <c r="K289" s="262">
        <v>8</v>
      </c>
      <c r="L289" s="4"/>
      <c r="M289" s="6" t="s">
        <v>1768</v>
      </c>
      <c r="N289" s="262">
        <v>8.5</v>
      </c>
      <c r="O289" s="4"/>
    </row>
    <row r="290" spans="1:15">
      <c r="A290" s="6" t="s">
        <v>1745</v>
      </c>
      <c r="B290" s="262">
        <v>8.5</v>
      </c>
      <c r="C290" s="4"/>
      <c r="D290" s="6" t="s">
        <v>1791</v>
      </c>
      <c r="E290" s="262">
        <v>9</v>
      </c>
      <c r="F290" s="4"/>
      <c r="G290" s="6" t="s">
        <v>1803</v>
      </c>
      <c r="H290" s="262">
        <v>8.5</v>
      </c>
      <c r="I290" s="4"/>
      <c r="J290" s="6" t="s">
        <v>1782</v>
      </c>
      <c r="K290" s="262">
        <v>7</v>
      </c>
      <c r="L290" s="4"/>
      <c r="M290" s="6" t="s">
        <v>1769</v>
      </c>
      <c r="N290" s="262">
        <v>9</v>
      </c>
      <c r="O290" s="4"/>
    </row>
    <row r="291" spans="1:15">
      <c r="A291" s="6" t="s">
        <v>1746</v>
      </c>
      <c r="B291" s="262">
        <v>8</v>
      </c>
      <c r="C291" s="4"/>
      <c r="D291" s="6" t="s">
        <v>1792</v>
      </c>
      <c r="E291" s="262">
        <v>8.5</v>
      </c>
      <c r="F291" s="4"/>
      <c r="G291" s="6" t="s">
        <v>1804</v>
      </c>
      <c r="H291" s="262">
        <v>8</v>
      </c>
      <c r="I291" s="4"/>
      <c r="J291" s="6" t="s">
        <v>1783</v>
      </c>
      <c r="K291" s="262">
        <v>7.5</v>
      </c>
      <c r="L291" s="4"/>
      <c r="M291" s="6" t="s">
        <v>577</v>
      </c>
      <c r="N291" s="262">
        <v>8</v>
      </c>
      <c r="O291" s="4"/>
    </row>
    <row r="292" spans="1:15">
      <c r="A292" s="6" t="s">
        <v>1747</v>
      </c>
      <c r="B292" s="262">
        <v>9</v>
      </c>
      <c r="C292" s="4"/>
      <c r="D292" s="6" t="s">
        <v>1793</v>
      </c>
      <c r="E292" s="262">
        <v>8.5</v>
      </c>
      <c r="F292" s="4"/>
      <c r="G292" s="6" t="s">
        <v>1805</v>
      </c>
      <c r="H292" s="262">
        <v>9</v>
      </c>
      <c r="I292" s="4"/>
      <c r="J292" s="6" t="s">
        <v>1784</v>
      </c>
      <c r="K292" s="262">
        <v>8</v>
      </c>
      <c r="L292" s="4"/>
      <c r="M292" s="6" t="s">
        <v>1770</v>
      </c>
      <c r="N292" s="262">
        <v>10</v>
      </c>
      <c r="O292" s="4"/>
    </row>
    <row r="293" spans="1:15">
      <c r="A293" s="6" t="s">
        <v>1748</v>
      </c>
      <c r="B293" s="262">
        <v>8.5</v>
      </c>
      <c r="C293" s="4"/>
      <c r="D293" s="6" t="s">
        <v>1794</v>
      </c>
      <c r="E293" s="262">
        <v>9</v>
      </c>
      <c r="F293" s="4"/>
      <c r="G293" s="6" t="s">
        <v>1806</v>
      </c>
      <c r="H293" s="262">
        <v>8.5</v>
      </c>
      <c r="I293" s="4"/>
      <c r="J293" s="6" t="s">
        <v>1785</v>
      </c>
      <c r="K293" s="262">
        <v>7</v>
      </c>
      <c r="L293" s="4"/>
      <c r="M293" s="6" t="s">
        <v>1771</v>
      </c>
      <c r="N293" s="262">
        <v>8</v>
      </c>
      <c r="O293" s="4"/>
    </row>
    <row r="294" spans="1:15" ht="16.2" thickBot="1">
      <c r="A294" s="6" t="s">
        <v>1749</v>
      </c>
      <c r="B294" s="262">
        <v>8</v>
      </c>
      <c r="C294" s="4"/>
      <c r="D294" s="6" t="s">
        <v>1795</v>
      </c>
      <c r="E294" s="262">
        <v>8</v>
      </c>
      <c r="F294" s="4"/>
      <c r="G294" s="9" t="s">
        <v>1807</v>
      </c>
      <c r="H294" s="263">
        <v>10</v>
      </c>
      <c r="I294" s="4"/>
      <c r="J294" s="9" t="s">
        <v>1786</v>
      </c>
      <c r="K294" s="263">
        <v>9</v>
      </c>
      <c r="L294" s="4"/>
      <c r="M294" s="6" t="s">
        <v>1772</v>
      </c>
      <c r="N294" s="262">
        <v>8.5</v>
      </c>
      <c r="O294" s="4"/>
    </row>
    <row r="295" spans="1:15" ht="16.2" thickBot="1">
      <c r="A295" s="6" t="s">
        <v>1750</v>
      </c>
      <c r="B295" s="262">
        <v>8</v>
      </c>
      <c r="C295" s="4"/>
      <c r="D295" s="6" t="s">
        <v>1796</v>
      </c>
      <c r="E295" s="262">
        <v>9</v>
      </c>
      <c r="F295" s="4"/>
      <c r="G295" s="4"/>
      <c r="H295" s="4"/>
      <c r="I295" s="4"/>
      <c r="J295" s="4"/>
      <c r="K295" s="4"/>
      <c r="L295" s="4"/>
      <c r="M295" s="9" t="s">
        <v>1773</v>
      </c>
      <c r="N295" s="263">
        <v>10</v>
      </c>
      <c r="O295" s="4"/>
    </row>
    <row r="296" spans="1:15" ht="18.600000000000001" thickBot="1">
      <c r="A296" s="6" t="s">
        <v>1751</v>
      </c>
      <c r="B296" s="262">
        <v>9</v>
      </c>
      <c r="C296" s="4"/>
      <c r="D296" s="6" t="s">
        <v>1797</v>
      </c>
      <c r="E296" s="262">
        <v>8.5</v>
      </c>
      <c r="F296" s="4"/>
      <c r="G296" s="255" t="s">
        <v>1825</v>
      </c>
      <c r="H296" s="14">
        <f>ROUND(SUM(H297:H307)/COUNT(H297:H307), 2)</f>
        <v>3.68</v>
      </c>
      <c r="I296" s="4"/>
      <c r="J296" s="274" t="s">
        <v>1844</v>
      </c>
      <c r="K296" s="14">
        <f>ROUND(SUM(K297:K302)/COUNT(K297:K302), 2)</f>
        <v>8.92</v>
      </c>
      <c r="L296" s="4"/>
      <c r="M296" s="4"/>
      <c r="N296" s="4"/>
      <c r="O296" s="4"/>
    </row>
    <row r="297" spans="1:15" ht="18.600000000000001" thickBot="1">
      <c r="A297" s="6" t="s">
        <v>1752</v>
      </c>
      <c r="B297" s="262">
        <v>8</v>
      </c>
      <c r="C297" s="4"/>
      <c r="D297" s="9" t="s">
        <v>1798</v>
      </c>
      <c r="E297" s="263">
        <v>8</v>
      </c>
      <c r="F297" s="4"/>
      <c r="G297" s="13" t="s">
        <v>1826</v>
      </c>
      <c r="H297" s="261">
        <v>6.5</v>
      </c>
      <c r="I297" s="4"/>
      <c r="J297" s="13" t="s">
        <v>1845</v>
      </c>
      <c r="K297" s="261">
        <v>9</v>
      </c>
      <c r="L297" s="4"/>
      <c r="M297" s="276" t="s">
        <v>1859</v>
      </c>
      <c r="N297" s="14">
        <f>ROUND(SUM(N298:N304)/COUNT(N298:N304), 2)</f>
        <v>8.2899999999999991</v>
      </c>
      <c r="O297" s="4"/>
    </row>
    <row r="298" spans="1:15" ht="16.2" thickBot="1">
      <c r="A298" s="273">
        <v>1979</v>
      </c>
      <c r="B298" s="262">
        <v>10.5</v>
      </c>
      <c r="C298" s="4"/>
      <c r="D298" s="4"/>
      <c r="E298" s="4"/>
      <c r="F298" s="4"/>
      <c r="G298" s="6" t="s">
        <v>1827</v>
      </c>
      <c r="H298" s="262">
        <v>5</v>
      </c>
      <c r="I298" s="4"/>
      <c r="J298" s="6" t="s">
        <v>1846</v>
      </c>
      <c r="K298" s="262">
        <v>8.5</v>
      </c>
      <c r="L298" s="4"/>
      <c r="M298" s="13" t="s">
        <v>1852</v>
      </c>
      <c r="N298" s="261">
        <v>8</v>
      </c>
      <c r="O298" s="4"/>
    </row>
    <row r="299" spans="1:15" ht="18.600000000000001" thickBot="1">
      <c r="A299" s="6" t="s">
        <v>1753</v>
      </c>
      <c r="B299" s="262">
        <v>7</v>
      </c>
      <c r="C299" s="4"/>
      <c r="D299" s="277" t="s">
        <v>1862</v>
      </c>
      <c r="E299" s="14">
        <f>ROUND(SUM(E300:E309)/COUNT(E300:E309), 2)</f>
        <v>8.2899999999999991</v>
      </c>
      <c r="F299" s="4"/>
      <c r="G299" s="6" t="s">
        <v>1828</v>
      </c>
      <c r="H299" s="262">
        <v>5.5</v>
      </c>
      <c r="I299" s="4"/>
      <c r="J299" s="6" t="s">
        <v>1847</v>
      </c>
      <c r="K299" s="262">
        <v>9</v>
      </c>
      <c r="L299" s="4"/>
      <c r="M299" s="6" t="s">
        <v>1853</v>
      </c>
      <c r="N299" s="262">
        <v>7.5</v>
      </c>
      <c r="O299" s="4"/>
    </row>
    <row r="300" spans="1:15">
      <c r="A300" s="6" t="s">
        <v>1754</v>
      </c>
      <c r="B300" s="262">
        <v>8.5</v>
      </c>
      <c r="C300" s="4"/>
      <c r="D300" s="13" t="s">
        <v>1863</v>
      </c>
      <c r="E300" s="261"/>
      <c r="F300" s="4"/>
      <c r="G300" s="6" t="s">
        <v>1829</v>
      </c>
      <c r="H300" s="262">
        <v>4</v>
      </c>
      <c r="I300" s="4"/>
      <c r="J300" s="6" t="s">
        <v>1848</v>
      </c>
      <c r="K300" s="262">
        <v>8.5</v>
      </c>
      <c r="L300" s="4"/>
      <c r="M300" s="6" t="s">
        <v>1854</v>
      </c>
      <c r="N300" s="262">
        <v>9</v>
      </c>
      <c r="O300" s="4"/>
    </row>
    <row r="301" spans="1:15">
      <c r="A301" s="6" t="s">
        <v>1755</v>
      </c>
      <c r="B301" s="262">
        <v>8.5</v>
      </c>
      <c r="C301" s="4"/>
      <c r="D301" s="6" t="s">
        <v>1864</v>
      </c>
      <c r="E301" s="262">
        <v>8.5</v>
      </c>
      <c r="F301" s="4"/>
      <c r="G301" s="6" t="s">
        <v>1830</v>
      </c>
      <c r="H301" s="262">
        <v>3</v>
      </c>
      <c r="I301" s="4"/>
      <c r="J301" s="6" t="s">
        <v>1849</v>
      </c>
      <c r="K301" s="262">
        <v>8</v>
      </c>
      <c r="L301" s="4"/>
      <c r="M301" s="6" t="s">
        <v>1855</v>
      </c>
      <c r="N301" s="262">
        <v>8</v>
      </c>
      <c r="O301" s="4"/>
    </row>
    <row r="302" spans="1:15" ht="16.2" thickBot="1">
      <c r="A302" s="6" t="s">
        <v>1756</v>
      </c>
      <c r="B302" s="262">
        <v>7.5</v>
      </c>
      <c r="C302" s="4"/>
      <c r="D302" s="6" t="s">
        <v>1865</v>
      </c>
      <c r="E302" s="262">
        <v>9</v>
      </c>
      <c r="F302" s="4"/>
      <c r="G302" s="6" t="s">
        <v>1831</v>
      </c>
      <c r="H302" s="262">
        <v>3</v>
      </c>
      <c r="I302" s="4"/>
      <c r="J302" s="9" t="s">
        <v>1850</v>
      </c>
      <c r="K302" s="263">
        <v>10.5</v>
      </c>
      <c r="L302" s="4"/>
      <c r="M302" s="6" t="s">
        <v>1856</v>
      </c>
      <c r="N302" s="262">
        <v>8.5</v>
      </c>
      <c r="O302" s="4"/>
    </row>
    <row r="303" spans="1:15" ht="16.2" thickBot="1">
      <c r="A303" s="6" t="s">
        <v>1757</v>
      </c>
      <c r="B303" s="262">
        <v>8.5</v>
      </c>
      <c r="C303" s="4"/>
      <c r="D303" s="6" t="s">
        <v>1866</v>
      </c>
      <c r="E303" s="262"/>
      <c r="F303" s="4"/>
      <c r="G303" s="6" t="s">
        <v>1832</v>
      </c>
      <c r="H303" s="262">
        <v>3</v>
      </c>
      <c r="I303" s="4"/>
      <c r="J303" s="4"/>
      <c r="K303" s="4"/>
      <c r="L303" s="4"/>
      <c r="M303" s="6" t="s">
        <v>1857</v>
      </c>
      <c r="N303" s="262">
        <v>8</v>
      </c>
      <c r="O303" s="4"/>
    </row>
    <row r="304" spans="1:15" ht="18.600000000000001" thickBot="1">
      <c r="A304" s="6" t="s">
        <v>1758</v>
      </c>
      <c r="B304" s="262">
        <v>9</v>
      </c>
      <c r="C304" s="4"/>
      <c r="D304" s="6" t="s">
        <v>1867</v>
      </c>
      <c r="E304" s="262">
        <v>7.5</v>
      </c>
      <c r="F304" s="4"/>
      <c r="G304" s="6" t="s">
        <v>1833</v>
      </c>
      <c r="H304" s="262">
        <v>3.5</v>
      </c>
      <c r="I304" s="4"/>
      <c r="J304" s="278" t="s">
        <v>1887</v>
      </c>
      <c r="K304" s="14">
        <f>ROUND(SUM(K305:K316)/COUNT(K305:K316), 2)</f>
        <v>8.9600000000000009</v>
      </c>
      <c r="L304" s="4"/>
      <c r="M304" s="9" t="s">
        <v>1858</v>
      </c>
      <c r="N304" s="263">
        <v>9</v>
      </c>
      <c r="O304" s="4"/>
    </row>
    <row r="305" spans="1:15" ht="16.2" thickBot="1">
      <c r="A305" s="6" t="s">
        <v>1759</v>
      </c>
      <c r="B305" s="262">
        <v>8.5</v>
      </c>
      <c r="C305" s="4"/>
      <c r="D305" s="6" t="s">
        <v>1868</v>
      </c>
      <c r="E305" s="262">
        <v>8.5</v>
      </c>
      <c r="F305" s="4"/>
      <c r="G305" s="6" t="s">
        <v>1834</v>
      </c>
      <c r="H305" s="262">
        <v>3</v>
      </c>
      <c r="I305" s="4"/>
      <c r="J305" s="13" t="s">
        <v>1875</v>
      </c>
      <c r="K305" s="261">
        <v>8.5</v>
      </c>
      <c r="L305" s="4"/>
      <c r="M305" s="4"/>
      <c r="N305" s="4"/>
      <c r="O305" s="4"/>
    </row>
    <row r="306" spans="1:15" ht="18.600000000000001" thickBot="1">
      <c r="A306" s="6" t="s">
        <v>1760</v>
      </c>
      <c r="B306" s="262">
        <v>9</v>
      </c>
      <c r="C306" s="4"/>
      <c r="D306" s="6" t="s">
        <v>1869</v>
      </c>
      <c r="E306" s="262">
        <v>8</v>
      </c>
      <c r="F306" s="4"/>
      <c r="G306" s="6" t="s">
        <v>1835</v>
      </c>
      <c r="H306" s="262">
        <v>2</v>
      </c>
      <c r="I306" s="4"/>
      <c r="J306" s="6" t="s">
        <v>1876</v>
      </c>
      <c r="K306" s="262">
        <v>10</v>
      </c>
      <c r="L306" s="4"/>
      <c r="M306" s="280" t="s">
        <v>1894</v>
      </c>
      <c r="N306" s="14">
        <f>ROUND(SUM(N307:N316)/COUNT(N307:N316), 2)</f>
        <v>8.6</v>
      </c>
      <c r="O306" s="4"/>
    </row>
    <row r="307" spans="1:15" ht="16.2" thickBot="1">
      <c r="A307" s="9" t="s">
        <v>1761</v>
      </c>
      <c r="B307" s="263">
        <v>8.5</v>
      </c>
      <c r="C307" s="4"/>
      <c r="D307" s="6" t="s">
        <v>1870</v>
      </c>
      <c r="E307" s="262">
        <v>8</v>
      </c>
      <c r="F307" s="4"/>
      <c r="G307" s="9" t="s">
        <v>1836</v>
      </c>
      <c r="H307" s="263">
        <v>2</v>
      </c>
      <c r="I307" s="4"/>
      <c r="J307" s="6" t="s">
        <v>1877</v>
      </c>
      <c r="K307" s="262">
        <v>9</v>
      </c>
      <c r="L307" s="4"/>
      <c r="M307" s="13" t="s">
        <v>1895</v>
      </c>
      <c r="N307" s="261">
        <v>8</v>
      </c>
      <c r="O307" s="4"/>
    </row>
    <row r="308" spans="1:15" ht="16.2" thickBot="1">
      <c r="A308" s="4"/>
      <c r="B308" s="4"/>
      <c r="C308" s="4"/>
      <c r="D308" s="9" t="s">
        <v>1871</v>
      </c>
      <c r="E308" s="263">
        <v>8.5</v>
      </c>
      <c r="F308" s="4"/>
      <c r="G308" s="4"/>
      <c r="H308" s="4"/>
      <c r="I308" s="4"/>
      <c r="J308" s="6" t="s">
        <v>1878</v>
      </c>
      <c r="K308" s="262">
        <v>9</v>
      </c>
      <c r="L308" s="4"/>
      <c r="M308" s="6" t="s">
        <v>1896</v>
      </c>
      <c r="N308" s="262">
        <v>9</v>
      </c>
      <c r="O308" s="4"/>
    </row>
    <row r="309" spans="1:15" ht="18.600000000000001" thickBot="1">
      <c r="A309" s="283" t="s">
        <v>1912</v>
      </c>
      <c r="B309" s="14">
        <f>ROUND(SUM(B310:B320)/COUNT(B310:B320), 2)</f>
        <v>8.18</v>
      </c>
      <c r="C309" s="4"/>
      <c r="D309" s="4"/>
      <c r="E309" s="4"/>
      <c r="F309" s="4"/>
      <c r="G309" s="284" t="s">
        <v>1942</v>
      </c>
      <c r="H309" s="14">
        <f>ROUND(SUM(H310:H327)/COUNT(H310:H327), 2)</f>
        <v>7.31</v>
      </c>
      <c r="I309" s="4"/>
      <c r="J309" s="6" t="s">
        <v>1879</v>
      </c>
      <c r="K309" s="262">
        <v>9</v>
      </c>
      <c r="L309" s="4"/>
      <c r="M309" s="6" t="s">
        <v>1897</v>
      </c>
      <c r="N309" s="262">
        <v>9</v>
      </c>
      <c r="O309" s="4"/>
    </row>
    <row r="310" spans="1:15" ht="18.600000000000001" thickBot="1">
      <c r="A310" s="13" t="s">
        <v>1913</v>
      </c>
      <c r="B310" s="261">
        <v>7.5</v>
      </c>
      <c r="C310" s="4"/>
      <c r="D310" s="288" t="s">
        <v>2050</v>
      </c>
      <c r="E310" s="14">
        <f>ROUND(SUM(E311:E318)/COUNT(E311:E318), 2)</f>
        <v>8.5</v>
      </c>
      <c r="F310" s="4"/>
      <c r="G310" s="13" t="s">
        <v>1924</v>
      </c>
      <c r="H310" s="261">
        <v>8.5</v>
      </c>
      <c r="I310" s="4"/>
      <c r="J310" s="6" t="s">
        <v>1880</v>
      </c>
      <c r="K310" s="262">
        <v>10</v>
      </c>
      <c r="L310" s="4"/>
      <c r="M310" s="6" t="s">
        <v>1898</v>
      </c>
      <c r="N310" s="262">
        <v>10</v>
      </c>
      <c r="O310" s="4"/>
    </row>
    <row r="311" spans="1:15">
      <c r="A311" s="6" t="s">
        <v>1914</v>
      </c>
      <c r="B311" s="262">
        <v>8.5</v>
      </c>
      <c r="C311" s="4"/>
      <c r="D311" s="13" t="s">
        <v>2051</v>
      </c>
      <c r="E311" s="261">
        <v>8.5</v>
      </c>
      <c r="F311" s="4"/>
      <c r="G311" s="6" t="s">
        <v>1925</v>
      </c>
      <c r="H311" s="262">
        <v>7.5</v>
      </c>
      <c r="I311" s="4"/>
      <c r="J311" s="6" t="s">
        <v>1881</v>
      </c>
      <c r="K311" s="262">
        <v>8</v>
      </c>
      <c r="L311" s="4"/>
      <c r="M311" s="6" t="s">
        <v>1899</v>
      </c>
      <c r="N311" s="262">
        <v>8.5</v>
      </c>
      <c r="O311" s="4"/>
    </row>
    <row r="312" spans="1:15">
      <c r="A312" s="6" t="s">
        <v>1162</v>
      </c>
      <c r="B312" s="262">
        <v>8</v>
      </c>
      <c r="C312" s="4"/>
      <c r="D312" s="6" t="s">
        <v>2052</v>
      </c>
      <c r="E312" s="262">
        <v>8.5</v>
      </c>
      <c r="F312" s="4"/>
      <c r="G312" s="6" t="s">
        <v>1926</v>
      </c>
      <c r="H312" s="262">
        <v>8.5</v>
      </c>
      <c r="I312" s="4"/>
      <c r="J312" s="6" t="s">
        <v>1882</v>
      </c>
      <c r="K312" s="262">
        <v>8.5</v>
      </c>
      <c r="L312" s="4"/>
      <c r="M312" s="6" t="s">
        <v>1900</v>
      </c>
      <c r="N312" s="262">
        <v>8.5</v>
      </c>
      <c r="O312" s="4"/>
    </row>
    <row r="313" spans="1:15">
      <c r="A313" s="6" t="s">
        <v>1915</v>
      </c>
      <c r="B313" s="262">
        <v>8</v>
      </c>
      <c r="C313" s="4"/>
      <c r="D313" s="6" t="s">
        <v>2053</v>
      </c>
      <c r="E313" s="262">
        <v>9</v>
      </c>
      <c r="F313" s="4"/>
      <c r="G313" s="6" t="s">
        <v>1927</v>
      </c>
      <c r="H313" s="262">
        <v>8.5</v>
      </c>
      <c r="I313" s="4"/>
      <c r="J313" s="6" t="s">
        <v>1883</v>
      </c>
      <c r="K313" s="262">
        <v>8.5</v>
      </c>
      <c r="L313" s="4"/>
      <c r="M313" s="6" t="s">
        <v>1901</v>
      </c>
      <c r="N313" s="262">
        <v>8</v>
      </c>
      <c r="O313" s="4"/>
    </row>
    <row r="314" spans="1:15">
      <c r="A314" s="6" t="s">
        <v>1916</v>
      </c>
      <c r="B314" s="262">
        <v>9.5</v>
      </c>
      <c r="C314" s="4"/>
      <c r="D314" s="6" t="s">
        <v>2054</v>
      </c>
      <c r="E314" s="262">
        <v>9</v>
      </c>
      <c r="F314" s="4"/>
      <c r="G314" s="6" t="s">
        <v>1928</v>
      </c>
      <c r="H314" s="262">
        <v>7.5</v>
      </c>
      <c r="I314" s="4"/>
      <c r="J314" s="6" t="s">
        <v>1884</v>
      </c>
      <c r="K314" s="262">
        <v>9</v>
      </c>
      <c r="L314" s="4"/>
      <c r="M314" s="6" t="s">
        <v>1902</v>
      </c>
      <c r="N314" s="262">
        <v>8.5</v>
      </c>
      <c r="O314" s="4"/>
    </row>
    <row r="315" spans="1:15">
      <c r="A315" s="6" t="s">
        <v>1917</v>
      </c>
      <c r="B315" s="262">
        <v>7</v>
      </c>
      <c r="C315" s="4"/>
      <c r="D315" s="6" t="s">
        <v>2055</v>
      </c>
      <c r="E315" s="262">
        <v>8</v>
      </c>
      <c r="F315" s="4"/>
      <c r="G315" s="6" t="s">
        <v>1929</v>
      </c>
      <c r="H315" s="262">
        <v>7</v>
      </c>
      <c r="I315" s="4"/>
      <c r="J315" s="6" t="s">
        <v>1885</v>
      </c>
      <c r="K315" s="262">
        <v>9.5</v>
      </c>
      <c r="L315" s="4"/>
      <c r="M315" s="6" t="s">
        <v>1903</v>
      </c>
      <c r="N315" s="262">
        <v>7.5</v>
      </c>
      <c r="O315" s="4"/>
    </row>
    <row r="316" spans="1:15" ht="16.2" thickBot="1">
      <c r="A316" s="6" t="s">
        <v>1918</v>
      </c>
      <c r="B316" s="262">
        <v>10</v>
      </c>
      <c r="C316" s="4"/>
      <c r="D316" s="6" t="s">
        <v>2056</v>
      </c>
      <c r="E316" s="262">
        <v>8</v>
      </c>
      <c r="F316" s="4"/>
      <c r="G316" s="6" t="s">
        <v>1930</v>
      </c>
      <c r="H316" s="262">
        <v>7</v>
      </c>
      <c r="I316" s="4"/>
      <c r="J316" s="9" t="s">
        <v>1886</v>
      </c>
      <c r="K316" s="263">
        <v>8.5</v>
      </c>
      <c r="L316" s="4"/>
      <c r="M316" s="9" t="s">
        <v>1904</v>
      </c>
      <c r="N316" s="263">
        <v>9</v>
      </c>
      <c r="O316" s="4"/>
    </row>
    <row r="317" spans="1:15" ht="16.2" thickBot="1">
      <c r="A317" s="6" t="s">
        <v>1919</v>
      </c>
      <c r="B317" s="262">
        <v>8.5</v>
      </c>
      <c r="C317" s="4"/>
      <c r="D317" s="6" t="s">
        <v>2057</v>
      </c>
      <c r="E317" s="262">
        <v>8.5</v>
      </c>
      <c r="F317" s="4"/>
      <c r="G317" s="6" t="s">
        <v>1931</v>
      </c>
      <c r="H317" s="262">
        <v>7.5</v>
      </c>
      <c r="I317" s="4"/>
      <c r="J317" s="4"/>
      <c r="K317" s="4"/>
      <c r="L317" s="4"/>
      <c r="M317" s="4"/>
      <c r="N317" s="4"/>
      <c r="O317" s="4"/>
    </row>
    <row r="318" spans="1:15" ht="18.600000000000001" thickBot="1">
      <c r="A318" s="6" t="s">
        <v>1920</v>
      </c>
      <c r="B318" s="262">
        <v>7.5</v>
      </c>
      <c r="C318" s="4"/>
      <c r="D318" s="9" t="s">
        <v>2058</v>
      </c>
      <c r="E318" s="263">
        <v>8.5</v>
      </c>
      <c r="F318" s="4"/>
      <c r="G318" s="6" t="s">
        <v>1932</v>
      </c>
      <c r="H318" s="262">
        <v>7</v>
      </c>
      <c r="I318" s="4"/>
      <c r="J318" s="292" t="s">
        <v>2076</v>
      </c>
      <c r="K318" s="14">
        <f>ROUND(SUM(K319:K326)/COUNT(K319:K326), 2)</f>
        <v>8.43</v>
      </c>
      <c r="L318" s="4"/>
      <c r="M318" s="293" t="s">
        <v>2088</v>
      </c>
      <c r="N318" s="14">
        <f>ROUND(SUM(N319:N326)/COUNT(N319:N326), 2)</f>
        <v>9.31</v>
      </c>
      <c r="O318" s="4"/>
    </row>
    <row r="319" spans="1:15" ht="16.2" thickBot="1">
      <c r="A319" s="6" t="s">
        <v>1921</v>
      </c>
      <c r="B319" s="262">
        <v>7.5</v>
      </c>
      <c r="C319" s="4"/>
      <c r="D319" s="4"/>
      <c r="E319" s="4"/>
      <c r="F319" s="4"/>
      <c r="G319" s="6" t="s">
        <v>1933</v>
      </c>
      <c r="H319" s="262">
        <v>7</v>
      </c>
      <c r="I319" s="4"/>
      <c r="J319" s="13" t="s">
        <v>2077</v>
      </c>
      <c r="K319" s="261"/>
      <c r="L319" s="4"/>
      <c r="M319" s="13" t="s">
        <v>2089</v>
      </c>
      <c r="N319" s="261">
        <v>10</v>
      </c>
      <c r="O319" s="4"/>
    </row>
    <row r="320" spans="1:15" ht="18.600000000000001" thickBot="1">
      <c r="A320" s="9" t="s">
        <v>1922</v>
      </c>
      <c r="B320" s="263">
        <v>8</v>
      </c>
      <c r="C320" s="4"/>
      <c r="D320" s="290" t="s">
        <v>2061</v>
      </c>
      <c r="E320" s="14">
        <f>ROUND(SUM(E321:E326)/COUNT(E321:E326), 2)</f>
        <v>8.67</v>
      </c>
      <c r="F320" s="4"/>
      <c r="G320" s="6" t="s">
        <v>1934</v>
      </c>
      <c r="H320" s="262">
        <v>7.5</v>
      </c>
      <c r="I320" s="4"/>
      <c r="J320" s="6" t="s">
        <v>2078</v>
      </c>
      <c r="K320" s="262">
        <v>8.5</v>
      </c>
      <c r="L320" s="4"/>
      <c r="M320" s="6" t="s">
        <v>2090</v>
      </c>
      <c r="N320" s="262">
        <v>10.5</v>
      </c>
      <c r="O320" s="4"/>
    </row>
    <row r="321" spans="1:15" ht="16.2" thickBot="1">
      <c r="A321" s="4"/>
      <c r="B321" s="4"/>
      <c r="C321" s="4"/>
      <c r="D321" s="13" t="s">
        <v>2062</v>
      </c>
      <c r="E321" s="261">
        <v>8.5</v>
      </c>
      <c r="F321" s="4"/>
      <c r="G321" s="6" t="s">
        <v>1935</v>
      </c>
      <c r="H321" s="262">
        <v>6</v>
      </c>
      <c r="I321" s="4"/>
      <c r="J321" s="6" t="s">
        <v>2079</v>
      </c>
      <c r="K321" s="262">
        <v>9</v>
      </c>
      <c r="L321" s="4"/>
      <c r="M321" s="6" t="s">
        <v>2091</v>
      </c>
      <c r="N321" s="262">
        <v>9.5</v>
      </c>
      <c r="O321" s="4"/>
    </row>
    <row r="322" spans="1:15" ht="18.600000000000001" thickBot="1">
      <c r="A322" s="295" t="s">
        <v>2101</v>
      </c>
      <c r="B322" s="14">
        <f>ROUND(SUM(B323:B341)/COUNT(B323:B341), 2)</f>
        <v>8.3800000000000008</v>
      </c>
      <c r="C322" s="4"/>
      <c r="D322" s="6" t="s">
        <v>2063</v>
      </c>
      <c r="E322" s="262">
        <v>9</v>
      </c>
      <c r="F322" s="4"/>
      <c r="G322" s="6" t="s">
        <v>1936</v>
      </c>
      <c r="H322" s="262">
        <v>7</v>
      </c>
      <c r="I322" s="4"/>
      <c r="J322" s="6" t="s">
        <v>2080</v>
      </c>
      <c r="K322" s="262">
        <v>8.5</v>
      </c>
      <c r="L322" s="4"/>
      <c r="M322" s="6" t="s">
        <v>2092</v>
      </c>
      <c r="N322" s="262">
        <v>10</v>
      </c>
      <c r="O322" s="4"/>
    </row>
    <row r="323" spans="1:15">
      <c r="A323" s="13" t="s">
        <v>1437</v>
      </c>
      <c r="B323" s="261"/>
      <c r="C323" s="4"/>
      <c r="D323" s="6" t="s">
        <v>2064</v>
      </c>
      <c r="E323" s="262">
        <v>8.5</v>
      </c>
      <c r="F323" s="4"/>
      <c r="G323" s="6" t="s">
        <v>1937</v>
      </c>
      <c r="H323" s="262">
        <v>8</v>
      </c>
      <c r="I323" s="4"/>
      <c r="J323" s="6" t="s">
        <v>2081</v>
      </c>
      <c r="K323" s="262">
        <v>8.5</v>
      </c>
      <c r="L323" s="4"/>
      <c r="M323" s="6" t="s">
        <v>2093</v>
      </c>
      <c r="N323" s="262">
        <v>9</v>
      </c>
      <c r="O323" s="4"/>
    </row>
    <row r="324" spans="1:15">
      <c r="A324" s="6" t="s">
        <v>2102</v>
      </c>
      <c r="B324" s="262">
        <v>8</v>
      </c>
      <c r="C324" s="4"/>
      <c r="D324" s="6" t="s">
        <v>2065</v>
      </c>
      <c r="E324" s="262">
        <v>7.5</v>
      </c>
      <c r="F324" s="4"/>
      <c r="G324" s="6" t="s">
        <v>1938</v>
      </c>
      <c r="H324" s="262">
        <v>7.5</v>
      </c>
      <c r="I324" s="4"/>
      <c r="J324" s="6" t="s">
        <v>2082</v>
      </c>
      <c r="K324" s="262">
        <v>7.5</v>
      </c>
      <c r="L324" s="4"/>
      <c r="M324" s="6" t="s">
        <v>2094</v>
      </c>
      <c r="N324" s="262">
        <v>8.5</v>
      </c>
      <c r="O324" s="4"/>
    </row>
    <row r="325" spans="1:15">
      <c r="A325" s="6" t="s">
        <v>2103</v>
      </c>
      <c r="B325" s="262">
        <v>8</v>
      </c>
      <c r="C325" s="4"/>
      <c r="D325" s="6" t="s">
        <v>2066</v>
      </c>
      <c r="E325" s="262">
        <v>9</v>
      </c>
      <c r="F325" s="4"/>
      <c r="G325" s="6" t="s">
        <v>1939</v>
      </c>
      <c r="H325" s="262">
        <v>7</v>
      </c>
      <c r="I325" s="4"/>
      <c r="J325" s="6" t="s">
        <v>2083</v>
      </c>
      <c r="K325" s="262">
        <v>8</v>
      </c>
      <c r="L325" s="4"/>
      <c r="M325" s="6" t="s">
        <v>2095</v>
      </c>
      <c r="N325" s="262">
        <v>8.5</v>
      </c>
      <c r="O325" s="4"/>
    </row>
    <row r="326" spans="1:15" ht="16.2" thickBot="1">
      <c r="A326" s="6" t="s">
        <v>2104</v>
      </c>
      <c r="B326" s="262">
        <v>8.5</v>
      </c>
      <c r="C326" s="4"/>
      <c r="D326" s="9" t="s">
        <v>2067</v>
      </c>
      <c r="E326" s="263">
        <v>9.5</v>
      </c>
      <c r="F326" s="4"/>
      <c r="G326" s="6" t="s">
        <v>1940</v>
      </c>
      <c r="H326" s="262">
        <v>6</v>
      </c>
      <c r="I326" s="4"/>
      <c r="J326" s="9" t="s">
        <v>2084</v>
      </c>
      <c r="K326" s="263">
        <v>9</v>
      </c>
      <c r="L326" s="4"/>
      <c r="M326" s="9" t="s">
        <v>2096</v>
      </c>
      <c r="N326" s="263">
        <v>8.5</v>
      </c>
      <c r="O326" s="4"/>
    </row>
    <row r="327" spans="1:15" ht="16.2" thickBot="1">
      <c r="A327" s="6" t="s">
        <v>2105</v>
      </c>
      <c r="B327" s="262">
        <v>8</v>
      </c>
      <c r="C327" s="4"/>
      <c r="D327" s="4"/>
      <c r="E327" s="4"/>
      <c r="F327" s="4"/>
      <c r="G327" s="9" t="s">
        <v>1941</v>
      </c>
      <c r="H327" s="263">
        <v>6.5</v>
      </c>
      <c r="I327" s="4"/>
      <c r="J327" s="4"/>
      <c r="K327" s="4"/>
      <c r="L327" s="4"/>
      <c r="M327" s="4"/>
      <c r="N327" s="4"/>
      <c r="O327" s="4"/>
    </row>
    <row r="328" spans="1:15" ht="18.600000000000001" thickBot="1">
      <c r="A328" s="6" t="s">
        <v>2106</v>
      </c>
      <c r="B328" s="262">
        <v>9</v>
      </c>
      <c r="C328" s="4"/>
      <c r="D328" s="298" t="s">
        <v>2125</v>
      </c>
      <c r="E328" s="14">
        <f>ROUND(SUM(E329:E358)/COUNT(E329:E358), 2)</f>
        <v>8.7200000000000006</v>
      </c>
      <c r="F328" s="4"/>
      <c r="G328" s="4"/>
      <c r="H328" s="4"/>
      <c r="I328" s="4"/>
      <c r="J328" s="299" t="s">
        <v>2160</v>
      </c>
      <c r="K328" s="14">
        <f>ROUND(SUM(K329:K338)/COUNT(K329:K338), 2)</f>
        <v>8.6</v>
      </c>
      <c r="L328" s="4"/>
      <c r="M328" s="305" t="s">
        <v>2185</v>
      </c>
      <c r="N328" s="14">
        <f>ROUND(SUM(N329:N336)/COUNT(N329:N336), 2)</f>
        <v>8.81</v>
      </c>
      <c r="O328" s="4"/>
    </row>
    <row r="329" spans="1:15">
      <c r="A329" s="6" t="s">
        <v>2107</v>
      </c>
      <c r="B329" s="262">
        <v>8.5</v>
      </c>
      <c r="C329" s="4"/>
      <c r="D329" s="13" t="s">
        <v>2126</v>
      </c>
      <c r="E329" s="261">
        <v>8.5</v>
      </c>
      <c r="F329" s="4"/>
      <c r="I329" s="4"/>
      <c r="J329" s="13" t="s">
        <v>2161</v>
      </c>
      <c r="K329" s="261">
        <v>10.5</v>
      </c>
      <c r="L329" s="4"/>
      <c r="M329" s="302" t="s">
        <v>111</v>
      </c>
      <c r="N329" s="261">
        <v>9</v>
      </c>
      <c r="O329" s="4"/>
    </row>
    <row r="330" spans="1:15">
      <c r="A330" s="6" t="s">
        <v>2108</v>
      </c>
      <c r="B330" s="262"/>
      <c r="C330" s="4"/>
      <c r="D330" s="6" t="s">
        <v>2127</v>
      </c>
      <c r="E330" s="262">
        <v>10.5</v>
      </c>
      <c r="F330" s="4"/>
      <c r="I330" s="4"/>
      <c r="J330" s="6" t="s">
        <v>2162</v>
      </c>
      <c r="K330" s="262">
        <v>8</v>
      </c>
      <c r="L330" s="4"/>
      <c r="M330" s="303" t="s">
        <v>2186</v>
      </c>
      <c r="N330" s="262">
        <v>8.5</v>
      </c>
      <c r="O330" s="4"/>
    </row>
    <row r="331" spans="1:15">
      <c r="A331" s="6" t="s">
        <v>2109</v>
      </c>
      <c r="B331" s="262">
        <v>8.5</v>
      </c>
      <c r="C331" s="4"/>
      <c r="D331" s="6" t="s">
        <v>2128</v>
      </c>
      <c r="E331" s="262">
        <v>9.5</v>
      </c>
      <c r="F331" s="4"/>
      <c r="I331" s="4"/>
      <c r="J331" s="6" t="s">
        <v>2163</v>
      </c>
      <c r="K331" s="262">
        <v>7.5</v>
      </c>
      <c r="L331" s="4"/>
      <c r="M331" s="303" t="s">
        <v>2187</v>
      </c>
      <c r="N331" s="262">
        <v>9.5</v>
      </c>
      <c r="O331" s="4"/>
    </row>
    <row r="332" spans="1:15">
      <c r="A332" s="6" t="s">
        <v>2110</v>
      </c>
      <c r="B332" s="262">
        <v>10</v>
      </c>
      <c r="C332" s="4"/>
      <c r="D332" s="6" t="s">
        <v>2129</v>
      </c>
      <c r="E332" s="262">
        <v>9</v>
      </c>
      <c r="F332" s="4"/>
      <c r="I332" s="4"/>
      <c r="J332" s="6" t="s">
        <v>2164</v>
      </c>
      <c r="K332" s="262">
        <v>9.5</v>
      </c>
      <c r="L332" s="4"/>
      <c r="M332" s="303" t="s">
        <v>2188</v>
      </c>
      <c r="N332" s="262">
        <v>10.5</v>
      </c>
      <c r="O332" s="4"/>
    </row>
    <row r="333" spans="1:15">
      <c r="A333" s="6" t="s">
        <v>2111</v>
      </c>
      <c r="B333" s="262">
        <v>8.5</v>
      </c>
      <c r="C333" s="4"/>
      <c r="D333" s="6" t="s">
        <v>2130</v>
      </c>
      <c r="E333" s="262">
        <v>8.5</v>
      </c>
      <c r="F333" s="4"/>
      <c r="I333" s="4"/>
      <c r="J333" s="6" t="s">
        <v>2165</v>
      </c>
      <c r="K333" s="262">
        <v>7.5</v>
      </c>
      <c r="L333" s="4"/>
      <c r="M333" s="303" t="s">
        <v>2189</v>
      </c>
      <c r="N333" s="262">
        <v>8.5</v>
      </c>
      <c r="O333" s="4"/>
    </row>
    <row r="334" spans="1:15">
      <c r="A334" s="6" t="s">
        <v>2112</v>
      </c>
      <c r="B334" s="262">
        <v>7.5</v>
      </c>
      <c r="C334" s="4"/>
      <c r="D334" s="6" t="s">
        <v>2131</v>
      </c>
      <c r="E334" s="262">
        <v>9</v>
      </c>
      <c r="F334" s="4"/>
      <c r="I334" s="4"/>
      <c r="J334" s="6" t="s">
        <v>2166</v>
      </c>
      <c r="K334" s="262">
        <v>8</v>
      </c>
      <c r="L334" s="4"/>
      <c r="M334" s="303" t="s">
        <v>2190</v>
      </c>
      <c r="N334" s="262">
        <v>8</v>
      </c>
      <c r="O334" s="4"/>
    </row>
    <row r="335" spans="1:15">
      <c r="A335" s="6" t="s">
        <v>2113</v>
      </c>
      <c r="B335" s="262">
        <v>10</v>
      </c>
      <c r="C335" s="4"/>
      <c r="D335" s="6" t="s">
        <v>2132</v>
      </c>
      <c r="E335" s="262">
        <v>8.5</v>
      </c>
      <c r="F335" s="4"/>
      <c r="I335" s="4"/>
      <c r="J335" s="6" t="s">
        <v>2167</v>
      </c>
      <c r="K335" s="262">
        <v>10</v>
      </c>
      <c r="L335" s="4"/>
      <c r="M335" s="303" t="s">
        <v>2191</v>
      </c>
      <c r="N335" s="262">
        <v>8.5</v>
      </c>
      <c r="O335" s="4"/>
    </row>
    <row r="336" spans="1:15" ht="16.2" thickBot="1">
      <c r="A336" s="6" t="s">
        <v>2114</v>
      </c>
      <c r="B336" s="262">
        <v>8</v>
      </c>
      <c r="C336" s="4"/>
      <c r="D336" s="6" t="s">
        <v>2133</v>
      </c>
      <c r="E336" s="262">
        <v>8.5</v>
      </c>
      <c r="F336" s="4"/>
      <c r="I336" s="4"/>
      <c r="J336" s="6" t="s">
        <v>2168</v>
      </c>
      <c r="K336" s="262">
        <v>9</v>
      </c>
      <c r="L336" s="4"/>
      <c r="M336" s="304" t="s">
        <v>2192</v>
      </c>
      <c r="N336" s="263">
        <v>8</v>
      </c>
      <c r="O336" s="4"/>
    </row>
    <row r="337" spans="1:15">
      <c r="A337" s="6" t="s">
        <v>2115</v>
      </c>
      <c r="B337" s="262">
        <v>7</v>
      </c>
      <c r="C337" s="4"/>
      <c r="D337" s="6" t="s">
        <v>2134</v>
      </c>
      <c r="E337" s="262">
        <v>10</v>
      </c>
      <c r="F337" s="4"/>
      <c r="I337" s="4"/>
      <c r="J337" s="6" t="s">
        <v>2169</v>
      </c>
      <c r="K337" s="262">
        <v>8</v>
      </c>
      <c r="L337" s="4"/>
      <c r="M337" s="4"/>
      <c r="N337" s="4"/>
      <c r="O337" s="4"/>
    </row>
    <row r="338" spans="1:15" ht="16.2" thickBot="1">
      <c r="A338" s="6" t="s">
        <v>2116</v>
      </c>
      <c r="B338" s="262">
        <v>8</v>
      </c>
      <c r="C338" s="4"/>
      <c r="D338" s="6" t="s">
        <v>2135</v>
      </c>
      <c r="E338" s="262">
        <v>8.5</v>
      </c>
      <c r="F338" s="4"/>
      <c r="I338" s="4"/>
      <c r="J338" s="9" t="s">
        <v>2170</v>
      </c>
      <c r="K338" s="263">
        <v>8</v>
      </c>
      <c r="L338" s="4"/>
    </row>
    <row r="339" spans="1:15">
      <c r="A339" s="6" t="s">
        <v>2117</v>
      </c>
      <c r="B339" s="262">
        <v>9</v>
      </c>
      <c r="C339" s="4"/>
      <c r="D339" s="6" t="s">
        <v>2136</v>
      </c>
      <c r="E339" s="262">
        <v>8.5</v>
      </c>
      <c r="F339" s="4"/>
      <c r="I339" s="4"/>
      <c r="J339" s="4"/>
      <c r="K339" s="4"/>
      <c r="L339" s="4"/>
    </row>
    <row r="340" spans="1:15">
      <c r="A340" s="6" t="s">
        <v>2118</v>
      </c>
      <c r="B340" s="262">
        <v>8.5</v>
      </c>
      <c r="C340" s="4"/>
      <c r="D340" s="6" t="s">
        <v>2137</v>
      </c>
      <c r="E340" s="262">
        <v>7.5</v>
      </c>
      <c r="F340" s="4"/>
    </row>
    <row r="341" spans="1:15" ht="16.2" thickBot="1">
      <c r="A341" s="9" t="s">
        <v>2119</v>
      </c>
      <c r="B341" s="263">
        <v>7.5</v>
      </c>
      <c r="C341" s="4"/>
      <c r="D341" s="6" t="s">
        <v>2138</v>
      </c>
      <c r="E341" s="262">
        <v>10.5</v>
      </c>
      <c r="F341" s="4"/>
    </row>
    <row r="342" spans="1:15">
      <c r="A342" s="4"/>
      <c r="B342" s="4"/>
      <c r="C342" s="4"/>
      <c r="D342" s="6" t="s">
        <v>2139</v>
      </c>
      <c r="E342" s="262">
        <v>8</v>
      </c>
      <c r="F342" s="4"/>
    </row>
    <row r="343" spans="1:15">
      <c r="C343" s="4"/>
      <c r="D343" s="6" t="s">
        <v>2140</v>
      </c>
      <c r="E343" s="262">
        <v>7.5</v>
      </c>
      <c r="F343" s="4"/>
    </row>
    <row r="344" spans="1:15">
      <c r="C344" s="4"/>
      <c r="D344" s="6" t="s">
        <v>2141</v>
      </c>
      <c r="E344" s="262">
        <v>10</v>
      </c>
      <c r="F344" s="4"/>
    </row>
    <row r="345" spans="1:15">
      <c r="C345" s="4"/>
      <c r="D345" s="6" t="s">
        <v>2142</v>
      </c>
      <c r="E345" s="262">
        <v>9.5</v>
      </c>
      <c r="F345" s="4"/>
    </row>
    <row r="346" spans="1:15">
      <c r="C346" s="4"/>
      <c r="D346" s="6" t="s">
        <v>2143</v>
      </c>
      <c r="E346" s="262">
        <v>10</v>
      </c>
      <c r="F346" s="4"/>
    </row>
    <row r="347" spans="1:15">
      <c r="C347" s="4"/>
      <c r="D347" s="6" t="s">
        <v>2144</v>
      </c>
      <c r="E347" s="262">
        <v>8</v>
      </c>
      <c r="F347" s="4"/>
    </row>
    <row r="348" spans="1:15">
      <c r="C348" s="4"/>
      <c r="D348" s="6" t="s">
        <v>2145</v>
      </c>
      <c r="E348" s="262">
        <v>8.5</v>
      </c>
      <c r="F348" s="4"/>
    </row>
    <row r="349" spans="1:15">
      <c r="C349" s="4"/>
      <c r="D349" s="6" t="s">
        <v>2146</v>
      </c>
      <c r="E349" s="262">
        <v>8</v>
      </c>
      <c r="F349" s="4"/>
    </row>
    <row r="350" spans="1:15">
      <c r="C350" s="4"/>
      <c r="D350" s="6" t="s">
        <v>2147</v>
      </c>
      <c r="E350" s="262">
        <v>7.5</v>
      </c>
      <c r="F350" s="4"/>
    </row>
    <row r="351" spans="1:15">
      <c r="C351" s="4"/>
      <c r="D351" s="6" t="s">
        <v>2148</v>
      </c>
      <c r="E351" s="262">
        <v>9</v>
      </c>
      <c r="F351" s="4"/>
    </row>
    <row r="352" spans="1:15">
      <c r="C352" s="4"/>
      <c r="D352" s="6" t="s">
        <v>2149</v>
      </c>
      <c r="E352" s="262">
        <v>8</v>
      </c>
      <c r="F352" s="4"/>
    </row>
    <row r="353" spans="3:6">
      <c r="C353" s="4"/>
      <c r="D353" s="6" t="s">
        <v>2150</v>
      </c>
      <c r="E353" s="262"/>
      <c r="F353" s="4"/>
    </row>
    <row r="354" spans="3:6">
      <c r="C354" s="4"/>
      <c r="D354" s="6" t="s">
        <v>2151</v>
      </c>
      <c r="E354" s="262">
        <v>8</v>
      </c>
      <c r="F354" s="4"/>
    </row>
    <row r="355" spans="3:6">
      <c r="C355" s="4"/>
      <c r="D355" s="6" t="s">
        <v>2152</v>
      </c>
      <c r="E355" s="262">
        <v>8.5</v>
      </c>
      <c r="F355" s="4"/>
    </row>
    <row r="356" spans="3:6">
      <c r="C356" s="4"/>
      <c r="D356" s="6" t="s">
        <v>2153</v>
      </c>
      <c r="E356" s="262">
        <v>8</v>
      </c>
      <c r="F356" s="4"/>
    </row>
    <row r="357" spans="3:6">
      <c r="C357" s="4"/>
      <c r="D357" s="6" t="s">
        <v>2154</v>
      </c>
      <c r="E357" s="262">
        <v>8.5</v>
      </c>
      <c r="F357" s="4"/>
    </row>
    <row r="358" spans="3:6" ht="16.2" thickBot="1">
      <c r="C358" s="4"/>
      <c r="D358" s="9" t="s">
        <v>1437</v>
      </c>
      <c r="E358" s="263">
        <v>9</v>
      </c>
      <c r="F358" s="4"/>
    </row>
    <row r="359" spans="3:6">
      <c r="C359" s="4"/>
      <c r="D359" s="4"/>
      <c r="E359" s="4"/>
      <c r="F359" s="4"/>
    </row>
  </sheetData>
  <mergeCells count="4">
    <mergeCell ref="R1:AD1"/>
    <mergeCell ref="AG1:AH1"/>
    <mergeCell ref="R136:AD136"/>
    <mergeCell ref="R160:V160"/>
  </mergeCells>
  <conditionalFormatting sqref="A2:B2 D2:E2 G2:H2 J2:K2 M2:N2 A16:B16 A26:B26 D14:E14 G17:H17 J14:K14 M14:N14 D30:E30 J25:K25 AK28:AK31">
    <cfRule type="colorScale" priority="114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42">
      <colorScale>
        <cfvo type="num" val="5"/>
        <cfvo type="num" val="10"/>
        <color rgb="FFFF494D"/>
        <color rgb="FF00FF66"/>
      </colorScale>
    </cfRule>
  </conditionalFormatting>
  <conditionalFormatting sqref="B3:B14">
    <cfRule type="cellIs" dxfId="897" priority="1090" operator="between">
      <formula>10.1</formula>
      <formula>10.6</formula>
    </cfRule>
    <cfRule type="cellIs" dxfId="896" priority="1098" operator="between">
      <formula>7</formula>
      <formula>7.9</formula>
    </cfRule>
    <cfRule type="cellIs" dxfId="895" priority="1099" stopIfTrue="1" operator="between">
      <formula>8</formula>
      <formula>8.9</formula>
    </cfRule>
    <cfRule type="cellIs" dxfId="894" priority="1100" operator="between">
      <formula>9</formula>
      <formula>9.9</formula>
    </cfRule>
    <cfRule type="cellIs" dxfId="893" priority="1101" stopIfTrue="1" operator="between">
      <formula>10</formula>
      <formula>10</formula>
    </cfRule>
    <cfRule type="containsBlanks" dxfId="892" priority="1102" stopIfTrue="1">
      <formula>LEN(TRIM(B3))=0</formula>
    </cfRule>
  </conditionalFormatting>
  <conditionalFormatting sqref="B17:B24">
    <cfRule type="cellIs" dxfId="891" priority="1066" operator="between">
      <formula>10.1</formula>
      <formula>10.6</formula>
    </cfRule>
    <cfRule type="cellIs" dxfId="890" priority="1067" operator="between">
      <formula>7</formula>
      <formula>7.9</formula>
    </cfRule>
    <cfRule type="cellIs" dxfId="889" priority="1068" stopIfTrue="1" operator="between">
      <formula>8</formula>
      <formula>8.9</formula>
    </cfRule>
    <cfRule type="cellIs" dxfId="888" priority="1069" operator="between">
      <formula>9</formula>
      <formula>9.9</formula>
    </cfRule>
    <cfRule type="cellIs" dxfId="887" priority="1070" stopIfTrue="1" operator="between">
      <formula>10</formula>
      <formula>10</formula>
    </cfRule>
    <cfRule type="containsBlanks" dxfId="886" priority="1071" stopIfTrue="1">
      <formula>LEN(TRIM(B17))=0</formula>
    </cfRule>
  </conditionalFormatting>
  <conditionalFormatting sqref="B27:B31">
    <cfRule type="cellIs" dxfId="885" priority="1060" operator="between">
      <formula>10.1</formula>
      <formula>10.6</formula>
    </cfRule>
    <cfRule type="cellIs" dxfId="884" priority="1061" operator="between">
      <formula>7</formula>
      <formula>7.9</formula>
    </cfRule>
    <cfRule type="cellIs" dxfId="883" priority="1062" stopIfTrue="1" operator="between">
      <formula>8</formula>
      <formula>8.9</formula>
    </cfRule>
    <cfRule type="cellIs" dxfId="882" priority="1063" operator="between">
      <formula>9</formula>
      <formula>9.9</formula>
    </cfRule>
    <cfRule type="cellIs" dxfId="881" priority="1064" stopIfTrue="1" operator="between">
      <formula>10</formula>
      <formula>10</formula>
    </cfRule>
    <cfRule type="containsBlanks" dxfId="880" priority="1065" stopIfTrue="1">
      <formula>LEN(TRIM(B27))=0</formula>
    </cfRule>
  </conditionalFormatting>
  <conditionalFormatting sqref="B33">
    <cfRule type="colorScale" priority="11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36">
      <colorScale>
        <cfvo type="num" val="5"/>
        <cfvo type="num" val="10"/>
        <color rgb="FFFF494D"/>
        <color rgb="FF00FF66"/>
      </colorScale>
    </cfRule>
  </conditionalFormatting>
  <conditionalFormatting sqref="B34:B45">
    <cfRule type="cellIs" dxfId="879" priority="1054" operator="between">
      <formula>10.1</formula>
      <formula>10.6</formula>
    </cfRule>
    <cfRule type="cellIs" dxfId="878" priority="1055" operator="between">
      <formula>7</formula>
      <formula>7.9</formula>
    </cfRule>
    <cfRule type="cellIs" dxfId="877" priority="1056" stopIfTrue="1" operator="between">
      <formula>8</formula>
      <formula>8.9</formula>
    </cfRule>
    <cfRule type="cellIs" dxfId="876" priority="1057" operator="between">
      <formula>9</formula>
      <formula>9.9</formula>
    </cfRule>
    <cfRule type="cellIs" dxfId="875" priority="1058" stopIfTrue="1" operator="between">
      <formula>10</formula>
      <formula>10</formula>
    </cfRule>
    <cfRule type="containsBlanks" dxfId="874" priority="1059" stopIfTrue="1">
      <formula>LEN(TRIM(B34))=0</formula>
    </cfRule>
  </conditionalFormatting>
  <conditionalFormatting sqref="B47">
    <cfRule type="colorScale" priority="110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04">
      <colorScale>
        <cfvo type="num" val="5"/>
        <cfvo type="num" val="10"/>
        <color rgb="FFFF494D"/>
        <color rgb="FF00FF66"/>
      </colorScale>
    </cfRule>
  </conditionalFormatting>
  <conditionalFormatting sqref="B48:B57">
    <cfRule type="cellIs" dxfId="873" priority="1024" operator="between">
      <formula>10.1</formula>
      <formula>10.6</formula>
    </cfRule>
    <cfRule type="cellIs" dxfId="872" priority="1025" operator="between">
      <formula>7</formula>
      <formula>7.9</formula>
    </cfRule>
    <cfRule type="cellIs" dxfId="871" priority="1026" stopIfTrue="1" operator="between">
      <formula>8</formula>
      <formula>8.9</formula>
    </cfRule>
    <cfRule type="cellIs" dxfId="870" priority="1027" operator="between">
      <formula>9</formula>
      <formula>9.9</formula>
    </cfRule>
    <cfRule type="cellIs" dxfId="869" priority="1028" stopIfTrue="1" operator="between">
      <formula>10</formula>
      <formula>10</formula>
    </cfRule>
    <cfRule type="containsBlanks" dxfId="868" priority="1029" stopIfTrue="1">
      <formula>LEN(TRIM(B48))=0</formula>
    </cfRule>
  </conditionalFormatting>
  <conditionalFormatting sqref="B59">
    <cfRule type="colorScale" priority="10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11">
      <colorScale>
        <cfvo type="num" val="5"/>
        <cfvo type="num" val="10"/>
        <color rgb="FFFF494D"/>
        <color rgb="FF00FF66"/>
      </colorScale>
    </cfRule>
  </conditionalFormatting>
  <conditionalFormatting sqref="B60:B68">
    <cfRule type="cellIs" dxfId="867" priority="1004" operator="between">
      <formula>10.1</formula>
      <formula>10.6</formula>
    </cfRule>
    <cfRule type="cellIs" dxfId="866" priority="1005" operator="between">
      <formula>7</formula>
      <formula>7.9</formula>
    </cfRule>
    <cfRule type="cellIs" dxfId="865" priority="1006" stopIfTrue="1" operator="between">
      <formula>8</formula>
      <formula>8.9</formula>
    </cfRule>
    <cfRule type="cellIs" dxfId="864" priority="1007" operator="between">
      <formula>9</formula>
      <formula>9.9</formula>
    </cfRule>
    <cfRule type="cellIs" dxfId="863" priority="1008" stopIfTrue="1" operator="between">
      <formula>10</formula>
      <formula>10</formula>
    </cfRule>
    <cfRule type="containsBlanks" dxfId="862" priority="1009" stopIfTrue="1">
      <formula>LEN(TRIM(B60))=0</formula>
    </cfRule>
  </conditionalFormatting>
  <conditionalFormatting sqref="B70">
    <cfRule type="colorScale" priority="95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51">
      <colorScale>
        <cfvo type="num" val="5"/>
        <cfvo type="num" val="10"/>
        <color rgb="FFFF494D"/>
        <color rgb="FF00FF66"/>
      </colorScale>
    </cfRule>
  </conditionalFormatting>
  <conditionalFormatting sqref="B71:B77">
    <cfRule type="cellIs" dxfId="861" priority="944" operator="between">
      <formula>10.1</formula>
      <formula>10.6</formula>
    </cfRule>
    <cfRule type="cellIs" dxfId="860" priority="945" operator="between">
      <formula>7</formula>
      <formula>7.9</formula>
    </cfRule>
    <cfRule type="cellIs" dxfId="859" priority="946" stopIfTrue="1" operator="between">
      <formula>8</formula>
      <formula>8.9</formula>
    </cfRule>
    <cfRule type="cellIs" dxfId="858" priority="947" operator="between">
      <formula>9</formula>
      <formula>9.9</formula>
    </cfRule>
    <cfRule type="cellIs" dxfId="857" priority="948" stopIfTrue="1" operator="between">
      <formula>10</formula>
      <formula>10</formula>
    </cfRule>
    <cfRule type="containsBlanks" dxfId="856" priority="949" stopIfTrue="1">
      <formula>LEN(TRIM(B71))=0</formula>
    </cfRule>
  </conditionalFormatting>
  <conditionalFormatting sqref="B73">
    <cfRule type="cellIs" dxfId="855" priority="943" operator="between">
      <formula>6</formula>
      <formula>6.9</formula>
    </cfRule>
  </conditionalFormatting>
  <conditionalFormatting sqref="B79">
    <cfRule type="colorScale" priority="9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27">
      <colorScale>
        <cfvo type="num" val="5"/>
        <cfvo type="num" val="10"/>
        <color rgb="FFFF494D"/>
        <color rgb="FF00FF66"/>
      </colorScale>
    </cfRule>
  </conditionalFormatting>
  <conditionalFormatting sqref="B80:B91">
    <cfRule type="cellIs" dxfId="854" priority="920" operator="between">
      <formula>10.1</formula>
      <formula>10.6</formula>
    </cfRule>
    <cfRule type="cellIs" dxfId="853" priority="921" operator="between">
      <formula>7</formula>
      <formula>7.9</formula>
    </cfRule>
    <cfRule type="cellIs" dxfId="852" priority="922" stopIfTrue="1" operator="between">
      <formula>8</formula>
      <formula>8.9</formula>
    </cfRule>
    <cfRule type="cellIs" dxfId="851" priority="923" operator="between">
      <formula>9</formula>
      <formula>9.9</formula>
    </cfRule>
    <cfRule type="cellIs" dxfId="850" priority="924" stopIfTrue="1" operator="between">
      <formula>10</formula>
      <formula>10</formula>
    </cfRule>
    <cfRule type="containsBlanks" dxfId="849" priority="925" stopIfTrue="1">
      <formula>LEN(TRIM(B80))=0</formula>
    </cfRule>
  </conditionalFormatting>
  <conditionalFormatting sqref="B93">
    <cfRule type="colorScale" priority="8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6">
      <colorScale>
        <cfvo type="num" val="5"/>
        <cfvo type="num" val="10"/>
        <color rgb="FFFF494D"/>
        <color rgb="FF00FF66"/>
      </colorScale>
    </cfRule>
  </conditionalFormatting>
  <conditionalFormatting sqref="B94:B101">
    <cfRule type="cellIs" dxfId="848" priority="879" operator="between">
      <formula>10.1</formula>
      <formula>10.6</formula>
    </cfRule>
    <cfRule type="cellIs" dxfId="847" priority="880" operator="between">
      <formula>7</formula>
      <formula>7.9</formula>
    </cfRule>
    <cfRule type="cellIs" dxfId="846" priority="881" stopIfTrue="1" operator="between">
      <formula>8</formula>
      <formula>8.9</formula>
    </cfRule>
    <cfRule type="cellIs" dxfId="845" priority="882" operator="between">
      <formula>9</formula>
      <formula>9.9</formula>
    </cfRule>
    <cfRule type="cellIs" dxfId="844" priority="883" stopIfTrue="1" operator="between">
      <formula>10</formula>
      <formula>10</formula>
    </cfRule>
    <cfRule type="containsBlanks" dxfId="843" priority="884" stopIfTrue="1">
      <formula>LEN(TRIM(B94))=0</formula>
    </cfRule>
  </conditionalFormatting>
  <conditionalFormatting sqref="B103">
    <cfRule type="colorScale" priority="8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44">
      <colorScale>
        <cfvo type="num" val="5"/>
        <cfvo type="num" val="10"/>
        <color rgb="FFFF494D"/>
        <color rgb="FF00FF66"/>
      </colorScale>
    </cfRule>
  </conditionalFormatting>
  <conditionalFormatting sqref="B104:B112">
    <cfRule type="cellIs" dxfId="842" priority="837" operator="between">
      <formula>10.1</formula>
      <formula>10.6</formula>
    </cfRule>
    <cfRule type="cellIs" dxfId="841" priority="838" operator="between">
      <formula>7</formula>
      <formula>7.9</formula>
    </cfRule>
    <cfRule type="cellIs" dxfId="840" priority="839" stopIfTrue="1" operator="between">
      <formula>8</formula>
      <formula>8.9</formula>
    </cfRule>
    <cfRule type="cellIs" dxfId="839" priority="840" operator="between">
      <formula>9</formula>
      <formula>9.9</formula>
    </cfRule>
    <cfRule type="cellIs" dxfId="838" priority="841" stopIfTrue="1" operator="between">
      <formula>10</formula>
      <formula>10</formula>
    </cfRule>
    <cfRule type="containsBlanks" dxfId="837" priority="842" stopIfTrue="1">
      <formula>LEN(TRIM(B104))=0</formula>
    </cfRule>
  </conditionalFormatting>
  <conditionalFormatting sqref="B114">
    <cfRule type="colorScale" priority="8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11">
      <colorScale>
        <cfvo type="num" val="5"/>
        <cfvo type="num" val="10"/>
        <color rgb="FFFF494D"/>
        <color rgb="FF00FF66"/>
      </colorScale>
    </cfRule>
  </conditionalFormatting>
  <conditionalFormatting sqref="B115:B132">
    <cfRule type="cellIs" dxfId="836" priority="803" operator="between">
      <formula>6</formula>
      <formula>6.9</formula>
    </cfRule>
    <cfRule type="cellIs" dxfId="835" priority="804" operator="between">
      <formula>10.1</formula>
      <formula>10.6</formula>
    </cfRule>
    <cfRule type="cellIs" dxfId="834" priority="805" operator="between">
      <formula>7</formula>
      <formula>7.9</formula>
    </cfRule>
    <cfRule type="cellIs" dxfId="833" priority="806" stopIfTrue="1" operator="between">
      <formula>8</formula>
      <formula>8.9</formula>
    </cfRule>
    <cfRule type="cellIs" dxfId="832" priority="807" operator="between">
      <formula>9</formula>
      <formula>9.9</formula>
    </cfRule>
    <cfRule type="cellIs" dxfId="831" priority="808" stopIfTrue="1" operator="between">
      <formula>10</formula>
      <formula>10</formula>
    </cfRule>
    <cfRule type="containsBlanks" dxfId="830" priority="809" stopIfTrue="1">
      <formula>LEN(TRIM(B115))=0</formula>
    </cfRule>
  </conditionalFormatting>
  <conditionalFormatting sqref="B134">
    <cfRule type="colorScale" priority="7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36">
      <colorScale>
        <cfvo type="num" val="5"/>
        <cfvo type="num" val="10"/>
        <color rgb="FFFF494D"/>
        <color rgb="FF00FF66"/>
      </colorScale>
    </cfRule>
  </conditionalFormatting>
  <conditionalFormatting sqref="B135:B143">
    <cfRule type="cellIs" dxfId="829" priority="728" operator="between">
      <formula>6</formula>
      <formula>6.9</formula>
    </cfRule>
    <cfRule type="cellIs" dxfId="828" priority="729" operator="between">
      <formula>10.1</formula>
      <formula>10.6</formula>
    </cfRule>
    <cfRule type="cellIs" dxfId="827" priority="730" operator="between">
      <formula>7</formula>
      <formula>7.9</formula>
    </cfRule>
    <cfRule type="cellIs" dxfId="826" priority="731" stopIfTrue="1" operator="between">
      <formula>8</formula>
      <formula>8.9</formula>
    </cfRule>
    <cfRule type="cellIs" dxfId="825" priority="732" operator="between">
      <formula>9</formula>
      <formula>9.9</formula>
    </cfRule>
    <cfRule type="cellIs" dxfId="824" priority="733" stopIfTrue="1" operator="between">
      <formula>10</formula>
      <formula>10</formula>
    </cfRule>
    <cfRule type="containsBlanks" dxfId="823" priority="734" stopIfTrue="1">
      <formula>LEN(TRIM(B135))=0</formula>
    </cfRule>
  </conditionalFormatting>
  <conditionalFormatting sqref="B145">
    <cfRule type="colorScale" priority="6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00">
      <colorScale>
        <cfvo type="num" val="5"/>
        <cfvo type="num" val="10"/>
        <color rgb="FFFF494D"/>
        <color rgb="FF00FF66"/>
      </colorScale>
    </cfRule>
  </conditionalFormatting>
  <conditionalFormatting sqref="B146:B160">
    <cfRule type="cellIs" dxfId="822" priority="692" operator="between">
      <formula>6</formula>
      <formula>6.9</formula>
    </cfRule>
    <cfRule type="cellIs" dxfId="821" priority="693" operator="between">
      <formula>10.1</formula>
      <formula>10.6</formula>
    </cfRule>
    <cfRule type="cellIs" dxfId="820" priority="694" operator="between">
      <formula>7</formula>
      <formula>7.9</formula>
    </cfRule>
    <cfRule type="cellIs" dxfId="819" priority="695" stopIfTrue="1" operator="between">
      <formula>8</formula>
      <formula>8.9</formula>
    </cfRule>
    <cfRule type="cellIs" dxfId="818" priority="696" operator="between">
      <formula>9</formula>
      <formula>9.9</formula>
    </cfRule>
    <cfRule type="cellIs" dxfId="817" priority="697" stopIfTrue="1" operator="between">
      <formula>10</formula>
      <formula>10</formula>
    </cfRule>
    <cfRule type="containsBlanks" dxfId="816" priority="698" stopIfTrue="1">
      <formula>LEN(TRIM(B146))=0</formula>
    </cfRule>
  </conditionalFormatting>
  <conditionalFormatting sqref="B162">
    <cfRule type="colorScale" priority="6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30">
      <colorScale>
        <cfvo type="num" val="5"/>
        <cfvo type="num" val="10"/>
        <color rgb="FFFF494D"/>
        <color rgb="FF00FF66"/>
      </colorScale>
    </cfRule>
  </conditionalFormatting>
  <conditionalFormatting sqref="B163:B170">
    <cfRule type="cellIs" dxfId="815" priority="631" operator="between">
      <formula>6</formula>
      <formula>6.9</formula>
    </cfRule>
    <cfRule type="cellIs" dxfId="814" priority="632" operator="between">
      <formula>10.1</formula>
      <formula>10.6</formula>
    </cfRule>
    <cfRule type="cellIs" dxfId="813" priority="633" operator="between">
      <formula>7</formula>
      <formula>7.9</formula>
    </cfRule>
    <cfRule type="cellIs" dxfId="812" priority="634" stopIfTrue="1" operator="between">
      <formula>8</formula>
      <formula>8.9</formula>
    </cfRule>
    <cfRule type="cellIs" dxfId="811" priority="635" operator="between">
      <formula>9</formula>
      <formula>9.9</formula>
    </cfRule>
    <cfRule type="cellIs" dxfId="810" priority="636" stopIfTrue="1" operator="between">
      <formula>10</formula>
      <formula>10</formula>
    </cfRule>
    <cfRule type="containsBlanks" dxfId="809" priority="637" stopIfTrue="1">
      <formula>LEN(TRIM(B163))=0</formula>
    </cfRule>
  </conditionalFormatting>
  <conditionalFormatting sqref="B172">
    <cfRule type="colorScale" priority="6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01">
      <colorScale>
        <cfvo type="num" val="5"/>
        <cfvo type="num" val="10"/>
        <color rgb="FFFF494D"/>
        <color rgb="FF00FF66"/>
      </colorScale>
    </cfRule>
  </conditionalFormatting>
  <conditionalFormatting sqref="B173:B183">
    <cfRule type="cellIs" dxfId="808" priority="593" operator="between">
      <formula>6</formula>
      <formula>6.9</formula>
    </cfRule>
    <cfRule type="cellIs" dxfId="807" priority="594" operator="between">
      <formula>10.1</formula>
      <formula>10.6</formula>
    </cfRule>
    <cfRule type="cellIs" dxfId="806" priority="595" operator="between">
      <formula>7</formula>
      <formula>7.9</formula>
    </cfRule>
    <cfRule type="cellIs" dxfId="805" priority="596" stopIfTrue="1" operator="between">
      <formula>8</formula>
      <formula>8.9</formula>
    </cfRule>
    <cfRule type="cellIs" dxfId="804" priority="597" operator="between">
      <formula>9</formula>
      <formula>9.9</formula>
    </cfRule>
    <cfRule type="cellIs" dxfId="803" priority="598" stopIfTrue="1" operator="between">
      <formula>10</formula>
      <formula>10</formula>
    </cfRule>
    <cfRule type="containsBlanks" dxfId="802" priority="599" stopIfTrue="1">
      <formula>LEN(TRIM(B173))=0</formula>
    </cfRule>
  </conditionalFormatting>
  <conditionalFormatting sqref="B185">
    <cfRule type="colorScale" priority="56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63">
      <colorScale>
        <cfvo type="num" val="5"/>
        <cfvo type="num" val="10"/>
        <color rgb="FFFF494D"/>
        <color rgb="FF00FF66"/>
      </colorScale>
    </cfRule>
  </conditionalFormatting>
  <conditionalFormatting sqref="B186:B194">
    <cfRule type="cellIs" dxfId="801" priority="555" operator="between">
      <formula>6</formula>
      <formula>6.9</formula>
    </cfRule>
    <cfRule type="cellIs" dxfId="800" priority="556" operator="between">
      <formula>10.1</formula>
      <formula>10.6</formula>
    </cfRule>
    <cfRule type="cellIs" dxfId="799" priority="557" operator="between">
      <formula>7</formula>
      <formula>7.9</formula>
    </cfRule>
    <cfRule type="cellIs" dxfId="798" priority="558" stopIfTrue="1" operator="between">
      <formula>8</formula>
      <formula>8.9</formula>
    </cfRule>
    <cfRule type="cellIs" dxfId="797" priority="559" operator="between">
      <formula>9</formula>
      <formula>9.9</formula>
    </cfRule>
    <cfRule type="cellIs" dxfId="796" priority="560" stopIfTrue="1" operator="between">
      <formula>10</formula>
      <formula>10</formula>
    </cfRule>
    <cfRule type="containsBlanks" dxfId="795" priority="561" stopIfTrue="1">
      <formula>LEN(TRIM(B186))=0</formula>
    </cfRule>
  </conditionalFormatting>
  <conditionalFormatting sqref="B196">
    <cfRule type="colorScale" priority="5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05">
      <colorScale>
        <cfvo type="num" val="5"/>
        <cfvo type="num" val="10"/>
        <color rgb="FFFF494D"/>
        <color rgb="FF00FF66"/>
      </colorScale>
    </cfRule>
  </conditionalFormatting>
  <conditionalFormatting sqref="B197:B211">
    <cfRule type="cellIs" dxfId="794" priority="506" operator="between">
      <formula>6</formula>
      <formula>6.9</formula>
    </cfRule>
    <cfRule type="cellIs" dxfId="793" priority="507" operator="between">
      <formula>10.1</formula>
      <formula>10.6</formula>
    </cfRule>
    <cfRule type="cellIs" dxfId="792" priority="508" operator="between">
      <formula>7</formula>
      <formula>7.9</formula>
    </cfRule>
    <cfRule type="cellIs" dxfId="791" priority="509" stopIfTrue="1" operator="between">
      <formula>8</formula>
      <formula>8.9</formula>
    </cfRule>
    <cfRule type="cellIs" dxfId="790" priority="510" operator="between">
      <formula>9</formula>
      <formula>9.9</formula>
    </cfRule>
    <cfRule type="cellIs" dxfId="789" priority="511" stopIfTrue="1" operator="between">
      <formula>10</formula>
      <formula>10</formula>
    </cfRule>
    <cfRule type="containsBlanks" dxfId="788" priority="512" stopIfTrue="1">
      <formula>LEN(TRIM(B197))=0</formula>
    </cfRule>
  </conditionalFormatting>
  <conditionalFormatting sqref="B213">
    <cfRule type="colorScale" priority="4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43">
      <colorScale>
        <cfvo type="num" val="5"/>
        <cfvo type="num" val="10"/>
        <color rgb="FFFF494D"/>
        <color rgb="FF00FF66"/>
      </colorScale>
    </cfRule>
  </conditionalFormatting>
  <conditionalFormatting sqref="B214:B224 B227:B233">
    <cfRule type="cellIs" dxfId="787" priority="435" operator="between">
      <formula>6</formula>
      <formula>6.9</formula>
    </cfRule>
    <cfRule type="cellIs" dxfId="786" priority="436" operator="between">
      <formula>10.1</formula>
      <formula>10.6</formula>
    </cfRule>
    <cfRule type="cellIs" dxfId="785" priority="437" operator="between">
      <formula>7</formula>
      <formula>7.9</formula>
    </cfRule>
    <cfRule type="cellIs" dxfId="784" priority="438" stopIfTrue="1" operator="between">
      <formula>8</formula>
      <formula>8.9</formula>
    </cfRule>
    <cfRule type="cellIs" dxfId="783" priority="439" operator="between">
      <formula>9</formula>
      <formula>9.9</formula>
    </cfRule>
    <cfRule type="cellIs" dxfId="782" priority="440" stopIfTrue="1" operator="between">
      <formula>10</formula>
      <formula>10</formula>
    </cfRule>
    <cfRule type="containsBlanks" dxfId="781" priority="441" stopIfTrue="1">
      <formula>LEN(TRIM(B214))=0</formula>
    </cfRule>
  </conditionalFormatting>
  <conditionalFormatting sqref="B226">
    <cfRule type="colorScale" priority="4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16">
      <colorScale>
        <cfvo type="num" val="5"/>
        <cfvo type="num" val="10"/>
        <color rgb="FFFF494D"/>
        <color rgb="FF00FF66"/>
      </colorScale>
    </cfRule>
  </conditionalFormatting>
  <conditionalFormatting sqref="B235">
    <cfRule type="colorScale" priority="3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7">
      <colorScale>
        <cfvo type="num" val="5"/>
        <cfvo type="num" val="10"/>
        <color rgb="FFFF494D"/>
        <color rgb="FF00FF66"/>
      </colorScale>
    </cfRule>
  </conditionalFormatting>
  <conditionalFormatting sqref="B236:B244">
    <cfRule type="cellIs" dxfId="780" priority="379" operator="between">
      <formula>6</formula>
      <formula>6.9</formula>
    </cfRule>
    <cfRule type="cellIs" dxfId="779" priority="380" operator="between">
      <formula>10.1</formula>
      <formula>10.6</formula>
    </cfRule>
    <cfRule type="cellIs" dxfId="778" priority="381" operator="between">
      <formula>7</formula>
      <formula>7.9</formula>
    </cfRule>
    <cfRule type="cellIs" dxfId="777" priority="382" stopIfTrue="1" operator="between">
      <formula>8</formula>
      <formula>8.9</formula>
    </cfRule>
    <cfRule type="cellIs" dxfId="776" priority="383" operator="between">
      <formula>9</formula>
      <formula>9.9</formula>
    </cfRule>
    <cfRule type="cellIs" dxfId="775" priority="384" stopIfTrue="1" operator="between">
      <formula>10</formula>
      <formula>10</formula>
    </cfRule>
    <cfRule type="containsBlanks" dxfId="774" priority="385" stopIfTrue="1">
      <formula>LEN(TRIM(B236))=0</formula>
    </cfRule>
  </conditionalFormatting>
  <conditionalFormatting sqref="B246">
    <cfRule type="colorScale" priority="34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42">
      <colorScale>
        <cfvo type="num" val="5"/>
        <cfvo type="num" val="10"/>
        <color rgb="FFFF494D"/>
        <color rgb="FF00FF66"/>
      </colorScale>
    </cfRule>
  </conditionalFormatting>
  <conditionalFormatting sqref="B247:B258">
    <cfRule type="cellIs" dxfId="773" priority="334" operator="between">
      <formula>6</formula>
      <formula>6.9</formula>
    </cfRule>
    <cfRule type="cellIs" dxfId="772" priority="335" operator="between">
      <formula>10.1</formula>
      <formula>10.6</formula>
    </cfRule>
    <cfRule type="cellIs" dxfId="771" priority="336" operator="between">
      <formula>7</formula>
      <formula>7.9</formula>
    </cfRule>
    <cfRule type="cellIs" dxfId="770" priority="337" stopIfTrue="1" operator="between">
      <formula>8</formula>
      <formula>8.9</formula>
    </cfRule>
    <cfRule type="cellIs" dxfId="769" priority="338" operator="between">
      <formula>9</formula>
      <formula>9.9</formula>
    </cfRule>
    <cfRule type="cellIs" dxfId="768" priority="339" stopIfTrue="1" operator="between">
      <formula>10</formula>
      <formula>10</formula>
    </cfRule>
    <cfRule type="containsBlanks" dxfId="767" priority="340" stopIfTrue="1">
      <formula>LEN(TRIM(B247))=0</formula>
    </cfRule>
  </conditionalFormatting>
  <conditionalFormatting sqref="B260">
    <cfRule type="colorScale" priority="29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7">
      <colorScale>
        <cfvo type="num" val="5"/>
        <cfvo type="num" val="10"/>
        <color rgb="FFFF494D"/>
        <color rgb="FF00FF66"/>
      </colorScale>
    </cfRule>
  </conditionalFormatting>
  <conditionalFormatting sqref="B261:B270">
    <cfRule type="cellIs" dxfId="766" priority="298" operator="between">
      <formula>6</formula>
      <formula>6.9</formula>
    </cfRule>
    <cfRule type="cellIs" dxfId="765" priority="299" operator="between">
      <formula>10.1</formula>
      <formula>10.6</formula>
    </cfRule>
    <cfRule type="cellIs" dxfId="764" priority="300" operator="between">
      <formula>7</formula>
      <formula>7.9</formula>
    </cfRule>
    <cfRule type="cellIs" dxfId="763" priority="301" stopIfTrue="1" operator="between">
      <formula>8</formula>
      <formula>8.9</formula>
    </cfRule>
    <cfRule type="cellIs" dxfId="762" priority="302" operator="between">
      <formula>9</formula>
      <formula>9.9</formula>
    </cfRule>
    <cfRule type="cellIs" dxfId="761" priority="303" stopIfTrue="1" operator="between">
      <formula>10</formula>
      <formula>10</formula>
    </cfRule>
    <cfRule type="containsBlanks" dxfId="760" priority="304" stopIfTrue="1">
      <formula>LEN(TRIM(B261))=0</formula>
    </cfRule>
  </conditionalFormatting>
  <conditionalFormatting sqref="B272">
    <cfRule type="colorScale" priority="2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5">
      <colorScale>
        <cfvo type="num" val="5"/>
        <cfvo type="num" val="10"/>
        <color rgb="FFFF494D"/>
        <color rgb="FF00FF66"/>
      </colorScale>
    </cfRule>
  </conditionalFormatting>
  <conditionalFormatting sqref="B273:B277">
    <cfRule type="cellIs" dxfId="759" priority="256" operator="between">
      <formula>6</formula>
      <formula>6.9</formula>
    </cfRule>
    <cfRule type="cellIs" dxfId="758" priority="257" operator="between">
      <formula>10.1</formula>
      <formula>10.6</formula>
    </cfRule>
    <cfRule type="cellIs" dxfId="757" priority="258" operator="between">
      <formula>7</formula>
      <formula>7.9</formula>
    </cfRule>
    <cfRule type="cellIs" dxfId="756" priority="259" stopIfTrue="1" operator="between">
      <formula>8</formula>
      <formula>8.9</formula>
    </cfRule>
    <cfRule type="cellIs" dxfId="755" priority="260" operator="between">
      <formula>9</formula>
      <formula>9.9</formula>
    </cfRule>
    <cfRule type="cellIs" dxfId="754" priority="261" stopIfTrue="1" operator="between">
      <formula>10</formula>
      <formula>10</formula>
    </cfRule>
    <cfRule type="containsBlanks" dxfId="753" priority="262" stopIfTrue="1">
      <formula>LEN(TRIM(B273))=0</formula>
    </cfRule>
  </conditionalFormatting>
  <conditionalFormatting sqref="B279">
    <cfRule type="colorScale" priority="2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7">
      <colorScale>
        <cfvo type="num" val="5"/>
        <cfvo type="num" val="10"/>
        <color rgb="FFFF494D"/>
        <color rgb="FF00FF66"/>
      </colorScale>
    </cfRule>
  </conditionalFormatting>
  <conditionalFormatting sqref="B280:B307">
    <cfRule type="cellIs" dxfId="752" priority="209" operator="between">
      <formula>6</formula>
      <formula>6.9</formula>
    </cfRule>
    <cfRule type="cellIs" dxfId="751" priority="210" operator="between">
      <formula>10.1</formula>
      <formula>10.6</formula>
    </cfRule>
    <cfRule type="cellIs" dxfId="750" priority="211" operator="between">
      <formula>7</formula>
      <formula>7.9</formula>
    </cfRule>
    <cfRule type="cellIs" dxfId="749" priority="212" stopIfTrue="1" operator="between">
      <formula>8</formula>
      <formula>8.9</formula>
    </cfRule>
    <cfRule type="cellIs" dxfId="748" priority="213" operator="between">
      <formula>9</formula>
      <formula>9.9</formula>
    </cfRule>
    <cfRule type="cellIs" dxfId="747" priority="214" stopIfTrue="1" operator="between">
      <formula>10</formula>
      <formula>10</formula>
    </cfRule>
    <cfRule type="containsBlanks" dxfId="746" priority="215" stopIfTrue="1">
      <formula>LEN(TRIM(B280))=0</formula>
    </cfRule>
  </conditionalFormatting>
  <conditionalFormatting sqref="B309">
    <cfRule type="colorScale" priority="1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8">
      <colorScale>
        <cfvo type="num" val="5"/>
        <cfvo type="num" val="10"/>
        <color rgb="FFFF494D"/>
        <color rgb="FF00FF66"/>
      </colorScale>
    </cfRule>
  </conditionalFormatting>
  <conditionalFormatting sqref="B310:B320">
    <cfRule type="cellIs" dxfId="745" priority="100" operator="between">
      <formula>6</formula>
      <formula>6.9</formula>
    </cfRule>
    <cfRule type="cellIs" dxfId="744" priority="101" operator="between">
      <formula>10.1</formula>
      <formula>10.6</formula>
    </cfRule>
    <cfRule type="cellIs" dxfId="743" priority="102" operator="between">
      <formula>7</formula>
      <formula>7.9</formula>
    </cfRule>
    <cfRule type="cellIs" dxfId="742" priority="103" stopIfTrue="1" operator="between">
      <formula>8</formula>
      <formula>8.9</formula>
    </cfRule>
    <cfRule type="cellIs" dxfId="741" priority="104" operator="between">
      <formula>9</formula>
      <formula>9.9</formula>
    </cfRule>
    <cfRule type="cellIs" dxfId="740" priority="105" stopIfTrue="1" operator="between">
      <formula>10</formula>
      <formula>10</formula>
    </cfRule>
    <cfRule type="containsBlanks" dxfId="739" priority="106" stopIfTrue="1">
      <formula>LEN(TRIM(B310))=0</formula>
    </cfRule>
  </conditionalFormatting>
  <conditionalFormatting sqref="B322">
    <cfRule type="colorScale" priority="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4">
      <colorScale>
        <cfvo type="num" val="5"/>
        <cfvo type="num" val="10"/>
        <color rgb="FFFF494D"/>
        <color rgb="FF00FF66"/>
      </colorScale>
    </cfRule>
  </conditionalFormatting>
  <conditionalFormatting sqref="B323:B341">
    <cfRule type="containsBlanks" dxfId="738" priority="34" stopIfTrue="1">
      <formula>LEN(TRIM(B323))=0</formula>
    </cfRule>
    <cfRule type="cellIs" dxfId="737" priority="35" operator="lessThan">
      <formula>2</formula>
    </cfRule>
    <cfRule type="cellIs" dxfId="736" priority="36" operator="between">
      <formula>2</formula>
      <formula>4.9</formula>
    </cfRule>
    <cfRule type="cellIs" dxfId="735" priority="37" operator="between">
      <formula>5</formula>
      <formula>6.9</formula>
    </cfRule>
    <cfRule type="cellIs" dxfId="734" priority="38" operator="between">
      <formula>10.1</formula>
      <formula>10.6</formula>
    </cfRule>
    <cfRule type="cellIs" dxfId="733" priority="39" operator="between">
      <formula>7</formula>
      <formula>7.9</formula>
    </cfRule>
    <cfRule type="cellIs" dxfId="732" priority="40" stopIfTrue="1" operator="between">
      <formula>8</formula>
      <formula>8.9</formula>
    </cfRule>
    <cfRule type="cellIs" dxfId="731" priority="41" operator="between">
      <formula>9</formula>
      <formula>9.9</formula>
    </cfRule>
    <cfRule type="cellIs" dxfId="730" priority="42" stopIfTrue="1" operator="between">
      <formula>10</formula>
      <formula>10</formula>
    </cfRule>
  </conditionalFormatting>
  <conditionalFormatting sqref="E3:E12">
    <cfRule type="cellIs" dxfId="729" priority="1084" operator="between">
      <formula>10.1</formula>
      <formula>10.6</formula>
    </cfRule>
    <cfRule type="cellIs" dxfId="728" priority="1085" operator="between">
      <formula>7</formula>
      <formula>7.9</formula>
    </cfRule>
    <cfRule type="cellIs" dxfId="727" priority="1086" stopIfTrue="1" operator="between">
      <formula>8</formula>
      <formula>8.9</formula>
    </cfRule>
    <cfRule type="cellIs" dxfId="726" priority="1087" operator="between">
      <formula>9</formula>
      <formula>9.9</formula>
    </cfRule>
    <cfRule type="cellIs" dxfId="725" priority="1088" stopIfTrue="1" operator="between">
      <formula>10</formula>
      <formula>10</formula>
    </cfRule>
    <cfRule type="containsBlanks" dxfId="724" priority="1089" stopIfTrue="1">
      <formula>LEN(TRIM(E3))=0</formula>
    </cfRule>
  </conditionalFormatting>
  <conditionalFormatting sqref="E15:E28">
    <cfRule type="cellIs" dxfId="723" priority="463" operator="between">
      <formula>7</formula>
      <formula>7.9</formula>
    </cfRule>
    <cfRule type="cellIs" dxfId="722" priority="464" stopIfTrue="1" operator="between">
      <formula>8</formula>
      <formula>8.9</formula>
    </cfRule>
    <cfRule type="cellIs" dxfId="721" priority="465" operator="between">
      <formula>9</formula>
      <formula>9.9</formula>
    </cfRule>
    <cfRule type="cellIs" dxfId="720" priority="466" stopIfTrue="1" operator="between">
      <formula>10</formula>
      <formula>10</formula>
    </cfRule>
    <cfRule type="containsBlanks" dxfId="719" priority="467" stopIfTrue="1">
      <formula>LEN(TRIM(E15))=0</formula>
    </cfRule>
  </conditionalFormatting>
  <conditionalFormatting sqref="E16">
    <cfRule type="cellIs" dxfId="718" priority="462" operator="between">
      <formula>10.1</formula>
      <formula>10.6</formula>
    </cfRule>
  </conditionalFormatting>
  <conditionalFormatting sqref="E31:E37">
    <cfRule type="cellIs" dxfId="717" priority="1048" operator="between">
      <formula>10.1</formula>
      <formula>10.6</formula>
    </cfRule>
    <cfRule type="cellIs" dxfId="716" priority="1049" operator="between">
      <formula>7</formula>
      <formula>7.9</formula>
    </cfRule>
    <cfRule type="cellIs" dxfId="715" priority="1050" stopIfTrue="1" operator="between">
      <formula>8</formula>
      <formula>8.9</formula>
    </cfRule>
    <cfRule type="cellIs" dxfId="714" priority="1051" operator="between">
      <formula>9</formula>
      <formula>9.9</formula>
    </cfRule>
    <cfRule type="cellIs" dxfId="713" priority="1052" stopIfTrue="1" operator="between">
      <formula>10</formula>
      <formula>10</formula>
    </cfRule>
    <cfRule type="containsBlanks" dxfId="712" priority="1053" stopIfTrue="1">
      <formula>LEN(TRIM(E31))=0</formula>
    </cfRule>
  </conditionalFormatting>
  <conditionalFormatting sqref="E39">
    <cfRule type="colorScale" priority="113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34">
      <colorScale>
        <cfvo type="num" val="5"/>
        <cfvo type="num" val="10"/>
        <color rgb="FFFF494D"/>
        <color rgb="FF00FF66"/>
      </colorScale>
    </cfRule>
  </conditionalFormatting>
  <conditionalFormatting sqref="E40:E52">
    <cfRule type="cellIs" dxfId="711" priority="1109" operator="between">
      <formula>7</formula>
      <formula>7.9</formula>
    </cfRule>
    <cfRule type="cellIs" dxfId="710" priority="1110" stopIfTrue="1" operator="between">
      <formula>8</formula>
      <formula>8.9</formula>
    </cfRule>
    <cfRule type="cellIs" dxfId="709" priority="1111" operator="between">
      <formula>9</formula>
      <formula>9.9</formula>
    </cfRule>
    <cfRule type="cellIs" dxfId="708" priority="1112" stopIfTrue="1" operator="between">
      <formula>10</formula>
      <formula>10</formula>
    </cfRule>
  </conditionalFormatting>
  <conditionalFormatting sqref="E54">
    <cfRule type="colorScale" priority="10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92">
      <colorScale>
        <cfvo type="num" val="5"/>
        <cfvo type="num" val="10"/>
        <color rgb="FFFF494D"/>
        <color rgb="FF00FF66"/>
      </colorScale>
    </cfRule>
  </conditionalFormatting>
  <conditionalFormatting sqref="E55:E63">
    <cfRule type="cellIs" dxfId="707" priority="1030" operator="between">
      <formula>10.1</formula>
      <formula>10.6</formula>
    </cfRule>
    <cfRule type="cellIs" dxfId="706" priority="1031" operator="between">
      <formula>7</formula>
      <formula>7.9</formula>
    </cfRule>
    <cfRule type="cellIs" dxfId="705" priority="1032" stopIfTrue="1" operator="between">
      <formula>8</formula>
      <formula>8.9</formula>
    </cfRule>
    <cfRule type="cellIs" dxfId="704" priority="1033" operator="between">
      <formula>9</formula>
      <formula>9.9</formula>
    </cfRule>
    <cfRule type="cellIs" dxfId="703" priority="1034" stopIfTrue="1" operator="between">
      <formula>10</formula>
      <formula>10</formula>
    </cfRule>
    <cfRule type="containsBlanks" dxfId="702" priority="1035" stopIfTrue="1">
      <formula>LEN(TRIM(E55))=0</formula>
    </cfRule>
  </conditionalFormatting>
  <conditionalFormatting sqref="E65">
    <cfRule type="colorScale" priority="9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77">
      <colorScale>
        <cfvo type="num" val="5"/>
        <cfvo type="num" val="10"/>
        <color rgb="FFFF494D"/>
        <color rgb="FF00FF66"/>
      </colorScale>
    </cfRule>
  </conditionalFormatting>
  <conditionalFormatting sqref="E66:E78">
    <cfRule type="cellIs" dxfId="701" priority="978" operator="between">
      <formula>10.1</formula>
      <formula>10.6</formula>
    </cfRule>
    <cfRule type="cellIs" dxfId="700" priority="979" operator="between">
      <formula>7</formula>
      <formula>7.9</formula>
    </cfRule>
    <cfRule type="cellIs" dxfId="699" priority="980" stopIfTrue="1" operator="between">
      <formula>8</formula>
      <formula>8.9</formula>
    </cfRule>
    <cfRule type="cellIs" dxfId="698" priority="981" operator="between">
      <formula>9</formula>
      <formula>9.9</formula>
    </cfRule>
    <cfRule type="cellIs" dxfId="697" priority="982" stopIfTrue="1" operator="between">
      <formula>10</formula>
      <formula>10</formula>
    </cfRule>
    <cfRule type="containsBlanks" dxfId="696" priority="983" stopIfTrue="1">
      <formula>LEN(TRIM(E66))=0</formula>
    </cfRule>
  </conditionalFormatting>
  <conditionalFormatting sqref="E80">
    <cfRule type="colorScale" priority="9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19">
      <colorScale>
        <cfvo type="num" val="5"/>
        <cfvo type="num" val="10"/>
        <color rgb="FFFF494D"/>
        <color rgb="FF00FF66"/>
      </colorScale>
    </cfRule>
  </conditionalFormatting>
  <conditionalFormatting sqref="E81:E99">
    <cfRule type="cellIs" dxfId="695" priority="912" operator="between">
      <formula>10.1</formula>
      <formula>10.6</formula>
    </cfRule>
    <cfRule type="cellIs" dxfId="694" priority="913" operator="between">
      <formula>7</formula>
      <formula>7.9</formula>
    </cfRule>
    <cfRule type="cellIs" dxfId="693" priority="914" stopIfTrue="1" operator="between">
      <formula>8</formula>
      <formula>8.9</formula>
    </cfRule>
    <cfRule type="cellIs" dxfId="692" priority="915" operator="between">
      <formula>9</formula>
      <formula>9.9</formula>
    </cfRule>
    <cfRule type="cellIs" dxfId="691" priority="916" stopIfTrue="1" operator="between">
      <formula>10</formula>
      <formula>10</formula>
    </cfRule>
    <cfRule type="containsBlanks" dxfId="690" priority="917" stopIfTrue="1">
      <formula>LEN(TRIM(E81))=0</formula>
    </cfRule>
  </conditionalFormatting>
  <conditionalFormatting sqref="E101">
    <cfRule type="colorScale" priority="84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46">
      <colorScale>
        <cfvo type="num" val="5"/>
        <cfvo type="num" val="10"/>
        <color rgb="FFFF494D"/>
        <color rgb="FF00FF66"/>
      </colorScale>
    </cfRule>
  </conditionalFormatting>
  <conditionalFormatting sqref="E102:E115">
    <cfRule type="cellIs" dxfId="689" priority="847" operator="between">
      <formula>10.1</formula>
      <formula>10.6</formula>
    </cfRule>
    <cfRule type="cellIs" dxfId="688" priority="848" operator="between">
      <formula>7</formula>
      <formula>7.9</formula>
    </cfRule>
    <cfRule type="cellIs" dxfId="687" priority="849" stopIfTrue="1" operator="between">
      <formula>8</formula>
      <formula>8.9</formula>
    </cfRule>
    <cfRule type="cellIs" dxfId="686" priority="850" operator="between">
      <formula>9</formula>
      <formula>9.9</formula>
    </cfRule>
    <cfRule type="cellIs" dxfId="685" priority="851" stopIfTrue="1" operator="between">
      <formula>10</formula>
      <formula>10</formula>
    </cfRule>
    <cfRule type="containsBlanks" dxfId="684" priority="852" stopIfTrue="1">
      <formula>LEN(TRIM(E102))=0</formula>
    </cfRule>
  </conditionalFormatting>
  <conditionalFormatting sqref="E117">
    <cfRule type="colorScale" priority="80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02">
      <colorScale>
        <cfvo type="num" val="5"/>
        <cfvo type="num" val="10"/>
        <color rgb="FFFF494D"/>
        <color rgb="FF00FF66"/>
      </colorScale>
    </cfRule>
  </conditionalFormatting>
  <conditionalFormatting sqref="E118:E126">
    <cfRule type="cellIs" dxfId="683" priority="794" operator="between">
      <formula>6</formula>
      <formula>6.9</formula>
    </cfRule>
    <cfRule type="cellIs" dxfId="682" priority="795" operator="between">
      <formula>10.1</formula>
      <formula>10.6</formula>
    </cfRule>
    <cfRule type="cellIs" dxfId="681" priority="796" operator="between">
      <formula>7</formula>
      <formula>7.9</formula>
    </cfRule>
    <cfRule type="cellIs" dxfId="680" priority="797" stopIfTrue="1" operator="between">
      <formula>8</formula>
      <formula>8.9</formula>
    </cfRule>
    <cfRule type="cellIs" dxfId="679" priority="798" operator="between">
      <formula>9</formula>
      <formula>9.9</formula>
    </cfRule>
    <cfRule type="cellIs" dxfId="678" priority="799" stopIfTrue="1" operator="between">
      <formula>10</formula>
      <formula>10</formula>
    </cfRule>
    <cfRule type="containsBlanks" dxfId="677" priority="800" stopIfTrue="1">
      <formula>LEN(TRIM(E118))=0</formula>
    </cfRule>
  </conditionalFormatting>
  <conditionalFormatting sqref="E128">
    <cfRule type="colorScale" priority="7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69">
      <colorScale>
        <cfvo type="num" val="5"/>
        <cfvo type="num" val="10"/>
        <color rgb="FFFF494D"/>
        <color rgb="FF00FF66"/>
      </colorScale>
    </cfRule>
  </conditionalFormatting>
  <conditionalFormatting sqref="E129:E144">
    <cfRule type="cellIs" dxfId="676" priority="761" operator="between">
      <formula>6</formula>
      <formula>6.9</formula>
    </cfRule>
    <cfRule type="cellIs" dxfId="675" priority="762" operator="between">
      <formula>10.1</formula>
      <formula>10.6</formula>
    </cfRule>
    <cfRule type="cellIs" dxfId="674" priority="763" operator="between">
      <formula>7</formula>
      <formula>7.9</formula>
    </cfRule>
    <cfRule type="cellIs" dxfId="673" priority="764" stopIfTrue="1" operator="between">
      <formula>8</formula>
      <formula>8.9</formula>
    </cfRule>
    <cfRule type="cellIs" dxfId="672" priority="765" operator="between">
      <formula>9</formula>
      <formula>9.9</formula>
    </cfRule>
    <cfRule type="cellIs" dxfId="671" priority="766" stopIfTrue="1" operator="between">
      <formula>10</formula>
      <formula>10</formula>
    </cfRule>
    <cfRule type="containsBlanks" dxfId="670" priority="767" stopIfTrue="1">
      <formula>LEN(TRIM(E129))=0</formula>
    </cfRule>
  </conditionalFormatting>
  <conditionalFormatting sqref="E146">
    <cfRule type="colorScale" priority="69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91">
      <colorScale>
        <cfvo type="num" val="5"/>
        <cfvo type="num" val="10"/>
        <color rgb="FFFF494D"/>
        <color rgb="FF00FF66"/>
      </colorScale>
    </cfRule>
  </conditionalFormatting>
  <conditionalFormatting sqref="E147:E159">
    <cfRule type="cellIs" dxfId="669" priority="683" operator="between">
      <formula>6</formula>
      <formula>6.9</formula>
    </cfRule>
    <cfRule type="cellIs" dxfId="668" priority="684" operator="between">
      <formula>10.1</formula>
      <formula>10.6</formula>
    </cfRule>
    <cfRule type="cellIs" dxfId="667" priority="685" operator="between">
      <formula>7</formula>
      <formula>7.9</formula>
    </cfRule>
    <cfRule type="cellIs" dxfId="666" priority="686" stopIfTrue="1" operator="between">
      <formula>8</formula>
      <formula>8.9</formula>
    </cfRule>
    <cfRule type="cellIs" dxfId="665" priority="687" operator="between">
      <formula>9</formula>
      <formula>9.9</formula>
    </cfRule>
    <cfRule type="cellIs" dxfId="664" priority="688" stopIfTrue="1" operator="between">
      <formula>10</formula>
      <formula>10</formula>
    </cfRule>
    <cfRule type="containsBlanks" dxfId="663" priority="689" stopIfTrue="1">
      <formula>LEN(TRIM(E147))=0</formula>
    </cfRule>
  </conditionalFormatting>
  <conditionalFormatting sqref="E161">
    <cfRule type="colorScale" priority="6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55">
      <colorScale>
        <cfvo type="num" val="5"/>
        <cfvo type="num" val="10"/>
        <color rgb="FFFF494D"/>
        <color rgb="FF00FF66"/>
      </colorScale>
    </cfRule>
  </conditionalFormatting>
  <conditionalFormatting sqref="E162:E170">
    <cfRule type="cellIs" dxfId="662" priority="647" operator="between">
      <formula>6</formula>
      <formula>6.9</formula>
    </cfRule>
    <cfRule type="cellIs" dxfId="661" priority="648" operator="between">
      <formula>10.1</formula>
      <formula>10.6</formula>
    </cfRule>
    <cfRule type="cellIs" dxfId="660" priority="649" operator="between">
      <formula>7</formula>
      <formula>7.9</formula>
    </cfRule>
    <cfRule type="cellIs" dxfId="659" priority="650" stopIfTrue="1" operator="between">
      <formula>8</formula>
      <formula>8.9</formula>
    </cfRule>
    <cfRule type="cellIs" dxfId="658" priority="651" operator="between">
      <formula>9</formula>
      <formula>9.9</formula>
    </cfRule>
    <cfRule type="cellIs" dxfId="657" priority="652" stopIfTrue="1" operator="between">
      <formula>10</formula>
      <formula>10</formula>
    </cfRule>
    <cfRule type="containsBlanks" dxfId="656" priority="653" stopIfTrue="1">
      <formula>LEN(TRIM(E162))=0</formula>
    </cfRule>
  </conditionalFormatting>
  <conditionalFormatting sqref="E172">
    <cfRule type="colorScale" priority="60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10">
      <colorScale>
        <cfvo type="num" val="5"/>
        <cfvo type="num" val="10"/>
        <color rgb="FFFF494D"/>
        <color rgb="FF00FF66"/>
      </colorScale>
    </cfRule>
  </conditionalFormatting>
  <conditionalFormatting sqref="E173:E184">
    <cfRule type="cellIs" dxfId="655" priority="602" operator="between">
      <formula>6</formula>
      <formula>6.9</formula>
    </cfRule>
    <cfRule type="cellIs" dxfId="654" priority="603" operator="between">
      <formula>10.1</formula>
      <formula>10.6</formula>
    </cfRule>
    <cfRule type="cellIs" dxfId="653" priority="604" operator="between">
      <formula>7</formula>
      <formula>7.9</formula>
    </cfRule>
    <cfRule type="cellIs" dxfId="652" priority="605" stopIfTrue="1" operator="between">
      <formula>8</formula>
      <formula>8.9</formula>
    </cfRule>
    <cfRule type="cellIs" dxfId="651" priority="606" operator="between">
      <formula>9</formula>
      <formula>9.9</formula>
    </cfRule>
    <cfRule type="cellIs" dxfId="650" priority="607" stopIfTrue="1" operator="between">
      <formula>10</formula>
      <formula>10</formula>
    </cfRule>
    <cfRule type="containsBlanks" dxfId="649" priority="608" stopIfTrue="1">
      <formula>LEN(TRIM(E173))=0</formula>
    </cfRule>
  </conditionalFormatting>
  <conditionalFormatting sqref="E186">
    <cfRule type="colorScale" priority="54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48">
      <colorScale>
        <cfvo type="num" val="5"/>
        <cfvo type="num" val="10"/>
        <color rgb="FFFF494D"/>
        <color rgb="FF00FF66"/>
      </colorScale>
    </cfRule>
  </conditionalFormatting>
  <conditionalFormatting sqref="E187:E199">
    <cfRule type="cellIs" dxfId="648" priority="540" operator="between">
      <formula>6</formula>
      <formula>6.9</formula>
    </cfRule>
    <cfRule type="cellIs" dxfId="647" priority="541" operator="between">
      <formula>10.1</formula>
      <formula>10.6</formula>
    </cfRule>
    <cfRule type="cellIs" dxfId="646" priority="542" operator="between">
      <formula>7</formula>
      <formula>7.9</formula>
    </cfRule>
    <cfRule type="cellIs" dxfId="645" priority="543" stopIfTrue="1" operator="between">
      <formula>8</formula>
      <formula>8.9</formula>
    </cfRule>
    <cfRule type="cellIs" dxfId="644" priority="544" operator="between">
      <formula>9</formula>
      <formula>9.9</formula>
    </cfRule>
    <cfRule type="cellIs" dxfId="643" priority="545" stopIfTrue="1" operator="between">
      <formula>10</formula>
      <formula>10</formula>
    </cfRule>
    <cfRule type="containsBlanks" dxfId="642" priority="546" stopIfTrue="1">
      <formula>LEN(TRIM(E187))=0</formula>
    </cfRule>
  </conditionalFormatting>
  <conditionalFormatting sqref="E201">
    <cfRule type="colorScale" priority="49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94">
      <colorScale>
        <cfvo type="num" val="5"/>
        <cfvo type="num" val="10"/>
        <color rgb="FFFF494D"/>
        <color rgb="FF00FF66"/>
      </colorScale>
    </cfRule>
  </conditionalFormatting>
  <conditionalFormatting sqref="E202:E211">
    <cfRule type="cellIs" dxfId="641" priority="486" operator="between">
      <formula>6</formula>
      <formula>6.9</formula>
    </cfRule>
    <cfRule type="cellIs" dxfId="640" priority="487" operator="between">
      <formula>10.1</formula>
      <formula>11</formula>
    </cfRule>
    <cfRule type="cellIs" dxfId="639" priority="488" operator="between">
      <formula>7</formula>
      <formula>7.9</formula>
    </cfRule>
    <cfRule type="cellIs" dxfId="638" priority="489" stopIfTrue="1" operator="between">
      <formula>8</formula>
      <formula>8.9</formula>
    </cfRule>
    <cfRule type="cellIs" dxfId="637" priority="490" operator="between">
      <formula>9</formula>
      <formula>9.9</formula>
    </cfRule>
    <cfRule type="cellIs" dxfId="636" priority="491" stopIfTrue="1" operator="between">
      <formula>10</formula>
      <formula>10</formula>
    </cfRule>
    <cfRule type="containsBlanks" dxfId="635" priority="492" stopIfTrue="1">
      <formula>LEN(TRIM(E202))=0</formula>
    </cfRule>
  </conditionalFormatting>
  <conditionalFormatting sqref="E213">
    <cfRule type="colorScale" priority="44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45">
      <colorScale>
        <cfvo type="num" val="5"/>
        <cfvo type="num" val="10"/>
        <color rgb="FFFF494D"/>
        <color rgb="FF00FF66"/>
      </colorScale>
    </cfRule>
  </conditionalFormatting>
  <conditionalFormatting sqref="E214:E227">
    <cfRule type="cellIs" dxfId="634" priority="446" operator="between">
      <formula>6</formula>
      <formula>6.9</formula>
    </cfRule>
    <cfRule type="cellIs" dxfId="633" priority="447" operator="between">
      <formula>10.1</formula>
      <formula>10.6</formula>
    </cfRule>
    <cfRule type="cellIs" dxfId="632" priority="448" operator="between">
      <formula>7</formula>
      <formula>7.9</formula>
    </cfRule>
    <cfRule type="cellIs" dxfId="631" priority="449" stopIfTrue="1" operator="between">
      <formula>8</formula>
      <formula>8.9</formula>
    </cfRule>
    <cfRule type="cellIs" dxfId="630" priority="450" operator="between">
      <formula>9</formula>
      <formula>9.9</formula>
    </cfRule>
    <cfRule type="cellIs" dxfId="629" priority="451" stopIfTrue="1" operator="between">
      <formula>10</formula>
      <formula>10</formula>
    </cfRule>
    <cfRule type="containsBlanks" dxfId="628" priority="452" stopIfTrue="1">
      <formula>LEN(TRIM(E214))=0</formula>
    </cfRule>
  </conditionalFormatting>
  <conditionalFormatting sqref="E229">
    <cfRule type="colorScale" priority="41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14">
      <colorScale>
        <cfvo type="num" val="5"/>
        <cfvo type="num" val="10"/>
        <color rgb="FFFF494D"/>
        <color rgb="FF00FF66"/>
      </colorScale>
    </cfRule>
  </conditionalFormatting>
  <conditionalFormatting sqref="E230:E235">
    <cfRule type="cellIs" dxfId="627" priority="406" operator="between">
      <formula>6</formula>
      <formula>6.9</formula>
    </cfRule>
    <cfRule type="cellIs" dxfId="626" priority="407" operator="between">
      <formula>10.1</formula>
      <formula>10.6</formula>
    </cfRule>
    <cfRule type="cellIs" dxfId="625" priority="408" operator="between">
      <formula>7</formula>
      <formula>7.9</formula>
    </cfRule>
    <cfRule type="cellIs" dxfId="624" priority="409" stopIfTrue="1" operator="between">
      <formula>8</formula>
      <formula>8.9</formula>
    </cfRule>
    <cfRule type="cellIs" dxfId="623" priority="410" operator="between">
      <formula>9</formula>
      <formula>9.9</formula>
    </cfRule>
    <cfRule type="cellIs" dxfId="622" priority="411" stopIfTrue="1" operator="between">
      <formula>10</formula>
      <formula>10</formula>
    </cfRule>
    <cfRule type="containsBlanks" dxfId="621" priority="412" stopIfTrue="1">
      <formula>LEN(TRIM(E230))=0</formula>
    </cfRule>
  </conditionalFormatting>
  <conditionalFormatting sqref="E237">
    <cfRule type="colorScale" priority="37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71">
      <colorScale>
        <cfvo type="num" val="5"/>
        <cfvo type="num" val="10"/>
        <color rgb="FFFF494D"/>
        <color rgb="FF00FF66"/>
      </colorScale>
    </cfRule>
  </conditionalFormatting>
  <conditionalFormatting sqref="E238:E252 E255:E264">
    <cfRule type="cellIs" dxfId="620" priority="372" operator="between">
      <formula>6</formula>
      <formula>6.9</formula>
    </cfRule>
    <cfRule type="cellIs" dxfId="619" priority="373" operator="between">
      <formula>10.1</formula>
      <formula>10.6</formula>
    </cfRule>
    <cfRule type="cellIs" dxfId="618" priority="374" operator="between">
      <formula>7</formula>
      <formula>7.9</formula>
    </cfRule>
    <cfRule type="cellIs" dxfId="617" priority="375" stopIfTrue="1" operator="between">
      <formula>8</formula>
      <formula>8.9</formula>
    </cfRule>
    <cfRule type="cellIs" dxfId="616" priority="376" operator="between">
      <formula>9</formula>
      <formula>9.9</formula>
    </cfRule>
    <cfRule type="cellIs" dxfId="615" priority="377" stopIfTrue="1" operator="between">
      <formula>10</formula>
      <formula>10</formula>
    </cfRule>
    <cfRule type="containsBlanks" dxfId="614" priority="378" stopIfTrue="1">
      <formula>LEN(TRIM(E238))=0</formula>
    </cfRule>
  </conditionalFormatting>
  <conditionalFormatting sqref="E254">
    <cfRule type="colorScale" priority="31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5">
      <colorScale>
        <cfvo type="num" val="5"/>
        <cfvo type="num" val="10"/>
        <color rgb="FFFF494D"/>
        <color rgb="FF00FF66"/>
      </colorScale>
    </cfRule>
  </conditionalFormatting>
  <conditionalFormatting sqref="E266">
    <cfRule type="colorScale" priority="27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9">
      <colorScale>
        <cfvo type="num" val="5"/>
        <cfvo type="num" val="10"/>
        <color rgb="FFFF494D"/>
        <color rgb="FF00FF66"/>
      </colorScale>
    </cfRule>
  </conditionalFormatting>
  <conditionalFormatting sqref="E267:E276">
    <cfRule type="cellIs" dxfId="613" priority="280" operator="between">
      <formula>6</formula>
      <formula>6.9</formula>
    </cfRule>
    <cfRule type="cellIs" dxfId="612" priority="281" operator="between">
      <formula>10.1</formula>
      <formula>10.6</formula>
    </cfRule>
    <cfRule type="cellIs" dxfId="611" priority="282" operator="between">
      <formula>7</formula>
      <formula>7.9</formula>
    </cfRule>
    <cfRule type="cellIs" dxfId="610" priority="283" stopIfTrue="1" operator="between">
      <formula>8</formula>
      <formula>8.9</formula>
    </cfRule>
    <cfRule type="cellIs" dxfId="609" priority="284" operator="between">
      <formula>9</formula>
      <formula>9.9</formula>
    </cfRule>
    <cfRule type="cellIs" dxfId="608" priority="285" stopIfTrue="1" operator="between">
      <formula>10</formula>
      <formula>10</formula>
    </cfRule>
    <cfRule type="containsBlanks" dxfId="607" priority="286" stopIfTrue="1">
      <formula>LEN(TRIM(E267))=0</formula>
    </cfRule>
  </conditionalFormatting>
  <conditionalFormatting sqref="E278">
    <cfRule type="colorScale" priority="2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5">
      <colorScale>
        <cfvo type="num" val="5"/>
        <cfvo type="num" val="10"/>
        <color rgb="FFFF494D"/>
        <color rgb="FF00FF66"/>
      </colorScale>
    </cfRule>
  </conditionalFormatting>
  <conditionalFormatting sqref="E279:E286">
    <cfRule type="cellIs" dxfId="606" priority="227" operator="between">
      <formula>6</formula>
      <formula>6.9</formula>
    </cfRule>
    <cfRule type="cellIs" dxfId="605" priority="228" operator="between">
      <formula>10.1</formula>
      <formula>10.6</formula>
    </cfRule>
    <cfRule type="cellIs" dxfId="604" priority="229" operator="between">
      <formula>7</formula>
      <formula>7.9</formula>
    </cfRule>
    <cfRule type="cellIs" dxfId="603" priority="230" stopIfTrue="1" operator="between">
      <formula>8</formula>
      <formula>8.9</formula>
    </cfRule>
    <cfRule type="cellIs" dxfId="602" priority="231" operator="between">
      <formula>9</formula>
      <formula>9.9</formula>
    </cfRule>
    <cfRule type="cellIs" dxfId="601" priority="232" stopIfTrue="1" operator="between">
      <formula>10</formula>
      <formula>10</formula>
    </cfRule>
    <cfRule type="containsBlanks" dxfId="600" priority="233" stopIfTrue="1">
      <formula>LEN(TRIM(E279))=0</formula>
    </cfRule>
  </conditionalFormatting>
  <conditionalFormatting sqref="E288">
    <cfRule type="colorScale" priority="18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0">
      <colorScale>
        <cfvo type="num" val="5"/>
        <cfvo type="num" val="10"/>
        <color rgb="FFFF494D"/>
        <color rgb="FF00FF66"/>
      </colorScale>
    </cfRule>
  </conditionalFormatting>
  <conditionalFormatting sqref="E289:E297">
    <cfRule type="cellIs" dxfId="599" priority="182" operator="between">
      <formula>6</formula>
      <formula>6.9</formula>
    </cfRule>
    <cfRule type="cellIs" dxfId="598" priority="183" operator="between">
      <formula>10.1</formula>
      <formula>10.6</formula>
    </cfRule>
    <cfRule type="cellIs" dxfId="597" priority="184" operator="between">
      <formula>7</formula>
      <formula>7.9</formula>
    </cfRule>
    <cfRule type="cellIs" dxfId="596" priority="185" stopIfTrue="1" operator="between">
      <formula>8</formula>
      <formula>8.9</formula>
    </cfRule>
    <cfRule type="cellIs" dxfId="595" priority="186" operator="between">
      <formula>9</formula>
      <formula>9.9</formula>
    </cfRule>
    <cfRule type="cellIs" dxfId="594" priority="187" stopIfTrue="1" operator="between">
      <formula>10</formula>
      <formula>10</formula>
    </cfRule>
    <cfRule type="containsBlanks" dxfId="593" priority="188" stopIfTrue="1">
      <formula>LEN(TRIM(E289))=0</formula>
    </cfRule>
  </conditionalFormatting>
  <conditionalFormatting sqref="E299">
    <cfRule type="colorScale" priority="1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9">
      <colorScale>
        <cfvo type="num" val="5"/>
        <cfvo type="num" val="10"/>
        <color rgb="FFFF494D"/>
        <color rgb="FF00FF66"/>
      </colorScale>
    </cfRule>
  </conditionalFormatting>
  <conditionalFormatting sqref="E300:E308">
    <cfRule type="cellIs" dxfId="592" priority="131" operator="between">
      <formula>6</formula>
      <formula>6.9</formula>
    </cfRule>
    <cfRule type="cellIs" dxfId="591" priority="132" operator="between">
      <formula>10.1</formula>
      <formula>10.6</formula>
    </cfRule>
    <cfRule type="cellIs" dxfId="590" priority="133" operator="between">
      <formula>7</formula>
      <formula>7.9</formula>
    </cfRule>
    <cfRule type="cellIs" dxfId="589" priority="134" stopIfTrue="1" operator="between">
      <formula>8</formula>
      <formula>8.9</formula>
    </cfRule>
    <cfRule type="cellIs" dxfId="588" priority="135" operator="between">
      <formula>9</formula>
      <formula>9.9</formula>
    </cfRule>
    <cfRule type="cellIs" dxfId="587" priority="136" stopIfTrue="1" operator="between">
      <formula>10</formula>
      <formula>10</formula>
    </cfRule>
    <cfRule type="containsBlanks" dxfId="586" priority="137" stopIfTrue="1">
      <formula>LEN(TRIM(E300))=0</formula>
    </cfRule>
  </conditionalFormatting>
  <conditionalFormatting sqref="E310">
    <cfRule type="colorScale" priority="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">
      <colorScale>
        <cfvo type="num" val="5"/>
        <cfvo type="num" val="10"/>
        <color rgb="FFFF494D"/>
        <color rgb="FF00FF66"/>
      </colorScale>
    </cfRule>
  </conditionalFormatting>
  <conditionalFormatting sqref="E311:E318">
    <cfRule type="containsBlanks" dxfId="585" priority="78" stopIfTrue="1">
      <formula>LEN(TRIM(E311))=0</formula>
    </cfRule>
    <cfRule type="cellIs" dxfId="584" priority="79" operator="lessThan">
      <formula>2</formula>
    </cfRule>
    <cfRule type="cellIs" dxfId="583" priority="80" operator="between">
      <formula>2</formula>
      <formula>4.9</formula>
    </cfRule>
    <cfRule type="cellIs" dxfId="582" priority="81" operator="between">
      <formula>5</formula>
      <formula>6.9</formula>
    </cfRule>
    <cfRule type="cellIs" dxfId="581" priority="82" operator="between">
      <formula>10.1</formula>
      <formula>10.6</formula>
    </cfRule>
    <cfRule type="cellIs" dxfId="580" priority="83" operator="between">
      <formula>7</formula>
      <formula>7.9</formula>
    </cfRule>
    <cfRule type="cellIs" dxfId="579" priority="84" stopIfTrue="1" operator="between">
      <formula>8</formula>
      <formula>8.9</formula>
    </cfRule>
    <cfRule type="cellIs" dxfId="578" priority="85" operator="between">
      <formula>9</formula>
      <formula>9.9</formula>
    </cfRule>
    <cfRule type="cellIs" dxfId="577" priority="86" stopIfTrue="1" operator="between">
      <formula>10</formula>
      <formula>10</formula>
    </cfRule>
  </conditionalFormatting>
  <conditionalFormatting sqref="E320">
    <cfRule type="colorScale" priority="6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8">
      <colorScale>
        <cfvo type="num" val="5"/>
        <cfvo type="num" val="10"/>
        <color rgb="FFFF494D"/>
        <color rgb="FF00FF66"/>
      </colorScale>
    </cfRule>
  </conditionalFormatting>
  <conditionalFormatting sqref="E321:E326">
    <cfRule type="containsBlanks" dxfId="576" priority="69" stopIfTrue="1">
      <formula>LEN(TRIM(E321))=0</formula>
    </cfRule>
    <cfRule type="cellIs" dxfId="575" priority="70" operator="lessThan">
      <formula>2</formula>
    </cfRule>
    <cfRule type="cellIs" dxfId="574" priority="71" operator="between">
      <formula>2</formula>
      <formula>4.9</formula>
    </cfRule>
    <cfRule type="cellIs" dxfId="573" priority="72" operator="between">
      <formula>5</formula>
      <formula>6.9</formula>
    </cfRule>
    <cfRule type="cellIs" dxfId="572" priority="73" operator="between">
      <formula>10.1</formula>
      <formula>10.6</formula>
    </cfRule>
    <cfRule type="cellIs" dxfId="571" priority="74" operator="between">
      <formula>7</formula>
      <formula>7.9</formula>
    </cfRule>
    <cfRule type="cellIs" dxfId="570" priority="75" stopIfTrue="1" operator="between">
      <formula>8</formula>
      <formula>8.9</formula>
    </cfRule>
    <cfRule type="cellIs" dxfId="569" priority="76" operator="between">
      <formula>9</formula>
      <formula>9.9</formula>
    </cfRule>
    <cfRule type="cellIs" dxfId="568" priority="77" stopIfTrue="1" operator="between">
      <formula>10</formula>
      <formula>10</formula>
    </cfRule>
  </conditionalFormatting>
  <conditionalFormatting sqref="E328">
    <cfRule type="colorScale" priority="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">
      <colorScale>
        <cfvo type="num" val="5"/>
        <cfvo type="num" val="10"/>
        <color rgb="FFFF494D"/>
        <color rgb="FF00FF66"/>
      </colorScale>
    </cfRule>
  </conditionalFormatting>
  <conditionalFormatting sqref="E329:E358">
    <cfRule type="containsBlanks" dxfId="567" priority="25" stopIfTrue="1">
      <formula>LEN(TRIM(E329))=0</formula>
    </cfRule>
    <cfRule type="cellIs" dxfId="566" priority="26" operator="lessThan">
      <formula>2</formula>
    </cfRule>
    <cfRule type="cellIs" dxfId="565" priority="27" operator="between">
      <formula>2</formula>
      <formula>4.9</formula>
    </cfRule>
    <cfRule type="cellIs" dxfId="564" priority="28" operator="between">
      <formula>5</formula>
      <formula>6.9</formula>
    </cfRule>
    <cfRule type="cellIs" dxfId="563" priority="29" operator="between">
      <formula>10.1</formula>
      <formula>10.6</formula>
    </cfRule>
    <cfRule type="cellIs" dxfId="562" priority="30" operator="between">
      <formula>7</formula>
      <formula>7.9</formula>
    </cfRule>
    <cfRule type="cellIs" dxfId="561" priority="31" stopIfTrue="1" operator="between">
      <formula>8</formula>
      <formula>8.9</formula>
    </cfRule>
    <cfRule type="cellIs" dxfId="560" priority="32" operator="between">
      <formula>9</formula>
      <formula>9.9</formula>
    </cfRule>
    <cfRule type="cellIs" dxfId="559" priority="33" stopIfTrue="1" operator="between">
      <formula>10</formula>
      <formula>10</formula>
    </cfRule>
  </conditionalFormatting>
  <conditionalFormatting sqref="H3:H15">
    <cfRule type="cellIs" dxfId="558" priority="264" operator="between">
      <formula>7</formula>
      <formula>7.9</formula>
    </cfRule>
    <cfRule type="cellIs" dxfId="557" priority="265" stopIfTrue="1" operator="between">
      <formula>8</formula>
      <formula>8.9</formula>
    </cfRule>
    <cfRule type="cellIs" dxfId="556" priority="266" operator="between">
      <formula>9</formula>
      <formula>9.9</formula>
    </cfRule>
    <cfRule type="cellIs" dxfId="555" priority="267" stopIfTrue="1" operator="between">
      <formula>10</formula>
      <formula>10</formula>
    </cfRule>
  </conditionalFormatting>
  <conditionalFormatting sqref="H7">
    <cfRule type="cellIs" dxfId="554" priority="263" operator="between">
      <formula>10.1</formula>
      <formula>10.6</formula>
    </cfRule>
    <cfRule type="containsBlanks" dxfId="553" priority="268" stopIfTrue="1">
      <formula>LEN(TRIM(H7))=0</formula>
    </cfRule>
  </conditionalFormatting>
  <conditionalFormatting sqref="H18:H28">
    <cfRule type="cellIs" dxfId="552" priority="1113" operator="between">
      <formula>7</formula>
      <formula>7.9</formula>
    </cfRule>
    <cfRule type="cellIs" dxfId="551" priority="1114" stopIfTrue="1" operator="between">
      <formula>8</formula>
      <formula>8.9</formula>
    </cfRule>
    <cfRule type="cellIs" dxfId="550" priority="1115" operator="between">
      <formula>9</formula>
      <formula>9.9</formula>
    </cfRule>
    <cfRule type="cellIs" dxfId="549" priority="1116" stopIfTrue="1" operator="between">
      <formula>10</formula>
      <formula>10</formula>
    </cfRule>
  </conditionalFormatting>
  <conditionalFormatting sqref="H30">
    <cfRule type="colorScale" priority="11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38">
      <colorScale>
        <cfvo type="num" val="5"/>
        <cfvo type="num" val="10"/>
        <color rgb="FFFF494D"/>
        <color rgb="FF00FF66"/>
      </colorScale>
    </cfRule>
  </conditionalFormatting>
  <conditionalFormatting sqref="H31:H45">
    <cfRule type="cellIs" dxfId="548" priority="1042" operator="between">
      <formula>10.1</formula>
      <formula>10.6</formula>
    </cfRule>
    <cfRule type="cellIs" dxfId="547" priority="1043" operator="between">
      <formula>7</formula>
      <formula>7.9</formula>
    </cfRule>
    <cfRule type="cellIs" dxfId="546" priority="1044" stopIfTrue="1" operator="between">
      <formula>8</formula>
      <formula>8.9</formula>
    </cfRule>
    <cfRule type="cellIs" dxfId="545" priority="1045" operator="between">
      <formula>9</formula>
      <formula>9.9</formula>
    </cfRule>
    <cfRule type="cellIs" dxfId="544" priority="1046" stopIfTrue="1" operator="between">
      <formula>10</formula>
      <formula>10</formula>
    </cfRule>
    <cfRule type="containsBlanks" dxfId="543" priority="1047" stopIfTrue="1">
      <formula>LEN(TRIM(H31))=0</formula>
    </cfRule>
  </conditionalFormatting>
  <conditionalFormatting sqref="H47">
    <cfRule type="colorScale" priority="11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26">
      <colorScale>
        <cfvo type="num" val="5"/>
        <cfvo type="num" val="10"/>
        <color rgb="FFFF494D"/>
        <color rgb="FF00FF66"/>
      </colorScale>
    </cfRule>
  </conditionalFormatting>
  <conditionalFormatting sqref="H48:H55">
    <cfRule type="cellIs" dxfId="542" priority="1036" operator="between">
      <formula>10.1</formula>
      <formula>10.6</formula>
    </cfRule>
    <cfRule type="cellIs" dxfId="541" priority="1037" operator="between">
      <formula>7</formula>
      <formula>7.9</formula>
    </cfRule>
    <cfRule type="cellIs" dxfId="540" priority="1038" stopIfTrue="1" operator="between">
      <formula>8</formula>
      <formula>8.9</formula>
    </cfRule>
    <cfRule type="cellIs" dxfId="539" priority="1039" operator="between">
      <formula>9</formula>
      <formula>9.9</formula>
    </cfRule>
    <cfRule type="cellIs" dxfId="538" priority="1040" stopIfTrue="1" operator="between">
      <formula>10</formula>
      <formula>10</formula>
    </cfRule>
    <cfRule type="containsBlanks" dxfId="537" priority="1041" stopIfTrue="1">
      <formula>LEN(TRIM(H48))=0</formula>
    </cfRule>
  </conditionalFormatting>
  <conditionalFormatting sqref="H57">
    <cfRule type="colorScale" priority="9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87">
      <colorScale>
        <cfvo type="num" val="5"/>
        <cfvo type="num" val="10"/>
        <color rgb="FFFF494D"/>
        <color rgb="FF00FF66"/>
      </colorScale>
    </cfRule>
  </conditionalFormatting>
  <conditionalFormatting sqref="H58:H67">
    <cfRule type="cellIs" dxfId="536" priority="936" operator="between">
      <formula>6</formula>
      <formula>6.9</formula>
    </cfRule>
    <cfRule type="cellIs" dxfId="535" priority="937" operator="between">
      <formula>10.1</formula>
      <formula>10.6</formula>
    </cfRule>
    <cfRule type="cellIs" dxfId="534" priority="938" operator="between">
      <formula>7</formula>
      <formula>7.9</formula>
    </cfRule>
    <cfRule type="cellIs" dxfId="533" priority="939" stopIfTrue="1" operator="between">
      <formula>8</formula>
      <formula>8.9</formula>
    </cfRule>
    <cfRule type="cellIs" dxfId="532" priority="940" operator="between">
      <formula>9</formula>
      <formula>9.9</formula>
    </cfRule>
    <cfRule type="cellIs" dxfId="531" priority="941" stopIfTrue="1" operator="between">
      <formula>10</formula>
      <formula>10</formula>
    </cfRule>
    <cfRule type="containsBlanks" dxfId="530" priority="942" stopIfTrue="1">
      <formula>LEN(TRIM(H58))=0</formula>
    </cfRule>
  </conditionalFormatting>
  <conditionalFormatting sqref="H69">
    <cfRule type="colorScale" priority="95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59">
      <colorScale>
        <cfvo type="num" val="5"/>
        <cfvo type="num" val="10"/>
        <color rgb="FFFF494D"/>
        <color rgb="FF00FF66"/>
      </colorScale>
    </cfRule>
  </conditionalFormatting>
  <conditionalFormatting sqref="H70:H81">
    <cfRule type="cellIs" dxfId="529" priority="952" operator="between">
      <formula>10.1</formula>
      <formula>10.6</formula>
    </cfRule>
    <cfRule type="cellIs" dxfId="528" priority="953" operator="between">
      <formula>7</formula>
      <formula>7.9</formula>
    </cfRule>
    <cfRule type="cellIs" dxfId="527" priority="954" stopIfTrue="1" operator="between">
      <formula>8</formula>
      <formula>8.9</formula>
    </cfRule>
    <cfRule type="cellIs" dxfId="526" priority="955" operator="between">
      <formula>9</formula>
      <formula>9.9</formula>
    </cfRule>
    <cfRule type="cellIs" dxfId="525" priority="956" stopIfTrue="1" operator="between">
      <formula>10</formula>
      <formula>10</formula>
    </cfRule>
    <cfRule type="containsBlanks" dxfId="524" priority="957" stopIfTrue="1">
      <formula>LEN(TRIM(H70))=0</formula>
    </cfRule>
  </conditionalFormatting>
  <conditionalFormatting sqref="H83">
    <cfRule type="colorScale" priority="9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03">
      <colorScale>
        <cfvo type="num" val="5"/>
        <cfvo type="num" val="10"/>
        <color rgb="FFFF494D"/>
        <color rgb="FF00FF66"/>
      </colorScale>
    </cfRule>
  </conditionalFormatting>
  <conditionalFormatting sqref="H84:H95">
    <cfRule type="cellIs" dxfId="523" priority="895" operator="between">
      <formula>6</formula>
      <formula>6.9</formula>
    </cfRule>
    <cfRule type="cellIs" dxfId="522" priority="896" operator="between">
      <formula>10.1</formula>
      <formula>10.6</formula>
    </cfRule>
    <cfRule type="cellIs" dxfId="521" priority="897" operator="between">
      <formula>7</formula>
      <formula>7.9</formula>
    </cfRule>
    <cfRule type="cellIs" dxfId="520" priority="898" stopIfTrue="1" operator="between">
      <formula>8</formula>
      <formula>8.9</formula>
    </cfRule>
    <cfRule type="cellIs" dxfId="519" priority="899" operator="between">
      <formula>9</formula>
      <formula>9.9</formula>
    </cfRule>
    <cfRule type="cellIs" dxfId="518" priority="900" stopIfTrue="1" operator="between">
      <formula>10</formula>
      <formula>10</formula>
    </cfRule>
    <cfRule type="containsBlanks" dxfId="517" priority="901" stopIfTrue="1">
      <formula>LEN(TRIM(H84))=0</formula>
    </cfRule>
  </conditionalFormatting>
  <conditionalFormatting sqref="H97">
    <cfRule type="colorScale" priority="8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70">
      <colorScale>
        <cfvo type="num" val="5"/>
        <cfvo type="num" val="10"/>
        <color rgb="FFFF494D"/>
        <color rgb="FF00FF66"/>
      </colorScale>
    </cfRule>
  </conditionalFormatting>
  <conditionalFormatting sqref="H98:H108">
    <cfRule type="cellIs" dxfId="516" priority="853" operator="between">
      <formula>6</formula>
      <formula>6.9</formula>
    </cfRule>
    <cfRule type="cellIs" dxfId="515" priority="854" operator="between">
      <formula>10.1</formula>
      <formula>10.6</formula>
    </cfRule>
    <cfRule type="cellIs" dxfId="514" priority="855" operator="between">
      <formula>7</formula>
      <formula>7.9</formula>
    </cfRule>
    <cfRule type="cellIs" dxfId="513" priority="856" stopIfTrue="1" operator="between">
      <formula>8</formula>
      <formula>8.9</formula>
    </cfRule>
    <cfRule type="cellIs" dxfId="512" priority="857" operator="between">
      <formula>9</formula>
      <formula>9.9</formula>
    </cfRule>
    <cfRule type="cellIs" dxfId="511" priority="858" stopIfTrue="1" operator="between">
      <formula>10</formula>
      <formula>10</formula>
    </cfRule>
    <cfRule type="containsBlanks" dxfId="510" priority="859" stopIfTrue="1">
      <formula>LEN(TRIM(H98))=0</formula>
    </cfRule>
  </conditionalFormatting>
  <conditionalFormatting sqref="H110">
    <cfRule type="colorScale" priority="8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36">
      <colorScale>
        <cfvo type="num" val="5"/>
        <cfvo type="num" val="10"/>
        <color rgb="FFFF494D"/>
        <color rgb="FF00FF66"/>
      </colorScale>
    </cfRule>
  </conditionalFormatting>
  <conditionalFormatting sqref="H111:H123">
    <cfRule type="cellIs" dxfId="509" priority="829" operator="between">
      <formula>10.1</formula>
      <formula>10.6</formula>
    </cfRule>
    <cfRule type="cellIs" dxfId="508" priority="830" operator="between">
      <formula>7</formula>
      <formula>7.9</formula>
    </cfRule>
    <cfRule type="cellIs" dxfId="507" priority="831" stopIfTrue="1" operator="between">
      <formula>8</formula>
      <formula>8.9</formula>
    </cfRule>
    <cfRule type="cellIs" dxfId="506" priority="832" operator="between">
      <formula>9</formula>
      <formula>9.9</formula>
    </cfRule>
    <cfRule type="cellIs" dxfId="505" priority="833" stopIfTrue="1" operator="between">
      <formula>10</formula>
      <formula>10</formula>
    </cfRule>
    <cfRule type="containsBlanks" dxfId="504" priority="834" stopIfTrue="1">
      <formula>LEN(TRIM(H111))=0</formula>
    </cfRule>
  </conditionalFormatting>
  <conditionalFormatting sqref="H125">
    <cfRule type="colorScale" priority="7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78">
      <colorScale>
        <cfvo type="num" val="5"/>
        <cfvo type="num" val="10"/>
        <color rgb="FFFF494D"/>
        <color rgb="FF00FF66"/>
      </colorScale>
    </cfRule>
  </conditionalFormatting>
  <conditionalFormatting sqref="H126:H129">
    <cfRule type="cellIs" dxfId="503" priority="770" operator="between">
      <formula>6</formula>
      <formula>6.9</formula>
    </cfRule>
    <cfRule type="cellIs" dxfId="502" priority="771" operator="between">
      <formula>10.1</formula>
      <formula>10.6</formula>
    </cfRule>
    <cfRule type="cellIs" dxfId="501" priority="772" operator="between">
      <formula>7</formula>
      <formula>7.9</formula>
    </cfRule>
    <cfRule type="cellIs" dxfId="500" priority="773" stopIfTrue="1" operator="between">
      <formula>8</formula>
      <formula>8.9</formula>
    </cfRule>
    <cfRule type="cellIs" dxfId="499" priority="774" operator="between">
      <formula>9</formula>
      <formula>9.9</formula>
    </cfRule>
    <cfRule type="cellIs" dxfId="498" priority="775" stopIfTrue="1" operator="between">
      <formula>10</formula>
      <formula>10</formula>
    </cfRule>
    <cfRule type="containsBlanks" dxfId="497" priority="776" stopIfTrue="1">
      <formula>LEN(TRIM(H126))=0</formula>
    </cfRule>
  </conditionalFormatting>
  <conditionalFormatting sqref="H131">
    <cfRule type="colorScale" priority="74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45">
      <colorScale>
        <cfvo type="num" val="5"/>
        <cfvo type="num" val="10"/>
        <color rgb="FFFF494D"/>
        <color rgb="FF00FF66"/>
      </colorScale>
    </cfRule>
  </conditionalFormatting>
  <conditionalFormatting sqref="H132:H147">
    <cfRule type="cellIs" dxfId="496" priority="737" operator="between">
      <formula>6</formula>
      <formula>6.9</formula>
    </cfRule>
    <cfRule type="cellIs" dxfId="495" priority="738" operator="between">
      <formula>10.1</formula>
      <formula>10.6</formula>
    </cfRule>
    <cfRule type="cellIs" dxfId="494" priority="739" operator="between">
      <formula>7</formula>
      <formula>7.9</formula>
    </cfRule>
    <cfRule type="cellIs" dxfId="493" priority="740" stopIfTrue="1" operator="between">
      <formula>8</formula>
      <formula>8.9</formula>
    </cfRule>
    <cfRule type="cellIs" dxfId="492" priority="741" operator="between">
      <formula>9</formula>
      <formula>9.9</formula>
    </cfRule>
    <cfRule type="cellIs" dxfId="491" priority="742" stopIfTrue="1" operator="between">
      <formula>10</formula>
      <formula>10</formula>
    </cfRule>
    <cfRule type="containsBlanks" dxfId="490" priority="743" stopIfTrue="1">
      <formula>LEN(TRIM(H132))=0</formula>
    </cfRule>
  </conditionalFormatting>
  <conditionalFormatting sqref="H149">
    <cfRule type="colorScale" priority="6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82">
      <colorScale>
        <cfvo type="num" val="5"/>
        <cfvo type="num" val="10"/>
        <color rgb="FFFF494D"/>
        <color rgb="FF00FF66"/>
      </colorScale>
    </cfRule>
  </conditionalFormatting>
  <conditionalFormatting sqref="H150:H163">
    <cfRule type="cellIs" dxfId="489" priority="674" operator="between">
      <formula>6</formula>
      <formula>6.9</formula>
    </cfRule>
    <cfRule type="cellIs" dxfId="488" priority="675" operator="between">
      <formula>10.1</formula>
      <formula>10.6</formula>
    </cfRule>
    <cfRule type="cellIs" dxfId="487" priority="676" operator="between">
      <formula>7</formula>
      <formula>7.9</formula>
    </cfRule>
    <cfRule type="cellIs" dxfId="486" priority="677" stopIfTrue="1" operator="between">
      <formula>8</formula>
      <formula>8.9</formula>
    </cfRule>
    <cfRule type="cellIs" dxfId="485" priority="678" operator="between">
      <formula>9</formula>
      <formula>9.9</formula>
    </cfRule>
    <cfRule type="cellIs" dxfId="484" priority="679" stopIfTrue="1" operator="between">
      <formula>10</formula>
      <formula>10</formula>
    </cfRule>
    <cfRule type="containsBlanks" dxfId="483" priority="680" stopIfTrue="1">
      <formula>LEN(TRIM(H150))=0</formula>
    </cfRule>
  </conditionalFormatting>
  <conditionalFormatting sqref="H165">
    <cfRule type="colorScale" priority="62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21">
      <colorScale>
        <cfvo type="num" val="5"/>
        <cfvo type="num" val="10"/>
        <color rgb="FFFF494D"/>
        <color rgb="FF00FF66"/>
      </colorScale>
    </cfRule>
  </conditionalFormatting>
  <conditionalFormatting sqref="H166:H175">
    <cfRule type="cellIs" dxfId="482" priority="622" operator="between">
      <formula>6</formula>
      <formula>6.9</formula>
    </cfRule>
    <cfRule type="cellIs" dxfId="481" priority="623" operator="between">
      <formula>10.1</formula>
      <formula>10.6</formula>
    </cfRule>
    <cfRule type="cellIs" dxfId="480" priority="624" operator="between">
      <formula>7</formula>
      <formula>7.9</formula>
    </cfRule>
    <cfRule type="cellIs" dxfId="479" priority="625" stopIfTrue="1" operator="between">
      <formula>8</formula>
      <formula>8.9</formula>
    </cfRule>
    <cfRule type="cellIs" dxfId="478" priority="626" operator="between">
      <formula>9</formula>
      <formula>9.9</formula>
    </cfRule>
    <cfRule type="cellIs" dxfId="477" priority="627" stopIfTrue="1" operator="between">
      <formula>10</formula>
      <formula>10</formula>
    </cfRule>
    <cfRule type="containsBlanks" dxfId="476" priority="628" stopIfTrue="1">
      <formula>LEN(TRIM(H166))=0</formula>
    </cfRule>
  </conditionalFormatting>
  <conditionalFormatting sqref="H177">
    <cfRule type="colorScale" priority="5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81">
      <colorScale>
        <cfvo type="num" val="5"/>
        <cfvo type="num" val="10"/>
        <color rgb="FFFF494D"/>
        <color rgb="FF00FF66"/>
      </colorScale>
    </cfRule>
  </conditionalFormatting>
  <conditionalFormatting sqref="H178:H189">
    <cfRule type="cellIs" dxfId="475" priority="573" operator="between">
      <formula>6</formula>
      <formula>6.9</formula>
    </cfRule>
    <cfRule type="cellIs" dxfId="474" priority="574" operator="between">
      <formula>10.1</formula>
      <formula>10.6</formula>
    </cfRule>
    <cfRule type="cellIs" dxfId="473" priority="575" operator="between">
      <formula>7</formula>
      <formula>7.9</formula>
    </cfRule>
    <cfRule type="cellIs" dxfId="472" priority="576" stopIfTrue="1" operator="between">
      <formula>8</formula>
      <formula>8.9</formula>
    </cfRule>
    <cfRule type="cellIs" dxfId="471" priority="577" operator="between">
      <formula>9</formula>
      <formula>9.9</formula>
    </cfRule>
    <cfRule type="cellIs" dxfId="470" priority="578" stopIfTrue="1" operator="between">
      <formula>10</formula>
      <formula>10</formula>
    </cfRule>
    <cfRule type="containsBlanks" dxfId="469" priority="579" stopIfTrue="1">
      <formula>LEN(TRIM(H178))=0</formula>
    </cfRule>
  </conditionalFormatting>
  <conditionalFormatting sqref="H191">
    <cfRule type="colorScale" priority="52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21">
      <colorScale>
        <cfvo type="num" val="5"/>
        <cfvo type="num" val="10"/>
        <color rgb="FFFF494D"/>
        <color rgb="FF00FF66"/>
      </colorScale>
    </cfRule>
  </conditionalFormatting>
  <conditionalFormatting sqref="H192:H200">
    <cfRule type="cellIs" dxfId="468" priority="513" operator="between">
      <formula>6</formula>
      <formula>6.9</formula>
    </cfRule>
    <cfRule type="cellIs" dxfId="467" priority="514" operator="between">
      <formula>10.1</formula>
      <formula>10.6</formula>
    </cfRule>
    <cfRule type="cellIs" dxfId="466" priority="515" operator="between">
      <formula>7</formula>
      <formula>7.9</formula>
    </cfRule>
    <cfRule type="cellIs" dxfId="465" priority="516" stopIfTrue="1" operator="between">
      <formula>8</formula>
      <formula>8.9</formula>
    </cfRule>
    <cfRule type="cellIs" dxfId="464" priority="517" operator="between">
      <formula>9</formula>
      <formula>9.9</formula>
    </cfRule>
    <cfRule type="cellIs" dxfId="463" priority="518" stopIfTrue="1" operator="between">
      <formula>10</formula>
      <formula>10</formula>
    </cfRule>
    <cfRule type="containsBlanks" dxfId="462" priority="519" stopIfTrue="1">
      <formula>LEN(TRIM(H192))=0</formula>
    </cfRule>
  </conditionalFormatting>
  <conditionalFormatting sqref="H202">
    <cfRule type="colorScale" priority="4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78">
      <colorScale>
        <cfvo type="num" val="5"/>
        <cfvo type="num" val="10"/>
        <color rgb="FFFF494D"/>
        <color rgb="FF00FF66"/>
      </colorScale>
    </cfRule>
  </conditionalFormatting>
  <conditionalFormatting sqref="H203:H213">
    <cfRule type="cellIs" dxfId="461" priority="479" operator="between">
      <formula>6</formula>
      <formula>6.9</formula>
    </cfRule>
    <cfRule type="cellIs" dxfId="460" priority="480" operator="between">
      <formula>10.1</formula>
      <formula>11</formula>
    </cfRule>
    <cfRule type="cellIs" dxfId="459" priority="481" operator="between">
      <formula>7</formula>
      <formula>7.9</formula>
    </cfRule>
    <cfRule type="cellIs" dxfId="458" priority="482" stopIfTrue="1" operator="between">
      <formula>8</formula>
      <formula>8.9</formula>
    </cfRule>
    <cfRule type="cellIs" dxfId="457" priority="483" operator="between">
      <formula>9</formula>
      <formula>9.9</formula>
    </cfRule>
    <cfRule type="cellIs" dxfId="456" priority="484" stopIfTrue="1" operator="between">
      <formula>10</formula>
      <formula>10</formula>
    </cfRule>
    <cfRule type="containsBlanks" dxfId="455" priority="485" stopIfTrue="1">
      <formula>LEN(TRIM(H203))=0</formula>
    </cfRule>
  </conditionalFormatting>
  <conditionalFormatting sqref="H215">
    <cfRule type="colorScale" priority="4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7">
      <colorScale>
        <cfvo type="num" val="5"/>
        <cfvo type="num" val="10"/>
        <color rgb="FFFF494D"/>
        <color rgb="FF00FF66"/>
      </colorScale>
    </cfRule>
  </conditionalFormatting>
  <conditionalFormatting sqref="H216:H227">
    <cfRule type="cellIs" dxfId="454" priority="428" operator="between">
      <formula>6</formula>
      <formula>6.9</formula>
    </cfRule>
    <cfRule type="cellIs" dxfId="453" priority="429" operator="between">
      <formula>10.1</formula>
      <formula>10.6</formula>
    </cfRule>
    <cfRule type="cellIs" dxfId="452" priority="430" operator="between">
      <formula>7</formula>
      <formula>7.9</formula>
    </cfRule>
    <cfRule type="cellIs" dxfId="451" priority="431" stopIfTrue="1" operator="between">
      <formula>8</formula>
      <formula>8.9</formula>
    </cfRule>
    <cfRule type="cellIs" dxfId="450" priority="432" operator="between">
      <formula>9</formula>
      <formula>9.9</formula>
    </cfRule>
    <cfRule type="cellIs" dxfId="449" priority="433" stopIfTrue="1" operator="between">
      <formula>10</formula>
      <formula>10</formula>
    </cfRule>
    <cfRule type="containsBlanks" dxfId="448" priority="434" stopIfTrue="1">
      <formula>LEN(TRIM(H216))=0</formula>
    </cfRule>
  </conditionalFormatting>
  <conditionalFormatting sqref="H229">
    <cfRule type="colorScale" priority="39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96">
      <colorScale>
        <cfvo type="num" val="5"/>
        <cfvo type="num" val="10"/>
        <color rgb="FFFF494D"/>
        <color rgb="FF00FF66"/>
      </colorScale>
    </cfRule>
  </conditionalFormatting>
  <conditionalFormatting sqref="H230:H244">
    <cfRule type="cellIs" dxfId="447" priority="388" operator="between">
      <formula>6</formula>
      <formula>6.9</formula>
    </cfRule>
    <cfRule type="cellIs" dxfId="446" priority="389" operator="between">
      <formula>10.1</formula>
      <formula>10.6</formula>
    </cfRule>
    <cfRule type="cellIs" dxfId="445" priority="390" operator="between">
      <formula>7</formula>
      <formula>7.9</formula>
    </cfRule>
    <cfRule type="cellIs" dxfId="444" priority="391" stopIfTrue="1" operator="between">
      <formula>8</formula>
      <formula>8.9</formula>
    </cfRule>
    <cfRule type="cellIs" dxfId="443" priority="392" operator="between">
      <formula>9</formula>
      <formula>9.9</formula>
    </cfRule>
    <cfRule type="cellIs" dxfId="442" priority="393" stopIfTrue="1" operator="between">
      <formula>10</formula>
      <formula>10</formula>
    </cfRule>
    <cfRule type="containsBlanks" dxfId="441" priority="394" stopIfTrue="1">
      <formula>LEN(TRIM(H230))=0</formula>
    </cfRule>
  </conditionalFormatting>
  <conditionalFormatting sqref="H246">
    <cfRule type="colorScale" priority="3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44">
      <colorScale>
        <cfvo type="num" val="5"/>
        <cfvo type="num" val="10"/>
        <color rgb="FFFF494D"/>
        <color rgb="FF00FF66"/>
      </colorScale>
    </cfRule>
  </conditionalFormatting>
  <conditionalFormatting sqref="H247:H256">
    <cfRule type="cellIs" dxfId="440" priority="345" operator="between">
      <formula>6</formula>
      <formula>6.9</formula>
    </cfRule>
    <cfRule type="cellIs" dxfId="439" priority="346" operator="between">
      <formula>10.1</formula>
      <formula>10.6</formula>
    </cfRule>
    <cfRule type="cellIs" dxfId="438" priority="347" operator="between">
      <formula>7</formula>
      <formula>7.9</formula>
    </cfRule>
    <cfRule type="cellIs" dxfId="437" priority="348" stopIfTrue="1" operator="between">
      <formula>8</formula>
      <formula>8.9</formula>
    </cfRule>
    <cfRule type="cellIs" dxfId="436" priority="349" operator="between">
      <formula>9</formula>
      <formula>9.9</formula>
    </cfRule>
    <cfRule type="cellIs" dxfId="435" priority="350" stopIfTrue="1" operator="between">
      <formula>10</formula>
      <formula>10</formula>
    </cfRule>
    <cfRule type="containsBlanks" dxfId="434" priority="351" stopIfTrue="1">
      <formula>LEN(TRIM(H247))=0</formula>
    </cfRule>
  </conditionalFormatting>
  <conditionalFormatting sqref="H258">
    <cfRule type="colorScale" priority="30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6">
      <colorScale>
        <cfvo type="num" val="5"/>
        <cfvo type="num" val="10"/>
        <color rgb="FFFF494D"/>
        <color rgb="FF00FF66"/>
      </colorScale>
    </cfRule>
  </conditionalFormatting>
  <conditionalFormatting sqref="H259:H263">
    <cfRule type="cellIs" dxfId="433" priority="307" operator="between">
      <formula>6</formula>
      <formula>6.9</formula>
    </cfRule>
    <cfRule type="cellIs" dxfId="432" priority="308" operator="between">
      <formula>10.1</formula>
      <formula>10.6</formula>
    </cfRule>
    <cfRule type="cellIs" dxfId="431" priority="309" operator="between">
      <formula>7</formula>
      <formula>7.9</formula>
    </cfRule>
    <cfRule type="cellIs" dxfId="430" priority="310" stopIfTrue="1" operator="between">
      <formula>8</formula>
      <formula>8.9</formula>
    </cfRule>
    <cfRule type="cellIs" dxfId="429" priority="311" operator="between">
      <formula>9</formula>
      <formula>9.9</formula>
    </cfRule>
    <cfRule type="cellIs" dxfId="428" priority="312" stopIfTrue="1" operator="between">
      <formula>10</formula>
      <formula>10</formula>
    </cfRule>
    <cfRule type="containsBlanks" dxfId="427" priority="313" stopIfTrue="1">
      <formula>LEN(TRIM(H259))=0</formula>
    </cfRule>
  </conditionalFormatting>
  <conditionalFormatting sqref="H265">
    <cfRule type="colorScale" priority="2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7">
      <colorScale>
        <cfvo type="num" val="5"/>
        <cfvo type="num" val="10"/>
        <color rgb="FFFF494D"/>
        <color rgb="FF00FF66"/>
      </colorScale>
    </cfRule>
  </conditionalFormatting>
  <conditionalFormatting sqref="H266:H274">
    <cfRule type="cellIs" dxfId="426" priority="269" operator="between">
      <formula>6</formula>
      <formula>6.9</formula>
    </cfRule>
    <cfRule type="cellIs" dxfId="425" priority="270" operator="between">
      <formula>10.1</formula>
      <formula>10.6</formula>
    </cfRule>
    <cfRule type="cellIs" dxfId="424" priority="271" operator="between">
      <formula>7</formula>
      <formula>7.9</formula>
    </cfRule>
    <cfRule type="cellIs" dxfId="423" priority="272" stopIfTrue="1" operator="between">
      <formula>8</formula>
      <formula>8.9</formula>
    </cfRule>
    <cfRule type="cellIs" dxfId="422" priority="273" operator="between">
      <formula>9</formula>
      <formula>9.9</formula>
    </cfRule>
    <cfRule type="cellIs" dxfId="421" priority="274" stopIfTrue="1" operator="between">
      <formula>10</formula>
      <formula>10</formula>
    </cfRule>
    <cfRule type="containsBlanks" dxfId="420" priority="275" stopIfTrue="1">
      <formula>LEN(TRIM(H266))=0</formula>
    </cfRule>
  </conditionalFormatting>
  <conditionalFormatting sqref="H276">
    <cfRule type="colorScale" priority="2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3">
      <colorScale>
        <cfvo type="num" val="5"/>
        <cfvo type="num" val="10"/>
        <color rgb="FFFF494D"/>
        <color rgb="FF00FF66"/>
      </colorScale>
    </cfRule>
  </conditionalFormatting>
  <conditionalFormatting sqref="H277:H286">
    <cfRule type="cellIs" dxfId="419" priority="245" operator="between">
      <formula>6</formula>
      <formula>6.9</formula>
    </cfRule>
    <cfRule type="cellIs" dxfId="418" priority="246" operator="between">
      <formula>10.1</formula>
      <formula>10.6</formula>
    </cfRule>
    <cfRule type="cellIs" dxfId="417" priority="247" operator="between">
      <formula>7</formula>
      <formula>7.9</formula>
    </cfRule>
    <cfRule type="cellIs" dxfId="416" priority="248" stopIfTrue="1" operator="between">
      <formula>8</formula>
      <formula>8.9</formula>
    </cfRule>
    <cfRule type="cellIs" dxfId="415" priority="249" operator="between">
      <formula>9</formula>
      <formula>9.9</formula>
    </cfRule>
    <cfRule type="cellIs" dxfId="414" priority="250" stopIfTrue="1" operator="between">
      <formula>10</formula>
      <formula>10</formula>
    </cfRule>
    <cfRule type="containsBlanks" dxfId="413" priority="251" stopIfTrue="1">
      <formula>LEN(TRIM(H277))=0</formula>
    </cfRule>
  </conditionalFormatting>
  <conditionalFormatting sqref="H288">
    <cfRule type="colorScale" priority="1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1">
      <colorScale>
        <cfvo type="num" val="5"/>
        <cfvo type="num" val="10"/>
        <color rgb="FFFF494D"/>
        <color rgb="FF00FF66"/>
      </colorScale>
    </cfRule>
  </conditionalFormatting>
  <conditionalFormatting sqref="H289:H294">
    <cfRule type="cellIs" dxfId="412" priority="173" operator="between">
      <formula>6</formula>
      <formula>6.9</formula>
    </cfRule>
    <cfRule type="cellIs" dxfId="411" priority="174" operator="between">
      <formula>10.1</formula>
      <formula>10.6</formula>
    </cfRule>
    <cfRule type="cellIs" dxfId="410" priority="175" operator="between">
      <formula>7</formula>
      <formula>7.9</formula>
    </cfRule>
    <cfRule type="cellIs" dxfId="409" priority="176" stopIfTrue="1" operator="between">
      <formula>8</formula>
      <formula>8.9</formula>
    </cfRule>
    <cfRule type="cellIs" dxfId="408" priority="177" operator="between">
      <formula>9</formula>
      <formula>9.9</formula>
    </cfRule>
    <cfRule type="cellIs" dxfId="407" priority="178" stopIfTrue="1" operator="between">
      <formula>10</formula>
      <formula>10</formula>
    </cfRule>
    <cfRule type="containsBlanks" dxfId="406" priority="179" stopIfTrue="1">
      <formula>LEN(TRIM(H289))=0</formula>
    </cfRule>
  </conditionalFormatting>
  <conditionalFormatting sqref="H296">
    <cfRule type="colorScale" priority="1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2">
      <colorScale>
        <cfvo type="num" val="5"/>
        <cfvo type="num" val="10"/>
        <color rgb="FFFF494D"/>
        <color rgb="FF00FF66"/>
      </colorScale>
    </cfRule>
  </conditionalFormatting>
  <conditionalFormatting sqref="H297:H307">
    <cfRule type="containsBlanks" dxfId="405" priority="162" stopIfTrue="1">
      <formula>LEN(TRIM(H297))=0</formula>
    </cfRule>
    <cfRule type="cellIs" dxfId="404" priority="163" operator="lessThan">
      <formula>2</formula>
    </cfRule>
    <cfRule type="cellIs" dxfId="403" priority="164" operator="between">
      <formula>2</formula>
      <formula>4.9</formula>
    </cfRule>
    <cfRule type="cellIs" dxfId="402" priority="165" operator="between">
      <formula>5</formula>
      <formula>6.9</formula>
    </cfRule>
    <cfRule type="cellIs" dxfId="401" priority="166" operator="between">
      <formula>10.1</formula>
      <formula>10.6</formula>
    </cfRule>
    <cfRule type="cellIs" dxfId="400" priority="167" operator="between">
      <formula>7</formula>
      <formula>7.9</formula>
    </cfRule>
    <cfRule type="cellIs" dxfId="399" priority="168" stopIfTrue="1" operator="between">
      <formula>8</formula>
      <formula>8.9</formula>
    </cfRule>
    <cfRule type="cellIs" dxfId="398" priority="169" operator="between">
      <formula>9</formula>
      <formula>9.9</formula>
    </cfRule>
    <cfRule type="cellIs" dxfId="397" priority="170" stopIfTrue="1" operator="between">
      <formula>10</formula>
      <formula>10</formula>
    </cfRule>
  </conditionalFormatting>
  <conditionalFormatting sqref="H309">
    <cfRule type="colorScale" priority="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9">
      <colorScale>
        <cfvo type="num" val="5"/>
        <cfvo type="num" val="10"/>
        <color rgb="FFFF494D"/>
        <color rgb="FF00FF66"/>
      </colorScale>
    </cfRule>
  </conditionalFormatting>
  <conditionalFormatting sqref="H310:H327">
    <cfRule type="containsBlanks" dxfId="396" priority="89" stopIfTrue="1">
      <formula>LEN(TRIM(H310))=0</formula>
    </cfRule>
    <cfRule type="cellIs" dxfId="395" priority="90" operator="lessThan">
      <formula>2</formula>
    </cfRule>
    <cfRule type="cellIs" dxfId="394" priority="91" operator="between">
      <formula>2</formula>
      <formula>4.9</formula>
    </cfRule>
    <cfRule type="cellIs" dxfId="393" priority="92" operator="between">
      <formula>5</formula>
      <formula>6.9</formula>
    </cfRule>
    <cfRule type="cellIs" dxfId="392" priority="93" operator="between">
      <formula>10.1</formula>
      <formula>10.6</formula>
    </cfRule>
    <cfRule type="cellIs" dxfId="391" priority="94" operator="between">
      <formula>7</formula>
      <formula>7.9</formula>
    </cfRule>
    <cfRule type="cellIs" dxfId="390" priority="95" stopIfTrue="1" operator="between">
      <formula>8</formula>
      <formula>8.9</formula>
    </cfRule>
    <cfRule type="cellIs" dxfId="389" priority="96" operator="between">
      <formula>9</formula>
      <formula>9.9</formula>
    </cfRule>
    <cfRule type="cellIs" dxfId="388" priority="97" stopIfTrue="1" operator="between">
      <formula>10</formula>
      <formula>10</formula>
    </cfRule>
  </conditionalFormatting>
  <conditionalFormatting sqref="K3:K12">
    <cfRule type="cellIs" dxfId="387" priority="1078" operator="between">
      <formula>10.1</formula>
      <formula>10.6</formula>
    </cfRule>
    <cfRule type="cellIs" dxfId="386" priority="1079" operator="between">
      <formula>7</formula>
      <formula>7.9</formula>
    </cfRule>
    <cfRule type="cellIs" dxfId="385" priority="1080" stopIfTrue="1" operator="between">
      <formula>8</formula>
      <formula>8.9</formula>
    </cfRule>
    <cfRule type="cellIs" dxfId="384" priority="1081" operator="between">
      <formula>9</formula>
      <formula>9.9</formula>
    </cfRule>
    <cfRule type="cellIs" dxfId="383" priority="1082" stopIfTrue="1" operator="between">
      <formula>10</formula>
      <formula>10</formula>
    </cfRule>
    <cfRule type="containsBlanks" dxfId="382" priority="1083" stopIfTrue="1">
      <formula>LEN(TRIM(K3))=0</formula>
    </cfRule>
  </conditionalFormatting>
  <conditionalFormatting sqref="K15:K23">
    <cfRule type="cellIs" dxfId="381" priority="550" operator="between">
      <formula>7</formula>
      <formula>7.9</formula>
    </cfRule>
    <cfRule type="cellIs" dxfId="380" priority="551" stopIfTrue="1" operator="between">
      <formula>8</formula>
      <formula>8.9</formula>
    </cfRule>
    <cfRule type="cellIs" dxfId="379" priority="552" operator="between">
      <formula>9</formula>
      <formula>9.9</formula>
    </cfRule>
    <cfRule type="cellIs" dxfId="378" priority="553" stopIfTrue="1" operator="between">
      <formula>10</formula>
      <formula>10</formula>
    </cfRule>
  </conditionalFormatting>
  <conditionalFormatting sqref="K23">
    <cfRule type="cellIs" dxfId="377" priority="549" operator="between">
      <formula>10.1</formula>
      <formula>10.6</formula>
    </cfRule>
    <cfRule type="containsBlanks" dxfId="376" priority="554" stopIfTrue="1">
      <formula>LEN(TRIM(K23))=0</formula>
    </cfRule>
  </conditionalFormatting>
  <conditionalFormatting sqref="K26:K38">
    <cfRule type="cellIs" dxfId="375" priority="1093" operator="between">
      <formula>7</formula>
      <formula>7.9</formula>
    </cfRule>
    <cfRule type="cellIs" dxfId="374" priority="1094" stopIfTrue="1" operator="between">
      <formula>8</formula>
      <formula>8.9</formula>
    </cfRule>
    <cfRule type="cellIs" dxfId="373" priority="1095" operator="between">
      <formula>9</formula>
      <formula>9.9</formula>
    </cfRule>
    <cfRule type="cellIs" dxfId="372" priority="1096" stopIfTrue="1" operator="between">
      <formula>10</formula>
      <formula>10</formula>
    </cfRule>
    <cfRule type="containsBlanks" dxfId="371" priority="1097" stopIfTrue="1">
      <formula>LEN(TRIM(K26))=0</formula>
    </cfRule>
  </conditionalFormatting>
  <conditionalFormatting sqref="K40">
    <cfRule type="colorScale" priority="11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28">
      <colorScale>
        <cfvo type="num" val="5"/>
        <cfvo type="num" val="10"/>
        <color rgb="FFFF494D"/>
        <color rgb="FF00FF66"/>
      </colorScale>
    </cfRule>
  </conditionalFormatting>
  <conditionalFormatting sqref="K41:K52">
    <cfRule type="cellIs" dxfId="370" priority="1018" operator="between">
      <formula>10.1</formula>
      <formula>10.6</formula>
    </cfRule>
    <cfRule type="cellIs" dxfId="369" priority="1019" operator="between">
      <formula>7</formula>
      <formula>7.9</formula>
    </cfRule>
    <cfRule type="cellIs" dxfId="368" priority="1020" stopIfTrue="1" operator="between">
      <formula>8</formula>
      <formula>8.9</formula>
    </cfRule>
    <cfRule type="cellIs" dxfId="367" priority="1021" operator="between">
      <formula>9</formula>
      <formula>9.9</formula>
    </cfRule>
    <cfRule type="cellIs" dxfId="366" priority="1022" stopIfTrue="1" operator="between">
      <formula>10</formula>
      <formula>10</formula>
    </cfRule>
    <cfRule type="containsBlanks" dxfId="365" priority="1023" stopIfTrue="1">
      <formula>LEN(TRIM(K41))=0</formula>
    </cfRule>
  </conditionalFormatting>
  <conditionalFormatting sqref="K54">
    <cfRule type="colorScale" priority="99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95">
      <colorScale>
        <cfvo type="num" val="5"/>
        <cfvo type="num" val="10"/>
        <color rgb="FFFF494D"/>
        <color rgb="FF00FF66"/>
      </colorScale>
    </cfRule>
  </conditionalFormatting>
  <conditionalFormatting sqref="K55:K64">
    <cfRule type="cellIs" dxfId="364" priority="988" operator="between">
      <formula>10.1</formula>
      <formula>10.6</formula>
    </cfRule>
    <cfRule type="cellIs" dxfId="363" priority="989" operator="between">
      <formula>7</formula>
      <formula>7.9</formula>
    </cfRule>
    <cfRule type="cellIs" dxfId="362" priority="990" stopIfTrue="1" operator="between">
      <formula>8</formula>
      <formula>8.9</formula>
    </cfRule>
    <cfRule type="cellIs" dxfId="361" priority="991" operator="between">
      <formula>9</formula>
      <formula>9.9</formula>
    </cfRule>
    <cfRule type="cellIs" dxfId="360" priority="992" stopIfTrue="1" operator="between">
      <formula>10</formula>
      <formula>10</formula>
    </cfRule>
    <cfRule type="containsBlanks" dxfId="359" priority="993" stopIfTrue="1">
      <formula>LEN(TRIM(K55))=0</formula>
    </cfRule>
  </conditionalFormatting>
  <conditionalFormatting sqref="K66">
    <cfRule type="colorScale" priority="97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75">
      <colorScale>
        <cfvo type="num" val="5"/>
        <cfvo type="num" val="10"/>
        <color rgb="FFFF494D"/>
        <color rgb="FF00FF66"/>
      </colorScale>
    </cfRule>
  </conditionalFormatting>
  <conditionalFormatting sqref="K67:K75">
    <cfRule type="cellIs" dxfId="358" priority="968" operator="between">
      <formula>10.1</formula>
      <formula>10.6</formula>
    </cfRule>
    <cfRule type="cellIs" dxfId="357" priority="969" operator="between">
      <formula>7</formula>
      <formula>7.9</formula>
    </cfRule>
    <cfRule type="cellIs" dxfId="356" priority="970" stopIfTrue="1" operator="between">
      <formula>8</formula>
      <formula>8.9</formula>
    </cfRule>
    <cfRule type="cellIs" dxfId="355" priority="971" operator="between">
      <formula>9</formula>
      <formula>9.9</formula>
    </cfRule>
    <cfRule type="cellIs" dxfId="354" priority="972" stopIfTrue="1" operator="between">
      <formula>10</formula>
      <formula>10</formula>
    </cfRule>
    <cfRule type="containsBlanks" dxfId="353" priority="973" stopIfTrue="1">
      <formula>LEN(TRIM(K67))=0</formula>
    </cfRule>
  </conditionalFormatting>
  <conditionalFormatting sqref="K77">
    <cfRule type="colorScale" priority="9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35">
      <colorScale>
        <cfvo type="num" val="5"/>
        <cfvo type="num" val="10"/>
        <color rgb="FFFF494D"/>
        <color rgb="FF00FF66"/>
      </colorScale>
    </cfRule>
  </conditionalFormatting>
  <conditionalFormatting sqref="K78:K88">
    <cfRule type="cellIs" dxfId="352" priority="928" operator="between">
      <formula>10.1</formula>
      <formula>10.6</formula>
    </cfRule>
    <cfRule type="cellIs" dxfId="351" priority="929" operator="between">
      <formula>7</formula>
      <formula>7.9</formula>
    </cfRule>
    <cfRule type="cellIs" dxfId="350" priority="930" stopIfTrue="1" operator="between">
      <formula>8</formula>
      <formula>8.9</formula>
    </cfRule>
    <cfRule type="cellIs" dxfId="349" priority="931" operator="between">
      <formula>9</formula>
      <formula>9.9</formula>
    </cfRule>
    <cfRule type="cellIs" dxfId="348" priority="932" stopIfTrue="1" operator="between">
      <formula>10</formula>
      <formula>10</formula>
    </cfRule>
    <cfRule type="containsBlanks" dxfId="347" priority="933" stopIfTrue="1">
      <formula>LEN(TRIM(K78))=0</formula>
    </cfRule>
  </conditionalFormatting>
  <conditionalFormatting sqref="K90">
    <cfRule type="colorScale" priority="8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8">
      <colorScale>
        <cfvo type="num" val="5"/>
        <cfvo type="num" val="10"/>
        <color rgb="FFFF494D"/>
        <color rgb="FF00FF66"/>
      </colorScale>
    </cfRule>
  </conditionalFormatting>
  <conditionalFormatting sqref="K91:K96">
    <cfRule type="cellIs" dxfId="346" priority="889" operator="between">
      <formula>10.1</formula>
      <formula>10.6</formula>
    </cfRule>
    <cfRule type="cellIs" dxfId="345" priority="890" operator="between">
      <formula>7</formula>
      <formula>7.9</formula>
    </cfRule>
    <cfRule type="cellIs" dxfId="344" priority="891" stopIfTrue="1" operator="between">
      <formula>8</formula>
      <formula>8.9</formula>
    </cfRule>
    <cfRule type="cellIs" dxfId="343" priority="892" operator="between">
      <formula>9</formula>
      <formula>9.9</formula>
    </cfRule>
    <cfRule type="cellIs" dxfId="342" priority="893" stopIfTrue="1" operator="between">
      <formula>10</formula>
      <formula>10</formula>
    </cfRule>
    <cfRule type="containsBlanks" dxfId="341" priority="894" stopIfTrue="1">
      <formula>LEN(TRIM(K91))=0</formula>
    </cfRule>
  </conditionalFormatting>
  <conditionalFormatting sqref="K98">
    <cfRule type="colorScale" priority="8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61">
      <colorScale>
        <cfvo type="num" val="5"/>
        <cfvo type="num" val="10"/>
        <color rgb="FFFF494D"/>
        <color rgb="FF00FF66"/>
      </colorScale>
    </cfRule>
  </conditionalFormatting>
  <conditionalFormatting sqref="K99:K109">
    <cfRule type="cellIs" dxfId="340" priority="862" operator="between">
      <formula>6</formula>
      <formula>6.9</formula>
    </cfRule>
    <cfRule type="cellIs" dxfId="339" priority="863" operator="between">
      <formula>10.1</formula>
      <formula>10.6</formula>
    </cfRule>
    <cfRule type="cellIs" dxfId="338" priority="864" operator="between">
      <formula>7</formula>
      <formula>7.9</formula>
    </cfRule>
    <cfRule type="cellIs" dxfId="337" priority="865" stopIfTrue="1" operator="between">
      <formula>8</formula>
      <formula>8.9</formula>
    </cfRule>
    <cfRule type="cellIs" dxfId="336" priority="866" operator="between">
      <formula>9</formula>
      <formula>9.9</formula>
    </cfRule>
    <cfRule type="cellIs" dxfId="335" priority="867" stopIfTrue="1" operator="between">
      <formula>10</formula>
      <formula>10</formula>
    </cfRule>
    <cfRule type="containsBlanks" dxfId="334" priority="868" stopIfTrue="1">
      <formula>LEN(TRIM(K99))=0</formula>
    </cfRule>
  </conditionalFormatting>
  <conditionalFormatting sqref="K111">
    <cfRule type="colorScale" priority="8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28">
      <colorScale>
        <cfvo type="num" val="5"/>
        <cfvo type="num" val="10"/>
        <color rgb="FFFF494D"/>
        <color rgb="FF00FF66"/>
      </colorScale>
    </cfRule>
  </conditionalFormatting>
  <conditionalFormatting sqref="K112:K122">
    <cfRule type="cellIs" dxfId="333" priority="821" operator="between">
      <formula>10.1</formula>
      <formula>10.6</formula>
    </cfRule>
    <cfRule type="cellIs" dxfId="332" priority="822" operator="between">
      <formula>7</formula>
      <formula>7.9</formula>
    </cfRule>
    <cfRule type="cellIs" dxfId="331" priority="823" stopIfTrue="1" operator="between">
      <formula>8</formula>
      <formula>8.9</formula>
    </cfRule>
    <cfRule type="cellIs" dxfId="330" priority="824" operator="between">
      <formula>9</formula>
      <formula>9.9</formula>
    </cfRule>
    <cfRule type="cellIs" dxfId="329" priority="825" stopIfTrue="1" operator="between">
      <formula>10</formula>
      <formula>10</formula>
    </cfRule>
    <cfRule type="containsBlanks" dxfId="328" priority="826" stopIfTrue="1">
      <formula>LEN(TRIM(K112))=0</formula>
    </cfRule>
  </conditionalFormatting>
  <conditionalFormatting sqref="K114">
    <cfRule type="cellIs" dxfId="327" priority="820" operator="between">
      <formula>6</formula>
      <formula>6.9</formula>
    </cfRule>
  </conditionalFormatting>
  <conditionalFormatting sqref="K124">
    <cfRule type="colorScale" priority="79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93">
      <colorScale>
        <cfvo type="num" val="5"/>
        <cfvo type="num" val="10"/>
        <color rgb="FFFF494D"/>
        <color rgb="FF00FF66"/>
      </colorScale>
    </cfRule>
  </conditionalFormatting>
  <conditionalFormatting sqref="K125:K128 K130:K134">
    <cfRule type="cellIs" dxfId="326" priority="786" operator="between">
      <formula>10.1</formula>
      <formula>10.6</formula>
    </cfRule>
    <cfRule type="cellIs" dxfId="325" priority="787" operator="between">
      <formula>7</formula>
      <formula>7.9</formula>
    </cfRule>
    <cfRule type="cellIs" dxfId="324" priority="788" stopIfTrue="1" operator="between">
      <formula>8</formula>
      <formula>8.9</formula>
    </cfRule>
    <cfRule type="cellIs" dxfId="323" priority="789" operator="between">
      <formula>9</formula>
      <formula>9.9</formula>
    </cfRule>
    <cfRule type="cellIs" dxfId="322" priority="790" stopIfTrue="1" operator="between">
      <formula>10</formula>
      <formula>10</formula>
    </cfRule>
    <cfRule type="containsBlanks" dxfId="321" priority="791" stopIfTrue="1">
      <formula>LEN(TRIM(K125))=0</formula>
    </cfRule>
  </conditionalFormatting>
  <conditionalFormatting sqref="K125:K134">
    <cfRule type="cellIs" dxfId="320" priority="779" operator="between">
      <formula>6</formula>
      <formula>6.9</formula>
    </cfRule>
    <cfRule type="cellIs" dxfId="319" priority="780" operator="between">
      <formula>10.1</formula>
      <formula>10.6</formula>
    </cfRule>
    <cfRule type="cellIs" dxfId="318" priority="781" operator="between">
      <formula>7</formula>
      <formula>7.9</formula>
    </cfRule>
    <cfRule type="cellIs" dxfId="317" priority="782" stopIfTrue="1" operator="between">
      <formula>8</formula>
      <formula>8.9</formula>
    </cfRule>
    <cfRule type="cellIs" dxfId="316" priority="783" operator="between">
      <formula>9</formula>
      <formula>9.9</formula>
    </cfRule>
    <cfRule type="cellIs" dxfId="315" priority="784" stopIfTrue="1" operator="between">
      <formula>10</formula>
      <formula>10</formula>
    </cfRule>
    <cfRule type="containsBlanks" dxfId="314" priority="785" stopIfTrue="1">
      <formula>LEN(TRIM(K125))=0</formula>
    </cfRule>
  </conditionalFormatting>
  <conditionalFormatting sqref="K136">
    <cfRule type="colorScale" priority="71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20">
      <colorScale>
        <cfvo type="num" val="5"/>
        <cfvo type="num" val="10"/>
        <color rgb="FFFF494D"/>
        <color rgb="FF00FF66"/>
      </colorScale>
    </cfRule>
  </conditionalFormatting>
  <conditionalFormatting sqref="K137:K147">
    <cfRule type="cellIs" dxfId="313" priority="721" operator="between">
      <formula>6</formula>
      <formula>6.9</formula>
    </cfRule>
    <cfRule type="cellIs" dxfId="312" priority="722" operator="between">
      <formula>10.1</formula>
      <formula>10.6</formula>
    </cfRule>
    <cfRule type="cellIs" dxfId="311" priority="723" operator="between">
      <formula>7</formula>
      <formula>7.9</formula>
    </cfRule>
    <cfRule type="cellIs" dxfId="310" priority="724" stopIfTrue="1" operator="between">
      <formula>8</formula>
      <formula>8.9</formula>
    </cfRule>
    <cfRule type="cellIs" dxfId="309" priority="725" operator="between">
      <formula>9</formula>
      <formula>9.9</formula>
    </cfRule>
    <cfRule type="cellIs" dxfId="308" priority="726" stopIfTrue="1" operator="between">
      <formula>10</formula>
      <formula>10</formula>
    </cfRule>
    <cfRule type="containsBlanks" dxfId="307" priority="727" stopIfTrue="1">
      <formula>LEN(TRIM(K137))=0</formula>
    </cfRule>
  </conditionalFormatting>
  <conditionalFormatting sqref="K149">
    <cfRule type="colorScale" priority="66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66">
      <colorScale>
        <cfvo type="num" val="5"/>
        <cfvo type="num" val="10"/>
        <color rgb="FFFF494D"/>
        <color rgb="FF00FF66"/>
      </colorScale>
    </cfRule>
  </conditionalFormatting>
  <conditionalFormatting sqref="K150:K163">
    <cfRule type="cellIs" dxfId="306" priority="667" operator="between">
      <formula>6</formula>
      <formula>6.9</formula>
    </cfRule>
    <cfRule type="cellIs" dxfId="305" priority="668" operator="between">
      <formula>10.1</formula>
      <formula>10.6</formula>
    </cfRule>
    <cfRule type="cellIs" dxfId="304" priority="669" operator="between">
      <formula>7</formula>
      <formula>7.9</formula>
    </cfRule>
    <cfRule type="cellIs" dxfId="303" priority="670" stopIfTrue="1" operator="between">
      <formula>8</formula>
      <formula>8.9</formula>
    </cfRule>
    <cfRule type="cellIs" dxfId="302" priority="671" operator="between">
      <formula>9</formula>
      <formula>9.9</formula>
    </cfRule>
    <cfRule type="cellIs" dxfId="301" priority="672" stopIfTrue="1" operator="between">
      <formula>10</formula>
      <formula>10</formula>
    </cfRule>
    <cfRule type="containsBlanks" dxfId="300" priority="673" stopIfTrue="1">
      <formula>LEN(TRIM(K150))=0</formula>
    </cfRule>
  </conditionalFormatting>
  <conditionalFormatting sqref="K165">
    <cfRule type="colorScale" priority="6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19">
      <colorScale>
        <cfvo type="num" val="5"/>
        <cfvo type="num" val="10"/>
        <color rgb="FFFF494D"/>
        <color rgb="FF00FF66"/>
      </colorScale>
    </cfRule>
  </conditionalFormatting>
  <conditionalFormatting sqref="K166:K173">
    <cfRule type="cellIs" dxfId="299" priority="611" operator="between">
      <formula>6</formula>
      <formula>6.9</formula>
    </cfRule>
    <cfRule type="cellIs" dxfId="298" priority="612" operator="between">
      <formula>10.1</formula>
      <formula>10.6</formula>
    </cfRule>
    <cfRule type="cellIs" dxfId="297" priority="613" operator="between">
      <formula>7</formula>
      <formula>7.9</formula>
    </cfRule>
    <cfRule type="cellIs" dxfId="296" priority="614" stopIfTrue="1" operator="between">
      <formula>8</formula>
      <formula>8.9</formula>
    </cfRule>
    <cfRule type="cellIs" dxfId="295" priority="615" operator="between">
      <formula>9</formula>
      <formula>9.9</formula>
    </cfRule>
    <cfRule type="cellIs" dxfId="294" priority="616" stopIfTrue="1" operator="between">
      <formula>10</formula>
      <formula>10</formula>
    </cfRule>
    <cfRule type="containsBlanks" dxfId="293" priority="617" stopIfTrue="1">
      <formula>LEN(TRIM(K166))=0</formula>
    </cfRule>
  </conditionalFormatting>
  <conditionalFormatting sqref="K175">
    <cfRule type="colorScale" priority="58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83">
      <colorScale>
        <cfvo type="num" val="5"/>
        <cfvo type="num" val="10"/>
        <color rgb="FFFF494D"/>
        <color rgb="FF00FF66"/>
      </colorScale>
    </cfRule>
  </conditionalFormatting>
  <conditionalFormatting sqref="K176:K180">
    <cfRule type="cellIs" dxfId="292" priority="584" operator="between">
      <formula>6</formula>
      <formula>6.9</formula>
    </cfRule>
    <cfRule type="cellIs" dxfId="291" priority="585" operator="between">
      <formula>10.1</formula>
      <formula>10.6</formula>
    </cfRule>
    <cfRule type="cellIs" dxfId="290" priority="586" operator="between">
      <formula>7</formula>
      <formula>7.9</formula>
    </cfRule>
    <cfRule type="cellIs" dxfId="289" priority="587" stopIfTrue="1" operator="between">
      <formula>8</formula>
      <formula>8.9</formula>
    </cfRule>
    <cfRule type="cellIs" dxfId="288" priority="588" operator="between">
      <formula>9</formula>
      <formula>9.9</formula>
    </cfRule>
    <cfRule type="cellIs" dxfId="287" priority="589" stopIfTrue="1" operator="between">
      <formula>10</formula>
      <formula>10</formula>
    </cfRule>
    <cfRule type="containsBlanks" dxfId="286" priority="590" stopIfTrue="1">
      <formula>LEN(TRIM(K176))=0</formula>
    </cfRule>
  </conditionalFormatting>
  <conditionalFormatting sqref="K182">
    <cfRule type="colorScale" priority="5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72">
      <colorScale>
        <cfvo type="num" val="5"/>
        <cfvo type="num" val="10"/>
        <color rgb="FFFF494D"/>
        <color rgb="FF00FF66"/>
      </colorScale>
    </cfRule>
  </conditionalFormatting>
  <conditionalFormatting sqref="K183:K187">
    <cfRule type="cellIs" dxfId="285" priority="564" operator="between">
      <formula>6</formula>
      <formula>6.9</formula>
    </cfRule>
    <cfRule type="cellIs" dxfId="284" priority="565" operator="between">
      <formula>10.1</formula>
      <formula>10.6</formula>
    </cfRule>
    <cfRule type="cellIs" dxfId="283" priority="566" operator="between">
      <formula>7</formula>
      <formula>7.9</formula>
    </cfRule>
    <cfRule type="cellIs" dxfId="282" priority="567" stopIfTrue="1" operator="between">
      <formula>8</formula>
      <formula>8.9</formula>
    </cfRule>
    <cfRule type="cellIs" dxfId="281" priority="568" operator="between">
      <formula>9</formula>
      <formula>9.9</formula>
    </cfRule>
    <cfRule type="cellIs" dxfId="280" priority="569" stopIfTrue="1" operator="between">
      <formula>10</formula>
      <formula>10</formula>
    </cfRule>
    <cfRule type="containsBlanks" dxfId="279" priority="570" stopIfTrue="1">
      <formula>LEN(TRIM(K183))=0</formula>
    </cfRule>
  </conditionalFormatting>
  <conditionalFormatting sqref="K189">
    <cfRule type="colorScale" priority="52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23">
      <colorScale>
        <cfvo type="num" val="5"/>
        <cfvo type="num" val="10"/>
        <color rgb="FFFF494D"/>
        <color rgb="FF00FF66"/>
      </colorScale>
    </cfRule>
  </conditionalFormatting>
  <conditionalFormatting sqref="K190:K197">
    <cfRule type="cellIs" dxfId="278" priority="524" operator="between">
      <formula>6</formula>
      <formula>6.9</formula>
    </cfRule>
    <cfRule type="cellIs" dxfId="277" priority="525" operator="between">
      <formula>10.1</formula>
      <formula>10.6</formula>
    </cfRule>
    <cfRule type="cellIs" dxfId="276" priority="526" operator="between">
      <formula>7</formula>
      <formula>7.9</formula>
    </cfRule>
    <cfRule type="cellIs" dxfId="275" priority="527" stopIfTrue="1" operator="between">
      <formula>8</formula>
      <formula>8.9</formula>
    </cfRule>
    <cfRule type="cellIs" dxfId="274" priority="528" operator="between">
      <formula>9</formula>
      <formula>9.9</formula>
    </cfRule>
    <cfRule type="cellIs" dxfId="273" priority="529" stopIfTrue="1" operator="between">
      <formula>10</formula>
      <formula>10</formula>
    </cfRule>
    <cfRule type="containsBlanks" dxfId="272" priority="530" stopIfTrue="1">
      <formula>LEN(TRIM(K190))=0</formula>
    </cfRule>
  </conditionalFormatting>
  <conditionalFormatting sqref="K199">
    <cfRule type="colorScale" priority="5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03">
      <colorScale>
        <cfvo type="num" val="5"/>
        <cfvo type="num" val="10"/>
        <color rgb="FFFF494D"/>
        <color rgb="FF00FF66"/>
      </colorScale>
    </cfRule>
  </conditionalFormatting>
  <conditionalFormatting sqref="K200:K206">
    <cfRule type="cellIs" dxfId="271" priority="495" operator="between">
      <formula>6</formula>
      <formula>6.9</formula>
    </cfRule>
    <cfRule type="cellIs" dxfId="270" priority="496" operator="between">
      <formula>10.1</formula>
      <formula>10.6</formula>
    </cfRule>
    <cfRule type="cellIs" dxfId="269" priority="497" operator="between">
      <formula>7</formula>
      <formula>7.9</formula>
    </cfRule>
    <cfRule type="cellIs" dxfId="268" priority="498" stopIfTrue="1" operator="between">
      <formula>8</formula>
      <formula>8.9</formula>
    </cfRule>
    <cfRule type="cellIs" dxfId="267" priority="499" operator="between">
      <formula>9</formula>
      <formula>9.9</formula>
    </cfRule>
    <cfRule type="cellIs" dxfId="266" priority="500" stopIfTrue="1" operator="between">
      <formula>10</formula>
      <formula>10</formula>
    </cfRule>
    <cfRule type="containsBlanks" dxfId="265" priority="501" stopIfTrue="1">
      <formula>LEN(TRIM(K200))=0</formula>
    </cfRule>
  </conditionalFormatting>
  <conditionalFormatting sqref="K208">
    <cfRule type="colorScale" priority="4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69">
      <colorScale>
        <cfvo type="num" val="5"/>
        <cfvo type="num" val="10"/>
        <color rgb="FFFF494D"/>
        <color rgb="FF00FF66"/>
      </colorScale>
    </cfRule>
  </conditionalFormatting>
  <conditionalFormatting sqref="K209:K217">
    <cfRule type="cellIs" dxfId="264" priority="470" operator="between">
      <formula>6</formula>
      <formula>6.9</formula>
    </cfRule>
    <cfRule type="cellIs" dxfId="263" priority="471" operator="between">
      <formula>10.1</formula>
      <formula>11</formula>
    </cfRule>
    <cfRule type="cellIs" dxfId="262" priority="472" operator="between">
      <formula>7</formula>
      <formula>7.9</formula>
    </cfRule>
    <cfRule type="cellIs" dxfId="261" priority="473" stopIfTrue="1" operator="between">
      <formula>8</formula>
      <formula>8.9</formula>
    </cfRule>
    <cfRule type="cellIs" dxfId="260" priority="474" operator="between">
      <formula>9</formula>
      <formula>9.9</formula>
    </cfRule>
    <cfRule type="cellIs" dxfId="259" priority="475" stopIfTrue="1" operator="between">
      <formula>10</formula>
      <formula>10</formula>
    </cfRule>
    <cfRule type="containsBlanks" dxfId="258" priority="476" stopIfTrue="1">
      <formula>LEN(TRIM(K209))=0</formula>
    </cfRule>
  </conditionalFormatting>
  <conditionalFormatting sqref="K219">
    <cfRule type="colorScale" priority="4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5">
      <colorScale>
        <cfvo type="num" val="5"/>
        <cfvo type="num" val="10"/>
        <color rgb="FFFF494D"/>
        <color rgb="FF00FF66"/>
      </colorScale>
    </cfRule>
  </conditionalFormatting>
  <conditionalFormatting sqref="K220:K235">
    <cfRule type="cellIs" dxfId="257" priority="417" operator="between">
      <formula>6</formula>
      <formula>6.9</formula>
    </cfRule>
    <cfRule type="cellIs" dxfId="256" priority="418" operator="between">
      <formula>10.1</formula>
      <formula>10.6</formula>
    </cfRule>
    <cfRule type="cellIs" dxfId="255" priority="419" operator="between">
      <formula>7</formula>
      <formula>7.9</formula>
    </cfRule>
    <cfRule type="cellIs" dxfId="254" priority="420" stopIfTrue="1" operator="between">
      <formula>8</formula>
      <formula>8.9</formula>
    </cfRule>
    <cfRule type="cellIs" dxfId="253" priority="421" operator="between">
      <formula>9</formula>
      <formula>9.9</formula>
    </cfRule>
    <cfRule type="cellIs" dxfId="252" priority="422" stopIfTrue="1" operator="between">
      <formula>10</formula>
      <formula>10</formula>
    </cfRule>
    <cfRule type="containsBlanks" dxfId="251" priority="423" stopIfTrue="1">
      <formula>LEN(TRIM(K220))=0</formula>
    </cfRule>
  </conditionalFormatting>
  <conditionalFormatting sqref="K237">
    <cfRule type="colorScale" priority="3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69">
      <colorScale>
        <cfvo type="num" val="5"/>
        <cfvo type="num" val="10"/>
        <color rgb="FFFF494D"/>
        <color rgb="FF00FF66"/>
      </colorScale>
    </cfRule>
  </conditionalFormatting>
  <conditionalFormatting sqref="K238:K250">
    <cfRule type="cellIs" dxfId="250" priority="361" operator="between">
      <formula>6</formula>
      <formula>6.9</formula>
    </cfRule>
    <cfRule type="cellIs" dxfId="249" priority="362" operator="between">
      <formula>10.1</formula>
      <formula>10.6</formula>
    </cfRule>
    <cfRule type="cellIs" dxfId="248" priority="363" operator="between">
      <formula>7</formula>
      <formula>7.9</formula>
    </cfRule>
    <cfRule type="cellIs" dxfId="247" priority="364" stopIfTrue="1" operator="between">
      <formula>8</formula>
      <formula>8.9</formula>
    </cfRule>
    <cfRule type="cellIs" dxfId="246" priority="365" operator="between">
      <formula>9</formula>
      <formula>9.9</formula>
    </cfRule>
    <cfRule type="cellIs" dxfId="245" priority="366" stopIfTrue="1" operator="between">
      <formula>10</formula>
      <formula>10</formula>
    </cfRule>
    <cfRule type="containsBlanks" dxfId="244" priority="367" stopIfTrue="1">
      <formula>LEN(TRIM(K238))=0</formula>
    </cfRule>
  </conditionalFormatting>
  <conditionalFormatting sqref="K252">
    <cfRule type="colorScale" priority="3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4">
      <colorScale>
        <cfvo type="num" val="5"/>
        <cfvo type="num" val="10"/>
        <color rgb="FFFF494D"/>
        <color rgb="FF00FF66"/>
      </colorScale>
    </cfRule>
  </conditionalFormatting>
  <conditionalFormatting sqref="K253:K262">
    <cfRule type="cellIs" dxfId="243" priority="316" operator="between">
      <formula>6</formula>
      <formula>6.9</formula>
    </cfRule>
    <cfRule type="cellIs" dxfId="242" priority="317" operator="between">
      <formula>10.1</formula>
      <formula>10.6</formula>
    </cfRule>
    <cfRule type="cellIs" dxfId="241" priority="318" operator="between">
      <formula>7</formula>
      <formula>7.9</formula>
    </cfRule>
    <cfRule type="cellIs" dxfId="240" priority="319" stopIfTrue="1" operator="between">
      <formula>8</formula>
      <formula>8.9</formula>
    </cfRule>
    <cfRule type="cellIs" dxfId="239" priority="320" operator="between">
      <formula>9</formula>
      <formula>9.9</formula>
    </cfRule>
    <cfRule type="cellIs" dxfId="238" priority="321" stopIfTrue="1" operator="between">
      <formula>10</formula>
      <formula>10</formula>
    </cfRule>
    <cfRule type="containsBlanks" dxfId="237" priority="322" stopIfTrue="1">
      <formula>LEN(TRIM(K253))=0</formula>
    </cfRule>
  </conditionalFormatting>
  <conditionalFormatting sqref="K264">
    <cfRule type="colorScale" priority="2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8">
      <colorScale>
        <cfvo type="num" val="5"/>
        <cfvo type="num" val="10"/>
        <color rgb="FFFF494D"/>
        <color rgb="FF00FF66"/>
      </colorScale>
    </cfRule>
  </conditionalFormatting>
  <conditionalFormatting sqref="K265:K274">
    <cfRule type="cellIs" dxfId="236" priority="289" operator="between">
      <formula>6</formula>
      <formula>6.9</formula>
    </cfRule>
    <cfRule type="cellIs" dxfId="235" priority="290" operator="between">
      <formula>10.1</formula>
      <formula>10.6</formula>
    </cfRule>
    <cfRule type="cellIs" dxfId="234" priority="291" operator="between">
      <formula>7</formula>
      <formula>7.9</formula>
    </cfRule>
    <cfRule type="cellIs" dxfId="233" priority="292" stopIfTrue="1" operator="between">
      <formula>8</formula>
      <formula>8.9</formula>
    </cfRule>
    <cfRule type="cellIs" dxfId="232" priority="293" operator="between">
      <formula>9</formula>
      <formula>9.9</formula>
    </cfRule>
    <cfRule type="cellIs" dxfId="231" priority="294" stopIfTrue="1" operator="between">
      <formula>10</formula>
      <formula>10</formula>
    </cfRule>
    <cfRule type="containsBlanks" dxfId="230" priority="295" stopIfTrue="1">
      <formula>LEN(TRIM(K265))=0</formula>
    </cfRule>
  </conditionalFormatting>
  <conditionalFormatting sqref="K276">
    <cfRule type="colorScale" priority="2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4">
      <colorScale>
        <cfvo type="num" val="5"/>
        <cfvo type="num" val="10"/>
        <color rgb="FFFF494D"/>
        <color rgb="FF00FF66"/>
      </colorScale>
    </cfRule>
  </conditionalFormatting>
  <conditionalFormatting sqref="K277:K284">
    <cfRule type="cellIs" dxfId="229" priority="236" operator="between">
      <formula>6</formula>
      <formula>6.9</formula>
    </cfRule>
    <cfRule type="cellIs" dxfId="228" priority="237" operator="between">
      <formula>10.1</formula>
      <formula>10.6</formula>
    </cfRule>
    <cfRule type="cellIs" dxfId="227" priority="238" operator="between">
      <formula>7</formula>
      <formula>7.9</formula>
    </cfRule>
    <cfRule type="cellIs" dxfId="226" priority="239" stopIfTrue="1" operator="between">
      <formula>8</formula>
      <formula>8.9</formula>
    </cfRule>
    <cfRule type="cellIs" dxfId="225" priority="240" operator="between">
      <formula>9</formula>
      <formula>9.9</formula>
    </cfRule>
    <cfRule type="cellIs" dxfId="224" priority="241" stopIfTrue="1" operator="between">
      <formula>10</formula>
      <formula>10</formula>
    </cfRule>
    <cfRule type="containsBlanks" dxfId="223" priority="242" stopIfTrue="1">
      <formula>LEN(TRIM(K277))=0</formula>
    </cfRule>
  </conditionalFormatting>
  <conditionalFormatting sqref="K286">
    <cfRule type="colorScale" priority="1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9">
      <colorScale>
        <cfvo type="num" val="5"/>
        <cfvo type="num" val="10"/>
        <color rgb="FFFF494D"/>
        <color rgb="FF00FF66"/>
      </colorScale>
    </cfRule>
  </conditionalFormatting>
  <conditionalFormatting sqref="K287:K294">
    <cfRule type="cellIs" dxfId="222" priority="191" operator="between">
      <formula>6</formula>
      <formula>6.9</formula>
    </cfRule>
    <cfRule type="cellIs" dxfId="221" priority="192" operator="between">
      <formula>10.1</formula>
      <formula>10.6</formula>
    </cfRule>
    <cfRule type="cellIs" dxfId="220" priority="193" operator="between">
      <formula>7</formula>
      <formula>7.9</formula>
    </cfRule>
    <cfRule type="cellIs" dxfId="219" priority="194" stopIfTrue="1" operator="between">
      <formula>8</formula>
      <formula>8.9</formula>
    </cfRule>
    <cfRule type="cellIs" dxfId="218" priority="195" operator="between">
      <formula>9</formula>
      <formula>9.9</formula>
    </cfRule>
    <cfRule type="cellIs" dxfId="217" priority="196" stopIfTrue="1" operator="between">
      <formula>10</formula>
      <formula>10</formula>
    </cfRule>
    <cfRule type="containsBlanks" dxfId="216" priority="197" stopIfTrue="1">
      <formula>LEN(TRIM(K287))=0</formula>
    </cfRule>
  </conditionalFormatting>
  <conditionalFormatting sqref="K296">
    <cfRule type="colorScale" priority="1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1">
      <colorScale>
        <cfvo type="num" val="5"/>
        <cfvo type="num" val="10"/>
        <color rgb="FFFF494D"/>
        <color rgb="FF00FF66"/>
      </colorScale>
    </cfRule>
  </conditionalFormatting>
  <conditionalFormatting sqref="K297:K302">
    <cfRule type="containsBlanks" dxfId="215" priority="151" stopIfTrue="1">
      <formula>LEN(TRIM(K297))=0</formula>
    </cfRule>
    <cfRule type="cellIs" dxfId="214" priority="152" operator="lessThan">
      <formula>2</formula>
    </cfRule>
    <cfRule type="cellIs" dxfId="213" priority="153" operator="between">
      <formula>2</formula>
      <formula>4.9</formula>
    </cfRule>
    <cfRule type="cellIs" dxfId="212" priority="154" operator="between">
      <formula>5</formula>
      <formula>6.9</formula>
    </cfRule>
    <cfRule type="cellIs" dxfId="211" priority="155" operator="between">
      <formula>10.1</formula>
      <formula>10.6</formula>
    </cfRule>
    <cfRule type="cellIs" dxfId="210" priority="156" operator="between">
      <formula>7</formula>
      <formula>7.9</formula>
    </cfRule>
    <cfRule type="cellIs" dxfId="209" priority="157" stopIfTrue="1" operator="between">
      <formula>8</formula>
      <formula>8.9</formula>
    </cfRule>
    <cfRule type="cellIs" dxfId="208" priority="158" operator="between">
      <formula>9</formula>
      <formula>9.9</formula>
    </cfRule>
    <cfRule type="cellIs" dxfId="207" priority="159" stopIfTrue="1" operator="between">
      <formula>10</formula>
      <formula>10</formula>
    </cfRule>
  </conditionalFormatting>
  <conditionalFormatting sqref="K304">
    <cfRule type="colorScale" priority="1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0">
      <colorScale>
        <cfvo type="num" val="5"/>
        <cfvo type="num" val="10"/>
        <color rgb="FFFF494D"/>
        <color rgb="FF00FF66"/>
      </colorScale>
    </cfRule>
  </conditionalFormatting>
  <conditionalFormatting sqref="K305:K316">
    <cfRule type="containsBlanks" dxfId="206" priority="120" stopIfTrue="1">
      <formula>LEN(TRIM(K305))=0</formula>
    </cfRule>
    <cfRule type="cellIs" dxfId="205" priority="121" operator="lessThan">
      <formula>2</formula>
    </cfRule>
    <cfRule type="cellIs" dxfId="204" priority="122" operator="between">
      <formula>2</formula>
      <formula>4.9</formula>
    </cfRule>
    <cfRule type="cellIs" dxfId="203" priority="123" operator="between">
      <formula>5</formula>
      <formula>6.9</formula>
    </cfRule>
    <cfRule type="cellIs" dxfId="202" priority="124" operator="between">
      <formula>10.1</formula>
      <formula>10.6</formula>
    </cfRule>
    <cfRule type="cellIs" dxfId="201" priority="125" operator="between">
      <formula>7</formula>
      <formula>7.9</formula>
    </cfRule>
    <cfRule type="cellIs" dxfId="200" priority="126" stopIfTrue="1" operator="between">
      <formula>8</formula>
      <formula>8.9</formula>
    </cfRule>
    <cfRule type="cellIs" dxfId="199" priority="127" operator="between">
      <formula>9</formula>
      <formula>9.9</formula>
    </cfRule>
    <cfRule type="cellIs" dxfId="198" priority="128" stopIfTrue="1" operator="between">
      <formula>10</formula>
      <formula>10</formula>
    </cfRule>
  </conditionalFormatting>
  <conditionalFormatting sqref="K318">
    <cfRule type="colorScale" priority="5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7">
      <colorScale>
        <cfvo type="num" val="5"/>
        <cfvo type="num" val="10"/>
        <color rgb="FFFF494D"/>
        <color rgb="FF00FF66"/>
      </colorScale>
    </cfRule>
  </conditionalFormatting>
  <conditionalFormatting sqref="K319:K326">
    <cfRule type="containsBlanks" dxfId="197" priority="58" stopIfTrue="1">
      <formula>LEN(TRIM(K319))=0</formula>
    </cfRule>
    <cfRule type="cellIs" dxfId="196" priority="59" operator="lessThan">
      <formula>2</formula>
    </cfRule>
    <cfRule type="cellIs" dxfId="195" priority="60" operator="between">
      <formula>2</formula>
      <formula>4.9</formula>
    </cfRule>
    <cfRule type="cellIs" dxfId="194" priority="61" operator="between">
      <formula>5</formula>
      <formula>6.9</formula>
    </cfRule>
    <cfRule type="cellIs" dxfId="193" priority="62" operator="between">
      <formula>10.1</formula>
      <formula>10.6</formula>
    </cfRule>
    <cfRule type="cellIs" dxfId="192" priority="63" operator="between">
      <formula>7</formula>
      <formula>7.9</formula>
    </cfRule>
    <cfRule type="cellIs" dxfId="191" priority="64" stopIfTrue="1" operator="between">
      <formula>8</formula>
      <formula>8.9</formula>
    </cfRule>
    <cfRule type="cellIs" dxfId="190" priority="65" operator="between">
      <formula>9</formula>
      <formula>9.9</formula>
    </cfRule>
    <cfRule type="cellIs" dxfId="189" priority="66" stopIfTrue="1" operator="between">
      <formula>10</formula>
      <formula>10</formula>
    </cfRule>
  </conditionalFormatting>
  <conditionalFormatting sqref="K328">
    <cfRule type="colorScale" priority="1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">
      <colorScale>
        <cfvo type="num" val="5"/>
        <cfvo type="num" val="10"/>
        <color rgb="FFFF494D"/>
        <color rgb="FF00FF66"/>
      </colorScale>
    </cfRule>
  </conditionalFormatting>
  <conditionalFormatting sqref="K329:K338">
    <cfRule type="containsBlanks" dxfId="188" priority="14" stopIfTrue="1">
      <formula>LEN(TRIM(K329))=0</formula>
    </cfRule>
    <cfRule type="cellIs" dxfId="187" priority="15" operator="lessThan">
      <formula>2</formula>
    </cfRule>
    <cfRule type="cellIs" dxfId="186" priority="16" operator="between">
      <formula>2</formula>
      <formula>4.9</formula>
    </cfRule>
    <cfRule type="cellIs" dxfId="185" priority="17" operator="between">
      <formula>5</formula>
      <formula>6.9</formula>
    </cfRule>
    <cfRule type="cellIs" dxfId="184" priority="18" operator="between">
      <formula>10.1</formula>
      <formula>10.6</formula>
    </cfRule>
    <cfRule type="cellIs" dxfId="183" priority="19" operator="between">
      <formula>7</formula>
      <formula>7.9</formula>
    </cfRule>
    <cfRule type="cellIs" dxfId="182" priority="20" stopIfTrue="1" operator="between">
      <formula>8</formula>
      <formula>8.9</formula>
    </cfRule>
    <cfRule type="cellIs" dxfId="181" priority="21" operator="between">
      <formula>9</formula>
      <formula>9.9</formula>
    </cfRule>
    <cfRule type="cellIs" dxfId="180" priority="22" stopIfTrue="1" operator="between">
      <formula>10</formula>
      <formula>10</formula>
    </cfRule>
  </conditionalFormatting>
  <conditionalFormatting sqref="M28">
    <cfRule type="colorScale" priority="113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40">
      <colorScale>
        <cfvo type="num" val="5"/>
        <cfvo type="num" val="10"/>
        <color rgb="FFFF494D"/>
        <color rgb="FF00FF66"/>
      </colorScale>
    </cfRule>
  </conditionalFormatting>
  <conditionalFormatting sqref="M39">
    <cfRule type="colorScale" priority="113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32">
      <colorScale>
        <cfvo type="num" val="5"/>
        <cfvo type="num" val="10"/>
        <color rgb="FFFF494D"/>
        <color rgb="FF00FF66"/>
      </colorScale>
    </cfRule>
  </conditionalFormatting>
  <conditionalFormatting sqref="N3:N12">
    <cfRule type="cellIs" dxfId="179" priority="1072" operator="between">
      <formula>10.1</formula>
      <formula>10.6</formula>
    </cfRule>
    <cfRule type="cellIs" dxfId="178" priority="1073" operator="between">
      <formula>7</formula>
      <formula>7.9</formula>
    </cfRule>
    <cfRule type="cellIs" dxfId="177" priority="1074" stopIfTrue="1" operator="between">
      <formula>8</formula>
      <formula>8.9</formula>
    </cfRule>
    <cfRule type="cellIs" dxfId="176" priority="1075" operator="between">
      <formula>9</formula>
      <formula>9.9</formula>
    </cfRule>
    <cfRule type="cellIs" dxfId="175" priority="1076" stopIfTrue="1" operator="between">
      <formula>10</formula>
      <formula>10</formula>
    </cfRule>
    <cfRule type="containsBlanks" dxfId="174" priority="1077" stopIfTrue="1">
      <formula>LEN(TRIM(N3))=0</formula>
    </cfRule>
  </conditionalFormatting>
  <conditionalFormatting sqref="N15:N26">
    <cfRule type="cellIs" dxfId="173" priority="1117" operator="between">
      <formula>7</formula>
      <formula>7.9</formula>
    </cfRule>
    <cfRule type="cellIs" dxfId="172" priority="1118" stopIfTrue="1" operator="between">
      <formula>8</formula>
      <formula>8.9</formula>
    </cfRule>
    <cfRule type="cellIs" dxfId="171" priority="1119" operator="between">
      <formula>9</formula>
      <formula>9.9</formula>
    </cfRule>
    <cfRule type="cellIs" dxfId="170" priority="1120" stopIfTrue="1" operator="between">
      <formula>10</formula>
      <formula>10</formula>
    </cfRule>
  </conditionalFormatting>
  <conditionalFormatting sqref="N28">
    <cfRule type="colorScale" priority="9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85">
      <colorScale>
        <cfvo type="num" val="5"/>
        <cfvo type="num" val="10"/>
        <color rgb="FFFF494D"/>
        <color rgb="FF00FF66"/>
      </colorScale>
    </cfRule>
  </conditionalFormatting>
  <conditionalFormatting sqref="N29:N37">
    <cfRule type="cellIs" dxfId="169" priority="1121" operator="between">
      <formula>7</formula>
      <formula>7.9</formula>
    </cfRule>
    <cfRule type="cellIs" dxfId="168" priority="1122" stopIfTrue="1" operator="between">
      <formula>8</formula>
      <formula>8.9</formula>
    </cfRule>
    <cfRule type="cellIs" dxfId="167" priority="1123" operator="between">
      <formula>9</formula>
      <formula>9.9</formula>
    </cfRule>
    <cfRule type="cellIs" dxfId="166" priority="1124" stopIfTrue="1" operator="between">
      <formula>10</formula>
      <formula>10</formula>
    </cfRule>
  </conditionalFormatting>
  <conditionalFormatting sqref="N39">
    <cfRule type="colorScale" priority="11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30">
      <colorScale>
        <cfvo type="num" val="5"/>
        <cfvo type="num" val="10"/>
        <color rgb="FFFF494D"/>
        <color rgb="FF00FF66"/>
      </colorScale>
    </cfRule>
  </conditionalFormatting>
  <conditionalFormatting sqref="N40:N52">
    <cfRule type="cellIs" dxfId="165" priority="1012" operator="between">
      <formula>10.1</formula>
      <formula>10.6</formula>
    </cfRule>
    <cfRule type="cellIs" dxfId="164" priority="1013" operator="between">
      <formula>7</formula>
      <formula>7.9</formula>
    </cfRule>
    <cfRule type="cellIs" dxfId="163" priority="1014" stopIfTrue="1" operator="between">
      <formula>8</formula>
      <formula>8.9</formula>
    </cfRule>
    <cfRule type="cellIs" dxfId="162" priority="1015" operator="between">
      <formula>9</formula>
      <formula>9.9</formula>
    </cfRule>
    <cfRule type="cellIs" dxfId="161" priority="1016" stopIfTrue="1" operator="between">
      <formula>10</formula>
      <formula>10</formula>
    </cfRule>
    <cfRule type="containsBlanks" dxfId="160" priority="1017" stopIfTrue="1">
      <formula>LEN(TRIM(N40))=0</formula>
    </cfRule>
  </conditionalFormatting>
  <conditionalFormatting sqref="N54">
    <cfRule type="colorScale" priority="10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03">
      <colorScale>
        <cfvo type="num" val="5"/>
        <cfvo type="num" val="10"/>
        <color rgb="FFFF494D"/>
        <color rgb="FF00FF66"/>
      </colorScale>
    </cfRule>
  </conditionalFormatting>
  <conditionalFormatting sqref="N55:N65">
    <cfRule type="cellIs" dxfId="159" priority="996" operator="between">
      <formula>10.1</formula>
      <formula>10.6</formula>
    </cfRule>
    <cfRule type="cellIs" dxfId="158" priority="997" operator="between">
      <formula>7</formula>
      <formula>7.9</formula>
    </cfRule>
    <cfRule type="cellIs" dxfId="157" priority="998" stopIfTrue="1" operator="between">
      <formula>8</formula>
      <formula>8.9</formula>
    </cfRule>
    <cfRule type="cellIs" dxfId="156" priority="999" operator="between">
      <formula>9</formula>
      <formula>9.9</formula>
    </cfRule>
    <cfRule type="cellIs" dxfId="155" priority="1000" stopIfTrue="1" operator="between">
      <formula>10</formula>
      <formula>10</formula>
    </cfRule>
    <cfRule type="containsBlanks" dxfId="154" priority="1001" stopIfTrue="1">
      <formula>LEN(TRIM(N55))=0</formula>
    </cfRule>
  </conditionalFormatting>
  <conditionalFormatting sqref="N67">
    <cfRule type="colorScale" priority="96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67">
      <colorScale>
        <cfvo type="num" val="5"/>
        <cfvo type="num" val="10"/>
        <color rgb="FFFF494D"/>
        <color rgb="FF00FF66"/>
      </colorScale>
    </cfRule>
  </conditionalFormatting>
  <conditionalFormatting sqref="N68:N77">
    <cfRule type="cellIs" dxfId="153" priority="960" operator="between">
      <formula>10.1</formula>
      <formula>10.6</formula>
    </cfRule>
    <cfRule type="cellIs" dxfId="152" priority="961" operator="between">
      <formula>7</formula>
      <formula>7.9</formula>
    </cfRule>
    <cfRule type="cellIs" dxfId="151" priority="962" stopIfTrue="1" operator="between">
      <formula>8</formula>
      <formula>8.9</formula>
    </cfRule>
    <cfRule type="cellIs" dxfId="150" priority="963" operator="between">
      <formula>9</formula>
      <formula>9.9</formula>
    </cfRule>
    <cfRule type="cellIs" dxfId="149" priority="964" stopIfTrue="1" operator="between">
      <formula>10</formula>
      <formula>10</formula>
    </cfRule>
    <cfRule type="containsBlanks" dxfId="148" priority="965" stopIfTrue="1">
      <formula>LEN(TRIM(N68))=0</formula>
    </cfRule>
  </conditionalFormatting>
  <conditionalFormatting sqref="N79">
    <cfRule type="colorScale" priority="9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11">
      <colorScale>
        <cfvo type="num" val="5"/>
        <cfvo type="num" val="10"/>
        <color rgb="FFFF494D"/>
        <color rgb="FF00FF66"/>
      </colorScale>
    </cfRule>
  </conditionalFormatting>
  <conditionalFormatting sqref="N80:N91">
    <cfRule type="cellIs" dxfId="147" priority="904" operator="between">
      <formula>10.1</formula>
      <formula>10.6</formula>
    </cfRule>
    <cfRule type="cellIs" dxfId="146" priority="905" operator="between">
      <formula>7</formula>
      <formula>7.9</formula>
    </cfRule>
    <cfRule type="cellIs" dxfId="145" priority="906" stopIfTrue="1" operator="between">
      <formula>8</formula>
      <formula>8.9</formula>
    </cfRule>
    <cfRule type="cellIs" dxfId="144" priority="907" operator="between">
      <formula>9</formula>
      <formula>9.9</formula>
    </cfRule>
    <cfRule type="cellIs" dxfId="143" priority="908" stopIfTrue="1" operator="between">
      <formula>10</formula>
      <formula>10</formula>
    </cfRule>
    <cfRule type="containsBlanks" dxfId="142" priority="909" stopIfTrue="1">
      <formula>LEN(TRIM(N80))=0</formula>
    </cfRule>
  </conditionalFormatting>
  <conditionalFormatting sqref="N93">
    <cfRule type="colorScale" priority="8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72">
      <colorScale>
        <cfvo type="num" val="5"/>
        <cfvo type="num" val="10"/>
        <color rgb="FFFF494D"/>
        <color rgb="FF00FF66"/>
      </colorScale>
    </cfRule>
  </conditionalFormatting>
  <conditionalFormatting sqref="N94:N110">
    <cfRule type="cellIs" dxfId="141" priority="873" operator="between">
      <formula>10.1</formula>
      <formula>10.6</formula>
    </cfRule>
    <cfRule type="cellIs" dxfId="140" priority="874" operator="between">
      <formula>7</formula>
      <formula>7.9</formula>
    </cfRule>
    <cfRule type="cellIs" dxfId="139" priority="875" stopIfTrue="1" operator="between">
      <formula>8</formula>
      <formula>8.9</formula>
    </cfRule>
    <cfRule type="cellIs" dxfId="138" priority="876" operator="between">
      <formula>9</formula>
      <formula>9.9</formula>
    </cfRule>
    <cfRule type="cellIs" dxfId="137" priority="877" stopIfTrue="1" operator="between">
      <formula>10</formula>
      <formula>10</formula>
    </cfRule>
    <cfRule type="containsBlanks" dxfId="136" priority="878" stopIfTrue="1">
      <formula>LEN(TRIM(N94))=0</formula>
    </cfRule>
  </conditionalFormatting>
  <conditionalFormatting sqref="N112">
    <cfRule type="colorScale" priority="8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19">
      <colorScale>
        <cfvo type="num" val="5"/>
        <cfvo type="num" val="10"/>
        <color rgb="FFFF494D"/>
        <color rgb="FF00FF66"/>
      </colorScale>
    </cfRule>
  </conditionalFormatting>
  <conditionalFormatting sqref="N113:N125">
    <cfRule type="cellIs" dxfId="135" priority="812" operator="between">
      <formula>10.1</formula>
      <formula>10.6</formula>
    </cfRule>
    <cfRule type="cellIs" dxfId="134" priority="813" operator="between">
      <formula>7</formula>
      <formula>7.9</formula>
    </cfRule>
    <cfRule type="cellIs" dxfId="133" priority="814" stopIfTrue="1" operator="between">
      <formula>8</formula>
      <formula>8.9</formula>
    </cfRule>
    <cfRule type="cellIs" dxfId="132" priority="815" operator="between">
      <formula>9</formula>
      <formula>9.9</formula>
    </cfRule>
    <cfRule type="cellIs" dxfId="131" priority="816" stopIfTrue="1" operator="between">
      <formula>10</formula>
      <formula>10</formula>
    </cfRule>
    <cfRule type="containsBlanks" dxfId="130" priority="817" stopIfTrue="1">
      <formula>LEN(TRIM(N113))=0</formula>
    </cfRule>
  </conditionalFormatting>
  <conditionalFormatting sqref="N127">
    <cfRule type="colorScale" priority="75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60">
      <colorScale>
        <cfvo type="num" val="5"/>
        <cfvo type="num" val="10"/>
        <color rgb="FFFF494D"/>
        <color rgb="FF00FF66"/>
      </colorScale>
    </cfRule>
  </conditionalFormatting>
  <conditionalFormatting sqref="N128:N135">
    <cfRule type="cellIs" dxfId="129" priority="746" operator="between">
      <formula>6</formula>
      <formula>6.9</formula>
    </cfRule>
    <cfRule type="cellIs" dxfId="128" priority="747" operator="between">
      <formula>10.1</formula>
      <formula>10.6</formula>
    </cfRule>
    <cfRule type="cellIs" dxfId="127" priority="748" operator="between">
      <formula>7</formula>
      <formula>7.9</formula>
    </cfRule>
    <cfRule type="cellIs" dxfId="126" priority="749" stopIfTrue="1" operator="between">
      <formula>8</formula>
      <formula>8.9</formula>
    </cfRule>
    <cfRule type="cellIs" dxfId="125" priority="750" operator="between">
      <formula>9</formula>
      <formula>9.9</formula>
    </cfRule>
    <cfRule type="cellIs" dxfId="124" priority="751" stopIfTrue="1" operator="between">
      <formula>10</formula>
      <formula>10</formula>
    </cfRule>
    <cfRule type="containsBlanks" dxfId="123" priority="752" stopIfTrue="1">
      <formula>LEN(TRIM(N128))=0</formula>
    </cfRule>
    <cfRule type="cellIs" dxfId="122" priority="753" operator="between">
      <formula>10.1</formula>
      <formula>10.6</formula>
    </cfRule>
    <cfRule type="cellIs" dxfId="121" priority="754" operator="between">
      <formula>7</formula>
      <formula>7.9</formula>
    </cfRule>
    <cfRule type="cellIs" dxfId="120" priority="755" stopIfTrue="1" operator="between">
      <formula>8</formula>
      <formula>8.9</formula>
    </cfRule>
    <cfRule type="cellIs" dxfId="119" priority="756" operator="between">
      <formula>9</formula>
      <formula>9.9</formula>
    </cfRule>
    <cfRule type="cellIs" dxfId="118" priority="757" stopIfTrue="1" operator="between">
      <formula>10</formula>
      <formula>10</formula>
    </cfRule>
    <cfRule type="containsBlanks" dxfId="117" priority="758" stopIfTrue="1">
      <formula>LEN(TRIM(N128))=0</formula>
    </cfRule>
  </conditionalFormatting>
  <conditionalFormatting sqref="N137">
    <cfRule type="colorScale" priority="71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18">
      <colorScale>
        <cfvo type="num" val="5"/>
        <cfvo type="num" val="10"/>
        <color rgb="FFFF494D"/>
        <color rgb="FF00FF66"/>
      </colorScale>
    </cfRule>
  </conditionalFormatting>
  <conditionalFormatting sqref="N138:N142">
    <cfRule type="cellIs" dxfId="116" priority="710" operator="between">
      <formula>6</formula>
      <formula>6.9</formula>
    </cfRule>
    <cfRule type="cellIs" dxfId="115" priority="711" operator="between">
      <formula>10.1</formula>
      <formula>10.6</formula>
    </cfRule>
    <cfRule type="cellIs" dxfId="114" priority="712" operator="between">
      <formula>7</formula>
      <formula>7.9</formula>
    </cfRule>
    <cfRule type="cellIs" dxfId="113" priority="713" stopIfTrue="1" operator="between">
      <formula>8</formula>
      <formula>8.9</formula>
    </cfRule>
    <cfRule type="cellIs" dxfId="112" priority="714" operator="between">
      <formula>9</formula>
      <formula>9.9</formula>
    </cfRule>
    <cfRule type="cellIs" dxfId="111" priority="715" stopIfTrue="1" operator="between">
      <formula>10</formula>
      <formula>10</formula>
    </cfRule>
    <cfRule type="containsBlanks" dxfId="110" priority="716" stopIfTrue="1">
      <formula>LEN(TRIM(N138))=0</formula>
    </cfRule>
  </conditionalFormatting>
  <conditionalFormatting sqref="N144">
    <cfRule type="colorScale" priority="70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09">
      <colorScale>
        <cfvo type="num" val="5"/>
        <cfvo type="num" val="10"/>
        <color rgb="FFFF494D"/>
        <color rgb="FF00FF66"/>
      </colorScale>
    </cfRule>
  </conditionalFormatting>
  <conditionalFormatting sqref="N145:N150">
    <cfRule type="cellIs" dxfId="109" priority="701" operator="between">
      <formula>6</formula>
      <formula>6.9</formula>
    </cfRule>
    <cfRule type="cellIs" dxfId="108" priority="702" operator="between">
      <formula>10.1</formula>
      <formula>10.6</formula>
    </cfRule>
    <cfRule type="cellIs" dxfId="107" priority="703" operator="between">
      <formula>7</formula>
      <formula>7.9</formula>
    </cfRule>
    <cfRule type="cellIs" dxfId="106" priority="704" stopIfTrue="1" operator="between">
      <formula>8</formula>
      <formula>8.9</formula>
    </cfRule>
    <cfRule type="cellIs" dxfId="105" priority="705" operator="between">
      <formula>9</formula>
      <formula>9.9</formula>
    </cfRule>
    <cfRule type="cellIs" dxfId="104" priority="706" stopIfTrue="1" operator="between">
      <formula>10</formula>
      <formula>10</formula>
    </cfRule>
    <cfRule type="containsBlanks" dxfId="103" priority="707" stopIfTrue="1">
      <formula>LEN(TRIM(N145))=0</formula>
    </cfRule>
  </conditionalFormatting>
  <conditionalFormatting sqref="N152">
    <cfRule type="colorScale" priority="66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64">
      <colorScale>
        <cfvo type="num" val="5"/>
        <cfvo type="num" val="10"/>
        <color rgb="FFFF494D"/>
        <color rgb="FF00FF66"/>
      </colorScale>
    </cfRule>
  </conditionalFormatting>
  <conditionalFormatting sqref="N153:N159">
    <cfRule type="cellIs" dxfId="102" priority="656" operator="between">
      <formula>6</formula>
      <formula>6.9</formula>
    </cfRule>
    <cfRule type="cellIs" dxfId="101" priority="657" operator="between">
      <formula>10.1</formula>
      <formula>10.6</formula>
    </cfRule>
    <cfRule type="cellIs" dxfId="100" priority="658" operator="between">
      <formula>7</formula>
      <formula>7.9</formula>
    </cfRule>
    <cfRule type="cellIs" dxfId="99" priority="659" stopIfTrue="1" operator="between">
      <formula>8</formula>
      <formula>8.9</formula>
    </cfRule>
    <cfRule type="cellIs" dxfId="98" priority="660" operator="between">
      <formula>9</formula>
      <formula>9.9</formula>
    </cfRule>
    <cfRule type="cellIs" dxfId="97" priority="661" stopIfTrue="1" operator="between">
      <formula>10</formula>
      <formula>10</formula>
    </cfRule>
    <cfRule type="containsBlanks" dxfId="96" priority="662" stopIfTrue="1">
      <formula>LEN(TRIM(N153))=0</formula>
    </cfRule>
  </conditionalFormatting>
  <conditionalFormatting sqref="N161">
    <cfRule type="colorScale" priority="6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39">
      <colorScale>
        <cfvo type="num" val="5"/>
        <cfvo type="num" val="10"/>
        <color rgb="FFFF494D"/>
        <color rgb="FF00FF66"/>
      </colorScale>
    </cfRule>
  </conditionalFormatting>
  <conditionalFormatting sqref="N162:N180 N183">
    <cfRule type="cellIs" dxfId="95" priority="640" operator="between">
      <formula>6</formula>
      <formula>6.9</formula>
    </cfRule>
    <cfRule type="cellIs" dxfId="94" priority="641" operator="between">
      <formula>10.1</formula>
      <formula>10.6</formula>
    </cfRule>
    <cfRule type="cellIs" dxfId="93" priority="642" operator="between">
      <formula>7</formula>
      <formula>7.9</formula>
    </cfRule>
    <cfRule type="cellIs" dxfId="92" priority="643" stopIfTrue="1" operator="between">
      <formula>8</formula>
      <formula>8.9</formula>
    </cfRule>
    <cfRule type="cellIs" dxfId="91" priority="644" operator="between">
      <formula>9</formula>
      <formula>9.9</formula>
    </cfRule>
    <cfRule type="cellIs" dxfId="90" priority="645" stopIfTrue="1" operator="between">
      <formula>10</formula>
      <formula>10</formula>
    </cfRule>
    <cfRule type="containsBlanks" dxfId="89" priority="646" stopIfTrue="1">
      <formula>LEN(TRIM(N162))=0</formula>
    </cfRule>
  </conditionalFormatting>
  <conditionalFormatting sqref="N182">
    <cfRule type="colorScale" priority="5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92">
      <colorScale>
        <cfvo type="num" val="5"/>
        <cfvo type="num" val="10"/>
        <color rgb="FFFF494D"/>
        <color rgb="FF00FF66"/>
      </colorScale>
    </cfRule>
  </conditionalFormatting>
  <conditionalFormatting sqref="N185">
    <cfRule type="colorScale" priority="5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39">
      <colorScale>
        <cfvo type="num" val="5"/>
        <cfvo type="num" val="10"/>
        <color rgb="FFFF494D"/>
        <color rgb="FF00FF66"/>
      </colorScale>
    </cfRule>
  </conditionalFormatting>
  <conditionalFormatting sqref="N186:N209">
    <cfRule type="cellIs" dxfId="88" priority="531" operator="between">
      <formula>6</formula>
      <formula>6.9</formula>
    </cfRule>
    <cfRule type="cellIs" dxfId="87" priority="532" operator="between">
      <formula>10.1</formula>
      <formula>10.6</formula>
    </cfRule>
    <cfRule type="cellIs" dxfId="86" priority="533" operator="between">
      <formula>7</formula>
      <formula>7.9</formula>
    </cfRule>
    <cfRule type="cellIs" dxfId="85" priority="534" stopIfTrue="1" operator="between">
      <formula>8</formula>
      <formula>8.9</formula>
    </cfRule>
    <cfRule type="cellIs" dxfId="84" priority="535" operator="between">
      <formula>9</formula>
      <formula>9.9</formula>
    </cfRule>
    <cfRule type="cellIs" dxfId="83" priority="536" stopIfTrue="1" operator="between">
      <formula>10</formula>
      <formula>10</formula>
    </cfRule>
    <cfRule type="containsBlanks" dxfId="82" priority="537" stopIfTrue="1">
      <formula>LEN(TRIM(N186))=0</formula>
    </cfRule>
  </conditionalFormatting>
  <conditionalFormatting sqref="N211">
    <cfRule type="colorScale" priority="4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61">
      <colorScale>
        <cfvo type="num" val="5"/>
        <cfvo type="num" val="10"/>
        <color rgb="FFFF494D"/>
        <color rgb="FF00FF66"/>
      </colorScale>
    </cfRule>
  </conditionalFormatting>
  <conditionalFormatting sqref="N212:N226">
    <cfRule type="cellIs" dxfId="81" priority="453" operator="between">
      <formula>6</formula>
      <formula>6.9</formula>
    </cfRule>
    <cfRule type="cellIs" dxfId="80" priority="454" operator="between">
      <formula>10.1</formula>
      <formula>11</formula>
    </cfRule>
    <cfRule type="cellIs" dxfId="79" priority="455" operator="between">
      <formula>7</formula>
      <formula>7.9</formula>
    </cfRule>
    <cfRule type="cellIs" dxfId="78" priority="456" stopIfTrue="1" operator="between">
      <formula>8</formula>
      <formula>8.9</formula>
    </cfRule>
    <cfRule type="cellIs" dxfId="77" priority="457" operator="between">
      <formula>9</formula>
      <formula>9.9</formula>
    </cfRule>
    <cfRule type="cellIs" dxfId="76" priority="458" stopIfTrue="1" operator="between">
      <formula>10</formula>
      <formula>10</formula>
    </cfRule>
    <cfRule type="containsBlanks" dxfId="75" priority="459" stopIfTrue="1">
      <formula>LEN(TRIM(N212))=0</formula>
    </cfRule>
  </conditionalFormatting>
  <conditionalFormatting sqref="N228">
    <cfRule type="colorScale" priority="39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98">
      <colorScale>
        <cfvo type="num" val="5"/>
        <cfvo type="num" val="10"/>
        <color rgb="FFFF494D"/>
        <color rgb="FF00FF66"/>
      </colorScale>
    </cfRule>
  </conditionalFormatting>
  <conditionalFormatting sqref="N229:N238">
    <cfRule type="cellIs" dxfId="74" priority="399" operator="between">
      <formula>6</formula>
      <formula>6.9</formula>
    </cfRule>
    <cfRule type="cellIs" dxfId="73" priority="400" operator="between">
      <formula>10.1</formula>
      <formula>11</formula>
    </cfRule>
    <cfRule type="cellIs" dxfId="72" priority="401" operator="between">
      <formula>7</formula>
      <formula>7.9</formula>
    </cfRule>
    <cfRule type="cellIs" dxfId="71" priority="402" stopIfTrue="1" operator="between">
      <formula>8</formula>
      <formula>8.9</formula>
    </cfRule>
    <cfRule type="cellIs" dxfId="70" priority="403" operator="between">
      <formula>9</formula>
      <formula>9.9</formula>
    </cfRule>
    <cfRule type="cellIs" dxfId="69" priority="404" stopIfTrue="1" operator="between">
      <formula>10</formula>
      <formula>10</formula>
    </cfRule>
    <cfRule type="containsBlanks" dxfId="68" priority="405" stopIfTrue="1">
      <formula>LEN(TRIM(N229))=0</formula>
    </cfRule>
  </conditionalFormatting>
  <conditionalFormatting sqref="N240">
    <cfRule type="colorScale" priority="35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60">
      <colorScale>
        <cfvo type="num" val="5"/>
        <cfvo type="num" val="10"/>
        <color rgb="FFFF494D"/>
        <color rgb="FF00FF66"/>
      </colorScale>
    </cfRule>
  </conditionalFormatting>
  <conditionalFormatting sqref="N241:N247">
    <cfRule type="cellIs" dxfId="67" priority="352" operator="between">
      <formula>6</formula>
      <formula>6.9</formula>
    </cfRule>
    <cfRule type="cellIs" dxfId="66" priority="353" operator="between">
      <formula>10.1</formula>
      <formula>10.6</formula>
    </cfRule>
    <cfRule type="cellIs" dxfId="65" priority="354" operator="between">
      <formula>7</formula>
      <formula>7.9</formula>
    </cfRule>
    <cfRule type="cellIs" dxfId="64" priority="355" stopIfTrue="1" operator="between">
      <formula>8</formula>
      <formula>8.9</formula>
    </cfRule>
    <cfRule type="cellIs" dxfId="63" priority="356" operator="between">
      <formula>9</formula>
      <formula>9.9</formula>
    </cfRule>
    <cfRule type="cellIs" dxfId="62" priority="357" stopIfTrue="1" operator="between">
      <formula>10</formula>
      <formula>10</formula>
    </cfRule>
    <cfRule type="containsBlanks" dxfId="61" priority="358" stopIfTrue="1">
      <formula>LEN(TRIM(N241))=0</formula>
    </cfRule>
  </conditionalFormatting>
  <conditionalFormatting sqref="N249">
    <cfRule type="colorScale" priority="33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3">
      <colorScale>
        <cfvo type="num" val="5"/>
        <cfvo type="num" val="10"/>
        <color rgb="FFFF494D"/>
        <color rgb="FF00FF66"/>
      </colorScale>
    </cfRule>
  </conditionalFormatting>
  <conditionalFormatting sqref="N250:N275">
    <cfRule type="cellIs" dxfId="60" priority="325" operator="between">
      <formula>6</formula>
      <formula>6.9</formula>
    </cfRule>
    <cfRule type="cellIs" dxfId="59" priority="326" operator="between">
      <formula>10.1</formula>
      <formula>10.6</formula>
    </cfRule>
    <cfRule type="cellIs" dxfId="58" priority="327" operator="between">
      <formula>7</formula>
      <formula>7.9</formula>
    </cfRule>
    <cfRule type="cellIs" dxfId="57" priority="328" stopIfTrue="1" operator="between">
      <formula>8</formula>
      <formula>8.9</formula>
    </cfRule>
    <cfRule type="cellIs" dxfId="56" priority="329" operator="between">
      <formula>9</formula>
      <formula>9.9</formula>
    </cfRule>
    <cfRule type="cellIs" dxfId="55" priority="330" stopIfTrue="1" operator="between">
      <formula>10</formula>
      <formula>10</formula>
    </cfRule>
    <cfRule type="containsBlanks" dxfId="54" priority="331" stopIfTrue="1">
      <formula>LEN(TRIM(N250))=0</formula>
    </cfRule>
  </conditionalFormatting>
  <conditionalFormatting sqref="N277">
    <cfRule type="colorScale" priority="2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6">
      <colorScale>
        <cfvo type="num" val="5"/>
        <cfvo type="num" val="10"/>
        <color rgb="FFFF494D"/>
        <color rgb="FF00FF66"/>
      </colorScale>
    </cfRule>
  </conditionalFormatting>
  <conditionalFormatting sqref="N278:N282">
    <cfRule type="cellIs" dxfId="53" priority="218" operator="between">
      <formula>6</formula>
      <formula>6.9</formula>
    </cfRule>
    <cfRule type="cellIs" dxfId="52" priority="219" operator="between">
      <formula>10.1</formula>
      <formula>10.6</formula>
    </cfRule>
    <cfRule type="cellIs" dxfId="51" priority="220" operator="between">
      <formula>7</formula>
      <formula>7.9</formula>
    </cfRule>
    <cfRule type="cellIs" dxfId="50" priority="221" stopIfTrue="1" operator="between">
      <formula>8</formula>
      <formula>8.9</formula>
    </cfRule>
    <cfRule type="cellIs" dxfId="49" priority="222" operator="between">
      <formula>9</formula>
      <formula>9.9</formula>
    </cfRule>
    <cfRule type="cellIs" dxfId="48" priority="223" stopIfTrue="1" operator="between">
      <formula>10</formula>
      <formula>10</formula>
    </cfRule>
    <cfRule type="containsBlanks" dxfId="47" priority="224" stopIfTrue="1">
      <formula>LEN(TRIM(N278))=0</formula>
    </cfRule>
  </conditionalFormatting>
  <conditionalFormatting sqref="N284">
    <cfRule type="colorScale" priority="2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1">
      <colorScale>
        <cfvo type="num" val="5"/>
        <cfvo type="num" val="10"/>
        <color rgb="FFFF494D"/>
        <color rgb="FF00FF66"/>
      </colorScale>
    </cfRule>
  </conditionalFormatting>
  <conditionalFormatting sqref="N285:N295">
    <cfRule type="cellIs" dxfId="46" priority="202" operator="between">
      <formula>6</formula>
      <formula>6.9</formula>
    </cfRule>
    <cfRule type="cellIs" dxfId="45" priority="203" operator="between">
      <formula>10.1</formula>
      <formula>10.6</formula>
    </cfRule>
    <cfRule type="cellIs" dxfId="44" priority="204" operator="between">
      <formula>7</formula>
      <formula>7.9</formula>
    </cfRule>
    <cfRule type="cellIs" dxfId="43" priority="205" stopIfTrue="1" operator="between">
      <formula>8</formula>
      <formula>8.9</formula>
    </cfRule>
    <cfRule type="cellIs" dxfId="42" priority="206" operator="between">
      <formula>9</formula>
      <formula>9.9</formula>
    </cfRule>
    <cfRule type="cellIs" dxfId="41" priority="207" stopIfTrue="1" operator="between">
      <formula>10</formula>
      <formula>10</formula>
    </cfRule>
    <cfRule type="containsBlanks" dxfId="40" priority="208" stopIfTrue="1">
      <formula>LEN(TRIM(N285))=0</formula>
    </cfRule>
  </conditionalFormatting>
  <conditionalFormatting sqref="N297">
    <cfRule type="colorScale" priority="1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0">
      <colorScale>
        <cfvo type="num" val="5"/>
        <cfvo type="num" val="10"/>
        <color rgb="FFFF494D"/>
        <color rgb="FF00FF66"/>
      </colorScale>
    </cfRule>
  </conditionalFormatting>
  <conditionalFormatting sqref="N298:N304">
    <cfRule type="containsBlanks" dxfId="39" priority="140" stopIfTrue="1">
      <formula>LEN(TRIM(N298))=0</formula>
    </cfRule>
    <cfRule type="cellIs" dxfId="38" priority="141" operator="lessThan">
      <formula>2</formula>
    </cfRule>
    <cfRule type="cellIs" dxfId="37" priority="142" operator="between">
      <formula>2</formula>
      <formula>4.9</formula>
    </cfRule>
    <cfRule type="cellIs" dxfId="36" priority="143" operator="between">
      <formula>5</formula>
      <formula>6.9</formula>
    </cfRule>
    <cfRule type="cellIs" dxfId="35" priority="144" operator="between">
      <formula>10.1</formula>
      <formula>10.6</formula>
    </cfRule>
    <cfRule type="cellIs" dxfId="34" priority="145" operator="between">
      <formula>7</formula>
      <formula>7.9</formula>
    </cfRule>
    <cfRule type="cellIs" dxfId="33" priority="146" stopIfTrue="1" operator="between">
      <formula>8</formula>
      <formula>8.9</formula>
    </cfRule>
    <cfRule type="cellIs" dxfId="32" priority="147" operator="between">
      <formula>9</formula>
      <formula>9.9</formula>
    </cfRule>
    <cfRule type="cellIs" dxfId="31" priority="148" stopIfTrue="1" operator="between">
      <formula>10</formula>
      <formula>10</formula>
    </cfRule>
  </conditionalFormatting>
  <conditionalFormatting sqref="N306">
    <cfRule type="colorScale" priority="1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9">
      <colorScale>
        <cfvo type="num" val="5"/>
        <cfvo type="num" val="10"/>
        <color rgb="FFFF494D"/>
        <color rgb="FF00FF66"/>
      </colorScale>
    </cfRule>
  </conditionalFormatting>
  <conditionalFormatting sqref="N307:N316">
    <cfRule type="containsBlanks" dxfId="30" priority="109" stopIfTrue="1">
      <formula>LEN(TRIM(N307))=0</formula>
    </cfRule>
    <cfRule type="cellIs" dxfId="29" priority="110" operator="lessThan">
      <formula>2</formula>
    </cfRule>
    <cfRule type="cellIs" dxfId="28" priority="111" operator="between">
      <formula>2</formula>
      <formula>4.9</formula>
    </cfRule>
    <cfRule type="cellIs" dxfId="27" priority="112" operator="between">
      <formula>5</formula>
      <formula>6.9</formula>
    </cfRule>
    <cfRule type="cellIs" dxfId="26" priority="113" operator="between">
      <formula>10.1</formula>
      <formula>10.6</formula>
    </cfRule>
    <cfRule type="cellIs" dxfId="25" priority="114" operator="between">
      <formula>7</formula>
      <formula>7.9</formula>
    </cfRule>
    <cfRule type="cellIs" dxfId="24" priority="115" stopIfTrue="1" operator="between">
      <formula>8</formula>
      <formula>8.9</formula>
    </cfRule>
    <cfRule type="cellIs" dxfId="23" priority="116" operator="between">
      <formula>9</formula>
      <formula>9.9</formula>
    </cfRule>
    <cfRule type="cellIs" dxfId="22" priority="117" stopIfTrue="1" operator="between">
      <formula>10</formula>
      <formula>10</formula>
    </cfRule>
  </conditionalFormatting>
  <conditionalFormatting sqref="N318">
    <cfRule type="colorScale" priority="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5">
      <colorScale>
        <cfvo type="num" val="5"/>
        <cfvo type="num" val="10"/>
        <color rgb="FFFF494D"/>
        <color rgb="FF00FF66"/>
      </colorScale>
    </cfRule>
  </conditionalFormatting>
  <conditionalFormatting sqref="N319:N326">
    <cfRule type="containsBlanks" dxfId="21" priority="45" stopIfTrue="1">
      <formula>LEN(TRIM(N319))=0</formula>
    </cfRule>
    <cfRule type="cellIs" dxfId="20" priority="46" operator="lessThan">
      <formula>2</formula>
    </cfRule>
    <cfRule type="cellIs" dxfId="19" priority="47" operator="between">
      <formula>2</formula>
      <formula>4.9</formula>
    </cfRule>
    <cfRule type="cellIs" dxfId="18" priority="48" operator="between">
      <formula>5</formula>
      <formula>6.9</formula>
    </cfRule>
    <cfRule type="cellIs" dxfId="17" priority="49" operator="between">
      <formula>10.1</formula>
      <formula>10.6</formula>
    </cfRule>
    <cfRule type="cellIs" dxfId="16" priority="50" operator="between">
      <formula>7</formula>
      <formula>7.9</formula>
    </cfRule>
    <cfRule type="cellIs" dxfId="15" priority="51" stopIfTrue="1" operator="between">
      <formula>8</formula>
      <formula>8.9</formula>
    </cfRule>
    <cfRule type="cellIs" dxfId="14" priority="52" operator="between">
      <formula>9</formula>
      <formula>9.9</formula>
    </cfRule>
    <cfRule type="cellIs" dxfId="13" priority="53" stopIfTrue="1" operator="between">
      <formula>10</formula>
      <formula>10</formula>
    </cfRule>
  </conditionalFormatting>
  <conditionalFormatting sqref="AM3:AM9">
    <cfRule type="cellIs" dxfId="12" priority="1105" operator="between">
      <formula>7</formula>
      <formula>7.9</formula>
    </cfRule>
    <cfRule type="cellIs" dxfId="11" priority="1106" operator="between">
      <formula>8</formula>
      <formula>8.9</formula>
    </cfRule>
    <cfRule type="cellIs" dxfId="10" priority="1107" operator="between">
      <formula>9</formula>
      <formula>9.9</formula>
    </cfRule>
    <cfRule type="cellIs" dxfId="9" priority="1108" operator="between">
      <formula>10</formula>
      <formula>10</formula>
    </cfRule>
  </conditionalFormatting>
  <conditionalFormatting sqref="N328">
    <cfRule type="colorScale" priority="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">
      <colorScale>
        <cfvo type="num" val="5"/>
        <cfvo type="num" val="10"/>
        <color rgb="FFFF494D"/>
        <color rgb="FF00FF66"/>
      </colorScale>
    </cfRule>
  </conditionalFormatting>
  <conditionalFormatting sqref="N329:N336">
    <cfRule type="containsBlanks" dxfId="8" priority="1" stopIfTrue="1">
      <formula>LEN(TRIM(N329))=0</formula>
    </cfRule>
    <cfRule type="cellIs" dxfId="7" priority="2" operator="lessThan">
      <formula>2</formula>
    </cfRule>
    <cfRule type="cellIs" dxfId="6" priority="3" operator="between">
      <formula>2</formula>
      <formula>4.9</formula>
    </cfRule>
    <cfRule type="cellIs" dxfId="5" priority="4" operator="between">
      <formula>5</formula>
      <formula>6.9</formula>
    </cfRule>
    <cfRule type="cellIs" dxfId="4" priority="5" operator="between">
      <formula>10.1</formula>
      <formula>10.6</formula>
    </cfRule>
    <cfRule type="cellIs" dxfId="3" priority="6" operator="between">
      <formula>7</formula>
      <formula>7.9</formula>
    </cfRule>
    <cfRule type="cellIs" dxfId="2" priority="7" stopIfTrue="1" operator="between">
      <formula>8</formula>
      <formula>8.9</formula>
    </cfRule>
    <cfRule type="cellIs" dxfId="1" priority="8" operator="between">
      <formula>9</formula>
      <formula>9.9</formula>
    </cfRule>
    <cfRule type="cellIs" dxfId="0" priority="9" stopIfTrue="1" operator="between">
      <formula>10</formula>
      <formula>10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7038-44B4-604C-ADE9-4BEEFAB1594C}">
  <sheetPr>
    <pageSetUpPr fitToPage="1"/>
  </sheetPr>
  <dimension ref="A1:P59"/>
  <sheetViews>
    <sheetView showGridLines="0" zoomScale="70" zoomScaleNormal="70" workbookViewId="0">
      <selection activeCell="G53" sqref="G53"/>
    </sheetView>
  </sheetViews>
  <sheetFormatPr defaultColWidth="11.19921875" defaultRowHeight="15.6"/>
  <cols>
    <col min="1" max="1" width="3.796875" customWidth="1"/>
    <col min="2" max="2" width="31.69921875" customWidth="1"/>
    <col min="3" max="3" width="10.796875" customWidth="1"/>
    <col min="4" max="4" width="3.796875" customWidth="1"/>
    <col min="5" max="5" width="31.5" customWidth="1"/>
    <col min="7" max="7" width="3.796875" customWidth="1"/>
    <col min="8" max="8" width="31.5" customWidth="1"/>
    <col min="9" max="9" width="10.796875" customWidth="1"/>
    <col min="10" max="10" width="3.796875" customWidth="1"/>
    <col min="11" max="11" width="31.5" customWidth="1"/>
    <col min="12" max="12" width="10.796875" customWidth="1"/>
    <col min="13" max="13" width="3.796875" customWidth="1"/>
    <col min="14" max="14" width="31.5" customWidth="1"/>
    <col min="16" max="16" width="3.796875" customWidth="1"/>
  </cols>
  <sheetData>
    <row r="1" spans="1:16" ht="13.0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5"/>
    </row>
    <row r="2" spans="1:16" s="29" customFormat="1" ht="13.05" customHeight="1">
      <c r="A2" s="31"/>
      <c r="B2" s="32" t="s">
        <v>142</v>
      </c>
      <c r="C2" s="38">
        <f>ROUND(SUM(C3:C17)/COUNT(C3:C17), 2)</f>
        <v>9.5</v>
      </c>
      <c r="D2" s="31"/>
      <c r="E2" s="32" t="s">
        <v>225</v>
      </c>
      <c r="F2" s="38">
        <f>ROUND(SUM(F3:F15)/COUNT(F3:F15), 2)</f>
        <v>9.08</v>
      </c>
      <c r="G2" s="31"/>
      <c r="H2" s="32" t="s">
        <v>226</v>
      </c>
      <c r="I2" s="39">
        <f>ROUND(SUM(I3:I15)/COUNT(I3:I15), 2)</f>
        <v>8.6199999999999992</v>
      </c>
      <c r="J2" s="31"/>
      <c r="K2" s="32" t="s">
        <v>227</v>
      </c>
      <c r="L2" s="39">
        <f>ROUND(SUM(L3:L15)/COUNT(L3:L15), 2)</f>
        <v>8.65</v>
      </c>
      <c r="M2" s="31"/>
      <c r="N2" s="32" t="s">
        <v>228</v>
      </c>
      <c r="O2" s="39">
        <f>ROUND(SUM(O3:O14)/COUNT(O3:O14), 2)</f>
        <v>9.67</v>
      </c>
      <c r="P2" s="30"/>
    </row>
    <row r="3" spans="1:16" ht="13.05" customHeight="1">
      <c r="A3" s="31"/>
      <c r="B3" s="31" t="s">
        <v>143</v>
      </c>
      <c r="C3" s="33">
        <v>10</v>
      </c>
      <c r="D3" s="31"/>
      <c r="E3" s="31" t="s">
        <v>222</v>
      </c>
      <c r="F3" s="33">
        <v>10</v>
      </c>
      <c r="G3" s="31"/>
      <c r="H3" s="31" t="s">
        <v>22</v>
      </c>
      <c r="I3" s="33">
        <v>8.5</v>
      </c>
      <c r="J3" s="31"/>
      <c r="K3" s="31" t="s">
        <v>164</v>
      </c>
      <c r="L3" s="33">
        <v>8.5</v>
      </c>
      <c r="M3" s="31"/>
      <c r="N3" s="31" t="s">
        <v>0</v>
      </c>
      <c r="O3" s="33">
        <v>10</v>
      </c>
      <c r="P3" s="5"/>
    </row>
    <row r="4" spans="1:16" ht="13.05" customHeight="1">
      <c r="A4" s="31"/>
      <c r="B4" s="31" t="s">
        <v>144</v>
      </c>
      <c r="C4" s="33">
        <v>10</v>
      </c>
      <c r="D4" s="31"/>
      <c r="E4" s="31" t="s">
        <v>177</v>
      </c>
      <c r="F4" s="33">
        <v>9.5</v>
      </c>
      <c r="G4" s="31"/>
      <c r="H4" s="31" t="s">
        <v>23</v>
      </c>
      <c r="I4" s="33">
        <v>9</v>
      </c>
      <c r="J4" s="31"/>
      <c r="K4" s="31" t="s">
        <v>165</v>
      </c>
      <c r="L4" s="33">
        <v>9</v>
      </c>
      <c r="M4" s="31"/>
      <c r="N4" s="34" t="s">
        <v>1</v>
      </c>
      <c r="O4" s="40"/>
      <c r="P4" s="5"/>
    </row>
    <row r="5" spans="1:16" ht="13.05" customHeight="1">
      <c r="A5" s="31"/>
      <c r="B5" s="31" t="s">
        <v>145</v>
      </c>
      <c r="C5" s="33">
        <v>10</v>
      </c>
      <c r="D5" s="31"/>
      <c r="E5" s="31" t="s">
        <v>178</v>
      </c>
      <c r="F5" s="33">
        <v>9</v>
      </c>
      <c r="G5" s="31"/>
      <c r="H5" s="31" t="s">
        <v>24</v>
      </c>
      <c r="I5" s="33">
        <v>8</v>
      </c>
      <c r="J5" s="31"/>
      <c r="K5" s="31" t="s">
        <v>166</v>
      </c>
      <c r="L5" s="33">
        <v>8.5</v>
      </c>
      <c r="M5" s="31"/>
      <c r="N5" s="31" t="s">
        <v>2</v>
      </c>
      <c r="O5" s="33">
        <v>9.5</v>
      </c>
      <c r="P5" s="5"/>
    </row>
    <row r="6" spans="1:16" ht="13.05" customHeight="1">
      <c r="A6" s="31"/>
      <c r="B6" s="34" t="s">
        <v>201</v>
      </c>
      <c r="C6" s="40"/>
      <c r="D6" s="31"/>
      <c r="E6" s="31" t="s">
        <v>179</v>
      </c>
      <c r="F6" s="33">
        <v>10</v>
      </c>
      <c r="G6" s="31"/>
      <c r="H6" s="31" t="s">
        <v>25</v>
      </c>
      <c r="I6" s="33">
        <v>9.5</v>
      </c>
      <c r="J6" s="31"/>
      <c r="K6" s="31" t="s">
        <v>167</v>
      </c>
      <c r="L6" s="33">
        <v>10</v>
      </c>
      <c r="M6" s="31"/>
      <c r="N6" s="34" t="s">
        <v>3</v>
      </c>
      <c r="O6" s="40"/>
      <c r="P6" s="5"/>
    </row>
    <row r="7" spans="1:16" ht="13.05" customHeight="1">
      <c r="A7" s="31"/>
      <c r="B7" s="31" t="s">
        <v>202</v>
      </c>
      <c r="C7" s="33">
        <v>10</v>
      </c>
      <c r="D7" s="31"/>
      <c r="E7" s="31" t="s">
        <v>180</v>
      </c>
      <c r="F7" s="33">
        <v>8.5</v>
      </c>
      <c r="G7" s="31"/>
      <c r="H7" s="31" t="s">
        <v>26</v>
      </c>
      <c r="I7" s="33">
        <v>10</v>
      </c>
      <c r="J7" s="31"/>
      <c r="K7" s="31" t="s">
        <v>168</v>
      </c>
      <c r="L7" s="33">
        <v>9</v>
      </c>
      <c r="M7" s="31"/>
      <c r="N7" s="31" t="s">
        <v>4</v>
      </c>
      <c r="O7" s="33">
        <v>10</v>
      </c>
      <c r="P7" s="5"/>
    </row>
    <row r="8" spans="1:16" ht="13.05" customHeight="1">
      <c r="A8" s="31"/>
      <c r="B8" s="34" t="s">
        <v>203</v>
      </c>
      <c r="C8" s="40"/>
      <c r="D8" s="31"/>
      <c r="E8" s="31" t="s">
        <v>223</v>
      </c>
      <c r="F8" s="33">
        <v>8</v>
      </c>
      <c r="G8" s="31"/>
      <c r="H8" s="31" t="s">
        <v>27</v>
      </c>
      <c r="I8" s="33">
        <v>9.5</v>
      </c>
      <c r="J8" s="31"/>
      <c r="K8" s="31" t="s">
        <v>160</v>
      </c>
      <c r="L8" s="33">
        <v>8</v>
      </c>
      <c r="M8" s="31"/>
      <c r="N8" s="31" t="s">
        <v>5</v>
      </c>
      <c r="O8" s="33">
        <v>10</v>
      </c>
      <c r="P8" s="5"/>
    </row>
    <row r="9" spans="1:16" ht="13.05" customHeight="1">
      <c r="A9" s="31"/>
      <c r="B9" s="31" t="s">
        <v>204</v>
      </c>
      <c r="C9" s="33">
        <v>8.5</v>
      </c>
      <c r="D9" s="31"/>
      <c r="E9" s="31" t="s">
        <v>182</v>
      </c>
      <c r="F9" s="33">
        <v>8.5</v>
      </c>
      <c r="G9" s="31"/>
      <c r="H9" s="31" t="s">
        <v>28</v>
      </c>
      <c r="I9" s="33">
        <v>9</v>
      </c>
      <c r="J9" s="31"/>
      <c r="K9" s="31" t="s">
        <v>169</v>
      </c>
      <c r="L9" s="33">
        <v>9</v>
      </c>
      <c r="M9" s="31"/>
      <c r="N9" s="31" t="s">
        <v>6</v>
      </c>
      <c r="O9" s="33">
        <v>9</v>
      </c>
      <c r="P9" s="5"/>
    </row>
    <row r="10" spans="1:16" ht="13.05" customHeight="1">
      <c r="A10" s="31"/>
      <c r="B10" s="34" t="s">
        <v>205</v>
      </c>
      <c r="C10" s="40"/>
      <c r="D10" s="31"/>
      <c r="E10" s="31" t="s">
        <v>224</v>
      </c>
      <c r="F10" s="33">
        <v>8.5</v>
      </c>
      <c r="G10" s="31"/>
      <c r="H10" s="31" t="s">
        <v>29</v>
      </c>
      <c r="I10" s="33">
        <v>7.5</v>
      </c>
      <c r="J10" s="31"/>
      <c r="K10" s="31" t="s">
        <v>170</v>
      </c>
      <c r="L10" s="33">
        <v>8.5</v>
      </c>
      <c r="M10" s="31"/>
      <c r="N10" s="31" t="s">
        <v>7</v>
      </c>
      <c r="O10" s="33">
        <v>10</v>
      </c>
      <c r="P10" s="5"/>
    </row>
    <row r="11" spans="1:16" ht="13.05" customHeight="1">
      <c r="A11" s="31"/>
      <c r="B11" s="31" t="s">
        <v>206</v>
      </c>
      <c r="C11" s="33">
        <v>9</v>
      </c>
      <c r="D11" s="31"/>
      <c r="E11" s="31" t="s">
        <v>184</v>
      </c>
      <c r="F11" s="33">
        <v>10</v>
      </c>
      <c r="G11" s="31"/>
      <c r="H11" s="31" t="s">
        <v>30</v>
      </c>
      <c r="I11" s="33">
        <v>7.5</v>
      </c>
      <c r="J11" s="31"/>
      <c r="K11" s="31" t="s">
        <v>171</v>
      </c>
      <c r="L11" s="33">
        <v>8</v>
      </c>
      <c r="M11" s="31"/>
      <c r="N11" s="31" t="s">
        <v>8</v>
      </c>
      <c r="O11" s="33">
        <v>9</v>
      </c>
      <c r="P11" s="5"/>
    </row>
    <row r="12" spans="1:16" ht="13.05" customHeight="1">
      <c r="A12" s="31"/>
      <c r="B12" s="34" t="s">
        <v>207</v>
      </c>
      <c r="C12" s="40"/>
      <c r="D12" s="31"/>
      <c r="E12" s="34" t="s">
        <v>185</v>
      </c>
      <c r="F12" s="40"/>
      <c r="G12" s="31"/>
      <c r="H12" s="31" t="s">
        <v>31</v>
      </c>
      <c r="I12" s="33">
        <v>7.5</v>
      </c>
      <c r="J12" s="31"/>
      <c r="K12" s="31" t="s">
        <v>172</v>
      </c>
      <c r="L12" s="33">
        <v>10</v>
      </c>
      <c r="M12" s="31"/>
      <c r="N12" s="31" t="s">
        <v>9</v>
      </c>
      <c r="O12" s="33">
        <v>10</v>
      </c>
      <c r="P12" s="5"/>
    </row>
    <row r="13" spans="1:16" ht="13.05" customHeight="1">
      <c r="A13" s="31"/>
      <c r="B13" s="31" t="s">
        <v>208</v>
      </c>
      <c r="C13" s="33">
        <v>10</v>
      </c>
      <c r="D13" s="31"/>
      <c r="E13" s="31" t="s">
        <v>186</v>
      </c>
      <c r="F13" s="33">
        <v>8</v>
      </c>
      <c r="G13" s="31"/>
      <c r="H13" s="31" t="s">
        <v>32</v>
      </c>
      <c r="I13" s="33">
        <v>9</v>
      </c>
      <c r="J13" s="31"/>
      <c r="K13" s="31" t="s">
        <v>173</v>
      </c>
      <c r="L13" s="33">
        <v>8.5</v>
      </c>
      <c r="M13" s="31"/>
      <c r="N13" s="31" t="s">
        <v>10</v>
      </c>
      <c r="O13" s="33">
        <v>9.5</v>
      </c>
      <c r="P13" s="5"/>
    </row>
    <row r="14" spans="1:16" ht="13.05" customHeight="1">
      <c r="A14" s="31"/>
      <c r="B14" s="34" t="s">
        <v>209</v>
      </c>
      <c r="C14" s="40"/>
      <c r="D14" s="31"/>
      <c r="E14" s="31" t="s">
        <v>187</v>
      </c>
      <c r="F14" s="33">
        <v>9</v>
      </c>
      <c r="G14" s="31"/>
      <c r="H14" s="31" t="s">
        <v>33</v>
      </c>
      <c r="I14" s="33">
        <v>8.5</v>
      </c>
      <c r="J14" s="31"/>
      <c r="K14" s="31" t="s">
        <v>174</v>
      </c>
      <c r="L14" s="33">
        <v>8</v>
      </c>
      <c r="M14" s="31"/>
      <c r="N14" s="34" t="s">
        <v>11</v>
      </c>
      <c r="O14" s="40"/>
      <c r="P14" s="5"/>
    </row>
    <row r="15" spans="1:16" ht="13.05" customHeight="1">
      <c r="A15" s="31"/>
      <c r="B15" s="31" t="s">
        <v>210</v>
      </c>
      <c r="C15" s="33">
        <v>9.5</v>
      </c>
      <c r="D15" s="31"/>
      <c r="E15" s="31" t="s">
        <v>188</v>
      </c>
      <c r="F15" s="33">
        <v>10</v>
      </c>
      <c r="G15" s="31"/>
      <c r="H15" s="31" t="s">
        <v>34</v>
      </c>
      <c r="I15" s="33">
        <v>8.5</v>
      </c>
      <c r="J15" s="31"/>
      <c r="K15" s="31" t="s">
        <v>175</v>
      </c>
      <c r="L15" s="33">
        <v>7.5</v>
      </c>
      <c r="M15" s="31"/>
      <c r="N15" s="31"/>
      <c r="O15" s="31"/>
      <c r="P15" s="5"/>
    </row>
    <row r="16" spans="1:16" ht="13.05" customHeight="1">
      <c r="A16" s="31"/>
      <c r="B16" s="34" t="s">
        <v>211</v>
      </c>
      <c r="C16" s="40"/>
      <c r="D16" s="31"/>
      <c r="E16" s="31"/>
      <c r="F16" s="31"/>
      <c r="G16" s="31"/>
      <c r="H16" s="31"/>
      <c r="I16" s="31"/>
      <c r="J16" s="31"/>
      <c r="K16" s="31"/>
      <c r="L16" s="33"/>
      <c r="M16" s="31"/>
      <c r="N16" s="32" t="s">
        <v>248</v>
      </c>
      <c r="O16" s="39">
        <f>ROUND(SUM(O17:O27)/COUNT(O17:O27), 2)</f>
        <v>8.68</v>
      </c>
      <c r="P16" s="5"/>
    </row>
    <row r="17" spans="1:16" ht="13.05" customHeight="1">
      <c r="A17" s="31"/>
      <c r="B17" s="31" t="s">
        <v>212</v>
      </c>
      <c r="C17" s="33">
        <v>8.5</v>
      </c>
      <c r="D17" s="31"/>
      <c r="E17" s="32" t="s">
        <v>229</v>
      </c>
      <c r="F17" s="39">
        <f>ROUND(SUM(F18:F30)/COUNT(F18:F30), 2)</f>
        <v>8.2899999999999991</v>
      </c>
      <c r="G17" s="31"/>
      <c r="H17" s="35" t="s">
        <v>230</v>
      </c>
      <c r="I17" s="39">
        <f>ROUND(SUM(I18:I29)/COUNT(I18:I29), 2)</f>
        <v>8.67</v>
      </c>
      <c r="J17" s="31"/>
      <c r="K17" s="32" t="s">
        <v>231</v>
      </c>
      <c r="L17" s="39">
        <f>ROUND(SUM(L18:L30)/COUNT(L18:L30), 2)</f>
        <v>9.0399999999999991</v>
      </c>
      <c r="M17" s="31"/>
      <c r="N17" s="31" t="s">
        <v>76</v>
      </c>
      <c r="O17" s="33">
        <v>10</v>
      </c>
      <c r="P17" s="5"/>
    </row>
    <row r="18" spans="1:16" ht="13.05" customHeight="1">
      <c r="A18" s="31"/>
      <c r="B18" s="31"/>
      <c r="C18" s="31"/>
      <c r="D18" s="31"/>
      <c r="E18" s="31" t="s">
        <v>113</v>
      </c>
      <c r="F18" s="33">
        <v>9.5</v>
      </c>
      <c r="G18" s="31"/>
      <c r="H18" s="31" t="s">
        <v>96</v>
      </c>
      <c r="I18" s="33">
        <v>8.5</v>
      </c>
      <c r="J18" s="31"/>
      <c r="K18" s="31" t="s">
        <v>63</v>
      </c>
      <c r="L18" s="33">
        <v>9</v>
      </c>
      <c r="M18" s="31"/>
      <c r="N18" s="31" t="s">
        <v>77</v>
      </c>
      <c r="O18" s="33">
        <v>8.5</v>
      </c>
      <c r="P18" s="5"/>
    </row>
    <row r="19" spans="1:16" ht="13.05" customHeight="1">
      <c r="A19" s="31"/>
      <c r="B19" s="32" t="s">
        <v>232</v>
      </c>
      <c r="C19" s="39">
        <f>ROUND(SUM(C20:C31)/COUNT(C20:C31), 2)</f>
        <v>9.41</v>
      </c>
      <c r="D19" s="31"/>
      <c r="E19" s="31" t="s">
        <v>114</v>
      </c>
      <c r="F19" s="33">
        <v>9</v>
      </c>
      <c r="G19" s="31"/>
      <c r="H19" s="31" t="s">
        <v>97</v>
      </c>
      <c r="I19" s="33">
        <v>10</v>
      </c>
      <c r="J19" s="31"/>
      <c r="K19" s="31" t="s">
        <v>64</v>
      </c>
      <c r="L19" s="33">
        <v>10</v>
      </c>
      <c r="M19" s="31"/>
      <c r="N19" s="31" t="s">
        <v>78</v>
      </c>
      <c r="O19" s="33">
        <v>10</v>
      </c>
      <c r="P19" s="5"/>
    </row>
    <row r="20" spans="1:16" ht="13.05" customHeight="1">
      <c r="A20" s="31"/>
      <c r="B20" s="31" t="s">
        <v>146</v>
      </c>
      <c r="C20" s="33">
        <v>9</v>
      </c>
      <c r="D20" s="31"/>
      <c r="E20" s="31" t="s">
        <v>115</v>
      </c>
      <c r="F20" s="33">
        <v>8.5</v>
      </c>
      <c r="G20" s="31"/>
      <c r="H20" s="31" t="s">
        <v>98</v>
      </c>
      <c r="I20" s="33">
        <v>8</v>
      </c>
      <c r="J20" s="31"/>
      <c r="K20" s="31" t="s">
        <v>65</v>
      </c>
      <c r="L20" s="33">
        <v>10</v>
      </c>
      <c r="M20" s="31"/>
      <c r="N20" s="31" t="s">
        <v>79</v>
      </c>
      <c r="O20" s="33">
        <v>9</v>
      </c>
      <c r="P20" s="5"/>
    </row>
    <row r="21" spans="1:16" ht="13.05" customHeight="1">
      <c r="A21" s="31"/>
      <c r="B21" s="31" t="s">
        <v>147</v>
      </c>
      <c r="C21" s="33">
        <v>10</v>
      </c>
      <c r="D21" s="31"/>
      <c r="E21" s="31" t="s">
        <v>116</v>
      </c>
      <c r="F21" s="33">
        <v>8.5</v>
      </c>
      <c r="G21" s="31"/>
      <c r="H21" s="31" t="s">
        <v>99</v>
      </c>
      <c r="I21" s="33">
        <v>8.5</v>
      </c>
      <c r="J21" s="31"/>
      <c r="K21" s="31" t="s">
        <v>66</v>
      </c>
      <c r="L21" s="33">
        <v>9.5</v>
      </c>
      <c r="M21" s="31"/>
      <c r="N21" s="31" t="s">
        <v>80</v>
      </c>
      <c r="O21" s="33">
        <v>8</v>
      </c>
      <c r="P21" s="5"/>
    </row>
    <row r="22" spans="1:16" ht="13.05" customHeight="1">
      <c r="A22" s="31"/>
      <c r="B22" s="31" t="s">
        <v>148</v>
      </c>
      <c r="C22" s="33">
        <v>9.5</v>
      </c>
      <c r="D22" s="31"/>
      <c r="E22" s="31" t="s">
        <v>117</v>
      </c>
      <c r="F22" s="33">
        <v>9</v>
      </c>
      <c r="G22" s="31"/>
      <c r="H22" s="31" t="s">
        <v>100</v>
      </c>
      <c r="I22" s="33">
        <v>8.5</v>
      </c>
      <c r="J22" s="31"/>
      <c r="K22" s="31" t="s">
        <v>67</v>
      </c>
      <c r="L22" s="33">
        <v>8.5</v>
      </c>
      <c r="M22" s="31"/>
      <c r="N22" s="31" t="s">
        <v>81</v>
      </c>
      <c r="O22" s="33">
        <v>8.5</v>
      </c>
      <c r="P22" s="5"/>
    </row>
    <row r="23" spans="1:16" ht="13.05" customHeight="1">
      <c r="A23" s="31"/>
      <c r="B23" s="31" t="s">
        <v>149</v>
      </c>
      <c r="C23" s="33">
        <v>9.5</v>
      </c>
      <c r="D23" s="31"/>
      <c r="E23" s="31" t="s">
        <v>118</v>
      </c>
      <c r="F23" s="33">
        <v>8.5</v>
      </c>
      <c r="G23" s="31"/>
      <c r="H23" s="31" t="s">
        <v>101</v>
      </c>
      <c r="I23" s="33">
        <v>7.5</v>
      </c>
      <c r="J23" s="31"/>
      <c r="K23" s="34" t="s">
        <v>68</v>
      </c>
      <c r="L23" s="40"/>
      <c r="M23" s="31"/>
      <c r="N23" s="31" t="s">
        <v>82</v>
      </c>
      <c r="O23" s="33">
        <v>8</v>
      </c>
      <c r="P23" s="5"/>
    </row>
    <row r="24" spans="1:16" ht="13.05" customHeight="1">
      <c r="A24" s="31"/>
      <c r="B24" s="31" t="s">
        <v>150</v>
      </c>
      <c r="C24" s="33">
        <v>10</v>
      </c>
      <c r="D24" s="31"/>
      <c r="E24" s="31" t="s">
        <v>119</v>
      </c>
      <c r="F24" s="33">
        <v>7.5</v>
      </c>
      <c r="G24" s="31"/>
      <c r="H24" s="31" t="s">
        <v>102</v>
      </c>
      <c r="I24" s="33">
        <v>10</v>
      </c>
      <c r="J24" s="31"/>
      <c r="K24" s="31" t="s">
        <v>69</v>
      </c>
      <c r="L24" s="33">
        <v>9</v>
      </c>
      <c r="M24" s="31"/>
      <c r="N24" s="31" t="s">
        <v>83</v>
      </c>
      <c r="O24" s="33">
        <v>9.5</v>
      </c>
      <c r="P24" s="5"/>
    </row>
    <row r="25" spans="1:16" ht="13.05" customHeight="1">
      <c r="A25" s="31"/>
      <c r="B25" s="31" t="s">
        <v>151</v>
      </c>
      <c r="C25" s="33">
        <v>9.5</v>
      </c>
      <c r="D25" s="31"/>
      <c r="E25" s="31" t="s">
        <v>120</v>
      </c>
      <c r="F25" s="33">
        <v>9</v>
      </c>
      <c r="G25" s="31"/>
      <c r="H25" s="31" t="s">
        <v>103</v>
      </c>
      <c r="I25" s="33">
        <v>9</v>
      </c>
      <c r="J25" s="31"/>
      <c r="K25" s="31" t="s">
        <v>70</v>
      </c>
      <c r="L25" s="33">
        <v>8</v>
      </c>
      <c r="M25" s="31"/>
      <c r="N25" s="31" t="s">
        <v>84</v>
      </c>
      <c r="O25" s="33">
        <v>7.5</v>
      </c>
      <c r="P25" s="5"/>
    </row>
    <row r="26" spans="1:16" ht="13.05" customHeight="1">
      <c r="A26" s="31"/>
      <c r="B26" s="34" t="s">
        <v>152</v>
      </c>
      <c r="C26" s="40"/>
      <c r="D26" s="31"/>
      <c r="E26" s="31" t="s">
        <v>121</v>
      </c>
      <c r="F26" s="33">
        <v>8</v>
      </c>
      <c r="G26" s="31"/>
      <c r="H26" s="31" t="s">
        <v>104</v>
      </c>
      <c r="I26" s="33">
        <v>8.5</v>
      </c>
      <c r="J26" s="31"/>
      <c r="K26" s="31" t="s">
        <v>71</v>
      </c>
      <c r="L26" s="33">
        <v>10</v>
      </c>
      <c r="M26" s="31"/>
      <c r="N26" s="31" t="s">
        <v>85</v>
      </c>
      <c r="O26" s="33">
        <v>8.5</v>
      </c>
      <c r="P26" s="5"/>
    </row>
    <row r="27" spans="1:16" ht="13.05" customHeight="1">
      <c r="A27" s="31"/>
      <c r="B27" s="31" t="s">
        <v>153</v>
      </c>
      <c r="C27" s="33">
        <v>8.5</v>
      </c>
      <c r="D27" s="31"/>
      <c r="E27" s="31" t="s">
        <v>122</v>
      </c>
      <c r="F27" s="33">
        <v>7</v>
      </c>
      <c r="G27" s="31"/>
      <c r="H27" s="31" t="s">
        <v>105</v>
      </c>
      <c r="I27" s="33">
        <v>7.5</v>
      </c>
      <c r="J27" s="31"/>
      <c r="K27" s="31" t="s">
        <v>72</v>
      </c>
      <c r="L27" s="33">
        <v>8.5</v>
      </c>
      <c r="M27" s="31"/>
      <c r="N27" s="31" t="s">
        <v>86</v>
      </c>
      <c r="O27" s="33">
        <v>8</v>
      </c>
      <c r="P27" s="5"/>
    </row>
    <row r="28" spans="1:16" ht="13.05" customHeight="1">
      <c r="A28" s="31"/>
      <c r="B28" s="31" t="s">
        <v>154</v>
      </c>
      <c r="C28" s="33">
        <v>9.5</v>
      </c>
      <c r="D28" s="31"/>
      <c r="E28" s="34" t="s">
        <v>123</v>
      </c>
      <c r="F28" s="40"/>
      <c r="G28" s="31"/>
      <c r="H28" s="31" t="s">
        <v>106</v>
      </c>
      <c r="I28" s="33">
        <v>9</v>
      </c>
      <c r="J28" s="31"/>
      <c r="K28" s="31" t="s">
        <v>73</v>
      </c>
      <c r="L28" s="33">
        <v>9.5</v>
      </c>
      <c r="M28" s="31"/>
      <c r="N28" s="31"/>
      <c r="O28" s="31"/>
      <c r="P28" s="5"/>
    </row>
    <row r="29" spans="1:16" ht="13.05" customHeight="1">
      <c r="A29" s="31"/>
      <c r="B29" s="31" t="s">
        <v>155</v>
      </c>
      <c r="C29" s="33">
        <v>9.5</v>
      </c>
      <c r="D29" s="31"/>
      <c r="E29" s="31" t="s">
        <v>124</v>
      </c>
      <c r="F29" s="33">
        <v>7.5</v>
      </c>
      <c r="G29" s="31"/>
      <c r="H29" s="31" t="s">
        <v>107</v>
      </c>
      <c r="I29" s="33">
        <v>9</v>
      </c>
      <c r="J29" s="31"/>
      <c r="K29" s="31" t="s">
        <v>74</v>
      </c>
      <c r="L29" s="33">
        <v>7.5</v>
      </c>
      <c r="M29" s="31"/>
      <c r="N29" s="32" t="s">
        <v>233</v>
      </c>
      <c r="O29" s="39">
        <f>ROUND(SUM(O30:O39)/COUNT(O30:O39), 2)</f>
        <v>9.4</v>
      </c>
      <c r="P29" s="5"/>
    </row>
    <row r="30" spans="1:16" ht="13.05" customHeight="1">
      <c r="A30" s="31"/>
      <c r="B30" s="31" t="s">
        <v>156</v>
      </c>
      <c r="C30" s="33">
        <v>10</v>
      </c>
      <c r="D30" s="31"/>
      <c r="E30" s="31" t="s">
        <v>125</v>
      </c>
      <c r="F30" s="33">
        <v>7.5</v>
      </c>
      <c r="G30" s="31"/>
      <c r="H30" s="31"/>
      <c r="I30" s="31"/>
      <c r="J30" s="31"/>
      <c r="K30" s="31" t="s">
        <v>75</v>
      </c>
      <c r="L30" s="33">
        <v>9</v>
      </c>
      <c r="M30" s="31"/>
      <c r="N30" s="31" t="s">
        <v>12</v>
      </c>
      <c r="O30" s="33">
        <v>9.5</v>
      </c>
      <c r="P30" s="5"/>
    </row>
    <row r="31" spans="1:16" ht="13.05" customHeight="1">
      <c r="A31" s="31"/>
      <c r="B31" s="31" t="s">
        <v>157</v>
      </c>
      <c r="C31" s="33">
        <v>8.5</v>
      </c>
      <c r="D31" s="31"/>
      <c r="E31" s="31"/>
      <c r="F31" s="31"/>
      <c r="G31" s="31"/>
      <c r="H31" s="32" t="s">
        <v>234</v>
      </c>
      <c r="I31" s="39">
        <f>ROUND(SUM(I32:I41)/COUNT(I32:I41), 2)</f>
        <v>9</v>
      </c>
      <c r="J31" s="31"/>
      <c r="K31" s="31"/>
      <c r="L31" s="31"/>
      <c r="M31" s="31"/>
      <c r="N31" s="31" t="s">
        <v>13</v>
      </c>
      <c r="O31" s="33">
        <v>9</v>
      </c>
      <c r="P31" s="5"/>
    </row>
    <row r="32" spans="1:16" ht="13.05" customHeight="1">
      <c r="A32" s="31"/>
      <c r="B32" s="31"/>
      <c r="C32" s="31"/>
      <c r="D32" s="31"/>
      <c r="E32" s="32" t="s">
        <v>240</v>
      </c>
      <c r="F32" s="39">
        <f>ROUND(SUM(F33:F41)/COUNT(F33:F41), 2)</f>
        <v>8.89</v>
      </c>
      <c r="G32" s="31"/>
      <c r="H32" s="31" t="s">
        <v>35</v>
      </c>
      <c r="I32" s="33">
        <v>9.5</v>
      </c>
      <c r="J32" s="31"/>
      <c r="K32" s="32" t="s">
        <v>235</v>
      </c>
      <c r="L32" s="39">
        <f>ROUND(SUM(L33:L44)/COUNT(L33:L44), 2)</f>
        <v>8.3800000000000008</v>
      </c>
      <c r="M32" s="31"/>
      <c r="N32" s="31" t="s">
        <v>14</v>
      </c>
      <c r="O32" s="33">
        <v>10</v>
      </c>
      <c r="P32" s="5"/>
    </row>
    <row r="33" spans="1:16" ht="13.05" customHeight="1">
      <c r="A33" s="31"/>
      <c r="B33" s="36" t="s">
        <v>236</v>
      </c>
      <c r="C33" s="39">
        <f>ROUND(SUM(C34:C42)/COUNT(C34:C42), 2)</f>
        <v>8.7799999999999994</v>
      </c>
      <c r="D33" s="31"/>
      <c r="E33" s="31" t="s">
        <v>133</v>
      </c>
      <c r="F33" s="33">
        <v>10</v>
      </c>
      <c r="G33" s="31"/>
      <c r="H33" s="31" t="s">
        <v>36</v>
      </c>
      <c r="I33" s="33">
        <v>9.5</v>
      </c>
      <c r="J33" s="31"/>
      <c r="K33" s="31" t="s">
        <v>190</v>
      </c>
      <c r="L33" s="33">
        <v>9</v>
      </c>
      <c r="M33" s="31"/>
      <c r="N33" s="31" t="s">
        <v>16</v>
      </c>
      <c r="O33" s="33">
        <v>10</v>
      </c>
      <c r="P33" s="5"/>
    </row>
    <row r="34" spans="1:16" ht="13.05" customHeight="1">
      <c r="A34" s="31"/>
      <c r="B34" s="31" t="s">
        <v>87</v>
      </c>
      <c r="C34" s="33">
        <v>9</v>
      </c>
      <c r="D34" s="31"/>
      <c r="E34" s="31" t="s">
        <v>134</v>
      </c>
      <c r="F34" s="33">
        <v>9</v>
      </c>
      <c r="G34" s="31"/>
      <c r="H34" s="31" t="s">
        <v>37</v>
      </c>
      <c r="I34" s="33">
        <v>8.5</v>
      </c>
      <c r="J34" s="31"/>
      <c r="K34" s="31" t="s">
        <v>191</v>
      </c>
      <c r="L34" s="33">
        <v>8.5</v>
      </c>
      <c r="M34" s="31"/>
      <c r="N34" s="31" t="s">
        <v>15</v>
      </c>
      <c r="O34" s="33">
        <v>9.5</v>
      </c>
      <c r="P34" s="5"/>
    </row>
    <row r="35" spans="1:16" ht="13.05" customHeight="1">
      <c r="A35" s="31"/>
      <c r="B35" s="31" t="s">
        <v>88</v>
      </c>
      <c r="C35" s="33">
        <v>10</v>
      </c>
      <c r="D35" s="31"/>
      <c r="E35" s="31" t="s">
        <v>135</v>
      </c>
      <c r="F35" s="33">
        <v>8</v>
      </c>
      <c r="G35" s="31"/>
      <c r="H35" s="31" t="s">
        <v>38</v>
      </c>
      <c r="I35" s="33">
        <v>8</v>
      </c>
      <c r="J35" s="31"/>
      <c r="K35" s="31" t="s">
        <v>192</v>
      </c>
      <c r="L35" s="33">
        <v>9</v>
      </c>
      <c r="M35" s="31"/>
      <c r="N35" s="31" t="s">
        <v>17</v>
      </c>
      <c r="O35" s="33">
        <v>8.5</v>
      </c>
      <c r="P35" s="5"/>
    </row>
    <row r="36" spans="1:16" ht="13.05" customHeight="1">
      <c r="A36" s="31"/>
      <c r="B36" s="31" t="s">
        <v>89</v>
      </c>
      <c r="C36" s="33">
        <v>9.5</v>
      </c>
      <c r="D36" s="31"/>
      <c r="E36" s="31" t="s">
        <v>136</v>
      </c>
      <c r="F36" s="33">
        <v>8.5</v>
      </c>
      <c r="G36" s="31"/>
      <c r="H36" s="31" t="s">
        <v>39</v>
      </c>
      <c r="I36" s="33">
        <v>10</v>
      </c>
      <c r="J36" s="31"/>
      <c r="K36" s="31" t="s">
        <v>193</v>
      </c>
      <c r="L36" s="33">
        <v>9.5</v>
      </c>
      <c r="M36" s="31"/>
      <c r="N36" s="31" t="s">
        <v>18</v>
      </c>
      <c r="O36" s="33">
        <v>10</v>
      </c>
      <c r="P36" s="5"/>
    </row>
    <row r="37" spans="1:16" ht="13.05" customHeight="1">
      <c r="A37" s="31"/>
      <c r="B37" s="31" t="s">
        <v>90</v>
      </c>
      <c r="C37" s="33">
        <v>8.5</v>
      </c>
      <c r="D37" s="31"/>
      <c r="E37" s="31" t="s">
        <v>137</v>
      </c>
      <c r="F37" s="33">
        <v>9</v>
      </c>
      <c r="G37" s="31"/>
      <c r="H37" s="31" t="s">
        <v>221</v>
      </c>
      <c r="I37" s="33">
        <v>8.5</v>
      </c>
      <c r="J37" s="31"/>
      <c r="K37" s="31" t="s">
        <v>194</v>
      </c>
      <c r="L37" s="33">
        <v>7.5</v>
      </c>
      <c r="M37" s="31"/>
      <c r="N37" s="31" t="s">
        <v>19</v>
      </c>
      <c r="O37" s="33">
        <v>9.5</v>
      </c>
      <c r="P37" s="5"/>
    </row>
    <row r="38" spans="1:16" ht="13.05" customHeight="1">
      <c r="A38" s="31"/>
      <c r="B38" s="31" t="s">
        <v>91</v>
      </c>
      <c r="C38" s="33">
        <v>7.5</v>
      </c>
      <c r="D38" s="31"/>
      <c r="E38" s="31" t="s">
        <v>138</v>
      </c>
      <c r="F38" s="33">
        <v>8</v>
      </c>
      <c r="G38" s="31"/>
      <c r="H38" s="31" t="s">
        <v>41</v>
      </c>
      <c r="I38" s="33">
        <v>9</v>
      </c>
      <c r="J38" s="31"/>
      <c r="K38" s="31" t="s">
        <v>195</v>
      </c>
      <c r="L38" s="33">
        <v>10</v>
      </c>
      <c r="M38" s="31"/>
      <c r="N38" s="31" t="s">
        <v>20</v>
      </c>
      <c r="O38" s="33">
        <v>10</v>
      </c>
      <c r="P38" s="5"/>
    </row>
    <row r="39" spans="1:16" ht="13.05" customHeight="1">
      <c r="A39" s="31"/>
      <c r="B39" s="31" t="s">
        <v>92</v>
      </c>
      <c r="C39" s="33">
        <v>8</v>
      </c>
      <c r="D39" s="31"/>
      <c r="E39" s="31" t="s">
        <v>139</v>
      </c>
      <c r="F39" s="33">
        <v>9</v>
      </c>
      <c r="G39" s="31"/>
      <c r="H39" s="31" t="s">
        <v>42</v>
      </c>
      <c r="I39" s="33">
        <v>9</v>
      </c>
      <c r="J39" s="31"/>
      <c r="K39" s="31" t="s">
        <v>196</v>
      </c>
      <c r="L39" s="33">
        <v>8</v>
      </c>
      <c r="M39" s="31"/>
      <c r="N39" s="31" t="s">
        <v>21</v>
      </c>
      <c r="O39" s="33">
        <v>8</v>
      </c>
      <c r="P39" s="5"/>
    </row>
    <row r="40" spans="1:16" ht="13.05" customHeight="1">
      <c r="A40" s="31"/>
      <c r="B40" s="31" t="s">
        <v>93</v>
      </c>
      <c r="C40" s="33">
        <v>8.5</v>
      </c>
      <c r="D40" s="31"/>
      <c r="E40" s="31" t="s">
        <v>140</v>
      </c>
      <c r="F40" s="33">
        <v>8.5</v>
      </c>
      <c r="G40" s="31"/>
      <c r="H40" s="31" t="s">
        <v>43</v>
      </c>
      <c r="I40" s="33">
        <v>8.5</v>
      </c>
      <c r="J40" s="31"/>
      <c r="K40" s="31" t="s">
        <v>162</v>
      </c>
      <c r="L40" s="33">
        <v>7.5</v>
      </c>
      <c r="M40" s="31"/>
      <c r="N40" s="31"/>
      <c r="O40" s="31"/>
      <c r="P40" s="5"/>
    </row>
    <row r="41" spans="1:16" ht="13.05" customHeight="1">
      <c r="A41" s="31"/>
      <c r="B41" s="31" t="s">
        <v>94</v>
      </c>
      <c r="C41" s="33">
        <v>8</v>
      </c>
      <c r="D41" s="31"/>
      <c r="E41" s="31" t="s">
        <v>141</v>
      </c>
      <c r="F41" s="33">
        <v>10</v>
      </c>
      <c r="G41" s="31"/>
      <c r="H41" s="31" t="s">
        <v>44</v>
      </c>
      <c r="I41" s="33">
        <v>9.5</v>
      </c>
      <c r="J41" s="31"/>
      <c r="K41" s="31" t="s">
        <v>197</v>
      </c>
      <c r="L41" s="33">
        <v>7</v>
      </c>
      <c r="M41" s="31"/>
      <c r="N41" s="32" t="s">
        <v>237</v>
      </c>
      <c r="O41" s="39">
        <f>ROUND(SUM(O42:O51)/COUNT(O42:O51), 2)</f>
        <v>9.2200000000000006</v>
      </c>
      <c r="P41" s="5"/>
    </row>
    <row r="42" spans="1:16" ht="13.05" customHeight="1">
      <c r="A42" s="31"/>
      <c r="B42" s="31" t="s">
        <v>95</v>
      </c>
      <c r="C42" s="33">
        <v>10</v>
      </c>
      <c r="D42" s="31"/>
      <c r="E42" s="31"/>
      <c r="F42" s="31"/>
      <c r="G42" s="31"/>
      <c r="H42" s="31"/>
      <c r="I42" s="31"/>
      <c r="J42" s="31"/>
      <c r="K42" s="31" t="s">
        <v>198</v>
      </c>
      <c r="L42" s="33">
        <v>7</v>
      </c>
      <c r="M42" s="31"/>
      <c r="N42" s="34" t="s">
        <v>45</v>
      </c>
      <c r="O42" s="40"/>
      <c r="P42" s="5"/>
    </row>
    <row r="43" spans="1:16" ht="13.05" customHeight="1">
      <c r="A43" s="31"/>
      <c r="B43" s="31"/>
      <c r="C43" s="31"/>
      <c r="D43" s="31"/>
      <c r="E43" s="32" t="s">
        <v>242</v>
      </c>
      <c r="F43" s="39">
        <f>ROUND(SUM(F44:F51)/COUNT(F44:F51), 2)</f>
        <v>9.25</v>
      </c>
      <c r="G43" s="31"/>
      <c r="H43" s="32" t="s">
        <v>241</v>
      </c>
      <c r="I43" s="39">
        <f>ROUND(SUM(I44:I51)/COUNT(I44:I51), 2)</f>
        <v>9.06</v>
      </c>
      <c r="J43" s="31"/>
      <c r="K43" s="31" t="s">
        <v>199</v>
      </c>
      <c r="L43" s="33">
        <v>7.5</v>
      </c>
      <c r="M43" s="31"/>
      <c r="N43" s="31" t="s">
        <v>46</v>
      </c>
      <c r="O43" s="33">
        <v>9</v>
      </c>
      <c r="P43" s="5"/>
    </row>
    <row r="44" spans="1:16" ht="13.05" customHeight="1">
      <c r="A44" s="31"/>
      <c r="B44" s="32" t="s">
        <v>238</v>
      </c>
      <c r="C44" s="39">
        <f>ROUND(SUM(C45:C51)/COUNT(C45:C51), 2)</f>
        <v>9</v>
      </c>
      <c r="D44" s="31"/>
      <c r="E44" s="31" t="s">
        <v>213</v>
      </c>
      <c r="F44" s="33">
        <v>9.5</v>
      </c>
      <c r="G44" s="31"/>
      <c r="H44" s="31" t="s">
        <v>55</v>
      </c>
      <c r="I44" s="33">
        <v>9</v>
      </c>
      <c r="J44" s="31"/>
      <c r="K44" s="31" t="s">
        <v>200</v>
      </c>
      <c r="L44" s="33">
        <v>10</v>
      </c>
      <c r="M44" s="31"/>
      <c r="N44" s="31" t="s">
        <v>47</v>
      </c>
      <c r="O44" s="33">
        <v>8</v>
      </c>
      <c r="P44" s="5"/>
    </row>
    <row r="45" spans="1:16" ht="13.05" customHeight="1">
      <c r="A45" s="31"/>
      <c r="B45" s="31" t="s">
        <v>126</v>
      </c>
      <c r="C45" s="33">
        <v>8.5</v>
      </c>
      <c r="D45" s="31"/>
      <c r="E45" s="31" t="s">
        <v>214</v>
      </c>
      <c r="F45" s="33">
        <v>9.5</v>
      </c>
      <c r="G45" s="31"/>
      <c r="H45" s="31" t="s">
        <v>56</v>
      </c>
      <c r="I45" s="33">
        <v>10</v>
      </c>
      <c r="J45" s="31"/>
      <c r="K45" s="31"/>
      <c r="L45" s="31"/>
      <c r="M45" s="31"/>
      <c r="N45" s="31" t="s">
        <v>48</v>
      </c>
      <c r="O45" s="33">
        <v>10</v>
      </c>
      <c r="P45" s="5"/>
    </row>
    <row r="46" spans="1:16" ht="13.05" customHeight="1">
      <c r="A46" s="31"/>
      <c r="B46" s="31" t="s">
        <v>127</v>
      </c>
      <c r="C46" s="33">
        <v>9.5</v>
      </c>
      <c r="D46" s="31"/>
      <c r="E46" s="31" t="s">
        <v>215</v>
      </c>
      <c r="F46" s="33">
        <v>9.5</v>
      </c>
      <c r="G46" s="31"/>
      <c r="H46" s="31" t="s">
        <v>57</v>
      </c>
      <c r="I46" s="33">
        <v>8.5</v>
      </c>
      <c r="J46" s="31"/>
      <c r="K46" s="32" t="s">
        <v>239</v>
      </c>
      <c r="L46" s="39">
        <f>ROUND(SUM(L47:L51)/COUNT(L47:L51), 2)</f>
        <v>9.1999999999999993</v>
      </c>
      <c r="M46" s="31"/>
      <c r="N46" s="31" t="s">
        <v>49</v>
      </c>
      <c r="O46" s="33">
        <v>10</v>
      </c>
      <c r="P46" s="5"/>
    </row>
    <row r="47" spans="1:16" ht="13.05" customHeight="1">
      <c r="A47" s="31"/>
      <c r="B47" s="31" t="s">
        <v>128</v>
      </c>
      <c r="C47" s="33">
        <v>9</v>
      </c>
      <c r="D47" s="31"/>
      <c r="E47" s="31" t="s">
        <v>216</v>
      </c>
      <c r="F47" s="33">
        <v>10</v>
      </c>
      <c r="G47" s="31"/>
      <c r="H47" s="31" t="s">
        <v>58</v>
      </c>
      <c r="I47" s="33">
        <v>9.5</v>
      </c>
      <c r="J47" s="31"/>
      <c r="K47" s="31" t="s">
        <v>108</v>
      </c>
      <c r="L47" s="33">
        <v>9.5</v>
      </c>
      <c r="M47" s="31"/>
      <c r="N47" s="31" t="s">
        <v>50</v>
      </c>
      <c r="O47" s="33">
        <v>9.5</v>
      </c>
      <c r="P47" s="5"/>
    </row>
    <row r="48" spans="1:16" ht="13.05" customHeight="1">
      <c r="A48" s="31"/>
      <c r="B48" s="31" t="s">
        <v>129</v>
      </c>
      <c r="C48" s="33">
        <v>10</v>
      </c>
      <c r="D48" s="31"/>
      <c r="E48" s="31" t="s">
        <v>217</v>
      </c>
      <c r="F48" s="33">
        <v>8.5</v>
      </c>
      <c r="G48" s="31"/>
      <c r="H48" s="31" t="s">
        <v>59</v>
      </c>
      <c r="I48" s="33">
        <v>8.5</v>
      </c>
      <c r="J48" s="31"/>
      <c r="K48" s="31" t="s">
        <v>109</v>
      </c>
      <c r="L48" s="33">
        <v>9</v>
      </c>
      <c r="M48" s="31"/>
      <c r="N48" s="31" t="s">
        <v>51</v>
      </c>
      <c r="O48" s="33">
        <v>9.5</v>
      </c>
      <c r="P48" s="5"/>
    </row>
    <row r="49" spans="1:16" ht="13.05" customHeight="1">
      <c r="A49" s="31"/>
      <c r="B49" s="31" t="s">
        <v>130</v>
      </c>
      <c r="C49" s="33">
        <v>9.5</v>
      </c>
      <c r="D49" s="31"/>
      <c r="E49" s="31" t="s">
        <v>218</v>
      </c>
      <c r="F49" s="33">
        <v>8</v>
      </c>
      <c r="G49" s="31"/>
      <c r="H49" s="31" t="s">
        <v>60</v>
      </c>
      <c r="I49" s="33">
        <v>9</v>
      </c>
      <c r="J49" s="31"/>
      <c r="K49" s="31" t="s">
        <v>110</v>
      </c>
      <c r="L49" s="33">
        <v>10</v>
      </c>
      <c r="M49" s="31"/>
      <c r="N49" s="31" t="s">
        <v>52</v>
      </c>
      <c r="O49" s="33">
        <v>8.5</v>
      </c>
      <c r="P49" s="5"/>
    </row>
    <row r="50" spans="1:16" ht="13.05" customHeight="1">
      <c r="A50" s="31"/>
      <c r="B50" s="31" t="s">
        <v>131</v>
      </c>
      <c r="C50" s="33">
        <v>8</v>
      </c>
      <c r="D50" s="31"/>
      <c r="E50" s="31" t="s">
        <v>219</v>
      </c>
      <c r="F50" s="33">
        <v>9</v>
      </c>
      <c r="G50" s="31"/>
      <c r="H50" s="31" t="s">
        <v>61</v>
      </c>
      <c r="I50" s="33">
        <v>10</v>
      </c>
      <c r="J50" s="31"/>
      <c r="K50" s="31" t="s">
        <v>111</v>
      </c>
      <c r="L50" s="33">
        <v>8.5</v>
      </c>
      <c r="M50" s="31"/>
      <c r="N50" s="31" t="s">
        <v>53</v>
      </c>
      <c r="O50" s="33">
        <v>9</v>
      </c>
      <c r="P50" s="5"/>
    </row>
    <row r="51" spans="1:16" ht="13.05" customHeight="1">
      <c r="A51" s="31"/>
      <c r="B51" s="31" t="s">
        <v>132</v>
      </c>
      <c r="C51" s="33">
        <v>8.5</v>
      </c>
      <c r="D51" s="31"/>
      <c r="E51" s="31" t="s">
        <v>220</v>
      </c>
      <c r="F51" s="33">
        <v>10</v>
      </c>
      <c r="G51" s="31"/>
      <c r="H51" s="31" t="s">
        <v>62</v>
      </c>
      <c r="I51" s="33">
        <v>8</v>
      </c>
      <c r="J51" s="31"/>
      <c r="K51" s="31" t="s">
        <v>112</v>
      </c>
      <c r="L51" s="33">
        <v>9</v>
      </c>
      <c r="M51" s="31"/>
      <c r="N51" s="31" t="s">
        <v>54</v>
      </c>
      <c r="O51" s="33">
        <v>9.5</v>
      </c>
      <c r="P51" s="5"/>
    </row>
    <row r="52" spans="1:16" ht="13.05" customHeight="1">
      <c r="A52" s="31"/>
      <c r="B52" s="31"/>
      <c r="C52" s="33"/>
      <c r="D52" s="31"/>
      <c r="E52" s="31"/>
      <c r="F52" s="31"/>
      <c r="G52" s="31"/>
      <c r="H52" s="31"/>
      <c r="I52" s="31"/>
      <c r="J52" s="31"/>
      <c r="K52" s="31"/>
      <c r="L52" s="33"/>
      <c r="M52" s="31"/>
      <c r="N52" s="31"/>
      <c r="O52" s="31"/>
      <c r="P52" s="5"/>
    </row>
    <row r="53" spans="1:16" ht="16.0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5"/>
    </row>
    <row r="54" spans="1:16" ht="16.0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1:16" ht="16.05" customHeight="1"/>
    <row r="56" spans="1:16" ht="16.05" customHeight="1"/>
    <row r="57" spans="1:16" ht="16.05" customHeight="1"/>
    <row r="58" spans="1:16" ht="16.05" customHeight="1"/>
    <row r="59" spans="1:16" ht="16.05" customHeight="1"/>
  </sheetData>
  <conditionalFormatting sqref="B33">
    <cfRule type="colorScale" priority="23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1">
      <colorScale>
        <cfvo type="num" val="5"/>
        <cfvo type="num" val="10"/>
        <color rgb="FFFF494D"/>
        <color rgb="FF00FF66"/>
      </colorScale>
    </cfRule>
  </conditionalFormatting>
  <conditionalFormatting sqref="B44">
    <cfRule type="colorScale" priority="2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6">
      <colorScale>
        <cfvo type="num" val="5"/>
        <cfvo type="num" val="10"/>
        <color rgb="FFFF494D"/>
        <color rgb="FF00FF66"/>
      </colorScale>
    </cfRule>
  </conditionalFormatting>
  <conditionalFormatting sqref="C3:C5 C7 C9 C11 C13 C15 C17">
    <cfRule type="colorScale" priority="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5">
      <colorScale>
        <cfvo type="num" val="5"/>
        <cfvo type="num" val="10"/>
        <color rgb="FFFF494D"/>
        <color rgb="FF00FF66"/>
      </colorScale>
    </cfRule>
  </conditionalFormatting>
  <conditionalFormatting sqref="C3:C17">
    <cfRule type="cellIs" dxfId="931" priority="17" operator="equal">
      <formula>10</formula>
    </cfRule>
  </conditionalFormatting>
  <conditionalFormatting sqref="C6">
    <cfRule type="containsBlanks" dxfId="930" priority="18">
      <formula>LEN(TRIM(C6))=0</formula>
    </cfRule>
  </conditionalFormatting>
  <conditionalFormatting sqref="C8">
    <cfRule type="containsBlanks" dxfId="929" priority="20">
      <formula>LEN(TRIM(C8))=0</formula>
    </cfRule>
  </conditionalFormatting>
  <conditionalFormatting sqref="C10">
    <cfRule type="containsBlanks" dxfId="928" priority="22">
      <formula>LEN(TRIM(C10))=0</formula>
    </cfRule>
  </conditionalFormatting>
  <conditionalFormatting sqref="C12">
    <cfRule type="containsBlanks" dxfId="927" priority="24">
      <formula>LEN(TRIM(C12))=0</formula>
    </cfRule>
  </conditionalFormatting>
  <conditionalFormatting sqref="C14">
    <cfRule type="containsBlanks" dxfId="926" priority="26">
      <formula>LEN(TRIM(C14))=0</formula>
    </cfRule>
  </conditionalFormatting>
  <conditionalFormatting sqref="C16">
    <cfRule type="containsBlanks" dxfId="925" priority="232">
      <formula>LEN(TRIM(C16))=0</formula>
    </cfRule>
  </conditionalFormatting>
  <conditionalFormatting sqref="C20:C25 C27:C31">
    <cfRule type="colorScale" priority="9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1">
      <colorScale>
        <cfvo type="num" val="5"/>
        <cfvo type="num" val="10"/>
        <color rgb="FFFF494D"/>
        <color rgb="FF00FF66"/>
      </colorScale>
    </cfRule>
  </conditionalFormatting>
  <conditionalFormatting sqref="C20:C31">
    <cfRule type="cellIs" dxfId="924" priority="3" operator="equal">
      <formula>10</formula>
    </cfRule>
  </conditionalFormatting>
  <conditionalFormatting sqref="C26">
    <cfRule type="containsBlanks" dxfId="923" priority="4">
      <formula>LEN(TRIM(C26))=0</formula>
    </cfRule>
  </conditionalFormatting>
  <conditionalFormatting sqref="C34:C42">
    <cfRule type="cellIs" dxfId="922" priority="86" operator="equal">
      <formula>10</formula>
    </cfRule>
    <cfRule type="colorScale" priority="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">
      <colorScale>
        <cfvo type="num" val="5"/>
        <cfvo type="num" val="10"/>
        <color rgb="FFFF494D"/>
        <color rgb="FF00FF66"/>
      </colorScale>
    </cfRule>
  </conditionalFormatting>
  <conditionalFormatting sqref="C45:C52">
    <cfRule type="cellIs" dxfId="921" priority="71" operator="equal">
      <formula>10</formula>
    </cfRule>
    <cfRule type="colorScale" priority="7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3">
      <colorScale>
        <cfvo type="num" val="5"/>
        <cfvo type="num" val="10"/>
        <color rgb="FFFF494D"/>
        <color rgb="FF00FF66"/>
      </colorScale>
    </cfRule>
  </conditionalFormatting>
  <conditionalFormatting sqref="E17">
    <cfRule type="colorScale" priority="21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2">
      <colorScale>
        <cfvo type="num" val="5"/>
        <cfvo type="num" val="10"/>
        <color rgb="FFFF494D"/>
        <color rgb="FF00FF66"/>
      </colorScale>
    </cfRule>
  </conditionalFormatting>
  <conditionalFormatting sqref="E32">
    <cfRule type="colorScale" priority="2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3">
      <colorScale>
        <cfvo type="num" val="5"/>
        <cfvo type="num" val="10"/>
        <color rgb="FFFF494D"/>
        <color rgb="FF00FF66"/>
      </colorScale>
    </cfRule>
  </conditionalFormatting>
  <conditionalFormatting sqref="F3:F11 F13:F15">
    <cfRule type="colorScale" priority="11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5">
      <colorScale>
        <cfvo type="num" val="5"/>
        <cfvo type="num" val="10"/>
        <color rgb="FFFF494D"/>
        <color rgb="FF00FF66"/>
      </colorScale>
    </cfRule>
  </conditionalFormatting>
  <conditionalFormatting sqref="F3:F15">
    <cfRule type="cellIs" dxfId="920" priority="15" operator="equal">
      <formula>10</formula>
    </cfRule>
  </conditionalFormatting>
  <conditionalFormatting sqref="F12">
    <cfRule type="containsBlanks" dxfId="919" priority="16">
      <formula>LEN(TRIM(F12))=0</formula>
    </cfRule>
  </conditionalFormatting>
  <conditionalFormatting sqref="F18:F27 F29:F30">
    <cfRule type="colorScale" priority="9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4">
      <colorScale>
        <cfvo type="num" val="5"/>
        <cfvo type="num" val="10"/>
        <color rgb="FFFF494D"/>
        <color rgb="FF00FF66"/>
      </colorScale>
    </cfRule>
  </conditionalFormatting>
  <conditionalFormatting sqref="F18:F30">
    <cfRule type="cellIs" dxfId="918" priority="5" operator="equal">
      <formula>10</formula>
    </cfRule>
  </conditionalFormatting>
  <conditionalFormatting sqref="F28">
    <cfRule type="containsBlanks" dxfId="917" priority="6">
      <formula>LEN(TRIM(F28))=0</formula>
    </cfRule>
  </conditionalFormatting>
  <conditionalFormatting sqref="F33:F41">
    <cfRule type="cellIs" dxfId="916" priority="83" operator="equal">
      <formula>10</formula>
    </cfRule>
    <cfRule type="colorScale" priority="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5">
      <colorScale>
        <cfvo type="num" val="5"/>
        <cfvo type="num" val="10"/>
        <color rgb="FFFF494D"/>
        <color rgb="FF00FF66"/>
      </colorScale>
    </cfRule>
  </conditionalFormatting>
  <conditionalFormatting sqref="F44:F51">
    <cfRule type="cellIs" dxfId="915" priority="68" operator="equal">
      <formula>10</formula>
    </cfRule>
    <cfRule type="colorScale" priority="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0">
      <colorScale>
        <cfvo type="num" val="5"/>
        <cfvo type="num" val="10"/>
        <color rgb="FFFF494D"/>
        <color rgb="FF00FF66"/>
      </colorScale>
    </cfRule>
  </conditionalFormatting>
  <conditionalFormatting sqref="H17">
    <cfRule type="colorScale" priority="19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1">
      <colorScale>
        <cfvo type="num" val="5"/>
        <cfvo type="num" val="10"/>
        <color rgb="FFFF494D"/>
        <color rgb="FF00FF66"/>
      </colorScale>
    </cfRule>
  </conditionalFormatting>
  <conditionalFormatting sqref="H31">
    <cfRule type="colorScale" priority="1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6">
      <colorScale>
        <cfvo type="num" val="5"/>
        <cfvo type="num" val="10"/>
        <color rgb="FFFF494D"/>
        <color rgb="FF00FF66"/>
      </colorScale>
    </cfRule>
  </conditionalFormatting>
  <conditionalFormatting sqref="H43">
    <cfRule type="colorScale" priority="1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1">
      <colorScale>
        <cfvo type="num" val="5"/>
        <cfvo type="num" val="10"/>
        <color rgb="FFFF494D"/>
        <color rgb="FF00FF66"/>
      </colorScale>
    </cfRule>
  </conditionalFormatting>
  <conditionalFormatting sqref="I3:I15">
    <cfRule type="cellIs" dxfId="914" priority="110" operator="equal">
      <formula>10</formula>
    </cfRule>
    <cfRule type="colorScale" priority="11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2">
      <colorScale>
        <cfvo type="num" val="5"/>
        <cfvo type="num" val="10"/>
        <color rgb="FFFF494D"/>
        <color rgb="FF00FF66"/>
      </colorScale>
    </cfRule>
  </conditionalFormatting>
  <conditionalFormatting sqref="I18:I29">
    <cfRule type="cellIs" dxfId="913" priority="95" operator="equal">
      <formula>10</formula>
    </cfRule>
    <cfRule type="colorScale" priority="9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7">
      <colorScale>
        <cfvo type="num" val="5"/>
        <cfvo type="num" val="10"/>
        <color rgb="FFFF494D"/>
        <color rgb="FF00FF66"/>
      </colorScale>
    </cfRule>
  </conditionalFormatting>
  <conditionalFormatting sqref="I32:I41">
    <cfRule type="cellIs" dxfId="912" priority="80" operator="equal">
      <formula>10</formula>
    </cfRule>
    <cfRule type="colorScale" priority="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2">
      <colorScale>
        <cfvo type="num" val="5"/>
        <cfvo type="num" val="10"/>
        <color rgb="FFFF494D"/>
        <color rgb="FF00FF66"/>
      </colorScale>
    </cfRule>
  </conditionalFormatting>
  <conditionalFormatting sqref="I44:I51">
    <cfRule type="cellIs" dxfId="911" priority="65" operator="equal">
      <formula>10</formula>
    </cfRule>
    <cfRule type="colorScale" priority="6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7">
      <colorScale>
        <cfvo type="num" val="5"/>
        <cfvo type="num" val="10"/>
        <color rgb="FFFF494D"/>
        <color rgb="FF00FF66"/>
      </colorScale>
    </cfRule>
  </conditionalFormatting>
  <conditionalFormatting sqref="K17">
    <cfRule type="colorScale" priority="1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7">
      <colorScale>
        <cfvo type="num" val="5"/>
        <cfvo type="num" val="10"/>
        <color rgb="FFFF494D"/>
        <color rgb="FF00FF66"/>
      </colorScale>
    </cfRule>
  </conditionalFormatting>
  <conditionalFormatting sqref="K46">
    <cfRule type="colorScale" priority="15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2">
      <colorScale>
        <cfvo type="num" val="5"/>
        <cfvo type="num" val="10"/>
        <color rgb="FFFF494D"/>
        <color rgb="FF00FF66"/>
      </colorScale>
    </cfRule>
  </conditionalFormatting>
  <conditionalFormatting sqref="L3:L16">
    <cfRule type="cellIs" dxfId="910" priority="107" operator="equal">
      <formula>10</formula>
    </cfRule>
    <cfRule type="colorScale" priority="10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9">
      <colorScale>
        <cfvo type="num" val="5"/>
        <cfvo type="num" val="10"/>
        <color rgb="FFFF494D"/>
        <color rgb="FF00FF66"/>
      </colorScale>
    </cfRule>
  </conditionalFormatting>
  <conditionalFormatting sqref="L18:L22 L24:L30">
    <cfRule type="colorScale" priority="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0">
      <colorScale>
        <cfvo type="num" val="5"/>
        <cfvo type="num" val="10"/>
        <color rgb="FFFF494D"/>
        <color rgb="FF00FF66"/>
      </colorScale>
    </cfRule>
  </conditionalFormatting>
  <conditionalFormatting sqref="L18:L30">
    <cfRule type="cellIs" dxfId="909" priority="1" operator="equal">
      <formula>10</formula>
    </cfRule>
  </conditionalFormatting>
  <conditionalFormatting sqref="L23">
    <cfRule type="containsBlanks" dxfId="908" priority="2">
      <formula>LEN(TRIM(L23))=0</formula>
    </cfRule>
  </conditionalFormatting>
  <conditionalFormatting sqref="L33:L44">
    <cfRule type="cellIs" dxfId="907" priority="77" operator="equal">
      <formula>10</formula>
    </cfRule>
    <cfRule type="colorScale" priority="7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9">
      <colorScale>
        <cfvo type="num" val="5"/>
        <cfvo type="num" val="10"/>
        <color rgb="FFFF494D"/>
        <color rgb="FF00FF66"/>
      </colorScale>
    </cfRule>
  </conditionalFormatting>
  <conditionalFormatting sqref="L47:L52">
    <cfRule type="cellIs" dxfId="906" priority="62" operator="equal">
      <formula>10</formula>
    </cfRule>
    <cfRule type="colorScale" priority="6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4">
      <colorScale>
        <cfvo type="num" val="5"/>
        <cfvo type="num" val="10"/>
        <color rgb="FFFF494D"/>
        <color rgb="FF00FF66"/>
      </colorScale>
    </cfRule>
  </conditionalFormatting>
  <conditionalFormatting sqref="N2">
    <cfRule type="colorScale" priority="17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1">
      <colorScale>
        <cfvo type="num" val="5"/>
        <cfvo type="num" val="10"/>
        <color rgb="FFFF494D"/>
        <color rgb="FF00FF66"/>
      </colorScale>
    </cfRule>
  </conditionalFormatting>
  <conditionalFormatting sqref="N16">
    <cfRule type="colorScale" priority="16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7">
      <colorScale>
        <cfvo type="num" val="5"/>
        <cfvo type="num" val="10"/>
        <color rgb="FFFF494D"/>
        <color rgb="FF00FF66"/>
      </colorScale>
    </cfRule>
  </conditionalFormatting>
  <conditionalFormatting sqref="N29">
    <cfRule type="colorScale" priority="14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2">
      <colorScale>
        <cfvo type="num" val="5"/>
        <cfvo type="num" val="10"/>
        <color rgb="FFFF494D"/>
        <color rgb="FF00FF66"/>
      </colorScale>
    </cfRule>
  </conditionalFormatting>
  <conditionalFormatting sqref="N41">
    <cfRule type="colorScale" priority="13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7">
      <colorScale>
        <cfvo type="num" val="5"/>
        <cfvo type="num" val="10"/>
        <color rgb="FFFF494D"/>
        <color rgb="FF00FF66"/>
      </colorScale>
    </cfRule>
  </conditionalFormatting>
  <conditionalFormatting sqref="O3:O14">
    <cfRule type="cellIs" dxfId="905" priority="9" operator="equal">
      <formula>10</formula>
    </cfRule>
  </conditionalFormatting>
  <conditionalFormatting sqref="O4">
    <cfRule type="containsBlanks" dxfId="904" priority="12">
      <formula>LEN(TRIM(O4))=0</formula>
    </cfRule>
  </conditionalFormatting>
  <conditionalFormatting sqref="O6">
    <cfRule type="containsBlanks" dxfId="903" priority="14">
      <formula>LEN(TRIM(O6))=0</formula>
    </cfRule>
  </conditionalFormatting>
  <conditionalFormatting sqref="O7:O13 O3 O5">
    <cfRule type="colorScale" priority="10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6">
      <colorScale>
        <cfvo type="num" val="5"/>
        <cfvo type="num" val="10"/>
        <color rgb="FFFF494D"/>
        <color rgb="FF00FF66"/>
      </colorScale>
    </cfRule>
  </conditionalFormatting>
  <conditionalFormatting sqref="O14">
    <cfRule type="containsBlanks" dxfId="902" priority="10">
      <formula>LEN(TRIM(O14))=0</formula>
    </cfRule>
  </conditionalFormatting>
  <conditionalFormatting sqref="O17:O27">
    <cfRule type="cellIs" dxfId="901" priority="101" operator="equal">
      <formula>10</formula>
    </cfRule>
    <cfRule type="colorScale" priority="1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3">
      <colorScale>
        <cfvo type="num" val="5"/>
        <cfvo type="num" val="10"/>
        <color rgb="FFFF494D"/>
        <color rgb="FF00FF66"/>
      </colorScale>
    </cfRule>
  </conditionalFormatting>
  <conditionalFormatting sqref="O30:O39">
    <cfRule type="cellIs" dxfId="900" priority="74" operator="equal">
      <formula>10</formula>
    </cfRule>
    <cfRule type="colorScale" priority="7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6">
      <colorScale>
        <cfvo type="num" val="5"/>
        <cfvo type="num" val="10"/>
        <color rgb="FFFF494D"/>
        <color rgb="FF00FF66"/>
      </colorScale>
    </cfRule>
  </conditionalFormatting>
  <conditionalFormatting sqref="O42">
    <cfRule type="containsBlanks" dxfId="899" priority="8">
      <formula>LEN(TRIM(O42))=0</formula>
    </cfRule>
  </conditionalFormatting>
  <conditionalFormatting sqref="O42:O51">
    <cfRule type="cellIs" dxfId="898" priority="7" operator="equal">
      <formula>10</formula>
    </cfRule>
  </conditionalFormatting>
  <conditionalFormatting sqref="O43:O51">
    <cfRule type="colorScale" priority="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1">
      <colorScale>
        <cfvo type="num" val="5"/>
        <cfvo type="num" val="10"/>
        <color rgb="FFFF494D"/>
        <color rgb="FF00FF66"/>
      </colorScale>
    </cfRule>
  </conditionalFormatting>
  <pageMargins left="0.25" right="0.25" top="0.75" bottom="0.75" header="0.3" footer="0.3"/>
  <pageSetup paperSize="9" scale="58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2TPRHG2BFLMP7NV4ARDKU2XQ7O5O6OQF:ms-officescript%3A%2F%2Fonedrive_business_sharinglink%2Fu!aHR0cHM6Ly9hcnRpY2FpbmdlbmllcmlhLW15LnNoYXJlcG9pbnQuY29tLzp1Oi9nL3BlcnNvbmFsL21yb2RyaWd1ZXpfYXJ0aWNhaV9lcy9JUUJCS3RqX3Ryd0VScXBxOFB1Njd6b0ZBVXN3R0tnbkdFYkhLZzc2aGRETk9QVQ"/>
  <scriptId xmlns="" id="ms-officescript%3A%2F%2Fonedrive_business_itemlink%2F01MLL275BDVP2MJTOR45GZ2A3G32POHLEE:ms-officescript%3A%2F%2Fonedrive_business_sharinglink%2Fu!aHR0cHM6Ly91cG0zNjUtbXkuc2hhcmVwb2ludC5jb20vOnU6L2cvcGVyc29uYWwvbWlndWVsX3JvZHJpZ3VlejkxX2FsdW1ub3NfdXBtX2VzL0lRQWpxX1RFemRIblRaMERadDZlNDZ5RUFhRlctV1ZueXRleWF1b05HVHVLMDQw"/>
</scriptIds>
</file>

<file path=customXml/itemProps1.xml><?xml version="1.0" encoding="utf-8"?>
<ds:datastoreItem xmlns:ds="http://schemas.openxmlformats.org/officeDocument/2006/customXml" ds:itemID="{0E199ECA-DC30-48B1-BCD4-1F875D95F05D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Hoja2</vt:lpstr>
      <vt:lpstr>Sheet2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Rodriguez Andreu</dc:creator>
  <cp:lastModifiedBy>Miguel Rodriguez Rodriguez</cp:lastModifiedBy>
  <cp:lastPrinted>2026-02-04T22:08:03Z</cp:lastPrinted>
  <dcterms:created xsi:type="dcterms:W3CDTF">2025-12-22T12:54:57Z</dcterms:created>
  <dcterms:modified xsi:type="dcterms:W3CDTF">2026-04-09T11:05:16Z</dcterms:modified>
</cp:coreProperties>
</file>