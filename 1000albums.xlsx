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5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guelrodriguezmbp/Desktop/ytDown/top1000albums/"/>
    </mc:Choice>
  </mc:AlternateContent>
  <xr:revisionPtr revIDLastSave="0" documentId="13_ncr:1_{BF581FEA-A643-5E43-A2F5-332229613050}" xr6:coauthVersionLast="47" xr6:coauthVersionMax="47" xr10:uidLastSave="{00000000-0000-0000-0000-000000000000}"/>
  <bookViews>
    <workbookView xWindow="28800" yWindow="600" windowWidth="38400" windowHeight="21000" xr2:uid="{0EA344FB-F653-8A4E-9162-CD1E4229299E}"/>
  </bookViews>
  <sheets>
    <sheet name="Hoja2" sheetId="4" r:id="rId1"/>
    <sheet name="Hoja3" sheetId="3" r:id="rId2"/>
  </sheets>
  <definedNames>
    <definedName name="_xlchart.v1.0" hidden="1">Hoja2!$V$3:$V$173</definedName>
    <definedName name="RangoDinamico" comment="para la grafica">DESREF(Hoja2!$V$3,0,0,Hoja2!$AF$3,1)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30" i="4" l="1"/>
  <c r="B428" i="4"/>
  <c r="E425" i="4"/>
  <c r="K421" i="4"/>
  <c r="N417" i="4"/>
  <c r="N412" i="4" s="1"/>
  <c r="H421" i="4"/>
  <c r="E415" i="4"/>
  <c r="H415" i="4"/>
  <c r="K412" i="4"/>
  <c r="B409" i="4"/>
  <c r="B401" i="4" s="1"/>
  <c r="E403" i="4"/>
  <c r="H401" i="4"/>
  <c r="K399" i="4"/>
  <c r="N397" i="4"/>
  <c r="K391" i="4"/>
  <c r="K380" i="4" s="1"/>
  <c r="B389" i="4"/>
  <c r="B379" i="4" s="1"/>
  <c r="E388" i="4"/>
  <c r="H387" i="4"/>
  <c r="N384" i="4"/>
  <c r="E383" i="4"/>
  <c r="N374" i="4" l="1"/>
  <c r="H374" i="4"/>
  <c r="E372" i="4"/>
  <c r="N367" i="4"/>
  <c r="K365" i="4"/>
  <c r="H365" i="4"/>
  <c r="E360" i="4"/>
  <c r="B360" i="4"/>
  <c r="K356" i="4"/>
  <c r="N355" i="4"/>
  <c r="H353" i="4"/>
  <c r="B343" i="4"/>
  <c r="K340" i="4"/>
  <c r="H339" i="4"/>
  <c r="N338" i="4"/>
  <c r="H329" i="4"/>
  <c r="N328" i="4"/>
  <c r="K328" i="4"/>
  <c r="E328" i="4"/>
  <c r="B322" i="4"/>
  <c r="N318" i="4"/>
  <c r="K318" i="4"/>
  <c r="E320" i="4"/>
  <c r="E310" i="4"/>
  <c r="H309" i="4"/>
  <c r="B309" i="4"/>
  <c r="E14" i="4"/>
  <c r="N306" i="4"/>
  <c r="K304" i="4"/>
  <c r="E299" i="4"/>
  <c r="N297" i="4"/>
  <c r="K296" i="4"/>
  <c r="H296" i="4"/>
  <c r="H288" i="4"/>
  <c r="E288" i="4"/>
  <c r="K286" i="4"/>
  <c r="N284" i="4"/>
  <c r="B279" i="4"/>
  <c r="N277" i="4"/>
  <c r="E278" i="4"/>
  <c r="K276" i="4"/>
  <c r="H276" i="4"/>
  <c r="B272" i="4"/>
  <c r="H265" i="4"/>
  <c r="E266" i="4"/>
  <c r="K264" i="4"/>
  <c r="B260" i="4"/>
  <c r="H258" i="4"/>
  <c r="E254" i="4"/>
  <c r="K252" i="4"/>
  <c r="N249" i="4"/>
  <c r="B246" i="4"/>
  <c r="H246" i="4"/>
  <c r="N240" i="4"/>
  <c r="K237" i="4"/>
  <c r="E237" i="4"/>
  <c r="B235" i="4"/>
  <c r="H229" i="4"/>
  <c r="N228" i="4"/>
  <c r="E229" i="4"/>
  <c r="B226" i="4"/>
  <c r="K219" i="4"/>
  <c r="H215" i="4"/>
  <c r="B213" i="4"/>
  <c r="E213" i="4"/>
  <c r="K208" i="4"/>
  <c r="N211" i="4"/>
  <c r="H202" i="4"/>
  <c r="E201" i="4"/>
  <c r="B114" i="4"/>
  <c r="K199" i="4"/>
  <c r="B196" i="4"/>
  <c r="H191" i="4"/>
  <c r="K189" i="4"/>
  <c r="N185" i="4"/>
  <c r="E186" i="4"/>
  <c r="B185" i="4"/>
  <c r="K182" i="4"/>
  <c r="H177" i="4"/>
  <c r="H125" i="4"/>
  <c r="K175" i="4"/>
  <c r="N182" i="4"/>
  <c r="B172" i="4"/>
  <c r="E172" i="4"/>
  <c r="K165" i="4"/>
  <c r="H165" i="4"/>
  <c r="B162" i="4"/>
  <c r="N161" i="4"/>
  <c r="E161" i="4"/>
  <c r="N152" i="4"/>
  <c r="K136" i="4"/>
  <c r="H149" i="4"/>
  <c r="K149" i="4"/>
  <c r="N144" i="4"/>
  <c r="E146" i="4"/>
  <c r="B145" i="4"/>
  <c r="N137" i="4"/>
  <c r="B134" i="4"/>
  <c r="H131" i="4"/>
  <c r="N127" i="4"/>
  <c r="E128" i="4"/>
  <c r="E117" i="4" s="1"/>
  <c r="K124" i="4"/>
  <c r="K111" i="4" s="1"/>
  <c r="H97" i="4"/>
  <c r="N112" i="4"/>
  <c r="H110" i="4"/>
  <c r="B103" i="4"/>
  <c r="E101" i="4"/>
  <c r="K98" i="4"/>
  <c r="N93" i="4"/>
  <c r="B93" i="4"/>
  <c r="K90" i="4"/>
  <c r="H83" i="4"/>
  <c r="N79" i="4"/>
  <c r="E80" i="4"/>
  <c r="B79" i="4"/>
  <c r="K77" i="4"/>
  <c r="B70" i="4"/>
  <c r="H69" i="4"/>
  <c r="N67" i="4"/>
  <c r="K66" i="4"/>
  <c r="E65" i="4"/>
  <c r="N28" i="4"/>
  <c r="B2" i="4"/>
  <c r="H57" i="4"/>
  <c r="K54" i="4"/>
  <c r="N54" i="4"/>
  <c r="B59" i="4"/>
  <c r="E54" i="4"/>
  <c r="B47" i="4"/>
  <c r="E2" i="4"/>
  <c r="H2" i="4"/>
  <c r="K2" i="4"/>
  <c r="N2" i="4"/>
  <c r="K14" i="4"/>
  <c r="N14" i="4"/>
  <c r="B16" i="4"/>
  <c r="H17" i="4"/>
  <c r="K25" i="4"/>
  <c r="B26" i="4"/>
  <c r="E30" i="4"/>
  <c r="H30" i="4"/>
  <c r="B33" i="4"/>
  <c r="E39" i="4"/>
  <c r="N39" i="4"/>
  <c r="K40" i="4"/>
  <c r="H47" i="4"/>
  <c r="O41" i="3"/>
  <c r="O29" i="3"/>
  <c r="L17" i="3"/>
  <c r="O16" i="3"/>
  <c r="L46" i="3"/>
  <c r="L32" i="3"/>
  <c r="I43" i="3"/>
  <c r="O2" i="3"/>
  <c r="L2" i="3"/>
  <c r="I31" i="3"/>
  <c r="I17" i="3"/>
  <c r="I2" i="3"/>
  <c r="F43" i="3"/>
  <c r="F32" i="3"/>
  <c r="F17" i="3"/>
  <c r="F2" i="3"/>
  <c r="C44" i="3"/>
  <c r="C33" i="3"/>
  <c r="C19" i="3"/>
  <c r="C2" i="3"/>
</calcChain>
</file>

<file path=xl/sharedStrings.xml><?xml version="1.0" encoding="utf-8"?>
<sst xmlns="http://schemas.openxmlformats.org/spreadsheetml/2006/main" count="3959" uniqueCount="2895">
  <si>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</si>
  <si>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</si>
  <si>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</si>
  <si>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</si>
  <si>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</si>
  <si>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</si>
  <si>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</si>
  <si>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</si>
  <si>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</si>
  <si>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</si>
  <si>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</si>
  <si>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</si>
  <si>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</si>
  <si>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</si>
  <si>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</si>
  <si>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</si>
  <si>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</si>
  <si>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</si>
  <si>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</si>
  <si>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</si>
  <si>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</si>
  <si>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</si>
  <si>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</si>
  <si>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</si>
  <si>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</si>
  <si>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</si>
  <si>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</si>
  <si>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</si>
  <si>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</si>
  <si>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</si>
  <si>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</si>
  <si>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</si>
  <si>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</si>
  <si>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</si>
  <si>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</si>
  <si>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</si>
  <si>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</si>
  <si>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</si>
  <si>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</si>
  <si>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</si>
  <si>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</si>
  <si>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</si>
  <si>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</si>
  <si>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</si>
  <si>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</si>
  <si>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</si>
  <si>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</si>
  <si>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</si>
  <si>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</si>
  <si>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</si>
  <si>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</si>
  <si>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</si>
  <si>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</si>
  <si>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</si>
  <si>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</si>
  <si>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</si>
  <si>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</si>
  <si>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</si>
  <si>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</si>
  <si>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</si>
  <si>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</si>
  <si>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</si>
  <si>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</si>
  <si>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</si>
  <si>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</si>
  <si>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</si>
  <si>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</si>
  <si>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</si>
  <si>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</si>
  <si>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</si>
  <si>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</si>
  <si>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</si>
  <si>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</si>
  <si>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</si>
  <si>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</si>
  <si>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</si>
  <si>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</si>
  <si>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</si>
  <si>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</si>
  <si>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</si>
  <si>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</si>
  <si>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</si>
  <si>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</si>
  <si>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</si>
  <si>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</si>
  <si>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</si>
  <si>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</si>
  <si>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</si>
  <si>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</si>
  <si>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</si>
  <si>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</si>
  <si>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</si>
  <si>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</si>
  <si>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</si>
  <si>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</si>
  <si>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</si>
  <si>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</si>
  <si>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</si>
  <si>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</si>
  <si>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</si>
  <si>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</si>
  <si>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</si>
  <si>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</si>
  <si>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</si>
  <si>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</si>
  <si>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</si>
  <si>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</si>
  <si>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</si>
  <si>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</si>
  <si>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</si>
  <si>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Epitah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</si>
  <si>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</si>
  <si>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</si>
  <si>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</si>
  <si>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</si>
  <si>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</si>
  <si>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</si>
  <si>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</si>
  <si>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</si>
  <si>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</si>
  <si>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</si>
  <si>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</si>
  <si>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</si>
  <si>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</si>
  <si>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</si>
  <si>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</si>
  <si>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</si>
  <si>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</si>
  <si>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</si>
  <si>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</si>
  <si>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</si>
  <si>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</si>
  <si>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</si>
  <si>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</si>
  <si>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</si>
  <si>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</si>
  <si>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</si>
  <si>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</si>
  <si>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</si>
  <si>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</si>
  <si>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</si>
  <si>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</si>
  <si>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TOOL - Ænima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</si>
  <si>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</si>
  <si>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</si>
  <si>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</si>
  <si>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</si>
  <si>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</si>
  <si>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</si>
  <si>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</si>
  <si>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</si>
  <si>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</si>
  <si>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</si>
  <si>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</si>
  <si>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</si>
  <si>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</si>
  <si>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</si>
  <si>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</si>
  <si>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</si>
  <si>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</si>
  <si>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</si>
  <si>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</si>
  <si>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</si>
  <si>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</si>
  <si>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</si>
  <si>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</si>
  <si>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</si>
  <si>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</si>
  <si>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</si>
  <si>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</si>
  <si>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</si>
  <si>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</si>
  <si>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</si>
  <si>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</si>
  <si>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</si>
  <si>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</si>
  <si>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</si>
  <si>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</si>
  <si>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</si>
  <si>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</si>
  <si>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</si>
  <si>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</si>
  <si>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</si>
  <si>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</si>
  <si>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</si>
  <si>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</si>
  <si>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</si>
  <si>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</si>
  <si>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</si>
  <si>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</si>
  <si>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</si>
  <si>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</si>
  <si>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</si>
  <si>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</si>
  <si>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</si>
  <si>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</si>
  <si>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</si>
  <si>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</si>
  <si>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</si>
  <si>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</si>
  <si>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</si>
  <si>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</si>
  <si>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</si>
  <si>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</si>
  <si>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</si>
  <si>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</si>
  <si>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</si>
  <si>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</si>
  <si>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</si>
  <si>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</si>
  <si>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</si>
  <si>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</si>
  <si>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</si>
  <si>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</si>
  <si>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</si>
  <si>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</si>
  <si>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</si>
  <si>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</si>
  <si>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</si>
  <si>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</si>
  <si>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You're Gonna Get Your Fingers...</t>
  </si>
  <si>
    <t>A Quick One Before the Eternal…</t>
  </si>
  <si>
    <t>Who Would Leave Their Son Out…</t>
  </si>
  <si>
    <t>Waiting for Black Metal Records…</t>
  </si>
  <si>
    <r>
      <rPr>
        <sz val="14"/>
        <color theme="1"/>
        <rFont val="Bodoni 72 Book"/>
      </rPr>
      <t>HANL</t>
    </r>
    <r>
      <rPr>
        <b/>
        <sz val="14"/>
        <color theme="1"/>
        <rFont val="Bodoni 72 Book"/>
      </rPr>
      <t xml:space="preserve"> - Deathconsciousness</t>
    </r>
  </si>
  <si>
    <r>
      <rPr>
        <sz val="14"/>
        <color theme="1"/>
        <rFont val="Bodoni 72 Book"/>
      </rPr>
      <t>Sweet Trip</t>
    </r>
    <r>
      <rPr>
        <b/>
        <sz val="14"/>
        <color theme="1"/>
        <rFont val="Bodoni 72 Book"/>
      </rPr>
      <t xml:space="preserve"> - YWNKW</t>
    </r>
  </si>
  <si>
    <r>
      <rPr>
        <sz val="14"/>
        <color theme="1"/>
        <rFont val="Bodoni 72 Book"/>
      </rPr>
      <t>Coldplay</t>
    </r>
    <r>
      <rPr>
        <b/>
        <sz val="14"/>
        <color theme="1"/>
        <rFont val="Bodoni 72 Book"/>
      </rPr>
      <t xml:space="preserve"> - X&amp;Y</t>
    </r>
  </si>
  <si>
    <r>
      <rPr>
        <sz val="14"/>
        <color theme="1"/>
        <rFont val="Bodoni 72 Book"/>
      </rPr>
      <t>TOOL</t>
    </r>
    <r>
      <rPr>
        <b/>
        <sz val="14"/>
        <color theme="1"/>
        <rFont val="Bodoni 72 Book"/>
      </rPr>
      <t xml:space="preserve"> - Lateralus</t>
    </r>
  </si>
  <si>
    <r>
      <rPr>
        <sz val="14"/>
        <color theme="1"/>
        <rFont val="Bodoni 72 Book"/>
      </rPr>
      <t xml:space="preserve">Linkin Park </t>
    </r>
    <r>
      <rPr>
        <b/>
        <sz val="14"/>
        <color theme="1"/>
        <rFont val="Bodoni 72 Book"/>
      </rPr>
      <t>- Hybrid Theory</t>
    </r>
  </si>
  <si>
    <r>
      <rPr>
        <sz val="15"/>
        <color theme="1"/>
        <rFont val="Bodoni 72 Book"/>
      </rPr>
      <t>Fleetwood Mac</t>
    </r>
    <r>
      <rPr>
        <b/>
        <sz val="15"/>
        <color theme="1"/>
        <rFont val="Bodoni 72 Book"/>
      </rPr>
      <t xml:space="preserve"> - Rumours</t>
    </r>
  </si>
  <si>
    <r>
      <rPr>
        <sz val="14"/>
        <color theme="1"/>
        <rFont val="Bodoni 72 Book"/>
      </rPr>
      <t xml:space="preserve">Daft Punk </t>
    </r>
    <r>
      <rPr>
        <b/>
        <sz val="14"/>
        <color theme="1"/>
        <rFont val="Bodoni 72 Book"/>
      </rPr>
      <t>- Discovery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</si>
  <si>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OK Computer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</si>
  <si>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In Rainbows</t>
    </r>
  </si>
  <si>
    <r>
      <rPr>
        <sz val="14"/>
        <color theme="1"/>
        <rFont val="Bodoni 72 Book"/>
      </rPr>
      <t>TAPP</t>
    </r>
    <r>
      <rPr>
        <b/>
        <sz val="14"/>
        <color theme="1"/>
        <rFont val="Bodoni 72 Book"/>
      </rPr>
      <t xml:space="preserve"> - Eye In The Sky</t>
    </r>
  </si>
  <si>
    <r>
      <rPr>
        <sz val="14"/>
        <color theme="1"/>
        <rFont val="Bodoni 72 Book"/>
      </rPr>
      <t>Alice In Chains</t>
    </r>
    <r>
      <rPr>
        <b/>
        <sz val="14"/>
        <color theme="1"/>
        <rFont val="Bodoni 72 Book"/>
      </rPr>
      <t xml:space="preserve"> - Dirt</t>
    </r>
  </si>
  <si>
    <r>
      <rPr>
        <sz val="13"/>
        <color theme="1"/>
        <rFont val="Bodoni 72 Book"/>
      </rPr>
      <t xml:space="preserve">Dire Straits </t>
    </r>
    <r>
      <rPr>
        <b/>
        <sz val="13"/>
        <color theme="1"/>
        <rFont val="Bodoni 72 Book"/>
      </rPr>
      <t>- Brothers In Arms</t>
    </r>
  </si>
  <si>
    <r>
      <rPr>
        <sz val="14"/>
        <color theme="1"/>
        <rFont val="Bodoni 72 Book"/>
      </rPr>
      <t>Pink Floyd</t>
    </r>
    <r>
      <rPr>
        <b/>
        <sz val="14"/>
        <color theme="1"/>
        <rFont val="Bodoni 72 Book"/>
      </rPr>
      <t xml:space="preserve"> - TDSOTM</t>
    </r>
  </si>
  <si>
    <r>
      <rPr>
        <sz val="14"/>
        <color theme="1"/>
        <rFont val="Bodoni 72 Book"/>
      </rPr>
      <t>Opeth</t>
    </r>
    <r>
      <rPr>
        <b/>
        <sz val="14"/>
        <color theme="1"/>
        <rFont val="Bodoni 72 Book"/>
      </rPr>
      <t xml:space="preserve"> - Blackwater Park</t>
    </r>
  </si>
  <si>
    <r>
      <rPr>
        <sz val="14"/>
        <color theme="1"/>
        <rFont val="Bodoni 72 Book"/>
      </rPr>
      <t>King Crimson</t>
    </r>
    <r>
      <rPr>
        <b/>
        <sz val="14"/>
        <color theme="1"/>
        <rFont val="Bodoni 72 Book"/>
      </rPr>
      <t xml:space="preserve"> - ITCOTCK</t>
    </r>
  </si>
  <si>
    <r>
      <rPr>
        <sz val="14"/>
        <color theme="1"/>
        <rFont val="Bodoni 72 Book"/>
      </rPr>
      <t>The Strokes</t>
    </r>
    <r>
      <rPr>
        <b/>
        <sz val="14"/>
        <color theme="1"/>
        <rFont val="Bodoni 72 Book"/>
      </rPr>
      <t xml:space="preserve"> - The New Abnormal</t>
    </r>
  </si>
  <si>
    <r>
      <rPr>
        <sz val="14"/>
        <color theme="1"/>
        <rFont val="Bodoni 72 Book"/>
      </rPr>
      <t>Metallica</t>
    </r>
    <r>
      <rPr>
        <b/>
        <sz val="14"/>
        <color theme="1"/>
        <rFont val="Bodoni 72 Book"/>
      </rPr>
      <t xml:space="preserve"> - Master Of Puppets</t>
    </r>
  </si>
  <si>
    <r>
      <rPr>
        <sz val="14"/>
        <color theme="1"/>
        <rFont val="Bodoni 72 Book"/>
      </rPr>
      <t>Led Zeppelin</t>
    </r>
    <r>
      <rPr>
        <b/>
        <sz val="14"/>
        <color theme="1"/>
        <rFont val="Bodoni 72 Book"/>
      </rPr>
      <t xml:space="preserve"> - Led Zeppelin IV</t>
    </r>
  </si>
  <si>
    <t>9-10</t>
  </si>
  <si>
    <t>8-9</t>
  </si>
  <si>
    <t>7-8</t>
  </si>
  <si>
    <t>Mezzanine</t>
  </si>
  <si>
    <t>GOAT</t>
  </si>
  <si>
    <r>
      <rPr>
        <sz val="14"/>
        <color theme="1"/>
        <rFont val="Bodoni 72 Book"/>
      </rPr>
      <t>Massive Attack</t>
    </r>
    <r>
      <rPr>
        <b/>
        <sz val="14"/>
        <color theme="1"/>
        <rFont val="Bodoni 72 Book"/>
      </rPr>
      <t xml:space="preserve"> - Mezzanine</t>
    </r>
  </si>
  <si>
    <t>Interlude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</si>
  <si>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</si>
  <si>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</si>
  <si>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</si>
  <si>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</si>
  <si>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</si>
  <si>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</si>
  <si>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</si>
  <si>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</si>
  <si>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</si>
  <si>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</si>
  <si>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</si>
  <si>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</si>
  <si>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</si>
  <si>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</si>
  <si>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</si>
  <si>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</si>
  <si>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</si>
  <si>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</si>
  <si>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</si>
  <si>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</si>
  <si>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</si>
  <si>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Illmatic</t>
  </si>
  <si>
    <t>El rating de las canciones se hace un poco en contexto del album</t>
  </si>
  <si>
    <t>y genero, por eso puede ocurrir que un album que me guste más</t>
  </si>
  <si>
    <t>tenga una nota inferior que otro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</si>
  <si>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</si>
  <si>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</si>
  <si>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</si>
  <si>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</si>
  <si>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</si>
  <si>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</si>
  <si>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</si>
  <si>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</si>
  <si>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</si>
  <si>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https://miguelrr11.github.io/Miscellaneous/TikTokAlbumGenerator/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</si>
  <si>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</si>
  <si>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</si>
  <si>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</si>
  <si>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</si>
  <si>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</si>
  <si>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</si>
  <si>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</si>
  <si>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</si>
  <si>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</si>
  <si>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</si>
  <si>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</si>
  <si>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</si>
  <si>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</si>
  <si>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</si>
  <si>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</si>
  <si>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</si>
  <si>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</si>
  <si>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</si>
  <si>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</si>
  <si>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</si>
  <si>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</si>
  <si>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</si>
  <si>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</si>
  <si>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</si>
  <si>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</si>
  <si>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</si>
  <si>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</si>
  <si>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</si>
  <si>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</si>
  <si>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</si>
  <si>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</si>
  <si>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</si>
  <si>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</si>
  <si>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</si>
  <si>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</si>
  <si>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</si>
  <si>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</si>
  <si>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</si>
  <si>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</si>
  <si>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</si>
  <si>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</si>
  <si>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</si>
  <si>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</si>
  <si>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</si>
  <si>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</si>
  <si>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</si>
  <si>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</si>
  <si>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</si>
  <si>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</si>
  <si>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</si>
  <si>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</si>
  <si>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</si>
  <si>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</si>
  <si>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</si>
  <si>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</si>
  <si>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</si>
  <si>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</si>
  <si>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</si>
  <si>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</si>
  <si>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</si>
  <si>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</si>
  <si>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</si>
  <si>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</si>
  <si>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</si>
  <si>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</si>
  <si>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</si>
  <si>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</si>
  <si>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</si>
  <si>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</si>
  <si>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</si>
  <si>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</si>
  <si>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REQUISITOS PARA QUE EL SCRIPT FUNCIONE:</t>
  </si>
  <si>
    <t>1. Los títulos de los álbumes deben empezar con un asterisco *</t>
  </si>
  <si>
    <t>2. Los títulos de los álbumes deben estar separados así: &lt;artista&gt; - &lt;álbum&gt;</t>
  </si>
  <si>
    <t>3. El requisito 2 hace que los artistas NO puedan contener un guión -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</si>
  <si>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</si>
  <si>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</si>
  <si>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</si>
  <si>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</si>
  <si>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</si>
  <si>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</si>
  <si>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</si>
  <si>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</si>
  <si>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</si>
  <si>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</si>
  <si>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</si>
  <si>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</si>
  <si>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</si>
  <si>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</si>
  <si>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</si>
  <si>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La tabla resumen es AUTOMATICA, pulsar botón para actualizarla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</si>
  <si>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</si>
  <si>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</si>
  <si>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</si>
  <si>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</si>
  <si>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</si>
  <si>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</si>
  <si>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</si>
  <si>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</si>
  <si>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</si>
  <si>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</si>
  <si>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</si>
  <si>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</si>
  <si>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</si>
  <si>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</si>
  <si>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</si>
  <si>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</si>
  <si>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</si>
  <si>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</si>
  <si>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</si>
  <si>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</si>
  <si>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</si>
  <si>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</si>
  <si>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</si>
  <si>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</si>
  <si>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</si>
  <si>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</si>
  <si>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</si>
  <si>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</si>
  <si>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</si>
  <si>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</si>
  <si>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</si>
  <si>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</si>
  <si>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</si>
  <si>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</si>
  <si>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</si>
  <si>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</si>
  <si>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</si>
  <si>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</si>
  <si>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</si>
  <si>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</si>
  <si>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</si>
  <si>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</si>
  <si>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</si>
  <si>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</si>
  <si>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</si>
  <si>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</si>
  <si>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</si>
  <si>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</si>
  <si>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</si>
  <si>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</si>
  <si>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</si>
  <si>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</si>
  <si>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</si>
  <si>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</si>
  <si>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</si>
  <si>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</si>
  <si>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</si>
  <si>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</si>
  <si>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</si>
  <si>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</si>
  <si>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</si>
  <si>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</si>
  <si>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</si>
  <si>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</si>
  <si>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</si>
  <si>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</si>
  <si>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</si>
  <si>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</si>
  <si>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</si>
  <si>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</si>
  <si>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</si>
  <si>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</si>
  <si>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</si>
  <si>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</si>
  <si>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</si>
  <si>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</si>
  <si>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</si>
  <si>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</si>
  <si>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</si>
  <si>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</si>
  <si>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</si>
  <si>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</si>
  <si>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</si>
  <si>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</si>
  <si>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</si>
  <si>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</si>
  <si>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</si>
  <si>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</si>
  <si>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</si>
  <si>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</si>
  <si>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</si>
  <si>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</si>
  <si>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</si>
  <si>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</si>
  <si>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</si>
  <si>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</si>
  <si>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</si>
  <si>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</si>
  <si>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</si>
  <si>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</si>
  <si>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</si>
  <si>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</si>
  <si>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</si>
  <si>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</si>
  <si>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</si>
  <si>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</si>
  <si>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</si>
  <si>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</si>
  <si>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</si>
  <si>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</si>
  <si>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</si>
  <si>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</si>
  <si>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</si>
  <si>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</si>
  <si>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</si>
  <si>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</si>
  <si>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</si>
  <si>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</si>
  <si>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</si>
  <si>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</si>
  <si>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</si>
  <si>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</si>
  <si>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</si>
  <si>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</si>
  <si>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</si>
  <si>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</si>
  <si>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</si>
  <si>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</si>
  <si>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</si>
  <si>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</si>
  <si>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</si>
  <si>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</si>
  <si>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</si>
  <si>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</si>
  <si>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</si>
  <si>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</si>
  <si>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</si>
  <si>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</si>
  <si>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Mediana</t>
  </si>
  <si>
    <t>Para cambia el criterio de ordenación poner * en el header que quieras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</si>
  <si>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</si>
  <si>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</si>
  <si>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</si>
  <si>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</si>
  <si>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</si>
  <si>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</si>
  <si>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</si>
  <si>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</si>
  <si>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</si>
  <si>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</si>
  <si>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</si>
  <si>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</si>
  <si>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</si>
  <si>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</si>
  <si>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</si>
  <si>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</si>
  <si>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</si>
  <si>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</si>
  <si>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</si>
  <si>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</si>
  <si>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</si>
  <si>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</si>
  <si>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</si>
  <si>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</si>
  <si>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</si>
  <si>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</si>
  <si>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</si>
  <si>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</si>
  <si>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</si>
  <si>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</si>
  <si>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</si>
  <si>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</si>
  <si>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</si>
  <si>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</si>
  <si>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</si>
  <si>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</si>
  <si>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</si>
  <si>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</si>
  <si>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</si>
  <si>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</si>
  <si>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</si>
  <si>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</si>
  <si>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</si>
  <si>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</si>
  <si>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</si>
  <si>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</si>
  <si>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</si>
  <si>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</si>
  <si>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</si>
  <si>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</si>
  <si>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</si>
  <si>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</si>
  <si>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</si>
  <si>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</si>
  <si>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</si>
  <si>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</si>
  <si>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</si>
  <si>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</si>
  <si>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</si>
  <si>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</si>
  <si>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</si>
  <si>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</si>
  <si>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</si>
  <si>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</si>
  <si>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</si>
  <si>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</si>
  <si>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</si>
  <si>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</si>
  <si>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</si>
  <si>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</si>
  <si>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</si>
  <si>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</si>
  <si>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</si>
  <si>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</si>
  <si>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</si>
  <si>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</si>
  <si>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</si>
  <si>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</si>
  <si>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</si>
  <si>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</si>
  <si>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</si>
  <si>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</si>
  <si>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</si>
  <si>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</si>
  <si>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</si>
  <si>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</si>
  <si>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</si>
  <si>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</si>
  <si>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</si>
  <si>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</si>
  <si>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</si>
  <si>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</si>
  <si>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</si>
  <si>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</si>
  <si>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</si>
  <si>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</si>
  <si>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</si>
  <si>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</si>
  <si>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</si>
  <si>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</si>
  <si>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</si>
  <si>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</si>
  <si>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</si>
  <si>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</si>
  <si>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</si>
  <si>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</si>
  <si>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</si>
  <si>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</si>
  <si>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</si>
  <si>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</si>
  <si>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</si>
  <si>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</si>
  <si>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</si>
  <si>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</si>
  <si>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</si>
  <si>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</si>
  <si>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</si>
  <si>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</si>
  <si>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</si>
  <si>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</si>
  <si>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</si>
  <si>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</si>
  <si>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</si>
  <si>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</si>
  <si>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</si>
  <si>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</si>
  <si>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</si>
  <si>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</si>
  <si>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</si>
  <si>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</si>
  <si>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</si>
  <si>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</si>
  <si>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</si>
  <si>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</si>
  <si>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</si>
  <si>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</si>
  <si>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</si>
  <si>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</si>
  <si>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</si>
  <si>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</si>
  <si>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</si>
  <si>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</si>
  <si>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</si>
  <si>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</si>
  <si>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</si>
  <si>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</si>
  <si>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</si>
  <si>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</si>
  <si>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</si>
  <si>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</si>
  <si>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</si>
  <si>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</si>
  <si>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</si>
  <si>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</si>
  <si>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</si>
  <si>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</si>
  <si>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</si>
  <si>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</si>
  <si>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</si>
  <si>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</si>
  <si>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</si>
  <si>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</si>
  <si>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</si>
  <si>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</si>
  <si>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</si>
  <si>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</si>
  <si>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</si>
  <si>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</si>
  <si>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</si>
  <si>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</si>
  <si>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</si>
  <si>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</si>
  <si>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</si>
  <si>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</si>
  <si>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</si>
  <si>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</si>
  <si>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</si>
  <si>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</si>
  <si>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</si>
  <si>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</si>
  <si>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</si>
  <si>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</si>
  <si>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</si>
  <si>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</si>
  <si>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</si>
  <si>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</si>
  <si>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</si>
  <si>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</si>
  <si>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</si>
  <si>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</si>
  <si>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</si>
  <si>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</si>
  <si>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</si>
  <si>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</si>
  <si>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</si>
  <si>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</si>
  <si>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</si>
  <si>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</si>
  <si>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</si>
  <si>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</si>
  <si>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</si>
  <si>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</si>
  <si>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</si>
  <si>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</si>
  <si>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</si>
  <si>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</si>
  <si>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</si>
  <si>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</si>
  <si>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</si>
  <si>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</si>
  <si>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</si>
  <si>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</si>
  <si>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</si>
  <si>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</si>
  <si>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</si>
  <si>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</si>
  <si>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</si>
  <si>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</si>
  <si>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</si>
  <si>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</si>
  <si>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</si>
  <si>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</si>
  <si>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</si>
  <si>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</si>
  <si>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</si>
  <si>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</si>
  <si>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</si>
  <si>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</si>
  <si>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</si>
  <si>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</si>
  <si>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</si>
  <si>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</si>
  <si>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</si>
  <si>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</si>
  <si>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</si>
  <si>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</si>
  <si>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</si>
  <si>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</si>
  <si>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</si>
  <si>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</si>
  <si>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</si>
  <si>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</si>
  <si>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</si>
  <si>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</si>
  <si>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</si>
  <si>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</si>
  <si>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</si>
  <si>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</si>
  <si>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</si>
  <si>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edm</t>
  </si>
  <si>
    <t>nu metal, rap metal</t>
  </si>
  <si>
    <t>grime, uk grime</t>
  </si>
  <si>
    <t>Animals</t>
  </si>
  <si>
    <t>Blood Incantation</t>
  </si>
  <si>
    <t>Absolute Elsewhere</t>
  </si>
  <si>
    <t>Género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</si>
  <si>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</si>
  <si>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</si>
  <si>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</si>
  <si>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</si>
  <si>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</si>
  <si>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</si>
  <si>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</si>
  <si>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</si>
  <si>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</si>
  <si>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</si>
  <si>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</si>
  <si>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</si>
  <si>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</si>
  <si>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t>NOTA: el género se debe poner manualmente después de ejecutar el script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</si>
  <si>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</si>
  <si>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</si>
  <si>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</si>
  <si>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</si>
  <si>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</si>
  <si>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</si>
  <si>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</si>
  <si>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</si>
  <si>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</si>
  <si>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</si>
  <si>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</si>
  <si>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</si>
  <si>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</si>
  <si>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</si>
  <si>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</si>
  <si>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</si>
  <si>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</si>
  <si>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</si>
  <si>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</si>
  <si>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</si>
  <si>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</si>
  <si>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</si>
  <si>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</si>
  <si>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</si>
  <si>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</si>
  <si>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</si>
  <si>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</si>
  <si>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</si>
  <si>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</si>
  <si>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</si>
  <si>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</si>
  <si>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</si>
  <si>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</si>
  <si>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</si>
  <si>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</si>
  <si>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</si>
  <si>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</si>
  <si>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</si>
  <si>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</si>
  <si>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</si>
  <si>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</si>
  <si>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</si>
  <si>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</si>
  <si>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</si>
  <si>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</si>
  <si>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</si>
  <si>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</si>
  <si>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</si>
  <si>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</si>
  <si>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</si>
  <si>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</si>
  <si>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</si>
  <si>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</si>
  <si>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</si>
  <si>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</si>
  <si>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</si>
  <si>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</si>
  <si>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</si>
  <si>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</si>
  <si>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</si>
  <si>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</si>
  <si>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</si>
  <si>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</si>
  <si>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</si>
  <si>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</si>
  <si>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</si>
  <si>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</si>
  <si>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</si>
  <si>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</si>
  <si>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</si>
  <si>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</si>
  <si>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</si>
  <si>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</si>
  <si>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</si>
  <si>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</si>
  <si>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</si>
  <si>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</si>
  <si>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</si>
  <si>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</si>
  <si>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</si>
  <si>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</si>
  <si>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</si>
  <si>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</si>
  <si>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</si>
  <si>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</si>
  <si>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</si>
  <si>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</si>
  <si>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</si>
  <si>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</si>
  <si>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</si>
  <si>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</si>
  <si>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</si>
  <si>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</si>
  <si>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</si>
  <si>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</si>
  <si>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</si>
  <si>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</si>
  <si>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</si>
  <si>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</si>
  <si>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</si>
  <si>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</si>
  <si>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</si>
  <si>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</si>
  <si>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</si>
  <si>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</si>
  <si>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</si>
  <si>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</si>
  <si>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</si>
  <si>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</si>
  <si>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</si>
  <si>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</si>
  <si>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</si>
  <si>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</si>
  <si>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</si>
  <si>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</si>
  <si>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</si>
  <si>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</si>
  <si>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</si>
  <si>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</si>
  <si>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</si>
  <si>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</si>
  <si>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</si>
  <si>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</si>
  <si>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</si>
  <si>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</si>
  <si>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t>Géneros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</si>
  <si>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</si>
  <si>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</si>
  <si>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</si>
  <si>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</si>
  <si>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</si>
  <si>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</si>
  <si>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</si>
  <si>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</si>
  <si>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</si>
  <si>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</si>
  <si>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</si>
  <si>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</si>
  <si>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</si>
  <si>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</si>
  <si>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</si>
  <si>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</si>
  <si>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</si>
  <si>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</si>
  <si>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</si>
  <si>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</si>
  <si>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</si>
  <si>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</si>
  <si>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</si>
  <si>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</si>
  <si>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</si>
  <si>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</si>
  <si>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</si>
  <si>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</si>
  <si>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</si>
  <si>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</si>
  <si>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</si>
  <si>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</si>
  <si>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</si>
  <si>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</si>
  <si>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</si>
  <si>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</si>
  <si>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</si>
  <si>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</si>
  <si>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</si>
  <si>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</si>
  <si>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</si>
  <si>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</si>
  <si>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</si>
  <si>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</si>
  <si>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</si>
  <si>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</si>
  <si>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</si>
  <si>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</si>
  <si>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</si>
  <si>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The Baying Hounds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</si>
  <si>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</si>
  <si>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</si>
  <si>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</si>
  <si>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</si>
  <si>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</si>
  <si>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</si>
  <si>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</si>
  <si>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</si>
  <si>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</si>
  <si>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</si>
  <si>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</si>
  <si>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</si>
  <si>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</si>
  <si>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</si>
  <si>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</si>
  <si>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</si>
  <si>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</si>
  <si>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</si>
  <si>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</si>
  <si>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</si>
  <si>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</si>
  <si>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</si>
  <si>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</si>
  <si>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</si>
  <si>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</si>
  <si>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</si>
  <si>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</si>
  <si>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</si>
  <si>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</si>
  <si>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</si>
  <si>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</si>
  <si>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</si>
  <si>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</si>
  <si>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</si>
  <si>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</si>
  <si>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</si>
  <si>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</si>
  <si>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</si>
  <si>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</si>
  <si>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</si>
  <si>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</si>
  <si>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</si>
  <si>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t>El 3rd EYE SCORE se calcula asi: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</si>
  <si>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</si>
  <si>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</si>
  <si>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</si>
  <si>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</si>
  <si>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</si>
  <si>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</si>
  <si>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</si>
  <si>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</si>
  <si>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</si>
  <si>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</si>
  <si>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</si>
  <si>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</si>
  <si>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</si>
  <si>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</si>
  <si>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</si>
  <si>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</si>
  <si>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</si>
  <si>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</si>
  <si>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</si>
  <si>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</si>
  <si>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</si>
  <si>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</si>
  <si>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</si>
  <si>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</si>
  <si>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</si>
  <si>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</si>
  <si>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progressive rock, art rock, psychedelic rock</t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</si>
  <si>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</si>
  <si>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</si>
  <si>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</si>
  <si>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</si>
  <si>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</si>
  <si>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</si>
  <si>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</si>
  <si>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</si>
  <si>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</si>
  <si>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</si>
  <si>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</si>
  <si>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</si>
  <si>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</si>
  <si>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</si>
  <si>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</si>
  <si>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</si>
  <si>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Rango intercuartílico (Q3-Q1)</t>
  </si>
  <si>
    <t>NOTAS - FORMA DE LA DISTRIBUCIÓN</t>
  </si>
  <si>
    <t>Asimetría (skewness)</t>
  </si>
  <si>
    <t>Curtosis (excess)</t>
  </si>
  <si>
    <t>DISTRIBUCIÓN POR RANGOS</t>
  </si>
  <si>
    <t>[0, 5)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</si>
  <si>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</si>
  <si>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</si>
  <si>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</si>
  <si>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</si>
  <si>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</si>
  <si>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</si>
  <si>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</si>
  <si>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</si>
  <si>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</si>
  <si>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Más consistente (menor desv.)</t>
  </si>
  <si>
    <t>Más irregular (mayor desv.)</t>
  </si>
  <si>
    <t>GÉNEROS</t>
  </si>
  <si>
    <t>Álbumes con género</t>
  </si>
  <si>
    <t>Géneros únicos</t>
  </si>
  <si>
    <t>Más frecuente</t>
  </si>
  <si>
    <t>Mejor media</t>
  </si>
  <si>
    <t>Peor media</t>
  </si>
  <si>
    <t>spanish rap (7.29)</t>
  </si>
  <si>
    <t>DESGLOSE POR GÉNERO</t>
  </si>
  <si>
    <t>psychedelic rock</t>
  </si>
  <si>
    <t>dream pop</t>
  </si>
  <si>
    <t>neo psychedelic</t>
  </si>
  <si>
    <t>3 (9.19)</t>
  </si>
  <si>
    <t>progressive rock</t>
  </si>
  <si>
    <t>art rock</t>
  </si>
  <si>
    <t>slowcore</t>
  </si>
  <si>
    <t>soul</t>
  </si>
  <si>
    <t>1 (9.06)</t>
  </si>
  <si>
    <t>progressive soul</t>
  </si>
  <si>
    <t>shoegaze</t>
  </si>
  <si>
    <t>garage rock</t>
  </si>
  <si>
    <t>1 (8.89)</t>
  </si>
  <si>
    <t>pop rap</t>
  </si>
  <si>
    <t>hip hop</t>
  </si>
  <si>
    <t>indie rock</t>
  </si>
  <si>
    <t>death metal</t>
  </si>
  <si>
    <t>post britpop</t>
  </si>
  <si>
    <t>1 (8.73)</t>
  </si>
  <si>
    <t>indie</t>
  </si>
  <si>
    <t>jazz rap</t>
  </si>
  <si>
    <t>instrumental hip hop</t>
  </si>
  <si>
    <t>trip hop</t>
  </si>
  <si>
    <t>downtempo</t>
  </si>
  <si>
    <t>electropop</t>
  </si>
  <si>
    <t>1 (8.67)</t>
  </si>
  <si>
    <t>post rock</t>
  </si>
  <si>
    <t>art pop</t>
  </si>
  <si>
    <t>pop rock</t>
  </si>
  <si>
    <t>post punk</t>
  </si>
  <si>
    <t>french house</t>
  </si>
  <si>
    <t>new wave</t>
  </si>
  <si>
    <t>4 (8.59)</t>
  </si>
  <si>
    <t>electronic</t>
  </si>
  <si>
    <t>old school hip hop</t>
  </si>
  <si>
    <t>2 (8.56)</t>
  </si>
  <si>
    <t>east coast hip hop</t>
  </si>
  <si>
    <t>punk rock</t>
  </si>
  <si>
    <t>1 (8.55)</t>
  </si>
  <si>
    <t>alternative R&amp;B</t>
  </si>
  <si>
    <t>1 (8.5)</t>
  </si>
  <si>
    <t>grunge</t>
  </si>
  <si>
    <t>1 (8.38)</t>
  </si>
  <si>
    <t>post grunge</t>
  </si>
  <si>
    <t>nu metal</t>
  </si>
  <si>
    <t>rap metal</t>
  </si>
  <si>
    <t>4 (8.22)</t>
  </si>
  <si>
    <t>experimental hip hop</t>
  </si>
  <si>
    <t>experimental rock</t>
  </si>
  <si>
    <t>grime</t>
  </si>
  <si>
    <t>1 (7.67)</t>
  </si>
  <si>
    <t>uk grime</t>
  </si>
  <si>
    <t>1 (7.29)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</si>
  <si>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</si>
  <si>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</si>
  <si>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</si>
  <si>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</si>
  <si>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</si>
  <si>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</si>
  <si>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</si>
  <si>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</si>
  <si>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</si>
  <si>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</si>
  <si>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t>1 (9.21)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</si>
  <si>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</si>
  <si>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</si>
  <si>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</si>
  <si>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</si>
  <si>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</si>
  <si>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</si>
  <si>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</si>
  <si>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</si>
  <si>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</si>
  <si>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</si>
  <si>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</si>
  <si>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</si>
  <si>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</si>
  <si>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</si>
  <si>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</si>
  <si>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</si>
  <si>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</si>
  <si>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</si>
  <si>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</si>
  <si>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</si>
  <si>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</si>
  <si>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</si>
  <si>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</si>
  <si>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</si>
  <si>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</si>
  <si>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</si>
  <si>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</si>
  <si>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</si>
  <si>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</si>
  <si>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</si>
  <si>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</si>
  <si>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</si>
  <si>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</si>
  <si>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</si>
  <si>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</si>
  <si>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</si>
  <si>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</si>
  <si>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</si>
  <si>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</si>
  <si>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</si>
  <si>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</si>
  <si>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</si>
  <si>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</si>
  <si>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</si>
  <si>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</si>
  <si>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</si>
  <si>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</si>
  <si>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</si>
  <si>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</si>
  <si>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</si>
  <si>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</si>
  <si>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</si>
  <si>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</si>
  <si>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</si>
  <si>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</si>
  <si>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</si>
  <si>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</si>
  <si>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</si>
  <si>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</si>
  <si>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</si>
  <si>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</si>
  <si>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</si>
  <si>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</si>
  <si>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</si>
  <si>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</si>
  <si>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</si>
  <si>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</si>
  <si>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</si>
  <si>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</si>
  <si>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</si>
  <si>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</si>
  <si>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</si>
  <si>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1 (7.71)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</si>
  <si>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</si>
  <si>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</si>
  <si>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</si>
  <si>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</si>
  <si>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</si>
  <si>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</si>
  <si>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</si>
  <si>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</si>
  <si>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</si>
  <si>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</si>
  <si>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</si>
  <si>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</si>
  <si>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</si>
  <si>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</si>
  <si>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</si>
  <si>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</si>
  <si>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</si>
  <si>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</si>
  <si>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1 (8.83)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</si>
  <si>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</si>
  <si>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</si>
  <si>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</si>
  <si>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</si>
  <si>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</si>
  <si>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</si>
  <si>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</si>
  <si>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</si>
  <si>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</si>
  <si>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</si>
  <si>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t>Deafheaven</t>
  </si>
  <si>
    <t>blackgaze, post metal</t>
  </si>
  <si>
    <t>blackgaze</t>
  </si>
  <si>
    <t>1 (8.75)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</si>
  <si>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</si>
  <si>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</si>
  <si>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</si>
  <si>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</si>
  <si>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</si>
  <si>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</si>
  <si>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</si>
  <si>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</si>
  <si>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</si>
  <si>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</si>
  <si>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</si>
  <si>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</si>
  <si>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</si>
  <si>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progressive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</si>
  <si>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</si>
  <si>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</si>
  <si>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</si>
  <si>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</si>
  <si>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</si>
  <si>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</si>
  <si>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</si>
  <si>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</si>
  <si>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</si>
  <si>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</si>
  <si>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</si>
  <si>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</si>
  <si>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</si>
  <si>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</si>
  <si>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</si>
  <si>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</si>
  <si>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</si>
  <si>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</si>
  <si>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</si>
  <si>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</si>
  <si>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</si>
  <si>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</si>
  <si>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</si>
  <si>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</si>
  <si>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</si>
  <si>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</si>
  <si>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1 (8.45)</t>
  </si>
  <si>
    <t>deep house</t>
  </si>
  <si>
    <t>djent, progressive metal</t>
  </si>
  <si>
    <t>djent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</si>
  <si>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</si>
  <si>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</si>
  <si>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</si>
  <si>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</si>
  <si>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</si>
  <si>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</si>
  <si>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</si>
  <si>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</si>
  <si>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</si>
  <si>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</si>
  <si>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</si>
  <si>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</si>
  <si>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</si>
  <si>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</si>
  <si>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</si>
  <si>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</si>
  <si>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</si>
  <si>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</si>
  <si>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t>1 (8.11)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</si>
  <si>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</si>
  <si>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</si>
  <si>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</si>
  <si>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</si>
  <si>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</si>
  <si>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</si>
  <si>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</si>
  <si>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</si>
  <si>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</si>
  <si>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</si>
  <si>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</si>
  <si>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</si>
  <si>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</si>
  <si>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</si>
  <si>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</si>
  <si>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</si>
  <si>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</si>
  <si>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</si>
  <si>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</si>
  <si>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</si>
  <si>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</si>
  <si>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</si>
  <si>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</si>
  <si>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</si>
  <si>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</si>
  <si>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</si>
  <si>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</si>
  <si>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</si>
  <si>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</si>
  <si>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</si>
  <si>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</si>
  <si>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</si>
  <si>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art rock, indie rock</t>
  </si>
  <si>
    <t>alternative rock, stoner rock</t>
  </si>
  <si>
    <t>stoner rock</t>
  </si>
  <si>
    <t>1 (8.77)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</si>
  <si>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</si>
  <si>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</si>
  <si>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</si>
  <si>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</si>
  <si>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</si>
  <si>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</si>
  <si>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</si>
  <si>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</si>
  <si>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</si>
  <si>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</si>
  <si>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</si>
  <si>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</si>
  <si>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</si>
  <si>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</si>
  <si>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</si>
  <si>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</si>
  <si>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</si>
  <si>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</si>
  <si>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</si>
  <si>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</si>
  <si>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</si>
  <si>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</si>
  <si>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</si>
  <si>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</si>
  <si>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</si>
  <si>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</si>
  <si>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</si>
  <si>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</si>
  <si>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</si>
  <si>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</si>
  <si>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</si>
  <si>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</si>
  <si>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</si>
  <si>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</si>
  <si>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</si>
  <si>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</si>
  <si>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</si>
  <si>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</si>
  <si>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</si>
  <si>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</si>
  <si>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</si>
  <si>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</si>
  <si>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</si>
  <si>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</si>
  <si>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</si>
  <si>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</si>
  <si>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</si>
  <si>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</si>
  <si>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</si>
  <si>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</si>
  <si>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</si>
  <si>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</si>
  <si>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</si>
  <si>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</si>
  <si>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funk rock</t>
  </si>
  <si>
    <t>1 (8.86)</t>
  </si>
  <si>
    <t>progressive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</si>
  <si>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</si>
  <si>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</si>
  <si>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</si>
  <si>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</si>
  <si>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</si>
  <si>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</si>
  <si>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</si>
  <si>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</si>
  <si>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</si>
  <si>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</si>
  <si>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</si>
  <si>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</si>
  <si>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</si>
  <si>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</si>
  <si>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</si>
  <si>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</si>
  <si>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</si>
  <si>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</si>
  <si>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</si>
  <si>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</si>
  <si>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</si>
  <si>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</si>
  <si>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</si>
  <si>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</si>
  <si>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</si>
  <si>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</si>
  <si>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</si>
  <si>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</si>
  <si>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</si>
  <si>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</si>
  <si>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</si>
  <si>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</si>
  <si>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</si>
  <si>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</si>
  <si>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</si>
  <si>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</si>
  <si>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</si>
  <si>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</si>
  <si>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</si>
  <si>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</si>
  <si>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</si>
  <si>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</si>
  <si>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</si>
  <si>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4 (8.58)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</si>
  <si>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</si>
  <si>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</si>
  <si>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</si>
  <si>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</si>
  <si>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</si>
  <si>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</si>
  <si>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</si>
  <si>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</si>
  <si>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</si>
  <si>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</si>
  <si>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</si>
  <si>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</si>
  <si>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</si>
  <si>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</si>
  <si>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</si>
  <si>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</si>
  <si>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</si>
  <si>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</si>
  <si>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</si>
  <si>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</si>
  <si>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</si>
  <si>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</si>
  <si>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</si>
  <si>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</si>
  <si>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</si>
  <si>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</si>
  <si>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</si>
  <si>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</si>
  <si>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</si>
  <si>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</si>
  <si>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</si>
  <si>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</si>
  <si>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</si>
  <si>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</si>
  <si>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</si>
  <si>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</si>
  <si>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</si>
  <si>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</si>
  <si>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</si>
  <si>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</si>
  <si>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</si>
  <si>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</si>
  <si>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</si>
  <si>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</si>
  <si>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</si>
  <si>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</si>
  <si>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</si>
  <si>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</si>
  <si>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</si>
  <si>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</si>
  <si>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</si>
  <si>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</si>
  <si>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</si>
  <si>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</si>
  <si>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</si>
  <si>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</si>
  <si>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</si>
  <si>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</si>
  <si>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</si>
  <si>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</si>
  <si>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</si>
  <si>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</si>
  <si>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</si>
  <si>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</si>
  <si>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</si>
  <si>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</si>
  <si>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2 (8.72)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</si>
  <si>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</si>
  <si>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</si>
  <si>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</si>
  <si>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</si>
  <si>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</si>
  <si>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</si>
  <si>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</si>
  <si>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</si>
  <si>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</si>
  <si>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</si>
  <si>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</si>
  <si>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</si>
  <si>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</si>
  <si>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</si>
  <si>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</si>
  <si>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</si>
  <si>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</si>
  <si>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</si>
  <si>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</si>
  <si>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</si>
  <si>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</si>
  <si>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</si>
  <si>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</si>
  <si>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</si>
  <si>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</si>
  <si>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</si>
  <si>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</si>
  <si>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</si>
  <si>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</si>
  <si>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</si>
  <si>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</si>
  <si>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</si>
  <si>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</si>
  <si>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</si>
  <si>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</si>
  <si>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</si>
  <si>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</si>
  <si>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</si>
  <si>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</si>
  <si>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</si>
  <si>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</si>
  <si>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</si>
  <si>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</si>
  <si>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</si>
  <si>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</si>
  <si>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ambient, video game music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</si>
  <si>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</si>
  <si>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</si>
  <si>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</si>
  <si>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</si>
  <si>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</si>
  <si>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</si>
  <si>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</si>
  <si>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</si>
  <si>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</si>
  <si>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</si>
  <si>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</si>
  <si>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</si>
  <si>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</si>
  <si>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electroclash</t>
  </si>
  <si>
    <t>1 (8)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</si>
  <si>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</si>
  <si>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</si>
  <si>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</si>
  <si>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</si>
  <si>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</si>
  <si>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</si>
  <si>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</si>
  <si>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</si>
  <si>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</si>
  <si>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</si>
  <si>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</si>
  <si>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</si>
  <si>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</si>
  <si>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groove metal</t>
  </si>
  <si>
    <t>1 (8.44)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</si>
  <si>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</si>
  <si>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</si>
  <si>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</si>
  <si>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</si>
  <si>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</si>
  <si>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</si>
  <si>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</si>
  <si>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</si>
  <si>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</si>
  <si>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</si>
  <si>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</si>
  <si>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</si>
  <si>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</si>
  <si>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</si>
  <si>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</si>
  <si>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</si>
  <si>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</si>
  <si>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</si>
  <si>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</si>
  <si>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</si>
  <si>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</si>
  <si>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symphonic prog</t>
  </si>
  <si>
    <t>1 (8.9)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</si>
  <si>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</si>
  <si>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</si>
  <si>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</si>
  <si>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</si>
  <si>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</si>
  <si>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</si>
  <si>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</si>
  <si>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</si>
  <si>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</si>
  <si>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</si>
  <si>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</si>
  <si>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</si>
  <si>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</si>
  <si>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</si>
  <si>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</si>
  <si>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</si>
  <si>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</si>
  <si>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</si>
  <si>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</si>
  <si>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</si>
  <si>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</si>
  <si>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</si>
  <si>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</si>
  <si>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</si>
  <si>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</si>
  <si>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</si>
  <si>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</si>
  <si>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</si>
  <si>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</si>
  <si>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</si>
  <si>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</si>
  <si>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</si>
  <si>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</si>
  <si>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</si>
  <si>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</si>
  <si>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</si>
  <si>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</si>
  <si>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</si>
  <si>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post britpop, pop rock, art rock, art pop</t>
  </si>
  <si>
    <t>2 (8.84)</t>
  </si>
  <si>
    <t>doom metal, stoner metal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</si>
  <si>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</si>
  <si>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</si>
  <si>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</si>
  <si>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</si>
  <si>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</si>
  <si>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</si>
  <si>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</si>
  <si>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</si>
  <si>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</si>
  <si>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</si>
  <si>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</si>
  <si>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</si>
  <si>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</si>
  <si>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</si>
  <si>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</si>
  <si>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</si>
  <si>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</si>
  <si>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</si>
  <si>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</si>
  <si>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</si>
  <si>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</si>
  <si>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</si>
  <si>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</si>
  <si>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</si>
  <si>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</si>
  <si>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2 (8.37)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</si>
  <si>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</si>
  <si>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</si>
  <si>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</si>
  <si>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</si>
  <si>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</si>
  <si>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</si>
  <si>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</si>
  <si>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</si>
  <si>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</si>
  <si>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</si>
  <si>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</si>
  <si>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</si>
  <si>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</si>
  <si>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</si>
  <si>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</si>
  <si>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</si>
  <si>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</si>
  <si>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</si>
  <si>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</si>
  <si>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</si>
  <si>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</si>
  <si>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</si>
  <si>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</si>
  <si>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</si>
  <si>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</si>
  <si>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</si>
  <si>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</si>
  <si>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</si>
  <si>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</si>
  <si>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</si>
  <si>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</si>
  <si>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</si>
  <si>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</si>
  <si>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</si>
  <si>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</si>
  <si>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</si>
  <si>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</si>
  <si>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</si>
  <si>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</si>
  <si>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</si>
  <si>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</si>
  <si>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</si>
  <si>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</si>
  <si>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</si>
  <si>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</si>
  <si>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</si>
  <si>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</si>
  <si>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</si>
  <si>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</si>
  <si>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</si>
  <si>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</si>
  <si>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</si>
  <si>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</si>
  <si>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</si>
  <si>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</si>
  <si>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</si>
  <si>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alternative rock, art rock</t>
  </si>
  <si>
    <r>
      <t xml:space="preserve">* Portishead - </t>
    </r>
    <r>
      <rPr>
        <b/>
        <sz val="14"/>
        <color theme="0"/>
        <rFont val="Aptos Narrow"/>
        <family val="2"/>
        <scheme val="minor"/>
      </rPr>
      <t>Dummy</t>
    </r>
  </si>
  <si>
    <t>Mysterons</t>
  </si>
  <si>
    <t>Sour Times</t>
  </si>
  <si>
    <t>Strangers</t>
  </si>
  <si>
    <t>It Could Be Sweet</t>
  </si>
  <si>
    <t>Wandering Star</t>
  </si>
  <si>
    <t>It's A Fire</t>
  </si>
  <si>
    <t>Roads</t>
  </si>
  <si>
    <t>Pedestal</t>
  </si>
  <si>
    <t>Biscuit</t>
  </si>
  <si>
    <t>Glory Box</t>
  </si>
  <si>
    <t>Portishead</t>
  </si>
  <si>
    <t>Dummy</t>
  </si>
  <si>
    <t>alternative rock, art rock, shoegaze</t>
  </si>
  <si>
    <t>2 (8.8)</t>
  </si>
  <si>
    <t>Eternal Rains Will Come</t>
  </si>
  <si>
    <t>Cusp of Eternity</t>
  </si>
  <si>
    <t>Moon Above, Sun Below</t>
  </si>
  <si>
    <t>Elysian Woes</t>
  </si>
  <si>
    <t>Goblin</t>
  </si>
  <si>
    <t>River</t>
  </si>
  <si>
    <t>Voice of Treason</t>
  </si>
  <si>
    <t>Faith in Others</t>
  </si>
  <si>
    <r>
      <t xml:space="preserve">* Opeth - </t>
    </r>
    <r>
      <rPr>
        <b/>
        <sz val="14"/>
        <color rgb="FFEACF04"/>
        <rFont val="Aptos Narrow"/>
        <family val="2"/>
        <scheme val="minor"/>
      </rPr>
      <t>Pale Communion</t>
    </r>
  </si>
  <si>
    <t>Pale Communion</t>
  </si>
  <si>
    <r>
      <t xml:space="preserve">* underscores - </t>
    </r>
    <r>
      <rPr>
        <b/>
        <sz val="14"/>
        <color theme="1" tint="0.14999847407452621"/>
        <rFont val="Aptos Narrow"/>
        <family val="2"/>
        <scheme val="minor"/>
      </rPr>
      <t>U</t>
    </r>
  </si>
  <si>
    <t>Tell Me (U Want It)</t>
  </si>
  <si>
    <t>Music</t>
  </si>
  <si>
    <t>Hollywood Forever</t>
  </si>
  <si>
    <t>The Peace</t>
  </si>
  <si>
    <t>Innuendo (I Get U)</t>
  </si>
  <si>
    <t>Lovefield</t>
  </si>
  <si>
    <t>Do It</t>
  </si>
  <si>
    <t>Bodyfeeling</t>
  </si>
  <si>
    <t>Wish U Well</t>
  </si>
  <si>
    <t>underscores</t>
  </si>
  <si>
    <t>U</t>
  </si>
  <si>
    <r>
      <t xml:space="preserve">* Slint - </t>
    </r>
    <r>
      <rPr>
        <b/>
        <sz val="14"/>
        <color theme="1"/>
        <rFont val="Aptos Narrow"/>
        <family val="2"/>
        <scheme val="minor"/>
      </rPr>
      <t>Spiderland</t>
    </r>
  </si>
  <si>
    <t>Breadcrumb Trail</t>
  </si>
  <si>
    <t>Nosferatu Man</t>
  </si>
  <si>
    <t>Don, Aman</t>
  </si>
  <si>
    <t>Washer</t>
  </si>
  <si>
    <t>For Dinner…</t>
  </si>
  <si>
    <t>Good Morning, Captain</t>
  </si>
  <si>
    <t>Slint</t>
  </si>
  <si>
    <t>Spiderland</t>
  </si>
  <si>
    <t>3 (8.57)</t>
  </si>
  <si>
    <t>3 (8.45)</t>
  </si>
  <si>
    <t>post rock, post hardcore</t>
  </si>
  <si>
    <t>PEAK</t>
  </si>
  <si>
    <t>EXCEPTIONAL</t>
  </si>
  <si>
    <t>GREAT</t>
  </si>
  <si>
    <t>DECENT</t>
  </si>
  <si>
    <t>OKAY</t>
  </si>
  <si>
    <t>https://github.com/miguelrr11/top1000albums</t>
  </si>
  <si>
    <t>post hardcore</t>
  </si>
  <si>
    <r>
      <t xml:space="preserve">* Metallica - </t>
    </r>
    <r>
      <rPr>
        <b/>
        <sz val="14"/>
        <color rgb="FFCC0000"/>
        <rFont val="Aptos Narrow"/>
        <family val="2"/>
        <scheme val="minor"/>
      </rPr>
      <t>St. Anger</t>
    </r>
  </si>
  <si>
    <t>Frantic</t>
  </si>
  <si>
    <t>St. Anger</t>
  </si>
  <si>
    <t>Some Kind Of Monster</t>
  </si>
  <si>
    <t>Dirty Window</t>
  </si>
  <si>
    <t>Invisible Kid</t>
  </si>
  <si>
    <t>My World</t>
  </si>
  <si>
    <t>Shoot Me Again</t>
  </si>
  <si>
    <t>Sweet Amber</t>
  </si>
  <si>
    <t>The Unnamed Feeling</t>
  </si>
  <si>
    <t>Purify</t>
  </si>
  <si>
    <t>All Within My Hands</t>
  </si>
  <si>
    <t>Metallica - St. Anger (σ=1.37)</t>
  </si>
  <si>
    <r>
      <t>* Interpol -</t>
    </r>
    <r>
      <rPr>
        <b/>
        <sz val="12"/>
        <color theme="1"/>
        <rFont val="Aptos Narrow"/>
        <family val="2"/>
        <scheme val="minor"/>
      </rPr>
      <t xml:space="preserve"> Turn On The Bright Lights</t>
    </r>
  </si>
  <si>
    <r>
      <t xml:space="preserve">* Pink Floyd - </t>
    </r>
    <r>
      <rPr>
        <b/>
        <sz val="14"/>
        <color rgb="FF9B032E"/>
        <rFont val="Aptos Narrow"/>
        <family val="2"/>
        <scheme val="minor"/>
      </rPr>
      <t>Meddle</t>
    </r>
  </si>
  <si>
    <t>One of These Days</t>
  </si>
  <si>
    <t>A Pillow of Winds</t>
  </si>
  <si>
    <t>Fearless</t>
  </si>
  <si>
    <t>San Tropez</t>
  </si>
  <si>
    <t>Seamus</t>
  </si>
  <si>
    <t>Echoes</t>
  </si>
  <si>
    <t>Meddle</t>
  </si>
  <si>
    <t>Feel The Love</t>
  </si>
  <si>
    <t>Fire</t>
  </si>
  <si>
    <t>4th Dimension</t>
  </si>
  <si>
    <t>Freeee (Ghost Town Pt. 2)</t>
  </si>
  <si>
    <t>Reborn</t>
  </si>
  <si>
    <t>Kids See Ghosts</t>
  </si>
  <si>
    <t>Cudi Montage</t>
  </si>
  <si>
    <r>
      <t xml:space="preserve">* KIDS SEE GHOSTS - </t>
    </r>
    <r>
      <rPr>
        <b/>
        <sz val="12"/>
        <color rgb="FFFF0066"/>
        <rFont val="Aptos Narrow"/>
        <family val="2"/>
        <scheme val="minor"/>
      </rPr>
      <t>KIDS SEE GHOSTS</t>
    </r>
  </si>
  <si>
    <t>KIDS SEE GHOSTS</t>
  </si>
  <si>
    <t>pop rap, experimental hip hop</t>
  </si>
  <si>
    <r>
      <t xml:space="preserve">* Opeth - </t>
    </r>
    <r>
      <rPr>
        <b/>
        <sz val="14"/>
        <color rgb="FF90AEDA"/>
        <rFont val="Aptos Narrow"/>
        <scheme val="minor"/>
      </rPr>
      <t>My Arms, Your Hearse</t>
    </r>
  </si>
  <si>
    <t>Prologue</t>
  </si>
  <si>
    <t>April Ethereal</t>
  </si>
  <si>
    <t>When</t>
  </si>
  <si>
    <t>Madrigal</t>
  </si>
  <si>
    <t>The Amen Corner</t>
  </si>
  <si>
    <t>Demon Of The Fall</t>
  </si>
  <si>
    <t>Credence</t>
  </si>
  <si>
    <t>Karma</t>
  </si>
  <si>
    <t>Epilogue</t>
  </si>
  <si>
    <t>My Arms, Your Hearse</t>
  </si>
  <si>
    <t>1 (8 - 9)</t>
  </si>
  <si>
    <t>Tekka</t>
  </si>
  <si>
    <t>Dsco</t>
  </si>
  <si>
    <t>Velocity</t>
  </si>
  <si>
    <t>Fruitcake and Cookies</t>
  </si>
  <si>
    <t>Sept</t>
  </si>
  <si>
    <t>Pro: Lov: Ad</t>
  </si>
  <si>
    <t>Design: I</t>
  </si>
  <si>
    <t>International</t>
  </si>
  <si>
    <t>Dedicated</t>
  </si>
  <si>
    <t>Chocolate Matter</t>
  </si>
  <si>
    <t>To All Dancers of the World, A Round Form of Fantasy</t>
  </si>
  <si>
    <t>Design: 2: 3</t>
  </si>
  <si>
    <r>
      <t xml:space="preserve">* Sweet Trip - </t>
    </r>
    <r>
      <rPr>
        <b/>
        <sz val="12"/>
        <color rgb="FF0070C0"/>
        <rFont val="Aptos Narrow"/>
        <family val="2"/>
        <scheme val="minor"/>
      </rPr>
      <t>Velocity: Design: Comfort.</t>
    </r>
  </si>
  <si>
    <t>Velocity: Design: Comfort.</t>
  </si>
  <si>
    <t>idm, dream pop</t>
  </si>
  <si>
    <t>idm, dream pop, indie pop</t>
  </si>
  <si>
    <t>idm</t>
  </si>
  <si>
    <r>
      <t xml:space="preserve">* Billie Eilish - </t>
    </r>
    <r>
      <rPr>
        <b/>
        <sz val="12"/>
        <color theme="0" tint="-0.14999847407452621"/>
        <rFont val="Aptos Narrow"/>
        <family val="2"/>
        <scheme val="minor"/>
      </rPr>
      <t>HIT ME HARD AND SOFT</t>
    </r>
  </si>
  <si>
    <t>SKINNY</t>
  </si>
  <si>
    <t>LUNCH</t>
  </si>
  <si>
    <t>CHIHIRO</t>
  </si>
  <si>
    <t>BIRDS OF A FEATHER</t>
  </si>
  <si>
    <t>WILDFLOWER</t>
  </si>
  <si>
    <t>THE GREATEST</t>
  </si>
  <si>
    <t>L'AMOUR DE MA VIE</t>
  </si>
  <si>
    <t>THE DINER</t>
  </si>
  <si>
    <t>BITTERSUITE</t>
  </si>
  <si>
    <t>BLUE</t>
  </si>
  <si>
    <t>Billie Eilish</t>
  </si>
  <si>
    <t>HIT ME HARD AND SOFT</t>
  </si>
  <si>
    <t>alt pop</t>
  </si>
  <si>
    <t>1 (8.6)</t>
  </si>
  <si>
    <t>Too Long</t>
  </si>
  <si>
    <t>5 (8.57)</t>
  </si>
  <si>
    <r>
      <t>* The Strokes -</t>
    </r>
    <r>
      <rPr>
        <b/>
        <sz val="14"/>
        <color rgb="FF422100"/>
        <rFont val="Aptos Narrow"/>
        <family val="2"/>
        <scheme val="minor"/>
      </rPr>
      <t xml:space="preserve"> Is This It</t>
    </r>
  </si>
  <si>
    <t>Is This It</t>
  </si>
  <si>
    <t>The Modern Age</t>
  </si>
  <si>
    <t>Barely Legal</t>
  </si>
  <si>
    <t>Someday</t>
  </si>
  <si>
    <t>Alone, Together</t>
  </si>
  <si>
    <t>Last Nite</t>
  </si>
  <si>
    <t>Hard To Explain</t>
  </si>
  <si>
    <t>New York City Cops</t>
  </si>
  <si>
    <t>Trying Your Luck</t>
  </si>
  <si>
    <t>Take It Or Leave It</t>
  </si>
  <si>
    <t>garage rock revival, indie rock</t>
  </si>
  <si>
    <t>KING</t>
  </si>
  <si>
    <t>THIS IS A MUST</t>
  </si>
  <si>
    <t>FATHER</t>
  </si>
  <si>
    <t>ALL THE LOVE</t>
  </si>
  <si>
    <t>PUNCH DRINK</t>
  </si>
  <si>
    <t>WHATEVER WORKS</t>
  </si>
  <si>
    <t>MAMA'S FAVORITE</t>
  </si>
  <si>
    <t>SISTERS AND BROTHERS</t>
  </si>
  <si>
    <t>BULLY</t>
  </si>
  <si>
    <t>HIGHS AND LOWS</t>
  </si>
  <si>
    <t>I CAN'T WAIT</t>
  </si>
  <si>
    <t>WHILE LINES</t>
  </si>
  <si>
    <t>CIRCLES</t>
  </si>
  <si>
    <t>PREACHER MAN</t>
  </si>
  <si>
    <t>BEAUTY AND THE BEAST</t>
  </si>
  <si>
    <t>DAMN</t>
  </si>
  <si>
    <t>LAST BREATH</t>
  </si>
  <si>
    <t>THIS ONE HERE</t>
  </si>
  <si>
    <r>
      <t xml:space="preserve">* Kanye West - </t>
    </r>
    <r>
      <rPr>
        <b/>
        <sz val="14"/>
        <color theme="0" tint="-0.14999847407452621"/>
        <rFont val="Aptos Narrow"/>
        <family val="2"/>
        <scheme val="minor"/>
      </rPr>
      <t>BULLY</t>
    </r>
  </si>
  <si>
    <t>garage rock revival</t>
  </si>
  <si>
    <t>1 (8.18)</t>
  </si>
  <si>
    <t>35m</t>
  </si>
  <si>
    <t>1h 16m</t>
  </si>
  <si>
    <t>44m</t>
  </si>
  <si>
    <t>42m</t>
  </si>
  <si>
    <t>1h 15m</t>
  </si>
  <si>
    <t>1h 17m</t>
  </si>
  <si>
    <t>53m</t>
  </si>
  <si>
    <t>1h 26m</t>
  </si>
  <si>
    <t>41m</t>
  </si>
  <si>
    <t>1h 7m</t>
  </si>
  <si>
    <t>54m</t>
  </si>
  <si>
    <t>47m</t>
  </si>
  <si>
    <t>38m</t>
  </si>
  <si>
    <t>1h 24m</t>
  </si>
  <si>
    <t>51m</t>
  </si>
  <si>
    <t>1h 1m</t>
  </si>
  <si>
    <t>40m</t>
  </si>
  <si>
    <t>1h 5m</t>
  </si>
  <si>
    <t>59m</t>
  </si>
  <si>
    <t>1h 6m</t>
  </si>
  <si>
    <t>48m</t>
  </si>
  <si>
    <t>46m</t>
  </si>
  <si>
    <t>1h 13m</t>
  </si>
  <si>
    <t>58m</t>
  </si>
  <si>
    <t>1h 19m</t>
  </si>
  <si>
    <t>49m</t>
  </si>
  <si>
    <t>45m</t>
  </si>
  <si>
    <t>36m</t>
  </si>
  <si>
    <t>1h 14m</t>
  </si>
  <si>
    <t>1h 8m</t>
  </si>
  <si>
    <t>52m</t>
  </si>
  <si>
    <t>2h 1m</t>
  </si>
  <si>
    <t>39m</t>
  </si>
  <si>
    <t>57m</t>
  </si>
  <si>
    <t>1h 3m</t>
  </si>
  <si>
    <t>56m</t>
  </si>
  <si>
    <t>1h 2m</t>
  </si>
  <si>
    <t>37m</t>
  </si>
  <si>
    <t>1h 12m</t>
  </si>
  <si>
    <t>43m</t>
  </si>
  <si>
    <t>1h 0m</t>
  </si>
  <si>
    <t>1h 11m</t>
  </si>
  <si>
    <t>34m</t>
  </si>
  <si>
    <t>55m</t>
  </si>
  <si>
    <t>23m</t>
  </si>
  <si>
    <t>24m</t>
  </si>
  <si>
    <t>29m</t>
  </si>
  <si>
    <t>50m</t>
  </si>
  <si>
    <t>Año</t>
  </si>
  <si>
    <t>Duración</t>
  </si>
  <si>
    <t>1971 - 1977</t>
  </si>
  <si>
    <t>1993 - 2019</t>
  </si>
  <si>
    <t>1969 - 2024</t>
  </si>
  <si>
    <t>2003 - 2009</t>
  </si>
  <si>
    <t>1978 - 1985</t>
  </si>
  <si>
    <t>2000 - 2005</t>
  </si>
  <si>
    <t>1h 4m</t>
  </si>
  <si>
    <t>1993 - 2016</t>
  </si>
  <si>
    <t>2005 - 2016</t>
  </si>
  <si>
    <t>2001 - 2020</t>
  </si>
  <si>
    <t>1993 - 1995</t>
  </si>
  <si>
    <t>1h 32m</t>
  </si>
  <si>
    <t>1997 - 2013</t>
  </si>
  <si>
    <t>1990 - 2026</t>
  </si>
  <si>
    <t>2010 - 2026</t>
  </si>
  <si>
    <t>3 (7.93)</t>
  </si>
  <si>
    <t>AÑO</t>
  </si>
  <si>
    <t>Álbumes con año</t>
  </si>
  <si>
    <t>Año más antiguo</t>
  </si>
  <si>
    <t>Año más reciente</t>
  </si>
  <si>
    <t>Décadas con más álbumes</t>
  </si>
  <si>
    <t>Década mejor puntuada</t>
  </si>
  <si>
    <t>ÁLBUMES POR DÉCADA</t>
  </si>
  <si>
    <t>1960s</t>
  </si>
  <si>
    <t>1970s</t>
  </si>
  <si>
    <t>1980s</t>
  </si>
  <si>
    <t>1990s</t>
  </si>
  <si>
    <t>2000s</t>
  </si>
  <si>
    <t>2010s</t>
  </si>
  <si>
    <t>2020s</t>
  </si>
  <si>
    <t>DURACIÓN</t>
  </si>
  <si>
    <t>Álbumes con duración</t>
  </si>
  <si>
    <t>Duración media</t>
  </si>
  <si>
    <t>Más largo</t>
  </si>
  <si>
    <t>Más corto</t>
  </si>
  <si>
    <t>KIDS SEE GHOSTS - KIDS SEE GHOSTS (23m)</t>
  </si>
  <si>
    <t>CORRELACIONES CON 3RD EYE SCORE</t>
  </si>
  <si>
    <t>(r: −1 negativa · 0 nula · +1 positiva)</t>
  </si>
  <si>
    <t>Interludios (absoluto)</t>
  </si>
  <si>
    <t>Año de publicación</t>
  </si>
  <si>
    <t>Duración (minutos)</t>
  </si>
  <si>
    <t>Mayor correlación</t>
  </si>
  <si>
    <t>Menor correlación</t>
  </si>
  <si>
    <r>
      <t xml:space="preserve">* Opeth - </t>
    </r>
    <r>
      <rPr>
        <b/>
        <sz val="12"/>
        <color rgb="FFE8D4C2"/>
        <rFont val="Aptos Narrow"/>
        <family val="2"/>
        <scheme val="minor"/>
      </rPr>
      <t>The Last Will And Testament</t>
    </r>
  </si>
  <si>
    <t>§1</t>
  </si>
  <si>
    <t>§2</t>
  </si>
  <si>
    <t>§3</t>
  </si>
  <si>
    <t>§4</t>
  </si>
  <si>
    <t>§5</t>
  </si>
  <si>
    <t>§6</t>
  </si>
  <si>
    <t>§7</t>
  </si>
  <si>
    <t>A Story Never Told</t>
  </si>
  <si>
    <t>The Last Will And Testament</t>
  </si>
  <si>
    <r>
      <t>* Steven Wilson -</t>
    </r>
    <r>
      <rPr>
        <b/>
        <sz val="10"/>
        <color rgb="FFE8D4C2"/>
        <rFont val="Aptos Narrow"/>
        <family val="2"/>
        <scheme val="minor"/>
      </rPr>
      <t xml:space="preserve"> The Raven That Refused to Sing (and Other Stories)</t>
    </r>
  </si>
  <si>
    <t>Luminol</t>
  </si>
  <si>
    <t>Drive Home</t>
  </si>
  <si>
    <t>The Holy Drinker</t>
  </si>
  <si>
    <t>The Pin Drop</t>
  </si>
  <si>
    <t>The Watchmaker</t>
  </si>
  <si>
    <t>The Raven That Refused to Sing</t>
  </si>
  <si>
    <t>Steven Wilson</t>
  </si>
  <si>
    <t>The Raven That Refused to Sing (and Other Stories)</t>
  </si>
  <si>
    <t>progressive metal, death metal, progressive rock</t>
  </si>
  <si>
    <t>1996 - 2024</t>
  </si>
  <si>
    <t>3rd EYE SCORE *</t>
  </si>
  <si>
    <r>
      <t>* Neurosis -</t>
    </r>
    <r>
      <rPr>
        <b/>
        <sz val="10.5"/>
        <color theme="1"/>
        <rFont val="Aptos Narrow"/>
        <family val="2"/>
        <scheme val="minor"/>
      </rPr>
      <t xml:space="preserve"> An Undying Love for a Burning World</t>
    </r>
  </si>
  <si>
    <t>We Are Torn Wide Open</t>
  </si>
  <si>
    <t>Mirror Deep</t>
  </si>
  <si>
    <t>First Red Rays</t>
  </si>
  <si>
    <t>Blind</t>
  </si>
  <si>
    <t>Seething and Scattered</t>
  </si>
  <si>
    <t>Untethered</t>
  </si>
  <si>
    <t>In the Waiting Hours</t>
  </si>
  <si>
    <t>Last Night</t>
  </si>
  <si>
    <t>Neurosis</t>
  </si>
  <si>
    <t>An Undying Love for a Burning World</t>
  </si>
  <si>
    <t>atmospheric sludge metal</t>
  </si>
  <si>
    <r>
      <t xml:space="preserve">* Black Sabbath - </t>
    </r>
    <r>
      <rPr>
        <b/>
        <sz val="14"/>
        <color rgb="FFFD698C"/>
        <rFont val="Aptos Narrow"/>
        <family val="2"/>
        <scheme val="minor"/>
      </rPr>
      <t>Paranoid</t>
    </r>
  </si>
  <si>
    <t>War Pigs</t>
  </si>
  <si>
    <t>Paranoid</t>
  </si>
  <si>
    <t>Planet Caravan</t>
  </si>
  <si>
    <t>Iron Man</t>
  </si>
  <si>
    <t>Electric Funeral</t>
  </si>
  <si>
    <t>Hand of Doom</t>
  </si>
  <si>
    <t>Rat Salad</t>
  </si>
  <si>
    <t>Fairies Wear Boots</t>
  </si>
  <si>
    <t>Black Sabbath</t>
  </si>
  <si>
    <t>1 (8.43)</t>
  </si>
  <si>
    <t>heavy metal, hard rock</t>
  </si>
  <si>
    <r>
      <t xml:space="preserve">* The Notorious B.I.G. - </t>
    </r>
    <r>
      <rPr>
        <b/>
        <sz val="12"/>
        <color rgb="FFFF0000"/>
        <rFont val="Aptos Narrow"/>
        <family val="2"/>
        <scheme val="minor"/>
      </rPr>
      <t>Ready to Die</t>
    </r>
  </si>
  <si>
    <t>Things Done Changed</t>
  </si>
  <si>
    <t>Gimmie the Loot</t>
  </si>
  <si>
    <t>Machine Gun Funk</t>
  </si>
  <si>
    <t>Warning</t>
  </si>
  <si>
    <t>Ready to Die</t>
  </si>
  <si>
    <t>One More Chance</t>
  </si>
  <si>
    <t>Fuck Me (Interlude)</t>
  </si>
  <si>
    <t>The What</t>
  </si>
  <si>
    <t>Juicy</t>
  </si>
  <si>
    <t>Everyday Struggle</t>
  </si>
  <si>
    <t>Me and My Bitch</t>
  </si>
  <si>
    <t>Big Poppa</t>
  </si>
  <si>
    <t>Respect</t>
  </si>
  <si>
    <t>Friend of Mine</t>
  </si>
  <si>
    <t>Unbelievable</t>
  </si>
  <si>
    <t>Suicidal Thoughts</t>
  </si>
  <si>
    <t>Who Shot Ya?</t>
  </si>
  <si>
    <t>Just Playing (Dreams)</t>
  </si>
  <si>
    <t>The Notorious B.I.G.</t>
  </si>
  <si>
    <t>hard rock</t>
  </si>
  <si>
    <t>gangsta rap, boom bap</t>
  </si>
  <si>
    <r>
      <rPr>
        <sz val="14"/>
        <color rgb="FFD50000"/>
        <rFont val="Aptos Narrow"/>
        <family val="2"/>
        <scheme val="minor"/>
      </rPr>
      <t>* TOOL</t>
    </r>
    <r>
      <rPr>
        <b/>
        <sz val="14"/>
        <color rgb="FFD50000"/>
        <rFont val="Aptos Narrow"/>
        <family val="2"/>
        <scheme val="minor"/>
      </rPr>
      <t xml:space="preserve"> - Undertow</t>
    </r>
  </si>
  <si>
    <r>
      <t xml:space="preserve">* C418 - </t>
    </r>
    <r>
      <rPr>
        <b/>
        <sz val="12"/>
        <color rgb="FFFD5E1F"/>
        <rFont val="Aptos Narrow"/>
        <family val="2"/>
        <scheme val="minor"/>
      </rPr>
      <t>Minecraft Volume Beta [OST]</t>
    </r>
  </si>
  <si>
    <t>Ki</t>
  </si>
  <si>
    <t>Alpha</t>
  </si>
  <si>
    <t>Dead Voxel</t>
  </si>
  <si>
    <t>Blind Spots</t>
  </si>
  <si>
    <t>Flake</t>
  </si>
  <si>
    <t>Moog City 2</t>
  </si>
  <si>
    <t>Concrete Halls</t>
  </si>
  <si>
    <t>Biome Fest</t>
  </si>
  <si>
    <t>Mutation</t>
  </si>
  <si>
    <t>Haunt Muskie</t>
  </si>
  <si>
    <t>Warmth</t>
  </si>
  <si>
    <t>Floating Trees</t>
  </si>
  <si>
    <t>Aria Math</t>
  </si>
  <si>
    <t>Kyoto</t>
  </si>
  <si>
    <t>Ballad of the Cats</t>
  </si>
  <si>
    <t>Taswell</t>
  </si>
  <si>
    <t>Beginning 2</t>
  </si>
  <si>
    <t>Dreiton</t>
  </si>
  <si>
    <t>The End</t>
  </si>
  <si>
    <t>Chirp</t>
  </si>
  <si>
    <t>Wait</t>
  </si>
  <si>
    <t>Mellohi</t>
  </si>
  <si>
    <t>Stal</t>
  </si>
  <si>
    <t>Strad</t>
  </si>
  <si>
    <t>Eleven</t>
  </si>
  <si>
    <t>Ward</t>
  </si>
  <si>
    <t>Mall</t>
  </si>
  <si>
    <t>Blocks</t>
  </si>
  <si>
    <t>Far</t>
  </si>
  <si>
    <t>Minecraft Volume Beta [OST]</t>
  </si>
  <si>
    <t>2 (8.59)</t>
  </si>
  <si>
    <t>gangsta rap</t>
  </si>
  <si>
    <t>2h 20m</t>
  </si>
  <si>
    <t>Immigrant Song</t>
  </si>
  <si>
    <t>Friends</t>
  </si>
  <si>
    <t>Celebration Day</t>
  </si>
  <si>
    <t>Since I've Been Loving You</t>
  </si>
  <si>
    <t>Out on the Tiles</t>
  </si>
  <si>
    <t>Gallows Pole</t>
  </si>
  <si>
    <t>Tangerine</t>
  </si>
  <si>
    <t>That's the Way</t>
  </si>
  <si>
    <t>Bron-Y-Aur Stomp</t>
  </si>
  <si>
    <t>Hats off To (Roy) Harper</t>
  </si>
  <si>
    <t>Led Zeppelin III</t>
  </si>
  <si>
    <t>2011 - 2013</t>
  </si>
  <si>
    <t>1h 39m</t>
  </si>
  <si>
    <t>3 (8.7)</t>
  </si>
  <si>
    <t>C418 - Minecraft Volume Beta [OST] (2h 20m)</t>
  </si>
  <si>
    <t>folk rock, hard rock</t>
  </si>
  <si>
    <t>1970 - 1971</t>
  </si>
  <si>
    <t>2 (8.96)</t>
  </si>
  <si>
    <t>folk rock</t>
  </si>
  <si>
    <r>
      <t>* Iron Maiden -</t>
    </r>
    <r>
      <rPr>
        <b/>
        <sz val="11"/>
        <color rgb="FFC00000"/>
        <rFont val="Aptos Narrow"/>
        <family val="2"/>
        <scheme val="minor"/>
      </rPr>
      <t xml:space="preserve"> Seventh Son of a Seventh Son</t>
    </r>
  </si>
  <si>
    <t>Infinite Dreams</t>
  </si>
  <si>
    <t>Can I Play with Madness</t>
  </si>
  <si>
    <t>The Evil Than Men Do</t>
  </si>
  <si>
    <t>Seventh Son of a Seventh Son</t>
  </si>
  <si>
    <t>The Prophecy</t>
  </si>
  <si>
    <t>The Clairvoyant</t>
  </si>
  <si>
    <t>Only the Good Die Young</t>
  </si>
  <si>
    <t>psychedelic rock (9.29)</t>
  </si>
  <si>
    <t>3 (9.29)</t>
  </si>
  <si>
    <t>Fecha de review</t>
  </si>
  <si>
    <t>1982 - 1988</t>
  </si>
  <si>
    <t>4 (8.85)</t>
  </si>
  <si>
    <t>10/04/2026</t>
  </si>
  <si>
    <t>09/04/2026</t>
  </si>
  <si>
    <t>08/04/2026</t>
  </si>
  <si>
    <t>07/04/2026</t>
  </si>
  <si>
    <t>06/04/2026</t>
  </si>
  <si>
    <t>01/04/2026</t>
  </si>
  <si>
    <t>31/03/2026</t>
  </si>
  <si>
    <t>30/03/2026</t>
  </si>
  <si>
    <t>29/03/2026</t>
  </si>
  <si>
    <t>27/03/2026</t>
  </si>
  <si>
    <t>26/03/2026</t>
  </si>
  <si>
    <t>25/03/2026</t>
  </si>
  <si>
    <t>23/03/2026</t>
  </si>
  <si>
    <t>22/03/2026</t>
  </si>
  <si>
    <t>20/03/2026</t>
  </si>
  <si>
    <t>19/03/2026</t>
  </si>
  <si>
    <t>18/03/2026</t>
  </si>
  <si>
    <t>17/03/2026</t>
  </si>
  <si>
    <t>16/03/2026</t>
  </si>
  <si>
    <t>15/03/2026</t>
  </si>
  <si>
    <t>13/03/2026</t>
  </si>
  <si>
    <t>12/03/2026</t>
  </si>
  <si>
    <t>11/03/2026</t>
  </si>
  <si>
    <t>10/03/2026</t>
  </si>
  <si>
    <t>09/03/2026</t>
  </si>
  <si>
    <t>07/03/2026</t>
  </si>
  <si>
    <t>06/03/2026</t>
  </si>
  <si>
    <t>05/03/2026</t>
  </si>
  <si>
    <t>04/03/2026</t>
  </si>
  <si>
    <t>03/03/2026</t>
  </si>
  <si>
    <t>02/03/2026</t>
  </si>
  <si>
    <t>01/03/2026</t>
  </si>
  <si>
    <t>28/02/2026</t>
  </si>
  <si>
    <t>27/02/2026</t>
  </si>
  <si>
    <t>26/02/2026</t>
  </si>
  <si>
    <t>25/02/2026</t>
  </si>
  <si>
    <t>24/02/2026</t>
  </si>
  <si>
    <t>23/02/2026</t>
  </si>
  <si>
    <t>22/02/2026</t>
  </si>
  <si>
    <t>20/02/2026</t>
  </si>
  <si>
    <t>19/02/2026</t>
  </si>
  <si>
    <t>18/02/2026</t>
  </si>
  <si>
    <t>17/02/2026</t>
  </si>
  <si>
    <t>16/02/2026</t>
  </si>
  <si>
    <t>15/02/2026</t>
  </si>
  <si>
    <t>13/02/2026</t>
  </si>
  <si>
    <t>12/02/2026</t>
  </si>
  <si>
    <t>11/02/2026</t>
  </si>
  <si>
    <t>10/02/2026</t>
  </si>
  <si>
    <t>06/02/2026</t>
  </si>
  <si>
    <t>05/02/2026</t>
  </si>
  <si>
    <t>04/02/2026</t>
  </si>
  <si>
    <t>03/02/2026</t>
  </si>
  <si>
    <t>02/02/2026</t>
  </si>
  <si>
    <t>31/01/2026</t>
  </si>
  <si>
    <t>30/01/2026</t>
  </si>
  <si>
    <t>29/01/2026</t>
  </si>
  <si>
    <t>28/01/2026</t>
  </si>
  <si>
    <t>26/01/2026</t>
  </si>
  <si>
    <t>25/01/2026</t>
  </si>
  <si>
    <t>24/01/2026</t>
  </si>
  <si>
    <t>23/01/2026</t>
  </si>
  <si>
    <t>22/01/2026</t>
  </si>
  <si>
    <t>21/01/2026</t>
  </si>
  <si>
    <t>20/01/2026</t>
  </si>
  <si>
    <t>19/01/2026</t>
  </si>
  <si>
    <t>18/01/2026</t>
  </si>
  <si>
    <t>17/01/2026</t>
  </si>
  <si>
    <t/>
  </si>
  <si>
    <t>-</t>
  </si>
  <si>
    <r>
      <t xml:space="preserve">* Edge of Sanity - </t>
    </r>
    <r>
      <rPr>
        <b/>
        <sz val="14"/>
        <color rgb="FFFF0066"/>
        <rFont val="Aptos Narrow"/>
        <family val="2"/>
        <scheme val="minor"/>
      </rPr>
      <t>Crimson</t>
    </r>
  </si>
  <si>
    <r>
      <t xml:space="preserve">* Led Zeppelin - </t>
    </r>
    <r>
      <rPr>
        <b/>
        <sz val="14"/>
        <color theme="1"/>
        <rFont val="Aptos Narrow"/>
        <family val="2"/>
        <scheme val="minor"/>
      </rPr>
      <t>Led Zeppelin III</t>
    </r>
  </si>
  <si>
    <t>Crimson, Pt. 1</t>
  </si>
  <si>
    <t>Crimson, Pt. 2</t>
  </si>
  <si>
    <t>Crimson, Pt. 3</t>
  </si>
  <si>
    <t>Crimson, Pt. 4</t>
  </si>
  <si>
    <t>Crimson, Pt. 5</t>
  </si>
  <si>
    <t>Crimson, Pt. 6</t>
  </si>
  <si>
    <t>Crimson, Pt. 7</t>
  </si>
  <si>
    <t>Crimson, Pt. 8</t>
  </si>
  <si>
    <t>Edge of Sanity</t>
  </si>
  <si>
    <t>Crimson</t>
  </si>
  <si>
    <t>melodic death metal</t>
  </si>
  <si>
    <r>
      <t>* Magdalena Bay -</t>
    </r>
    <r>
      <rPr>
        <b/>
        <sz val="14"/>
        <color theme="0"/>
        <rFont val="Aptos Narrow"/>
        <family val="2"/>
        <scheme val="minor"/>
      </rPr>
      <t xml:space="preserve"> Imaginal Disk</t>
    </r>
  </si>
  <si>
    <t>She Looked Like Me!</t>
  </si>
  <si>
    <t>Killing Time</t>
  </si>
  <si>
    <t>True Blue Interlude</t>
  </si>
  <si>
    <t>Image</t>
  </si>
  <si>
    <t>Death &amp; Romance</t>
  </si>
  <si>
    <t>Fear, Sex</t>
  </si>
  <si>
    <t>Vampire in the Corner</t>
  </si>
  <si>
    <t>Watching T.V.</t>
  </si>
  <si>
    <t>Tunnel Vision</t>
  </si>
  <si>
    <t>Love Is Everywhere</t>
  </si>
  <si>
    <t>Feeling DiskInserted?</t>
  </si>
  <si>
    <t>That's My Floor</t>
  </si>
  <si>
    <t>Cry for Me</t>
  </si>
  <si>
    <t>Angel on a Satellite</t>
  </si>
  <si>
    <t>The Ballad of Matt &amp; Mica</t>
  </si>
  <si>
    <t>Magdalena Bay</t>
  </si>
  <si>
    <t>Imaginal Disk</t>
  </si>
  <si>
    <t>neo Psychedelia, synthpop</t>
  </si>
  <si>
    <t>13/04/2026</t>
  </si>
  <si>
    <r>
      <t xml:space="preserve">* Soda Stereo - </t>
    </r>
    <r>
      <rPr>
        <b/>
        <sz val="14"/>
        <color rgb="FF360000"/>
        <rFont val="Aptos Narrow"/>
        <family val="2"/>
        <scheme val="minor"/>
      </rPr>
      <t>Dynamo</t>
    </r>
  </si>
  <si>
    <t>Secuencia Inicial</t>
  </si>
  <si>
    <t>Toma La Ruta</t>
  </si>
  <si>
    <t>En Remolinos</t>
  </si>
  <si>
    <t>Primavera 0</t>
  </si>
  <si>
    <t>Camaleón</t>
  </si>
  <si>
    <t>Luna Roja</t>
  </si>
  <si>
    <t>Sweet Sahumerio</t>
  </si>
  <si>
    <t>Ameba</t>
  </si>
  <si>
    <t>Nuestra Fe</t>
  </si>
  <si>
    <t>Claroscuro</t>
  </si>
  <si>
    <t>Fue</t>
  </si>
  <si>
    <t>Texturas</t>
  </si>
  <si>
    <t>Soda Stereo</t>
  </si>
  <si>
    <t>Dynamo</t>
  </si>
  <si>
    <t>neo Psychedelia</t>
  </si>
  <si>
    <t>synthpop</t>
  </si>
  <si>
    <t>shoegaze, alternative rock</t>
  </si>
  <si>
    <t>Excursions</t>
  </si>
  <si>
    <t>Buggin' Out</t>
  </si>
  <si>
    <t>Rap Promoter</t>
  </si>
  <si>
    <t>Butter</t>
  </si>
  <si>
    <t>Verses from the Abstract</t>
  </si>
  <si>
    <t>Show Business</t>
  </si>
  <si>
    <t>Vibes and Stuff</t>
  </si>
  <si>
    <t>Infamous Date Rape</t>
  </si>
  <si>
    <t>Check the Rhime</t>
  </si>
  <si>
    <t>Everything Is Fair</t>
  </si>
  <si>
    <t>Jazz (We've Got)</t>
  </si>
  <si>
    <t>Skypager</t>
  </si>
  <si>
    <t>What?</t>
  </si>
  <si>
    <t>Scenario</t>
  </si>
  <si>
    <r>
      <t>* A Tribe Called Quest -</t>
    </r>
    <r>
      <rPr>
        <b/>
        <sz val="11"/>
        <color rgb="FF00CC99"/>
        <rFont val="Aptos Narrow"/>
        <family val="2"/>
        <scheme val="minor"/>
      </rPr>
      <t xml:space="preserve"> The Low End Theory</t>
    </r>
  </si>
  <si>
    <t>A Tribe Called Quest</t>
  </si>
  <si>
    <t>The Low End Theory</t>
  </si>
  <si>
    <t>2002 - 2006</t>
  </si>
  <si>
    <t>jazz rap, conscious hip hop</t>
  </si>
  <si>
    <r>
      <rPr>
        <sz val="14"/>
        <color theme="1"/>
        <rFont val="Aptos Narrow"/>
        <family val="2"/>
        <scheme val="minor"/>
      </rPr>
      <t xml:space="preserve">* TOOL </t>
    </r>
    <r>
      <rPr>
        <b/>
        <sz val="14"/>
        <color theme="1"/>
        <rFont val="Aptos Narrow"/>
        <family val="2"/>
        <scheme val="minor"/>
      </rPr>
      <t>- 10,000 Days</t>
    </r>
  </si>
  <si>
    <r>
      <t xml:space="preserve">* Nujabes - </t>
    </r>
    <r>
      <rPr>
        <b/>
        <sz val="14"/>
        <color rgb="FF61D59E"/>
        <rFont val="Aptos Narrow"/>
        <family val="2"/>
        <scheme val="minor"/>
      </rPr>
      <t>Metaphorical Music</t>
    </r>
  </si>
  <si>
    <t>Blessing It -remix</t>
  </si>
  <si>
    <t>Horn in the middle</t>
  </si>
  <si>
    <t>Lady Brown</t>
  </si>
  <si>
    <t>Kunomi</t>
  </si>
  <si>
    <t>Highs 2 Lows</t>
  </si>
  <si>
    <t>Beat laments the world</t>
  </si>
  <si>
    <t>Letter from Yokosuka</t>
  </si>
  <si>
    <t>Think Different</t>
  </si>
  <si>
    <t>A day by atmosphere supreme</t>
  </si>
  <si>
    <t>Next view</t>
  </si>
  <si>
    <t>Latitude -remix</t>
  </si>
  <si>
    <t>F.I.LO.</t>
  </si>
  <si>
    <t>Summer Gypsy</t>
  </si>
  <si>
    <t>The Final View</t>
  </si>
  <si>
    <t>Peaceland</t>
  </si>
  <si>
    <t>14/04/2026</t>
  </si>
  <si>
    <t>Metaphorical Music</t>
  </si>
  <si>
    <t>7 (9.03)</t>
  </si>
  <si>
    <t>2 (8.68)</t>
  </si>
  <si>
    <t>15/04/2026</t>
  </si>
  <si>
    <r>
      <t xml:space="preserve">* Metallica - </t>
    </r>
    <r>
      <rPr>
        <b/>
        <sz val="14"/>
        <color rgb="FFFF0000"/>
        <rFont val="Aptos Narrow"/>
        <family val="2"/>
        <scheme val="minor"/>
      </rPr>
      <t>Kill 'Em All</t>
    </r>
  </si>
  <si>
    <t>Hit The Lights</t>
  </si>
  <si>
    <t>The Four Horsemen</t>
  </si>
  <si>
    <t>Motorbreath</t>
  </si>
  <si>
    <t>Jump In The Fire</t>
  </si>
  <si>
    <t>(Anesthesia) Pulling Teeth</t>
  </si>
  <si>
    <t>Whiplash</t>
  </si>
  <si>
    <t>Phantom Lord</t>
  </si>
  <si>
    <t>No Remorse</t>
  </si>
  <si>
    <t>Seek &amp; Destroy</t>
  </si>
  <si>
    <t>Metal Militia</t>
  </si>
  <si>
    <t>Kill 'Em All</t>
  </si>
  <si>
    <t>2003 - 2005</t>
  </si>
  <si>
    <t>5 (8.69)</t>
  </si>
  <si>
    <t>2 (8.64)</t>
  </si>
  <si>
    <t>1983 - 2021</t>
  </si>
  <si>
    <t>The Rain</t>
  </si>
  <si>
    <t>Destiny</t>
  </si>
  <si>
    <t>Lay Down</t>
  </si>
  <si>
    <t>Smoking Gun</t>
  </si>
  <si>
    <t>Happy Song</t>
  </si>
  <si>
    <t>Reach Out</t>
  </si>
  <si>
    <t>8:30 p.m.</t>
  </si>
  <si>
    <t>Fly Today</t>
  </si>
  <si>
    <t>Tryna Get By</t>
  </si>
  <si>
    <t>Let My Love Shine</t>
  </si>
  <si>
    <r>
      <t xml:space="preserve">* Cabin Beat - </t>
    </r>
    <r>
      <rPr>
        <b/>
        <sz val="14"/>
        <color rgb="FF533F01"/>
        <rFont val="Aptos Narrow"/>
        <family val="2"/>
        <scheme val="minor"/>
      </rPr>
      <t>Busy Being Born</t>
    </r>
  </si>
  <si>
    <t>Cabin Beat</t>
  </si>
  <si>
    <t>Busy Being Born</t>
  </si>
  <si>
    <r>
      <t xml:space="preserve">* Opeth - </t>
    </r>
    <r>
      <rPr>
        <b/>
        <sz val="14"/>
        <color rgb="FF8DF735"/>
        <rFont val="Aptos Narrow"/>
        <family val="2"/>
        <scheme val="minor"/>
      </rPr>
      <t>Watershed</t>
    </r>
  </si>
  <si>
    <t>Coil</t>
  </si>
  <si>
    <t>Heir Apparent</t>
  </si>
  <si>
    <t>The Lotus Eater</t>
  </si>
  <si>
    <t>Burden</t>
  </si>
  <si>
    <t>Porcelain Heart</t>
  </si>
  <si>
    <t>Hessian Peel</t>
  </si>
  <si>
    <t>Hex Omega</t>
  </si>
  <si>
    <t>Watershed</t>
  </si>
  <si>
    <t>6 (8.81)</t>
  </si>
  <si>
    <r>
      <t xml:space="preserve">* The Beatles - </t>
    </r>
    <r>
      <rPr>
        <b/>
        <sz val="14"/>
        <color rgb="FF002060"/>
        <rFont val="Aptos Narrow"/>
        <family val="2"/>
        <scheme val="minor"/>
      </rPr>
      <t>Abbey Road</t>
    </r>
  </si>
  <si>
    <t>Come Together</t>
  </si>
  <si>
    <t>Something</t>
  </si>
  <si>
    <t>Maxwell's Silver Hammer</t>
  </si>
  <si>
    <t>Oh! Darling</t>
  </si>
  <si>
    <t>Octopus's Garden</t>
  </si>
  <si>
    <t>I Want You (She's So Heavy)</t>
  </si>
  <si>
    <t>Here Comes The Sun</t>
  </si>
  <si>
    <t>Because</t>
  </si>
  <si>
    <t>You Never Give Me Your Money</t>
  </si>
  <si>
    <t>Sun King</t>
  </si>
  <si>
    <t>Mean Mr Mustard</t>
  </si>
  <si>
    <t>Polythene Pam</t>
  </si>
  <si>
    <t>She Came In Through The Bathroom Window</t>
  </si>
  <si>
    <t>Golden Slumbers</t>
  </si>
  <si>
    <t>Carry The Weight</t>
  </si>
  <si>
    <t>Her Majesty</t>
  </si>
  <si>
    <t>The Beatles</t>
  </si>
  <si>
    <t>Abbey Road</t>
  </si>
  <si>
    <t>16/04/2026</t>
  </si>
  <si>
    <r>
      <t xml:space="preserve">* Caspian - </t>
    </r>
    <r>
      <rPr>
        <b/>
        <sz val="14"/>
        <color rgb="FFD0CAC2"/>
        <rFont val="Aptos Narrow"/>
        <family val="2"/>
        <scheme val="minor"/>
      </rPr>
      <t>Dust and Disquiet</t>
    </r>
  </si>
  <si>
    <t>Separation No. 2</t>
  </si>
  <si>
    <t>Rioseco</t>
  </si>
  <si>
    <t>Arcs of Command</t>
  </si>
  <si>
    <t>Echo and Abyss</t>
  </si>
  <si>
    <t>Run Dry</t>
  </si>
  <si>
    <t>Equal Night</t>
  </si>
  <si>
    <t>Sad Heart of Mine</t>
  </si>
  <si>
    <t>Darkfield</t>
  </si>
  <si>
    <t>Aetenum Vale</t>
  </si>
  <si>
    <t>Dust and Disquiet</t>
  </si>
  <si>
    <t>Caspian</t>
  </si>
  <si>
    <t>post rock, post metal</t>
  </si>
  <si>
    <t>17/04/2026</t>
  </si>
  <si>
    <t>6 (8.78)</t>
  </si>
  <si>
    <r>
      <t>* Supertramp -</t>
    </r>
    <r>
      <rPr>
        <b/>
        <sz val="10"/>
        <color theme="1"/>
        <rFont val="Aptos Narrow"/>
        <family val="2"/>
        <scheme val="minor"/>
      </rPr>
      <t xml:space="preserve"> Even In The Quietest Moments...</t>
    </r>
  </si>
  <si>
    <t>Give A Little Bit</t>
  </si>
  <si>
    <t>Lover Boy</t>
  </si>
  <si>
    <t>Even In The Quietest Moments</t>
  </si>
  <si>
    <t>Downstream</t>
  </si>
  <si>
    <t>Babaji</t>
  </si>
  <si>
    <t>From Now On</t>
  </si>
  <si>
    <t>Fool's Overture</t>
  </si>
  <si>
    <t>Even In The Quietest Moments...</t>
  </si>
  <si>
    <t>20/04/2026</t>
  </si>
  <si>
    <t>1977 - 1979</t>
  </si>
  <si>
    <t>2 (8.91)</t>
  </si>
  <si>
    <r>
      <t xml:space="preserve">* Linkin Park - </t>
    </r>
    <r>
      <rPr>
        <b/>
        <sz val="14"/>
        <color theme="1"/>
        <rFont val="Aptos Narrow"/>
        <family val="2"/>
        <scheme val="minor"/>
      </rPr>
      <t>Meteora</t>
    </r>
  </si>
  <si>
    <t>Foreword</t>
  </si>
  <si>
    <t>Don't Stay</t>
  </si>
  <si>
    <t>Somewhere I Belong</t>
  </si>
  <si>
    <t>Lying from You</t>
  </si>
  <si>
    <t>Hit the Floor</t>
  </si>
  <si>
    <t>Easier to Run</t>
  </si>
  <si>
    <t>Faint</t>
  </si>
  <si>
    <t>Figure.09</t>
  </si>
  <si>
    <t>Breaking the Habit</t>
  </si>
  <si>
    <t>From the Inside</t>
  </si>
  <si>
    <t>Nobody's Listening</t>
  </si>
  <si>
    <t>Session</t>
  </si>
  <si>
    <t>Meteora</t>
  </si>
  <si>
    <r>
      <t xml:space="preserve">* Lady Twostar - </t>
    </r>
    <r>
      <rPr>
        <b/>
        <sz val="14"/>
        <color theme="8" tint="0.39997558519241921"/>
        <rFont val="Aptos Narrow"/>
        <family val="2"/>
        <scheme val="minor"/>
      </rPr>
      <t>The Great Plains</t>
    </r>
  </si>
  <si>
    <t>Fortunes Found</t>
  </si>
  <si>
    <t>Muddy Water</t>
  </si>
  <si>
    <t>Abattoir</t>
  </si>
  <si>
    <t>Paint it Gold</t>
  </si>
  <si>
    <t>Remembered My Lines</t>
  </si>
  <si>
    <r>
      <t xml:space="preserve">* Depeche Mode - </t>
    </r>
    <r>
      <rPr>
        <b/>
        <sz val="14"/>
        <color rgb="FFC00000"/>
        <rFont val="Aptos Narrow"/>
        <family val="2"/>
        <scheme val="minor"/>
      </rPr>
      <t>Violator</t>
    </r>
  </si>
  <si>
    <t>World In My Eyes</t>
  </si>
  <si>
    <t>Sweetest Perfection</t>
  </si>
  <si>
    <t>Personal Jesus</t>
  </si>
  <si>
    <t>Waiting for the Night</t>
  </si>
  <si>
    <t>Enjoy the Silence</t>
  </si>
  <si>
    <t>Policy of Truth</t>
  </si>
  <si>
    <t>Blue Dress</t>
  </si>
  <si>
    <t>Clean</t>
  </si>
  <si>
    <t>Depeche Mode</t>
  </si>
  <si>
    <t>Violator</t>
  </si>
  <si>
    <t>Lady Twostar</t>
  </si>
  <si>
    <t>The Great Plains</t>
  </si>
  <si>
    <t>2 (8.63)</t>
  </si>
  <si>
    <t>22/04/2026</t>
  </si>
  <si>
    <r>
      <t xml:space="preserve">* Jeff Buckley - </t>
    </r>
    <r>
      <rPr>
        <b/>
        <sz val="14"/>
        <color rgb="FFCCECFF"/>
        <rFont val="Aptos Narrow"/>
        <family val="2"/>
        <scheme val="minor"/>
      </rPr>
      <t>Grace</t>
    </r>
  </si>
  <si>
    <t>Mojo Pin</t>
  </si>
  <si>
    <t>Grace</t>
  </si>
  <si>
    <t>Last Goodbye</t>
  </si>
  <si>
    <t>Lilac Wine</t>
  </si>
  <si>
    <t>So Real</t>
  </si>
  <si>
    <t>Hallelujah</t>
  </si>
  <si>
    <t>Lover, You Should've Come Over</t>
  </si>
  <si>
    <t>Corpus Christi Carol</t>
  </si>
  <si>
    <t>Eternal Life</t>
  </si>
  <si>
    <t>Dream Brother</t>
  </si>
  <si>
    <t>Forget Her</t>
  </si>
  <si>
    <t>Jeff Buckley</t>
  </si>
  <si>
    <t>2 (8.67)</t>
  </si>
  <si>
    <t>alternative rock, singer songwriter</t>
  </si>
  <si>
    <t>23/04/2026</t>
  </si>
  <si>
    <t>2000 - 2003</t>
  </si>
  <si>
    <t>singer songwriter</t>
  </si>
  <si>
    <t>Oh! Tengo suerte</t>
  </si>
  <si>
    <t>トーキョー　レギー</t>
  </si>
  <si>
    <t>蜃気楼の島へ</t>
  </si>
  <si>
    <t>憧れのセーシェル諸島</t>
  </si>
  <si>
    <t>Funkee Mah-Chan</t>
  </si>
  <si>
    <t>サヨナラ・・・・・・Fujiさん</t>
  </si>
  <si>
    <t>バードアイランド急行</t>
  </si>
  <si>
    <t>Tropic Birds</t>
  </si>
  <si>
    <r>
      <t xml:space="preserve">* Masayoshi Takanaka - </t>
    </r>
    <r>
      <rPr>
        <b/>
        <sz val="13"/>
        <color rgb="FF584F42"/>
        <rFont val="Aptos Narrow"/>
        <family val="2"/>
        <scheme val="minor"/>
      </rPr>
      <t>SEYCHELLES</t>
    </r>
  </si>
  <si>
    <t>Masayoshi Takanaka</t>
  </si>
  <si>
    <t>SEYCHELLES</t>
  </si>
  <si>
    <t>progressive metal, alternative metal, post metal</t>
  </si>
  <si>
    <t>progressive rock, art rock, avant prog</t>
  </si>
  <si>
    <t>classic rock, folk rock, hard rock</t>
  </si>
  <si>
    <t>post metal, folk metal, atmospheric black metal</t>
  </si>
  <si>
    <t>progressive metal, death metal, groove metal</t>
  </si>
  <si>
    <t>garage rock, indie rock, garage rock revival</t>
  </si>
  <si>
    <t>thrash metal, heavy metal, alternative metal</t>
  </si>
  <si>
    <t>pop rap, hip hop, experimental hip hop</t>
  </si>
  <si>
    <t>jazz fusion, city pop</t>
  </si>
  <si>
    <t>24/04/2026</t>
  </si>
  <si>
    <t>Third Eye (Live)</t>
  </si>
  <si>
    <t>Part of Me (Live)</t>
  </si>
  <si>
    <t>Message to Harry Manback II</t>
  </si>
  <si>
    <t>You Lied (Live)</t>
  </si>
  <si>
    <t>Merkaba (Live)</t>
  </si>
  <si>
    <t>No Quarter</t>
  </si>
  <si>
    <t>Pushit (Live)</t>
  </si>
  <si>
    <t>L.A.M.C.</t>
  </si>
  <si>
    <t>jazz fusion</t>
  </si>
  <si>
    <t>1 (8.69)</t>
  </si>
  <si>
    <t>city pop</t>
  </si>
  <si>
    <r>
      <t xml:space="preserve">* Death - </t>
    </r>
    <r>
      <rPr>
        <b/>
        <sz val="13"/>
        <color rgb="FF3A0000"/>
        <rFont val="Aptos Narrow"/>
        <scheme val="minor"/>
      </rPr>
      <t>The Sound of Perseverance</t>
    </r>
  </si>
  <si>
    <t>Scavanger of Human Sorrow</t>
  </si>
  <si>
    <t>Bite the Pain</t>
  </si>
  <si>
    <t>Spirit Crusher</t>
  </si>
  <si>
    <t>Story to Tell</t>
  </si>
  <si>
    <t>Flesh and the Power It Holds</t>
  </si>
  <si>
    <t>Voice of the Soul</t>
  </si>
  <si>
    <t>To Forgive is to Suffer</t>
  </si>
  <si>
    <t>A Moment of Clarity</t>
  </si>
  <si>
    <t>Painkiller</t>
  </si>
  <si>
    <r>
      <t xml:space="preserve">* Yes - </t>
    </r>
    <r>
      <rPr>
        <b/>
        <sz val="14"/>
        <color rgb="FFBCDE85"/>
        <rFont val="Aptos Narrow"/>
        <scheme val="minor"/>
      </rPr>
      <t>Close to the Edge</t>
    </r>
  </si>
  <si>
    <t>Close to the Edge</t>
  </si>
  <si>
    <t>And You And I</t>
  </si>
  <si>
    <t>Siberian Khatru</t>
  </si>
  <si>
    <r>
      <t xml:space="preserve">* Opeth - </t>
    </r>
    <r>
      <rPr>
        <b/>
        <sz val="14"/>
        <color rgb="FF002060"/>
        <rFont val="Aptos Narrow"/>
        <family val="2"/>
        <scheme val="minor"/>
      </rPr>
      <t>Sorceress</t>
    </r>
  </si>
  <si>
    <t>Persephone</t>
  </si>
  <si>
    <t>Sorceress</t>
  </si>
  <si>
    <t>The Wilde Flowers</t>
  </si>
  <si>
    <t>Will O the Wisp</t>
  </si>
  <si>
    <t>Chrysalis</t>
  </si>
  <si>
    <t>Sorceress 2</t>
  </si>
  <si>
    <t>The Seventh Sojurn</t>
  </si>
  <si>
    <t>Strange Brew</t>
  </si>
  <si>
    <t>A Fleeting Glance</t>
  </si>
  <si>
    <t>Era</t>
  </si>
  <si>
    <t>Persephone (Slight Return)</t>
  </si>
  <si>
    <t>The Sound of Perseverance</t>
  </si>
  <si>
    <t>Yes</t>
  </si>
  <si>
    <r>
      <t xml:space="preserve">* Arctic Monkeys - </t>
    </r>
    <r>
      <rPr>
        <b/>
        <sz val="14"/>
        <color theme="0"/>
        <rFont val="Aptos Narrow"/>
        <family val="2"/>
        <scheme val="minor"/>
      </rPr>
      <t>AM</t>
    </r>
  </si>
  <si>
    <t>Do I Wanna Know?</t>
  </si>
  <si>
    <t>R U Mine?</t>
  </si>
  <si>
    <t>One For The Road</t>
  </si>
  <si>
    <t>Arabella</t>
  </si>
  <si>
    <t>I Want It All</t>
  </si>
  <si>
    <t>No. 1 Party Anthem</t>
  </si>
  <si>
    <t>Mad Sounds</t>
  </si>
  <si>
    <t>Fireside</t>
  </si>
  <si>
    <t>Why'd You Only Call Me When You're High?</t>
  </si>
  <si>
    <t>Snap Out Of It</t>
  </si>
  <si>
    <t>Knee Socks</t>
  </si>
  <si>
    <t>I Wanna Be Yours</t>
  </si>
  <si>
    <t>Arctic Monkeys</t>
  </si>
  <si>
    <t>AM</t>
  </si>
  <si>
    <t>26/04/2026</t>
  </si>
  <si>
    <t>progressive metal, technical death metal</t>
  </si>
  <si>
    <t>25/04/2026</t>
  </si>
  <si>
    <t>27/04/2026</t>
  </si>
  <si>
    <t>pop rock, indie rock</t>
  </si>
  <si>
    <r>
      <t xml:space="preserve">* The Beatles - </t>
    </r>
    <r>
      <rPr>
        <b/>
        <sz val="9.5"/>
        <color rgb="FFFF6699"/>
        <rFont val="Aptos Narrow"/>
        <family val="2"/>
        <scheme val="minor"/>
      </rPr>
      <t>Sgt. Pepper's Lonely Hearts Club Band</t>
    </r>
  </si>
  <si>
    <t>Sgt. Pepper's Lonely Hearts Club Band</t>
  </si>
  <si>
    <t>With A Little Help From My Friends</t>
  </si>
  <si>
    <t>Lucy In The Sky With Diamonds</t>
  </si>
  <si>
    <t>Getting Better</t>
  </si>
  <si>
    <t>Fixing A Hole</t>
  </si>
  <si>
    <t>She's Leaving Home</t>
  </si>
  <si>
    <t>Being For The Benefit Of Mr. Kite!</t>
  </si>
  <si>
    <t>Within You Without You</t>
  </si>
  <si>
    <t>When I'm Sixty Four</t>
  </si>
  <si>
    <t>Lovely Rita</t>
  </si>
  <si>
    <t>Good Morning Good Morning</t>
  </si>
  <si>
    <t>Sgt. Pepper's Lonely Hearts Club Band - Reprise</t>
  </si>
  <si>
    <t>A Day In The Life</t>
  </si>
  <si>
    <t>technical death metal</t>
  </si>
  <si>
    <t>1 (8.61)</t>
  </si>
  <si>
    <t>psychedelic pop, pop rock</t>
  </si>
  <si>
    <t>28/04/2026</t>
  </si>
  <si>
    <t>1967 - 1969</t>
  </si>
  <si>
    <t>psychedelic pop</t>
  </si>
  <si>
    <t>1 (8.79)</t>
  </si>
  <si>
    <t>3 álbumes · media 9.05</t>
  </si>
  <si>
    <t>Lightbulb Sun</t>
  </si>
  <si>
    <t>How Is Your Life Today?</t>
  </si>
  <si>
    <t>Four Chords That Made A Million</t>
  </si>
  <si>
    <t>Shesmovedon</t>
  </si>
  <si>
    <t>Last Chance To Evacuate Planet Earth Before It Is Recycled</t>
  </si>
  <si>
    <t>The Rest Will Flow</t>
  </si>
  <si>
    <t>Hatesong</t>
  </si>
  <si>
    <t>Where We Would Be</t>
  </si>
  <si>
    <t>Russia On Ice</t>
  </si>
  <si>
    <t>Feel So Low</t>
  </si>
  <si>
    <r>
      <t xml:space="preserve">* Porcupine Tree - </t>
    </r>
    <r>
      <rPr>
        <b/>
        <sz val="14"/>
        <color rgb="FFFE5002"/>
        <rFont val="Aptos Narrow"/>
        <family val="2"/>
        <scheme val="minor"/>
      </rPr>
      <t>Lightbulb Sun</t>
    </r>
  </si>
  <si>
    <t>progressive rock, post brit pop</t>
  </si>
  <si>
    <t>progressive rock, progressive metal, post brit pop</t>
  </si>
  <si>
    <t>2000 - 2007</t>
  </si>
  <si>
    <t>post brit pop</t>
  </si>
  <si>
    <r>
      <t xml:space="preserve">* Opeth - </t>
    </r>
    <r>
      <rPr>
        <b/>
        <sz val="14"/>
        <color theme="1" tint="0.499984740745262"/>
        <rFont val="Aptos Narrow"/>
        <family val="2"/>
        <scheme val="minor"/>
      </rPr>
      <t>Deliverance</t>
    </r>
  </si>
  <si>
    <t>Wreath</t>
  </si>
  <si>
    <t>Deliverance</t>
  </si>
  <si>
    <t>A Fair Judgement</t>
  </si>
  <si>
    <t>For Absent Friends</t>
  </si>
  <si>
    <t>Master's Apprentices</t>
  </si>
  <si>
    <t>By the Pain I See in Others</t>
  </si>
  <si>
    <t>29/04/2026</t>
  </si>
  <si>
    <t>Robot Rock / Oh Yeah</t>
  </si>
  <si>
    <t>Touch It / Technologic</t>
  </si>
  <si>
    <t>Television Rules the Nation / Crescendolls</t>
  </si>
  <si>
    <t>Too Long / Steam Machine</t>
  </si>
  <si>
    <t>Around the World / Harder, Better, Faster, Stronger</t>
  </si>
  <si>
    <t>Burnin' / Too Long</t>
  </si>
  <si>
    <t>Face to Face / Short Circuit</t>
  </si>
  <si>
    <t>One More Time / Aerodynamic</t>
  </si>
  <si>
    <t>Aerodynamic Beats / Gabrielle, Forget About the World</t>
  </si>
  <si>
    <t>Prime Time of Your Life / Brainwasher / Rollin' &amp; Scratchin' / Alive</t>
  </si>
  <si>
    <t>Da Funk / Daftendirekt</t>
  </si>
  <si>
    <t>Superheroes / Human After All / Rock'n Roll</t>
  </si>
  <si>
    <t>Human After All / Together / One More Time / Music Sounds Better With You</t>
  </si>
  <si>
    <r>
      <t xml:space="preserve">* Daft Punk - </t>
    </r>
    <r>
      <rPr>
        <b/>
        <sz val="14"/>
        <color rgb="FF00B0F0"/>
        <rFont val="Aptos Narrow"/>
        <family val="2"/>
        <scheme val="minor"/>
      </rPr>
      <t>Alive 2007</t>
    </r>
    <r>
      <rPr>
        <sz val="14"/>
        <color rgb="FF00B0F0"/>
        <rFont val="Aptos Narrow"/>
        <family val="2"/>
        <scheme val="minor"/>
      </rPr>
      <t xml:space="preserve"> [LIVE]</t>
    </r>
  </si>
  <si>
    <r>
      <t xml:space="preserve">* TOOL - </t>
    </r>
    <r>
      <rPr>
        <b/>
        <sz val="14"/>
        <color rgb="FFEA7204"/>
        <rFont val="Aptos Narrow"/>
        <family val="2"/>
        <scheme val="minor"/>
      </rPr>
      <t>Salival</t>
    </r>
    <r>
      <rPr>
        <sz val="14"/>
        <color rgb="FFEA7204"/>
        <rFont val="Aptos Narrow"/>
        <family val="2"/>
        <scheme val="minor"/>
      </rPr>
      <t xml:space="preserve"> [LIVE]</t>
    </r>
  </si>
  <si>
    <t>Alive 2007 [LIVE]</t>
  </si>
  <si>
    <t>Salival [LIVE]</t>
  </si>
  <si>
    <t>8 (8.8)</t>
  </si>
  <si>
    <t>pero si se inluyen en la tabla general</t>
  </si>
  <si>
    <t>6. Si se quiere ignorar un album, pues simplemente no se pone * en el titulo</t>
  </si>
  <si>
    <t>5. Los álbumes que contengan [OST] o [LIVE] en el titulo, no se incluirán en la tabla de top 20 albumes,</t>
  </si>
  <si>
    <t>4. Ya no es necesario poner la media de cada album (aun que lo sigo haciendo)</t>
  </si>
  <si>
    <t>En un futuro podría incoporar tablas de OSTs y LIVEs</t>
  </si>
  <si>
    <t>alternative metal, progressive metal</t>
  </si>
  <si>
    <t>progressive metal (26)</t>
  </si>
  <si>
    <t>26 (8.76)</t>
  </si>
  <si>
    <t>7 (8.35)</t>
  </si>
  <si>
    <r>
      <t xml:space="preserve">* Pearl Jam - </t>
    </r>
    <r>
      <rPr>
        <b/>
        <sz val="14"/>
        <color theme="0"/>
        <rFont val="Aptos Narrow"/>
        <family val="2"/>
        <scheme val="minor"/>
      </rPr>
      <t>Ten</t>
    </r>
  </si>
  <si>
    <t>Once</t>
  </si>
  <si>
    <t>Even Flow</t>
  </si>
  <si>
    <t>Why Go</t>
  </si>
  <si>
    <t>Black</t>
  </si>
  <si>
    <t>Jeremy</t>
  </si>
  <si>
    <t>Oceans</t>
  </si>
  <si>
    <t>Porch</t>
  </si>
  <si>
    <t>Garden</t>
  </si>
  <si>
    <t>Deep</t>
  </si>
  <si>
    <t>Release</t>
  </si>
  <si>
    <t>french house, mashup</t>
  </si>
  <si>
    <t>Pearl Jam</t>
  </si>
  <si>
    <t>Ten</t>
  </si>
  <si>
    <t>french house, mashup, electronic, electroclash, post industrial</t>
  </si>
  <si>
    <t>mashup</t>
  </si>
  <si>
    <t>1 (9.08)</t>
  </si>
  <si>
    <t>4 (8.73)</t>
  </si>
  <si>
    <t>grunge, alternative rock</t>
  </si>
  <si>
    <t>30/04/2026</t>
  </si>
  <si>
    <r>
      <t>* honeydip -</t>
    </r>
    <r>
      <rPr>
        <b/>
        <sz val="14"/>
        <color rgb="FFFF6600"/>
        <rFont val="Aptos Narrow"/>
        <family val="2"/>
        <scheme val="minor"/>
      </rPr>
      <t xml:space="preserve"> Another Sunny Day</t>
    </r>
  </si>
  <si>
    <t>P.J.</t>
  </si>
  <si>
    <t>Summer's Gone -second season ver-</t>
  </si>
  <si>
    <t>Evening Calm</t>
  </si>
  <si>
    <t>Waiting For The Light</t>
  </si>
  <si>
    <t>d-31</t>
  </si>
  <si>
    <t>Stargazer</t>
  </si>
  <si>
    <r>
      <t>* Aphex Twin -</t>
    </r>
    <r>
      <rPr>
        <b/>
        <sz val="12"/>
        <color theme="5" tint="-0.499984740745262"/>
        <rFont val="Aptos Narrow"/>
        <family val="2"/>
        <scheme val="minor"/>
      </rPr>
      <t xml:space="preserve"> …I Care Because You Do</t>
    </r>
  </si>
  <si>
    <t>Acrid Avid Jam Shred</t>
  </si>
  <si>
    <t>The Waxen Pith</t>
  </si>
  <si>
    <t>Wax The Nip</t>
  </si>
  <si>
    <t>Icct Hedral</t>
  </si>
  <si>
    <t>Ventolin</t>
  </si>
  <si>
    <t>Come On You Slags</t>
  </si>
  <si>
    <t>Start As You Mean To Go On</t>
  </si>
  <si>
    <t>Wet Tip Hen Ax</t>
  </si>
  <si>
    <t>Mookid</t>
  </si>
  <si>
    <t>Alberto Balsalm</t>
  </si>
  <si>
    <t>Cow Cud Is A Twin</t>
  </si>
  <si>
    <t>Next Heap With</t>
  </si>
  <si>
    <t>Sorry I'm Here For Someone Else</t>
  </si>
  <si>
    <t>Mr Electric Blue</t>
  </si>
  <si>
    <t>Man In Me</t>
  </si>
  <si>
    <t>Mystical Magical</t>
  </si>
  <si>
    <t>Reminds Me Of You</t>
  </si>
  <si>
    <t>Momma Song</t>
  </si>
  <si>
    <t>I Wanna Be The One You Call</t>
  </si>
  <si>
    <t>Wanted Man</t>
  </si>
  <si>
    <t>Take Me Home</t>
  </si>
  <si>
    <t>Young American Heart</t>
  </si>
  <si>
    <r>
      <t>* Benson Boone -</t>
    </r>
    <r>
      <rPr>
        <b/>
        <sz val="14"/>
        <color theme="5" tint="0.79998168889431442"/>
        <rFont val="Aptos Narrow"/>
        <family val="2"/>
        <scheme val="minor"/>
      </rPr>
      <t xml:space="preserve"> American Heart</t>
    </r>
  </si>
  <si>
    <t>…I Care Because You Do</t>
  </si>
  <si>
    <t>honeydip</t>
  </si>
  <si>
    <t>Another Sunny Day</t>
  </si>
  <si>
    <t>Benson Boone</t>
  </si>
  <si>
    <t>American Heart</t>
  </si>
  <si>
    <t>2 (8.62)</t>
  </si>
  <si>
    <t>shoegaze, space rock revival</t>
  </si>
  <si>
    <t>33m</t>
  </si>
  <si>
    <t>04/05/2026</t>
  </si>
  <si>
    <t>05/05/2026</t>
  </si>
  <si>
    <t>30m</t>
  </si>
  <si>
    <t>10.5 (0 - 10.5)</t>
  </si>
  <si>
    <t>Benson Boone - American Heart (2.5)</t>
  </si>
  <si>
    <t>space rock revival</t>
  </si>
  <si>
    <r>
      <t>Life changing</t>
    </r>
    <r>
      <rPr>
        <sz val="12"/>
        <color theme="1"/>
        <rFont val="Aptos Narrow"/>
        <family val="2"/>
        <scheme val="minor"/>
      </rPr>
      <t xml:space="preserve"> music, outside of 0-10 scale</t>
    </r>
  </si>
  <si>
    <r>
      <t>Perfect</t>
    </r>
    <r>
      <rPr>
        <sz val="12"/>
        <color theme="1"/>
        <rFont val="Aptos Narrow"/>
        <family val="2"/>
        <scheme val="minor"/>
      </rPr>
      <t xml:space="preserve"> songs, every aspect of them is flawless</t>
    </r>
  </si>
  <si>
    <r>
      <t xml:space="preserve">Outstanding </t>
    </r>
    <r>
      <rPr>
        <sz val="12"/>
        <color theme="1"/>
        <rFont val="Aptos Narrow"/>
        <family val="2"/>
        <scheme val="minor"/>
      </rPr>
      <t xml:space="preserve">tracks that come </t>
    </r>
    <r>
      <rPr>
        <b/>
        <sz val="12"/>
        <color theme="1"/>
        <rFont val="Aptos Narrow"/>
        <family val="2"/>
        <scheme val="minor"/>
      </rPr>
      <t xml:space="preserve">incredibly </t>
    </r>
    <r>
      <rPr>
        <sz val="12"/>
        <color theme="1"/>
        <rFont val="Aptos Narrow"/>
        <family val="2"/>
        <scheme val="minor"/>
      </rPr>
      <t>close to perfection.</t>
    </r>
  </si>
  <si>
    <r>
      <t>Consistently great</t>
    </r>
    <r>
      <rPr>
        <sz val="12"/>
        <color theme="1"/>
        <rFont val="Aptos Narrow"/>
        <family val="2"/>
        <scheme val="minor"/>
      </rPr>
      <t xml:space="preserve"> songs that always deliver.</t>
    </r>
  </si>
  <si>
    <r>
      <t xml:space="preserve">Enjoyable </t>
    </r>
    <r>
      <rPr>
        <sz val="12"/>
        <color theme="1"/>
        <rFont val="Aptos Narrow"/>
        <family val="2"/>
        <scheme val="minor"/>
      </rPr>
      <t>songs that hold up well, even if they don’t stand out.</t>
    </r>
  </si>
  <si>
    <r>
      <t xml:space="preserve">Decent but </t>
    </r>
    <r>
      <rPr>
        <b/>
        <sz val="12"/>
        <color theme="1"/>
        <rFont val="Aptos Narrow"/>
        <family val="2"/>
        <scheme val="minor"/>
      </rPr>
      <t>flawed</t>
    </r>
  </si>
  <si>
    <t>5-7</t>
  </si>
  <si>
    <t>2-5</t>
  </si>
  <si>
    <t>FLOP</t>
  </si>
  <si>
    <r>
      <t xml:space="preserve">Largely </t>
    </r>
    <r>
      <rPr>
        <b/>
        <sz val="12"/>
        <color theme="1"/>
        <rFont val="Aptos Narrow"/>
        <family val="2"/>
        <scheme val="minor"/>
      </rPr>
      <t>forgettable</t>
    </r>
  </si>
  <si>
    <t>SHIT</t>
  </si>
  <si>
    <t>0-2</t>
  </si>
  <si>
    <t>Songs that aren’t fair to rate, often designed to serve the album’s flow</t>
  </si>
  <si>
    <t>So bad is not even funny</t>
  </si>
  <si>
    <t>10.5</t>
  </si>
  <si>
    <t>1 (8.88)</t>
  </si>
  <si>
    <r>
      <t xml:space="preserve">* Gorillaz - </t>
    </r>
    <r>
      <rPr>
        <b/>
        <sz val="14"/>
        <color theme="9" tint="-0.249977111117893"/>
        <rFont val="Aptos Narrow"/>
        <family val="2"/>
        <scheme val="minor"/>
      </rPr>
      <t>Gorillaz</t>
    </r>
  </si>
  <si>
    <t>Re-Hash</t>
  </si>
  <si>
    <t>5/4</t>
  </si>
  <si>
    <t>Tomorrow Comes Today</t>
  </si>
  <si>
    <t>New Genius (Brother)</t>
  </si>
  <si>
    <t>Clint Eastwood</t>
  </si>
  <si>
    <t>Man Research (Clapper)</t>
  </si>
  <si>
    <t>Punk</t>
  </si>
  <si>
    <t>Sound Check (Gravity)</t>
  </si>
  <si>
    <t>Double Bass</t>
  </si>
  <si>
    <t>Rock the House</t>
  </si>
  <si>
    <t>19-2000</t>
  </si>
  <si>
    <t>Latin Simone (Que Pasa Contigo)</t>
  </si>
  <si>
    <t>Starshine</t>
  </si>
  <si>
    <t>Slow Country</t>
  </si>
  <si>
    <t>M1 A1</t>
  </si>
  <si>
    <t>Clint Eastwood - Ed Case / Sweetie Irie Refix</t>
  </si>
  <si>
    <t>19-200 -  Soulchild Remix</t>
  </si>
  <si>
    <t>alternative rock, hip hop</t>
  </si>
  <si>
    <t>06/05/2026</t>
  </si>
  <si>
    <r>
      <t xml:space="preserve">* King Crimson - </t>
    </r>
    <r>
      <rPr>
        <b/>
        <sz val="14"/>
        <color rgb="FFA3A3A3"/>
        <rFont val="Aptos Narrow"/>
        <scheme val="minor"/>
      </rPr>
      <t>Discipline</t>
    </r>
  </si>
  <si>
    <t>Elephant Talk</t>
  </si>
  <si>
    <t>Frame By Frame</t>
  </si>
  <si>
    <t>Matte Kudasai</t>
  </si>
  <si>
    <t>Indiscipline</t>
  </si>
  <si>
    <t>Thela Hun Ginjeet</t>
  </si>
  <si>
    <t>The Sheltering Sky</t>
  </si>
  <si>
    <t>Discipline</t>
  </si>
  <si>
    <t>alternative rock, art pop, electropop, hip hop, neo psychedelia</t>
  </si>
  <si>
    <t>2001 - 2026</t>
  </si>
  <si>
    <t>15 (8.68)</t>
  </si>
  <si>
    <t>2 (8.53)</t>
  </si>
  <si>
    <r>
      <t>* Godspeed You! Black Emperor -</t>
    </r>
    <r>
      <rPr>
        <b/>
        <sz val="12"/>
        <color rgb="FFABABAB"/>
        <rFont val="Aptos Narrow"/>
        <family val="2"/>
        <scheme val="minor"/>
      </rPr>
      <t xml:space="preserve"> F♯A♯∞</t>
    </r>
  </si>
  <si>
    <t>Dead Flag Blues</t>
  </si>
  <si>
    <t>East Hastings</t>
  </si>
  <si>
    <t>Godspeed You! Black Emperor</t>
  </si>
  <si>
    <t>F♯A♯∞</t>
  </si>
  <si>
    <t>Godspeed You! Black Emperor - F♯A♯∞ (σ=0.24)</t>
  </si>
  <si>
    <t>07/05/2026</t>
  </si>
  <si>
    <t>08/05/2026</t>
  </si>
  <si>
    <t>roots rock, blues rock, classic rock</t>
  </si>
  <si>
    <r>
      <rPr>
        <sz val="11"/>
        <color rgb="FFC00000"/>
        <rFont val="Aptos Narrow"/>
        <scheme val="minor"/>
      </rPr>
      <t>* Godspeed You! Black Emperor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</si>
  <si>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28 álbumes · media 8.01</t>
  </si>
  <si>
    <t>1h 27m</t>
  </si>
  <si>
    <r>
      <t xml:space="preserve">* Aphex Twin - </t>
    </r>
    <r>
      <rPr>
        <b/>
        <sz val="14"/>
        <color theme="1" tint="0.34998626667073579"/>
        <rFont val="Aptos Narrow"/>
        <scheme val="minor"/>
      </rPr>
      <t>Come To Daddy</t>
    </r>
  </si>
  <si>
    <t>Come To Daddy</t>
  </si>
  <si>
    <t>Flim</t>
  </si>
  <si>
    <t>Come To Daddy - Little Lord Faulteroy Mix</t>
  </si>
  <si>
    <t xml:space="preserve">Bucephalus Bouncing Ball </t>
  </si>
  <si>
    <t>To Cure A Weakling Child</t>
  </si>
  <si>
    <t>Funny Little Man</t>
  </si>
  <si>
    <t>Come To Daddy - Mummy Mix</t>
  </si>
  <si>
    <t>IZ-US</t>
  </si>
  <si>
    <t>1997 - 2000</t>
  </si>
  <si>
    <t>d&amp;b, idm</t>
  </si>
  <si>
    <t>09/05/2026</t>
  </si>
  <si>
    <r>
      <t xml:space="preserve">* Boris - </t>
    </r>
    <r>
      <rPr>
        <b/>
        <sz val="14"/>
        <color theme="0"/>
        <rFont val="Aptos Narrow"/>
        <family val="2"/>
        <scheme val="minor"/>
      </rPr>
      <t>flood</t>
    </r>
  </si>
  <si>
    <t>flood</t>
  </si>
  <si>
    <t>Boris</t>
  </si>
  <si>
    <t>ambient techno, IDM, idm, d&amp;b</t>
  </si>
  <si>
    <t>1992 - 1997</t>
  </si>
  <si>
    <t>3 (8.76)</t>
  </si>
  <si>
    <t>d&amp;b</t>
  </si>
  <si>
    <t>flood I</t>
  </si>
  <si>
    <t>flood II</t>
  </si>
  <si>
    <t>flood III</t>
  </si>
  <si>
    <t>flood IV</t>
  </si>
  <si>
    <r>
      <t xml:space="preserve">* my bloody valentine - </t>
    </r>
    <r>
      <rPr>
        <b/>
        <sz val="14"/>
        <color rgb="FF820041"/>
        <rFont val="Aptos Narrow"/>
        <family val="2"/>
        <scheme val="minor"/>
      </rPr>
      <t>loveless</t>
    </r>
  </si>
  <si>
    <t>only shallow</t>
  </si>
  <si>
    <t>loomer</t>
  </si>
  <si>
    <t>touched</t>
  </si>
  <si>
    <t>to here knows when</t>
  </si>
  <si>
    <t>when you sleep</t>
  </si>
  <si>
    <t>i only said</t>
  </si>
  <si>
    <t xml:space="preserve">come in alone </t>
  </si>
  <si>
    <t>sometimes</t>
  </si>
  <si>
    <t>blown a wish</t>
  </si>
  <si>
    <t>what you want</t>
  </si>
  <si>
    <t>soon</t>
  </si>
  <si>
    <t>Where Do The Children Play?</t>
  </si>
  <si>
    <t>Hard Headed Woman</t>
  </si>
  <si>
    <t>Wild World</t>
  </si>
  <si>
    <t>Sad Lisa</t>
  </si>
  <si>
    <t>Miles From Nowhere</t>
  </si>
  <si>
    <t>But I Might Die Tonight</t>
  </si>
  <si>
    <t>Longer Boats</t>
  </si>
  <si>
    <t>Into White</t>
  </si>
  <si>
    <t>On The Road To Find Out</t>
  </si>
  <si>
    <t>Father And Son</t>
  </si>
  <si>
    <t>Tea For The Tillerman</t>
  </si>
  <si>
    <r>
      <t xml:space="preserve">* Cat Stevens - </t>
    </r>
    <r>
      <rPr>
        <b/>
        <sz val="13"/>
        <color theme="3" tint="0.499984740745262"/>
        <rFont val="Aptos Narrow"/>
        <family val="2"/>
        <scheme val="minor"/>
      </rPr>
      <t>Tea For The Tillerman</t>
    </r>
  </si>
  <si>
    <t>my bloody valentine</t>
  </si>
  <si>
    <t>loveless</t>
  </si>
  <si>
    <t>Cat Stevens</t>
  </si>
  <si>
    <t>singer songwriter, folk pop</t>
  </si>
  <si>
    <t>12/05/2026</t>
  </si>
  <si>
    <t>2 (8.71)</t>
  </si>
  <si>
    <t>folk pop</t>
  </si>
  <si>
    <t>1960s (9.05)</t>
  </si>
  <si>
    <t>post rock, drone</t>
  </si>
  <si>
    <t>1h 10m</t>
  </si>
  <si>
    <t>11/05/2026</t>
  </si>
  <si>
    <t>7 (8.94)</t>
  </si>
  <si>
    <t>drone</t>
  </si>
  <si>
    <t>2000s (46)</t>
  </si>
  <si>
    <t>46 álbumes · media 8.76</t>
  </si>
  <si>
    <r>
      <t>* The Pineapple Thief -</t>
    </r>
    <r>
      <rPr>
        <b/>
        <sz val="12"/>
        <color theme="3" tint="0.499984740745262"/>
        <rFont val="Aptos Narrow"/>
        <family val="2"/>
        <scheme val="minor"/>
      </rPr>
      <t xml:space="preserve"> Your Wilderness</t>
    </r>
  </si>
  <si>
    <t>In Exile</t>
  </si>
  <si>
    <t>No Man's Land</t>
  </si>
  <si>
    <t>Tear You Up</t>
  </si>
  <si>
    <t>That Stone</t>
  </si>
  <si>
    <t>Take Your Shot</t>
  </si>
  <si>
    <t>Fend for Yourself</t>
  </si>
  <si>
    <t>The Final Thing on My Mind</t>
  </si>
  <si>
    <t>Where We Stood</t>
  </si>
  <si>
    <t>The Pineapple Thief</t>
  </si>
  <si>
    <t>Your Wilderness</t>
  </si>
  <si>
    <t>13/05/2026</t>
  </si>
  <si>
    <t>Wanna Be Startin' Somethin'</t>
  </si>
  <si>
    <t>Baby Be Mine</t>
  </si>
  <si>
    <t>The Girl Is Mine</t>
  </si>
  <si>
    <t>Thriller</t>
  </si>
  <si>
    <t>Beat It</t>
  </si>
  <si>
    <t>Billie Jean</t>
  </si>
  <si>
    <t>Human Nature</t>
  </si>
  <si>
    <t>P.Y.T. (Pretty Young Thing)</t>
  </si>
  <si>
    <t>The Lady in My Life</t>
  </si>
  <si>
    <r>
      <t xml:space="preserve">* Michael Jackson - </t>
    </r>
    <r>
      <rPr>
        <b/>
        <sz val="14"/>
        <color rgb="FFFDCA0F"/>
        <rFont val="Aptos Narrow"/>
        <family val="2"/>
        <scheme val="minor"/>
      </rPr>
      <t>Thriller</t>
    </r>
  </si>
  <si>
    <t>Michael Jackson</t>
  </si>
  <si>
    <t>20 (8.92)</t>
  </si>
  <si>
    <t>r=-0.127   · ≈ nula</t>
  </si>
  <si>
    <t>Total canciones   (r=-0.127)</t>
  </si>
  <si>
    <t>shoegaze, noise pop</t>
  </si>
  <si>
    <t>contemporary r&amp;b, dance pop</t>
  </si>
  <si>
    <t>14/05/2026</t>
  </si>
  <si>
    <r>
      <t xml:space="preserve">* David Bowie - </t>
    </r>
    <r>
      <rPr>
        <b/>
        <sz val="14"/>
        <color rgb="FFF4E71C"/>
        <rFont val="Aptos Narrow"/>
        <scheme val="minor"/>
      </rPr>
      <t>Low</t>
    </r>
  </si>
  <si>
    <t>Speed of Life</t>
  </si>
  <si>
    <t>Breaking Glass</t>
  </si>
  <si>
    <t>What in the World</t>
  </si>
  <si>
    <t>Sound and Vision</t>
  </si>
  <si>
    <t>Always Crashing in the Same Car</t>
  </si>
  <si>
    <t>Be My Wife</t>
  </si>
  <si>
    <t>A New Career in a New Town</t>
  </si>
  <si>
    <t>Warszawa</t>
  </si>
  <si>
    <t>Art Decade</t>
  </si>
  <si>
    <t>Weeping Wall</t>
  </si>
  <si>
    <t>Subterraneans</t>
  </si>
  <si>
    <t>David Bowie</t>
  </si>
  <si>
    <t>contemporary r&amp;b</t>
  </si>
  <si>
    <t>dance pop</t>
  </si>
  <si>
    <t>7 (8.75)</t>
  </si>
  <si>
    <t>noise pop</t>
  </si>
  <si>
    <t>12 álbumes · media 8.92</t>
  </si>
  <si>
    <t>38 álbumes · media 8.67</t>
  </si>
  <si>
    <t>r=0.148 · ≈ nula</t>
  </si>
  <si>
    <t>art rock, ambient</t>
  </si>
  <si>
    <t>15/05/2026</t>
  </si>
  <si>
    <t>TOP 25 (sin repetir artistas y sin incluir OSTs y LIVEs)</t>
  </si>
  <si>
    <t>16 (8.99)</t>
  </si>
  <si>
    <t>4 (8.75)</t>
  </si>
  <si>
    <t>19 álbumes · media 9.01</t>
  </si>
  <si>
    <t>TOP 25 (sin reglas)</t>
  </si>
  <si>
    <t>Lateralus, 10,000 Days, Ænima, Fear Inoculum, Salival [LIVE]</t>
  </si>
  <si>
    <t>Blackwater Park, Ghost Reveries, Deliverance, Still Life, Damnation</t>
  </si>
  <si>
    <t>Fear of a Blank Planet, Deadwing, In Absentia</t>
  </si>
  <si>
    <t>Wish You Were Here, The Dark Side Of The Moon, Animals, Meddle</t>
  </si>
  <si>
    <t>In The Court Of The Crimson King, Red</t>
  </si>
  <si>
    <t>Fear of a Blank Planet, Deadwing</t>
  </si>
  <si>
    <t>In Rainbows, OK Computer, Kid A</t>
  </si>
  <si>
    <t>In Rainbows, OK Computer, The Bends, A Moon Shaped Pool</t>
  </si>
  <si>
    <t>Blackwater Park, Ghost Reveries, Deliverance, Still Life, Damnation, My Arms, Your Hearse</t>
  </si>
  <si>
    <t>Even In The Quietest Moments..., Breakfast In America</t>
  </si>
  <si>
    <t>Parachutes, X&amp;Y</t>
  </si>
  <si>
    <t>Sgt. Pepper's Lonely Hearts Club Band, Abbey Road</t>
  </si>
  <si>
    <t>The New Abnormal, Is This It</t>
  </si>
  <si>
    <t>Velocity: Design: Comfort., You Will Never Know Why</t>
  </si>
  <si>
    <t>Lateralus, 10,000 Days, Ænima, Salival [LIVE], Undertow</t>
  </si>
  <si>
    <t>Lift Yr. Skinny Fists Like Antennas to Heaven!, F♯A♯∞</t>
  </si>
  <si>
    <t>The Mantle, Ashes Against The Grain</t>
  </si>
  <si>
    <t>Master Of Puppets, Ride The Lightning, …And Justice For All, Kill 'Em All</t>
  </si>
  <si>
    <t>Rust In Peace, Megadeth</t>
  </si>
  <si>
    <t>Kid A, The King Of Limbs</t>
  </si>
  <si>
    <t>Discovery, Random Access Memories, Homework</t>
  </si>
  <si>
    <t>Modal Soul, Metaphorical Music</t>
  </si>
  <si>
    <t>TOP  Progressive Metal (26 álbumes)</t>
  </si>
  <si>
    <t>TOP  Progressive Rock (20 álbumes)</t>
  </si>
  <si>
    <t>TOP  Art Rock (16 álbumes)</t>
  </si>
  <si>
    <t>TOP  Alternative Rock (15 álbumes)</t>
  </si>
  <si>
    <t>TOP  Death Metal (8 álbumes)</t>
  </si>
  <si>
    <t>TOP  Indie Rock (8 álbumes)</t>
  </si>
  <si>
    <t>TOP  Dream Pop (7 álbumes)</t>
  </si>
  <si>
    <t>TOP  Alternative Metal (7 álbumes)</t>
  </si>
  <si>
    <t>TOP  Post Rock (7 álbumes)</t>
  </si>
  <si>
    <t>TOP  Shoegaze (7 álbumes)</t>
  </si>
  <si>
    <t>TOP  Post Metal (6 álbumes)</t>
  </si>
  <si>
    <t>TOP  Thrash Metal (6 álbumes)</t>
  </si>
  <si>
    <t>TOP  Electronic (5 álbumes)</t>
  </si>
  <si>
    <t>TOP  Jazz Rap (5 álbumes)</t>
  </si>
  <si>
    <t>25 álbumes · media 8.5</t>
  </si>
  <si>
    <t>r=0.144 · ≈ nula</t>
  </si>
  <si>
    <t>r=-0.318 · ↓ débil</t>
  </si>
  <si>
    <t>r=0.13 · ≈ nula</t>
  </si>
  <si>
    <t>pop rock, soft rock</t>
  </si>
  <si>
    <r>
      <t xml:space="preserve">* Portishead - </t>
    </r>
    <r>
      <rPr>
        <b/>
        <sz val="14"/>
        <color theme="0"/>
        <rFont val="Aptos Narrow"/>
        <scheme val="minor"/>
      </rPr>
      <t>Third</t>
    </r>
  </si>
  <si>
    <t>Silence</t>
  </si>
  <si>
    <t>Nylon Smile</t>
  </si>
  <si>
    <t>The Rip</t>
  </si>
  <si>
    <t>Plastic</t>
  </si>
  <si>
    <t>We Carry On</t>
  </si>
  <si>
    <t>Deep Water</t>
  </si>
  <si>
    <t>Small</t>
  </si>
  <si>
    <t>Magic Doors</t>
  </si>
  <si>
    <t>Threads</t>
  </si>
  <si>
    <t>Third</t>
  </si>
  <si>
    <t>TOP  Pop Rock (9 álbumes)</t>
  </si>
  <si>
    <t>8 (×393)</t>
  </si>
  <si>
    <t>-1.44 ← sesgo alto</t>
  </si>
  <si>
    <t>7.69 ← colas pesadas</t>
  </si>
  <si>
    <t>17   (0.97%)</t>
  </si>
  <si>
    <t>30   (1.71%)</t>
  </si>
  <si>
    <t>232   (13.23%)</t>
  </si>
  <si>
    <t>761   (43.39%)</t>
  </si>
  <si>
    <t>409  (23.32%)</t>
  </si>
  <si>
    <t>305(17.39%)</t>
  </si>
  <si>
    <t>171 de 172</t>
  </si>
  <si>
    <t>2 (9.11)</t>
  </si>
  <si>
    <t>4 (8.68)</t>
  </si>
  <si>
    <t>soft rock</t>
  </si>
  <si>
    <t>8 (8.41)</t>
  </si>
  <si>
    <t>9 (7.93)</t>
  </si>
  <si>
    <t>r=-0.203         · ↓ débil</t>
  </si>
  <si>
    <t>r=0.536      · ↑ moderada</t>
  </si>
  <si>
    <t>Notas ≥10 (r=0.536)</t>
  </si>
  <si>
    <t>16/05/2026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</si>
</sst>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275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sz val="12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12"/>
      <color theme="1"/>
      <name val="Constantia"/>
    </font>
    <font>
      <sz val="12"/>
      <color theme="1"/>
      <name val="Bodoni 72 Book"/>
    </font>
    <font>
      <b/>
      <sz val="14"/>
      <color theme="1"/>
      <name val="Bodoni 72 Book"/>
    </font>
    <font>
      <sz val="14"/>
      <color theme="1"/>
      <name val="Bodoni 72 Book"/>
    </font>
    <font>
      <i/>
      <sz val="12"/>
      <color theme="0" tint="-0.499984740745262"/>
      <name val="Bodoni 72 Book"/>
    </font>
    <font>
      <b/>
      <sz val="15"/>
      <color theme="1"/>
      <name val="Bodoni 72 Book"/>
    </font>
    <font>
      <sz val="15"/>
      <color theme="1"/>
      <name val="Bodoni 72 Book"/>
    </font>
    <font>
      <b/>
      <sz val="13"/>
      <color theme="1"/>
      <name val="Bodoni 72 Book"/>
    </font>
    <font>
      <sz val="13"/>
      <color theme="1"/>
      <name val="Bodoni 72 Book"/>
    </font>
    <font>
      <sz val="12"/>
      <color theme="0"/>
      <name val="Bodoni 72 Book"/>
    </font>
    <font>
      <b/>
      <sz val="12"/>
      <color theme="0"/>
      <name val="Bodoni 72 Book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4"/>
      <color rgb="FFEACF04"/>
      <name val="Aptos Narrow"/>
      <family val="2"/>
      <scheme val="minor"/>
    </font>
    <font>
      <b/>
      <sz val="14"/>
      <color rgb="FFEACF04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sz val="14"/>
      <color rgb="FFCC0000"/>
      <name val="Aptos Narrow"/>
      <family val="2"/>
      <scheme val="minor"/>
    </font>
    <font>
      <b/>
      <sz val="14"/>
      <color rgb="FFCC0000"/>
      <name val="Aptos Narrow"/>
      <family val="2"/>
      <scheme val="minor"/>
    </font>
    <font>
      <sz val="14"/>
      <color rgb="FF9B032E"/>
      <name val="Aptos Narrow"/>
      <family val="2"/>
      <scheme val="minor"/>
    </font>
    <font>
      <b/>
      <sz val="14"/>
      <color rgb="FF9B032E"/>
      <name val="Aptos Narrow"/>
      <family val="2"/>
      <scheme val="minor"/>
    </font>
    <font>
      <sz val="12"/>
      <color rgb="FFFF0066"/>
      <name val="Aptos Narrow"/>
      <family val="2"/>
      <scheme val="minor"/>
    </font>
    <font>
      <b/>
      <sz val="12"/>
      <color rgb="FFFF0066"/>
      <name val="Aptos Narrow"/>
      <family val="2"/>
      <scheme val="minor"/>
    </font>
    <font>
      <sz val="14"/>
      <color rgb="FF90AEDA"/>
      <name val="Aptos Narrow"/>
      <scheme val="minor"/>
    </font>
    <font>
      <b/>
      <sz val="14"/>
      <color rgb="FF90AEDA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sz val="12"/>
      <color theme="0" tint="-0.14999847407452621"/>
      <name val="Aptos Narrow"/>
      <family val="2"/>
      <scheme val="minor"/>
    </font>
    <font>
      <b/>
      <sz val="12"/>
      <color theme="0" tint="-0.14999847407452621"/>
      <name val="Aptos Narrow"/>
      <family val="2"/>
      <scheme val="minor"/>
    </font>
    <font>
      <sz val="14"/>
      <color rgb="FF422100"/>
      <name val="Aptos Narrow"/>
      <family val="2"/>
      <scheme val="minor"/>
    </font>
    <font>
      <b/>
      <sz val="14"/>
      <color rgb="FF422100"/>
      <name val="Aptos Narrow"/>
      <family val="2"/>
      <scheme val="minor"/>
    </font>
    <font>
      <sz val="12"/>
      <color rgb="FFE8D4C2"/>
      <name val="Aptos Narrow"/>
      <family val="2"/>
      <scheme val="minor"/>
    </font>
    <font>
      <b/>
      <sz val="12"/>
      <color rgb="FFE8D4C2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E8D4C2"/>
      <name val="Aptos Narrow"/>
      <family val="2"/>
      <scheme val="minor"/>
    </font>
    <font>
      <b/>
      <sz val="10"/>
      <color rgb="FFE8D4C2"/>
      <name val="Aptos Narrow"/>
      <family val="2"/>
      <scheme val="minor"/>
    </font>
    <font>
      <sz val="14"/>
      <color rgb="FFFD698C"/>
      <name val="Aptos Narrow"/>
      <family val="2"/>
      <scheme val="minor"/>
    </font>
    <font>
      <b/>
      <sz val="14"/>
      <color rgb="FFFD698C"/>
      <name val="Aptos Narrow"/>
      <family val="2"/>
      <scheme val="minor"/>
    </font>
    <font>
      <b/>
      <sz val="14"/>
      <color rgb="FFD50000"/>
      <name val="Aptos Narrow"/>
      <family val="2"/>
      <scheme val="minor"/>
    </font>
    <font>
      <sz val="14"/>
      <color rgb="FFD50000"/>
      <name val="Aptos Narrow"/>
      <family val="2"/>
      <scheme val="minor"/>
    </font>
    <font>
      <sz val="12"/>
      <color rgb="FFFD5E1F"/>
      <name val="Aptos Narrow"/>
      <family val="2"/>
      <scheme val="minor"/>
    </font>
    <font>
      <b/>
      <sz val="12"/>
      <color rgb="FFFD5E1F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4"/>
      <color rgb="FFFF0066"/>
      <name val="Aptos Narrow"/>
      <family val="2"/>
      <scheme val="minor"/>
    </font>
    <font>
      <b/>
      <sz val="14"/>
      <color rgb="FFFF0066"/>
      <name val="Aptos Narrow"/>
      <family val="2"/>
      <scheme val="minor"/>
    </font>
    <font>
      <sz val="11"/>
      <color rgb="FF00CC99"/>
      <name val="Aptos Narrow"/>
      <family val="2"/>
      <scheme val="minor"/>
    </font>
    <font>
      <b/>
      <sz val="11"/>
      <color rgb="FF00CC99"/>
      <name val="Aptos Narrow"/>
      <family val="2"/>
      <scheme val="minor"/>
    </font>
    <font>
      <sz val="14"/>
      <color rgb="FF61D59E"/>
      <name val="Aptos Narrow"/>
      <family val="2"/>
      <scheme val="minor"/>
    </font>
    <font>
      <b/>
      <sz val="14"/>
      <color rgb="FF61D59E"/>
      <name val="Aptos Narrow"/>
      <family val="2"/>
      <scheme val="minor"/>
    </font>
    <font>
      <sz val="14"/>
      <color rgb="FFFF0000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sz val="14"/>
      <color rgb="FF533F01"/>
      <name val="Aptos Narrow"/>
      <family val="2"/>
      <scheme val="minor"/>
    </font>
    <font>
      <b/>
      <sz val="14"/>
      <color rgb="FF533F01"/>
      <name val="Aptos Narrow"/>
      <family val="2"/>
      <scheme val="minor"/>
    </font>
    <font>
      <sz val="14"/>
      <color rgb="FF8DF735"/>
      <name val="Aptos Narrow"/>
      <family val="2"/>
      <scheme val="minor"/>
    </font>
    <font>
      <b/>
      <sz val="14"/>
      <color rgb="FF8DF735"/>
      <name val="Aptos Narrow"/>
      <family val="2"/>
      <scheme val="minor"/>
    </font>
    <font>
      <sz val="14"/>
      <color rgb="FF00206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sz val="11.5"/>
      <color theme="1"/>
      <name val="Aptos Narrow"/>
      <family val="2"/>
      <scheme val="minor"/>
    </font>
    <font>
      <sz val="14"/>
      <color rgb="FFD0CAC2"/>
      <name val="Aptos Narrow"/>
      <family val="2"/>
      <scheme val="minor"/>
    </font>
    <font>
      <b/>
      <sz val="14"/>
      <color rgb="FFD0CAC2"/>
      <name val="Aptos Narrow"/>
      <family val="2"/>
      <scheme val="minor"/>
    </font>
    <font>
      <sz val="14"/>
      <color theme="8" tint="0.39997558519241921"/>
      <name val="Aptos Narrow"/>
      <family val="2"/>
      <scheme val="minor"/>
    </font>
    <font>
      <b/>
      <sz val="14"/>
      <color theme="8" tint="0.39997558519241921"/>
      <name val="Aptos Narrow"/>
      <family val="2"/>
      <scheme val="minor"/>
    </font>
    <font>
      <sz val="14"/>
      <color rgb="FFCCECFF"/>
      <name val="Aptos Narrow"/>
      <family val="2"/>
      <scheme val="minor"/>
    </font>
    <font>
      <b/>
      <sz val="14"/>
      <color rgb="FFCCECFF"/>
      <name val="Aptos Narrow"/>
      <family val="2"/>
      <scheme val="minor"/>
    </font>
    <font>
      <sz val="12"/>
      <color theme="1"/>
      <name val="High Tower Text"/>
      <family val="1"/>
    </font>
    <font>
      <sz val="13"/>
      <color rgb="FF584F42"/>
      <name val="Aptos Narrow"/>
      <family val="2"/>
      <scheme val="minor"/>
    </font>
    <font>
      <b/>
      <sz val="13"/>
      <color rgb="FF584F42"/>
      <name val="Aptos Narrow"/>
      <family val="2"/>
      <scheme val="minor"/>
    </font>
    <font>
      <sz val="14"/>
      <color rgb="FFEA7204"/>
      <name val="Aptos Narrow"/>
      <family val="2"/>
      <scheme val="minor"/>
    </font>
    <font>
      <b/>
      <sz val="14"/>
      <color rgb="FFEA7204"/>
      <name val="Aptos Narrow"/>
      <family val="2"/>
      <scheme val="minor"/>
    </font>
    <font>
      <sz val="13"/>
      <color rgb="FF3A0000"/>
      <name val="Aptos Narrow"/>
      <scheme val="minor"/>
    </font>
    <font>
      <b/>
      <sz val="13"/>
      <color rgb="FF3A0000"/>
      <name val="Aptos Narrow"/>
      <scheme val="minor"/>
    </font>
    <font>
      <sz val="14"/>
      <color rgb="FFBCDE85"/>
      <name val="Aptos Narrow"/>
      <scheme val="minor"/>
    </font>
    <font>
      <b/>
      <sz val="14"/>
      <color rgb="FFBCDE85"/>
      <name val="Aptos Narrow"/>
      <scheme val="minor"/>
    </font>
    <font>
      <sz val="9.5"/>
      <color rgb="FFFF6699"/>
      <name val="Aptos Narrow"/>
      <family val="2"/>
      <scheme val="minor"/>
    </font>
    <font>
      <b/>
      <sz val="9.5"/>
      <color rgb="FFFF6699"/>
      <name val="Aptos Narrow"/>
      <family val="2"/>
      <scheme val="minor"/>
    </font>
    <font>
      <sz val="14"/>
      <color rgb="FFFE5002"/>
      <name val="Aptos Narrow"/>
      <family val="2"/>
      <scheme val="minor"/>
    </font>
    <font>
      <b/>
      <sz val="14"/>
      <color rgb="FFFE5002"/>
      <name val="Aptos Narrow"/>
      <family val="2"/>
      <scheme val="minor"/>
    </font>
    <font>
      <sz val="14"/>
      <color theme="1" tint="0.499984740745262"/>
      <name val="Aptos Narrow"/>
      <family val="2"/>
      <scheme val="minor"/>
    </font>
    <font>
      <b/>
      <sz val="14"/>
      <color theme="1" tint="0.499984740745262"/>
      <name val="Aptos Narrow"/>
      <family val="2"/>
      <scheme val="minor"/>
    </font>
    <font>
      <sz val="14"/>
      <color rgb="FF00B0F0"/>
      <name val="Aptos Narrow"/>
      <family val="2"/>
      <scheme val="minor"/>
    </font>
    <font>
      <b/>
      <sz val="14"/>
      <color rgb="FF00B0F0"/>
      <name val="Aptos Narrow"/>
      <family val="2"/>
      <scheme val="minor"/>
    </font>
    <font>
      <sz val="14"/>
      <color rgb="FFFF6600"/>
      <name val="Aptos Narrow"/>
      <family val="2"/>
      <scheme val="minor"/>
    </font>
    <font>
      <b/>
      <sz val="14"/>
      <color rgb="FFFF6600"/>
      <name val="Aptos Narrow"/>
      <family val="2"/>
      <scheme val="minor"/>
    </font>
    <font>
      <sz val="12"/>
      <color theme="5" tint="-0.499984740745262"/>
      <name val="Aptos Narrow"/>
      <family val="2"/>
      <scheme val="minor"/>
    </font>
    <font>
      <b/>
      <sz val="12"/>
      <color theme="5" tint="-0.499984740745262"/>
      <name val="Aptos Narrow"/>
      <family val="2"/>
      <scheme val="minor"/>
    </font>
    <font>
      <sz val="14"/>
      <color theme="5" tint="0.79998168889431442"/>
      <name val="Aptos Narrow"/>
      <family val="2"/>
      <scheme val="minor"/>
    </font>
    <font>
      <b/>
      <sz val="14"/>
      <color theme="5" tint="0.79998168889431442"/>
      <name val="Aptos Narrow"/>
      <family val="2"/>
      <scheme val="minor"/>
    </font>
    <font>
      <sz val="14"/>
      <color theme="9" tint="-0.249977111117893"/>
      <name val="Aptos Narrow"/>
      <family val="2"/>
      <scheme val="minor"/>
    </font>
    <font>
      <b/>
      <sz val="14"/>
      <color theme="9" tint="-0.249977111117893"/>
      <name val="Aptos Narrow"/>
      <family val="2"/>
      <scheme val="minor"/>
    </font>
    <font>
      <sz val="14"/>
      <color rgb="FFA3A3A3"/>
      <name val="Aptos Narrow"/>
      <scheme val="minor"/>
    </font>
    <font>
      <b/>
      <sz val="14"/>
      <color rgb="FFA3A3A3"/>
      <name val="Aptos Narrow"/>
      <scheme val="minor"/>
    </font>
    <font>
      <sz val="12"/>
      <color rgb="FFABABAB"/>
      <name val="Aptos Narrow"/>
      <family val="2"/>
      <scheme val="minor"/>
    </font>
    <font>
      <b/>
      <sz val="12"/>
      <color rgb="FFABABAB"/>
      <name val="Aptos Narrow"/>
      <family val="2"/>
      <scheme val="minor"/>
    </font>
    <font>
      <sz val="14"/>
      <color theme="1" tint="0.34998626667073579"/>
      <name val="Aptos Narrow"/>
      <scheme val="minor"/>
    </font>
    <font>
      <b/>
      <sz val="14"/>
      <color theme="1" tint="0.34998626667073579"/>
      <name val="Aptos Narrow"/>
      <scheme val="minor"/>
    </font>
    <font>
      <sz val="14"/>
      <color rgb="FF820041"/>
      <name val="Aptos Narrow"/>
      <family val="2"/>
      <scheme val="minor"/>
    </font>
    <font>
      <b/>
      <sz val="14"/>
      <color rgb="FF820041"/>
      <name val="Aptos Narrow"/>
      <family val="2"/>
      <scheme val="minor"/>
    </font>
    <font>
      <sz val="13"/>
      <color theme="3" tint="0.499984740745262"/>
      <name val="Aptos Narrow"/>
      <family val="2"/>
      <scheme val="minor"/>
    </font>
    <font>
      <b/>
      <sz val="13"/>
      <color theme="3" tint="0.499984740745262"/>
      <name val="Aptos Narrow"/>
      <family val="2"/>
      <scheme val="minor"/>
    </font>
    <font>
      <sz val="14"/>
      <color rgb="FFFDCA0F"/>
      <name val="Aptos Narrow"/>
      <family val="2"/>
      <scheme val="minor"/>
    </font>
    <font>
      <b/>
      <sz val="14"/>
      <color rgb="FFFDCA0F"/>
      <name val="Aptos Narrow"/>
      <family val="2"/>
      <scheme val="minor"/>
    </font>
    <font>
      <sz val="14"/>
      <color rgb="FFF4E71C"/>
      <name val="Aptos Narrow"/>
      <scheme val="minor"/>
    </font>
    <font>
      <b/>
      <sz val="14"/>
      <color rgb="FFF4E71C"/>
      <name val="Aptos Narrow"/>
      <scheme val="minor"/>
    </font>
  </fonts>
  <fills count="253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FFE400"/>
        <bgColor indexed="64"/>
      </patternFill>
    </fill>
    <fill>
      <patternFill patternType="solid">
        <fgColor rgb="FF7BD1FF"/>
        <bgColor indexed="64"/>
      </patternFill>
    </fill>
    <fill>
      <patternFill patternType="solid">
        <fgColor rgb="FF59FFBB"/>
        <bgColor indexed="64"/>
      </patternFill>
    </fill>
    <fill>
      <patternFill patternType="solid">
        <fgColor rgb="FFA744D8"/>
        <bgColor indexed="64"/>
      </patternFill>
    </fill>
    <fill>
      <patternFill patternType="solid">
        <fgColor rgb="FFF446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41B745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54C7B7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10B4E5"/>
        <bgColor indexed="64"/>
      </patternFill>
    </fill>
    <fill>
      <patternFill patternType="solid">
        <fgColor rgb="FF17B6E0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3DC1C6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  <fill>
      <patternFill patternType="solid">
        <fgColor rgb="FF0A3D9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494D"/>
        <bgColor indexed="64"/>
      </patternFill>
    </fill>
    <fill>
      <patternFill patternType="solid">
        <fgColor rgb="FFAFDF79"/>
        <bgColor indexed="64"/>
      </patternFill>
    </fill>
    <fill>
      <patternFill patternType="solid">
        <fgColor rgb="FF34DCFE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0B04"/>
        <bgColor indexed="64"/>
      </patternFill>
    </fill>
    <fill>
      <patternFill patternType="solid">
        <fgColor rgb="FFEFFFFF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rgb="FF00004C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FFF5EB"/>
        <bgColor indexed="64"/>
      </patternFill>
    </fill>
    <fill>
      <patternFill patternType="solid">
        <fgColor rgb="FFEEF04F"/>
        <bgColor indexed="64"/>
      </patternFill>
    </fill>
    <fill>
      <patternFill patternType="solid">
        <fgColor rgb="FFABDE7C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302012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34E7E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D9A601"/>
        <bgColor indexed="64"/>
      </patternFill>
    </fill>
    <fill>
      <patternFill patternType="solid">
        <fgColor rgb="FF00002E"/>
        <bgColor indexed="64"/>
      </patternFill>
    </fill>
    <fill>
      <patternFill patternType="solid">
        <fgColor rgb="FF30BDCF"/>
        <bgColor indexed="64"/>
      </patternFill>
    </fill>
    <fill>
      <patternFill patternType="solid">
        <fgColor rgb="FF8ED690"/>
        <bgColor indexed="64"/>
      </patternFill>
    </fill>
    <fill>
      <patternFill patternType="solid">
        <fgColor rgb="FFFFFFE7"/>
        <bgColor indexed="64"/>
      </patternFill>
    </fill>
    <fill>
      <patternFill patternType="solid">
        <fgColor rgb="FF7CD29C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E60000"/>
        <bgColor indexed="64"/>
      </patternFill>
    </fill>
    <fill>
      <patternFill patternType="solid">
        <fgColor rgb="FF0F3F55"/>
        <bgColor indexed="64"/>
      </patternFill>
    </fill>
    <fill>
      <patternFill patternType="solid">
        <fgColor rgb="FFFFFFF3"/>
        <bgColor indexed="64"/>
      </patternFill>
    </fill>
    <fill>
      <patternFill patternType="solid">
        <fgColor rgb="FF65CBAB"/>
        <bgColor indexed="64"/>
      </patternFill>
    </fill>
    <fill>
      <patternFill patternType="solid">
        <fgColor rgb="FF6BCDA7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CFA213"/>
        <bgColor indexed="64"/>
      </patternFill>
    </fill>
    <fill>
      <patternFill patternType="solid">
        <fgColor rgb="FF002E00"/>
        <bgColor indexed="64"/>
      </patternFill>
    </fill>
    <fill>
      <patternFill patternType="solid">
        <fgColor rgb="FFA6DD8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423B32"/>
        <bgColor indexed="64"/>
      </patternFill>
    </fill>
    <fill>
      <patternFill patternType="solid">
        <fgColor rgb="FF53C7B7"/>
        <bgColor indexed="64"/>
      </patternFill>
    </fill>
    <fill>
      <patternFill patternType="solid">
        <fgColor rgb="FF64CBAC"/>
        <bgColor indexed="64"/>
      </patternFill>
    </fill>
    <fill>
      <patternFill patternType="solid">
        <fgColor rgb="FFD0CAC2"/>
        <bgColor indexed="64"/>
      </patternFill>
    </fill>
    <fill>
      <patternFill patternType="solid">
        <fgColor rgb="FF9FDB84"/>
        <bgColor indexed="64"/>
      </patternFill>
    </fill>
    <fill>
      <patternFill patternType="solid">
        <fgColor rgb="FF00102E"/>
        <bgColor indexed="64"/>
      </patternFill>
    </fill>
    <fill>
      <patternFill patternType="solid">
        <fgColor rgb="FFDCEDF8"/>
        <bgColor indexed="64"/>
      </patternFill>
    </fill>
    <fill>
      <patternFill patternType="solid">
        <fgColor rgb="FF7DD29B"/>
        <bgColor indexed="64"/>
      </patternFill>
    </fill>
    <fill>
      <patternFill patternType="solid">
        <fgColor rgb="FF2F2C29"/>
        <bgColor indexed="64"/>
      </patternFill>
    </fill>
    <fill>
      <patternFill patternType="solid">
        <fgColor rgb="FFA9323F"/>
        <bgColor indexed="64"/>
      </patternFill>
    </fill>
    <fill>
      <patternFill patternType="solid">
        <fgColor rgb="FF4CB33F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A7DD7E"/>
        <bgColor indexed="64"/>
      </patternFill>
    </fill>
    <fill>
      <patternFill patternType="solid">
        <fgColor rgb="FFFCF445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47C3C0"/>
        <bgColor indexed="64"/>
      </patternFill>
    </fill>
    <fill>
      <patternFill patternType="solid">
        <fgColor rgb="FF35BECC"/>
        <bgColor indexed="64"/>
      </patternFill>
    </fill>
    <fill>
      <patternFill patternType="solid">
        <fgColor rgb="FFF0307E"/>
        <bgColor indexed="64"/>
      </patternFill>
    </fill>
    <fill>
      <patternFill patternType="solid">
        <fgColor rgb="FFFEF2AC"/>
        <bgColor indexed="64"/>
      </patternFill>
    </fill>
    <fill>
      <patternFill patternType="solid">
        <fgColor rgb="FFFEF7CE"/>
        <bgColor indexed="64"/>
      </patternFill>
    </fill>
    <fill>
      <patternFill patternType="solid">
        <fgColor rgb="FFDA0000"/>
        <bgColor indexed="64"/>
      </patternFill>
    </fill>
    <fill>
      <patternFill patternType="solid">
        <fgColor rgb="FF996633"/>
        <bgColor indexed="64"/>
      </patternFill>
    </fill>
    <fill>
      <patternFill patternType="solid">
        <fgColor rgb="FF96D98A"/>
        <bgColor indexed="64"/>
      </patternFill>
    </fill>
    <fill>
      <patternFill patternType="solid">
        <fgColor rgb="FF402B15"/>
        <bgColor indexed="64"/>
      </patternFill>
    </fill>
    <fill>
      <patternFill patternType="solid">
        <fgColor rgb="FFC71434"/>
        <bgColor indexed="64"/>
      </patternFill>
    </fill>
    <fill>
      <patternFill patternType="solid">
        <fgColor rgb="FF51C6B9"/>
        <bgColor indexed="64"/>
      </patternFill>
    </fill>
    <fill>
      <patternFill patternType="solid">
        <fgColor rgb="FFAE123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72CFA3"/>
        <bgColor indexed="64"/>
      </patternFill>
    </fill>
    <fill>
      <patternFill patternType="solid">
        <fgColor rgb="FF2E90CC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F561C"/>
        <bgColor indexed="64"/>
      </patternFill>
    </fill>
    <fill>
      <patternFill patternType="solid">
        <fgColor rgb="FF32BECE"/>
        <bgColor indexed="64"/>
      </patternFill>
    </fill>
    <fill>
      <patternFill patternType="solid">
        <fgColor rgb="FF0DB3E7"/>
        <bgColor indexed="64"/>
      </patternFill>
    </fill>
    <fill>
      <patternFill patternType="solid">
        <fgColor rgb="FF4FC5BA"/>
        <bgColor indexed="64"/>
      </patternFill>
    </fill>
    <fill>
      <patternFill patternType="solid">
        <fgColor rgb="FF52C6B8"/>
        <bgColor indexed="64"/>
      </patternFill>
    </fill>
    <fill>
      <patternFill patternType="solid">
        <fgColor rgb="FF49C4BE"/>
        <bgColor indexed="64"/>
      </patternFill>
    </fill>
    <fill>
      <patternFill patternType="solid">
        <fgColor rgb="FF2BBCD3"/>
        <bgColor indexed="64"/>
      </patternFill>
    </fill>
    <fill>
      <patternFill patternType="solid">
        <fgColor rgb="FF1FB8DB"/>
        <bgColor indexed="64"/>
      </patternFill>
    </fill>
    <fill>
      <patternFill patternType="solid">
        <fgColor rgb="FF22B9D9"/>
        <bgColor indexed="64"/>
      </patternFill>
    </fill>
    <fill>
      <patternFill patternType="solid">
        <fgColor rgb="FF07B2EB"/>
        <bgColor indexed="64"/>
      </patternFill>
    </fill>
    <fill>
      <patternFill patternType="solid">
        <fgColor rgb="FF02778C"/>
        <bgColor indexed="64"/>
      </patternFill>
    </fill>
    <fill>
      <patternFill patternType="solid">
        <fgColor rgb="FF58C8B4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370">
    <xf numFmtId="0" fontId="0" fillId="0" borderId="0" xfId="0"/>
    <xf numFmtId="0" fontId="4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4" fillId="0" borderId="5" xfId="0" applyFont="1" applyBorder="1" applyAlignment="1">
      <alignment vertical="center"/>
    </xf>
    <xf numFmtId="0" fontId="2" fillId="0" borderId="0" xfId="0" applyFont="1" applyAlignment="1">
      <alignment horizontal="center" vertical="center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2" fillId="2" borderId="10" xfId="0" applyFont="1" applyFill="1" applyBorder="1" applyAlignment="1">
      <alignment vertical="center"/>
    </xf>
    <xf numFmtId="0" fontId="6" fillId="11" borderId="1" xfId="0" applyFont="1" applyFill="1" applyBorder="1" applyAlignment="1">
      <alignment vertical="center"/>
    </xf>
    <xf numFmtId="0" fontId="8" fillId="4" borderId="1" xfId="0" applyFont="1" applyFill="1" applyBorder="1" applyAlignment="1">
      <alignment vertical="center"/>
    </xf>
    <xf numFmtId="0" fontId="10" fillId="18" borderId="1" xfId="0" applyFont="1" applyFill="1" applyBorder="1" applyAlignment="1">
      <alignment vertical="center"/>
    </xf>
    <xf numFmtId="0" fontId="12" fillId="0" borderId="0" xfId="0" applyFont="1"/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164" fontId="13" fillId="0" borderId="0" xfId="0" applyNumberFormat="1" applyFont="1" applyAlignment="1">
      <alignment vertical="center"/>
    </xf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13" fillId="0" borderId="0" xfId="0" applyFont="1"/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64" fontId="13" fillId="21" borderId="0" xfId="0" applyNumberFormat="1" applyFont="1" applyFill="1" applyAlignment="1">
      <alignment vertical="center"/>
    </xf>
    <xf numFmtId="0" fontId="0" fillId="2" borderId="6" xfId="0" applyFill="1" applyBorder="1" applyAlignment="1">
      <alignment vertical="center"/>
    </xf>
    <xf numFmtId="0" fontId="23" fillId="31" borderId="0" xfId="0" applyFont="1" applyFill="1" applyAlignment="1">
      <alignment vertical="center"/>
    </xf>
    <xf numFmtId="0" fontId="2" fillId="0" borderId="0" xfId="0" applyFont="1" applyAlignment="1">
      <alignment horizontal="left" vertical="center"/>
    </xf>
    <xf numFmtId="0" fontId="0" fillId="0" borderId="12" xfId="0" applyBorder="1" applyAlignment="1">
      <alignment vertical="center"/>
    </xf>
    <xf numFmtId="0" fontId="28" fillId="38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30" fillId="32" borderId="1" xfId="0" applyFont="1" applyFill="1" applyBorder="1" applyAlignment="1">
      <alignment vertical="center"/>
    </xf>
    <xf numFmtId="0" fontId="34" fillId="17" borderId="1" xfId="0" applyFont="1" applyFill="1" applyBorder="1" applyAlignment="1">
      <alignment vertical="center"/>
    </xf>
    <xf numFmtId="0" fontId="32" fillId="4" borderId="4" xfId="0" applyFont="1" applyFill="1" applyBorder="1" applyAlignment="1">
      <alignment vertical="center"/>
    </xf>
    <xf numFmtId="0" fontId="36" fillId="43" borderId="4" xfId="0" applyFont="1" applyFill="1" applyBorder="1" applyAlignment="1">
      <alignment vertical="center"/>
    </xf>
    <xf numFmtId="0" fontId="38" fillId="45" borderId="4" xfId="0" applyFont="1" applyFill="1" applyBorder="1" applyAlignment="1">
      <alignment vertical="center"/>
    </xf>
    <xf numFmtId="0" fontId="25" fillId="0" borderId="0" xfId="0" applyFont="1" applyAlignment="1">
      <alignment horizontal="left" vertical="center"/>
    </xf>
    <xf numFmtId="0" fontId="42" fillId="47" borderId="4" xfId="0" applyFont="1" applyFill="1" applyBorder="1" applyAlignment="1">
      <alignment vertical="center"/>
    </xf>
    <xf numFmtId="0" fontId="44" fillId="4" borderId="4" xfId="0" applyFont="1" applyFill="1" applyBorder="1" applyAlignment="1">
      <alignment vertical="center"/>
    </xf>
    <xf numFmtId="0" fontId="45" fillId="49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47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49" fillId="53" borderId="1" xfId="0" applyFont="1" applyFill="1" applyBorder="1" applyAlignment="1">
      <alignment vertical="center"/>
    </xf>
    <xf numFmtId="0" fontId="51" fillId="55" borderId="1" xfId="0" applyFont="1" applyFill="1" applyBorder="1" applyAlignment="1">
      <alignment vertical="center"/>
    </xf>
    <xf numFmtId="0" fontId="55" fillId="59" borderId="0" xfId="0" applyFont="1" applyFill="1" applyAlignment="1">
      <alignment vertical="center"/>
    </xf>
    <xf numFmtId="0" fontId="57" fillId="48" borderId="8" xfId="0" applyFont="1" applyFill="1" applyBorder="1" applyAlignment="1">
      <alignment vertical="center"/>
    </xf>
    <xf numFmtId="0" fontId="59" fillId="3" borderId="0" xfId="0" applyFont="1" applyFill="1" applyAlignment="1">
      <alignment vertical="center"/>
    </xf>
    <xf numFmtId="0" fontId="50" fillId="53" borderId="0" xfId="0" applyFont="1" applyFill="1" applyAlignment="1">
      <alignment vertical="center"/>
    </xf>
    <xf numFmtId="0" fontId="61" fillId="61" borderId="0" xfId="0" applyFont="1" applyFill="1" applyAlignment="1">
      <alignment vertical="center"/>
    </xf>
    <xf numFmtId="0" fontId="63" fillId="60" borderId="8" xfId="0" applyFont="1" applyFill="1" applyBorder="1" applyAlignment="1">
      <alignment vertical="center"/>
    </xf>
    <xf numFmtId="0" fontId="65" fillId="58" borderId="0" xfId="0" applyFont="1" applyFill="1" applyAlignment="1">
      <alignment vertical="center"/>
    </xf>
    <xf numFmtId="0" fontId="67" fillId="56" borderId="4" xfId="0" applyFont="1" applyFill="1" applyBorder="1" applyAlignment="1">
      <alignment vertical="center"/>
    </xf>
    <xf numFmtId="0" fontId="49" fillId="54" borderId="4" xfId="0" applyFont="1" applyFill="1" applyBorder="1" applyAlignment="1">
      <alignment vertical="center"/>
    </xf>
    <xf numFmtId="0" fontId="69" fillId="52" borderId="4" xfId="0" applyFont="1" applyFill="1" applyBorder="1" applyAlignment="1">
      <alignment vertical="center"/>
    </xf>
    <xf numFmtId="0" fontId="71" fillId="4" borderId="4" xfId="0" applyFont="1" applyFill="1" applyBorder="1" applyAlignment="1">
      <alignment vertical="center"/>
    </xf>
    <xf numFmtId="0" fontId="73" fillId="51" borderId="1" xfId="0" applyFont="1" applyFill="1" applyBorder="1" applyAlignment="1">
      <alignment vertical="center"/>
    </xf>
    <xf numFmtId="0" fontId="75" fillId="50" borderId="1" xfId="0" applyFont="1" applyFill="1" applyBorder="1" applyAlignment="1">
      <alignment vertical="center"/>
    </xf>
    <xf numFmtId="0" fontId="77" fillId="48" borderId="1" xfId="0" applyFont="1" applyFill="1" applyBorder="1" applyAlignment="1">
      <alignment vertical="center"/>
    </xf>
    <xf numFmtId="0" fontId="79" fillId="44" borderId="4" xfId="0" applyFont="1" applyFill="1" applyBorder="1" applyAlignment="1">
      <alignment vertical="center"/>
    </xf>
    <xf numFmtId="0" fontId="81" fillId="33" borderId="4" xfId="0" applyFont="1" applyFill="1" applyBorder="1" applyAlignment="1">
      <alignment vertical="center"/>
    </xf>
    <xf numFmtId="0" fontId="83" fillId="15" borderId="4" xfId="0" applyFont="1" applyFill="1" applyBorder="1" applyAlignment="1">
      <alignment vertical="center"/>
    </xf>
    <xf numFmtId="0" fontId="49" fillId="15" borderId="4" xfId="0" applyFont="1" applyFill="1" applyBorder="1" applyAlignment="1">
      <alignment vertical="center"/>
    </xf>
    <xf numFmtId="0" fontId="75" fillId="30" borderId="4" xfId="0" applyFont="1" applyFill="1" applyBorder="1" applyAlignment="1">
      <alignment vertical="center"/>
    </xf>
    <xf numFmtId="0" fontId="85" fillId="29" borderId="1" xfId="0" applyFont="1" applyFill="1" applyBorder="1" applyAlignment="1">
      <alignment vertical="center"/>
    </xf>
    <xf numFmtId="0" fontId="51" fillId="13" borderId="4" xfId="0" applyFont="1" applyFill="1" applyBorder="1" applyAlignment="1">
      <alignment vertical="center"/>
    </xf>
    <xf numFmtId="0" fontId="87" fillId="9" borderId="4" xfId="0" applyFont="1" applyFill="1" applyBorder="1" applyAlignment="1">
      <alignment vertical="center"/>
    </xf>
    <xf numFmtId="0" fontId="89" fillId="15" borderId="4" xfId="0" applyFont="1" applyFill="1" applyBorder="1" applyAlignment="1">
      <alignment vertical="center"/>
    </xf>
    <xf numFmtId="0" fontId="91" fillId="8" borderId="1" xfId="0" applyFont="1" applyFill="1" applyBorder="1" applyAlignment="1">
      <alignment vertical="center"/>
    </xf>
    <xf numFmtId="0" fontId="93" fillId="19" borderId="1" xfId="0" applyFont="1" applyFill="1" applyBorder="1" applyAlignment="1">
      <alignment vertical="center"/>
    </xf>
    <xf numFmtId="0" fontId="95" fillId="20" borderId="1" xfId="0" applyFont="1" applyFill="1" applyBorder="1" applyAlignment="1">
      <alignment vertical="center"/>
    </xf>
    <xf numFmtId="0" fontId="97" fillId="10" borderId="1" xfId="0" applyFont="1" applyFill="1" applyBorder="1" applyAlignment="1">
      <alignment vertical="center"/>
    </xf>
    <xf numFmtId="0" fontId="71" fillId="4" borderId="1" xfId="0" applyFont="1" applyFill="1" applyBorder="1" applyAlignment="1">
      <alignment vertical="center"/>
    </xf>
    <xf numFmtId="0" fontId="99" fillId="16" borderId="1" xfId="0" applyFont="1" applyFill="1" applyBorder="1" applyAlignment="1">
      <alignment vertical="center"/>
    </xf>
    <xf numFmtId="0" fontId="97" fillId="12" borderId="1" xfId="0" applyFont="1" applyFill="1" applyBorder="1" applyAlignment="1">
      <alignment vertical="center"/>
    </xf>
    <xf numFmtId="0" fontId="101" fillId="6" borderId="1" xfId="0" applyFont="1" applyFill="1" applyBorder="1" applyAlignment="1">
      <alignment vertical="center"/>
    </xf>
    <xf numFmtId="0" fontId="91" fillId="14" borderId="1" xfId="0" applyFont="1" applyFill="1" applyBorder="1" applyAlignment="1">
      <alignment vertical="center"/>
    </xf>
    <xf numFmtId="0" fontId="103" fillId="3" borderId="1" xfId="0" applyFont="1" applyFill="1" applyBorder="1" applyAlignment="1">
      <alignment vertical="center"/>
    </xf>
    <xf numFmtId="0" fontId="105" fillId="15" borderId="4" xfId="0" applyFont="1" applyFill="1" applyBorder="1" applyAlignment="1">
      <alignment vertical="center"/>
    </xf>
    <xf numFmtId="0" fontId="107" fillId="28" borderId="4" xfId="0" applyFont="1" applyFill="1" applyBorder="1" applyAlignment="1">
      <alignment vertical="center"/>
    </xf>
    <xf numFmtId="0" fontId="109" fillId="47" borderId="4" xfId="0" applyFont="1" applyFill="1" applyBorder="1" applyAlignment="1">
      <alignment vertical="center"/>
    </xf>
    <xf numFmtId="0" fontId="111" fillId="62" borderId="0" xfId="0" applyFont="1" applyFill="1" applyAlignment="1">
      <alignment vertical="center"/>
    </xf>
    <xf numFmtId="0" fontId="113" fillId="63" borderId="0" xfId="0" applyFont="1" applyFill="1" applyAlignment="1">
      <alignment vertical="center"/>
    </xf>
    <xf numFmtId="0" fontId="76" fillId="64" borderId="0" xfId="0" applyFont="1" applyFill="1" applyAlignment="1">
      <alignment vertical="center"/>
    </xf>
    <xf numFmtId="0" fontId="63" fillId="13" borderId="0" xfId="0" applyFont="1" applyFill="1" applyAlignment="1">
      <alignment vertical="center"/>
    </xf>
    <xf numFmtId="0" fontId="117" fillId="65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19" fillId="0" borderId="0" xfId="0" applyFont="1" applyAlignment="1">
      <alignment vertical="center"/>
    </xf>
    <xf numFmtId="0" fontId="121" fillId="59" borderId="8" xfId="0" applyFont="1" applyFill="1" applyBorder="1" applyAlignment="1">
      <alignment vertical="center"/>
    </xf>
    <xf numFmtId="0" fontId="53" fillId="15" borderId="4" xfId="0" applyFont="1" applyFill="1" applyBorder="1" applyAlignment="1">
      <alignment vertical="center"/>
    </xf>
    <xf numFmtId="0" fontId="60" fillId="15" borderId="4" xfId="0" applyFont="1" applyFill="1" applyBorder="1" applyAlignment="1">
      <alignment vertical="center"/>
    </xf>
    <xf numFmtId="0" fontId="123" fillId="39" borderId="4" xfId="0" applyFont="1" applyFill="1" applyBorder="1" applyAlignment="1">
      <alignment vertical="center"/>
    </xf>
    <xf numFmtId="0" fontId="125" fillId="4" borderId="0" xfId="0" applyFont="1" applyFill="1" applyAlignment="1">
      <alignment vertical="center"/>
    </xf>
    <xf numFmtId="0" fontId="63" fillId="69" borderId="0" xfId="0" applyFont="1" applyFill="1" applyAlignment="1">
      <alignment vertical="center"/>
    </xf>
    <xf numFmtId="0" fontId="129" fillId="72" borderId="0" xfId="0" applyFont="1" applyFill="1" applyAlignment="1">
      <alignment vertical="center"/>
    </xf>
    <xf numFmtId="0" fontId="131" fillId="74" borderId="0" xfId="0" applyFont="1" applyFill="1" applyAlignment="1">
      <alignment vertical="center"/>
    </xf>
    <xf numFmtId="0" fontId="25" fillId="0" borderId="1" xfId="0" applyFont="1" applyBorder="1" applyAlignment="1">
      <alignment vertical="center"/>
    </xf>
    <xf numFmtId="0" fontId="53" fillId="5" borderId="1" xfId="0" applyFont="1" applyFill="1" applyBorder="1" applyAlignment="1">
      <alignment vertical="center"/>
    </xf>
    <xf numFmtId="0" fontId="135" fillId="7" borderId="1" xfId="0" applyFont="1" applyFill="1" applyBorder="1" applyAlignment="1">
      <alignment vertical="center"/>
    </xf>
    <xf numFmtId="0" fontId="137" fillId="77" borderId="0" xfId="0" applyFont="1" applyFill="1" applyAlignment="1">
      <alignment vertical="center"/>
    </xf>
    <xf numFmtId="0" fontId="133" fillId="78" borderId="0" xfId="0" applyFont="1" applyFill="1" applyAlignment="1">
      <alignment vertical="center"/>
    </xf>
    <xf numFmtId="0" fontId="100" fillId="81" borderId="0" xfId="0" applyFont="1" applyFill="1" applyAlignment="1">
      <alignment vertical="center"/>
    </xf>
    <xf numFmtId="0" fontId="141" fillId="82" borderId="0" xfId="0" applyFont="1" applyFill="1" applyAlignment="1">
      <alignment vertical="center"/>
    </xf>
    <xf numFmtId="0" fontId="54" fillId="83" borderId="0" xfId="0" applyFont="1" applyFill="1" applyAlignment="1">
      <alignment vertical="center"/>
    </xf>
    <xf numFmtId="0" fontId="59" fillId="0" borderId="0" xfId="0" applyFont="1" applyAlignment="1">
      <alignment vertical="center"/>
    </xf>
    <xf numFmtId="0" fontId="145" fillId="86" borderId="0" xfId="0" applyFont="1" applyFill="1" applyAlignment="1">
      <alignment vertical="center"/>
    </xf>
    <xf numFmtId="0" fontId="147" fillId="87" borderId="1" xfId="0" applyFont="1" applyFill="1" applyBorder="1" applyAlignment="1">
      <alignment vertical="center"/>
    </xf>
    <xf numFmtId="0" fontId="149" fillId="0" borderId="0" xfId="0" applyFont="1" applyAlignment="1">
      <alignment vertical="center"/>
    </xf>
    <xf numFmtId="0" fontId="151" fillId="84" borderId="0" xfId="0" applyFont="1" applyFill="1" applyAlignment="1">
      <alignment vertical="center"/>
    </xf>
    <xf numFmtId="0" fontId="155" fillId="47" borderId="0" xfId="0" applyFont="1" applyFill="1" applyAlignment="1">
      <alignment vertical="center"/>
    </xf>
    <xf numFmtId="0" fontId="159" fillId="90" borderId="0" xfId="0" applyFont="1" applyFill="1" applyAlignment="1">
      <alignment vertical="center"/>
    </xf>
    <xf numFmtId="0" fontId="63" fillId="92" borderId="0" xfId="0" applyFont="1" applyFill="1" applyAlignment="1">
      <alignment vertical="center"/>
    </xf>
    <xf numFmtId="0" fontId="43" fillId="91" borderId="0" xfId="0" applyFont="1" applyFill="1" applyAlignment="1">
      <alignment vertical="center"/>
    </xf>
    <xf numFmtId="0" fontId="153" fillId="88" borderId="0" xfId="0" applyFont="1" applyFill="1" applyAlignment="1">
      <alignment vertical="center"/>
    </xf>
    <xf numFmtId="0" fontId="157" fillId="89" borderId="2" xfId="0" applyFont="1" applyFill="1" applyBorder="1" applyAlignment="1">
      <alignment vertical="center"/>
    </xf>
    <xf numFmtId="0" fontId="161" fillId="93" borderId="4" xfId="0" applyFont="1" applyFill="1" applyBorder="1" applyAlignment="1">
      <alignment vertical="center"/>
    </xf>
    <xf numFmtId="0" fontId="102" fillId="94" borderId="0" xfId="0" applyFont="1" applyFill="1" applyAlignment="1">
      <alignment vertical="center"/>
    </xf>
    <xf numFmtId="0" fontId="147" fillId="0" borderId="0" xfId="0" applyFont="1" applyAlignment="1">
      <alignment vertical="center"/>
    </xf>
    <xf numFmtId="0" fontId="63" fillId="69" borderId="1" xfId="0" applyFont="1" applyFill="1" applyBorder="1" applyAlignment="1">
      <alignment vertical="center"/>
    </xf>
    <xf numFmtId="0" fontId="163" fillId="95" borderId="1" xfId="0" applyFont="1" applyFill="1" applyBorder="1" applyAlignment="1">
      <alignment vertical="center"/>
    </xf>
    <xf numFmtId="0" fontId="164" fillId="75" borderId="0" xfId="0" applyFont="1" applyFill="1" applyAlignment="1">
      <alignment vertical="center"/>
    </xf>
    <xf numFmtId="0" fontId="166" fillId="97" borderId="4" xfId="0" applyFont="1" applyFill="1" applyBorder="1" applyAlignment="1">
      <alignment vertical="center"/>
    </xf>
    <xf numFmtId="0" fontId="163" fillId="98" borderId="1" xfId="0" applyFont="1" applyFill="1" applyBorder="1" applyAlignment="1">
      <alignment vertical="center"/>
    </xf>
    <xf numFmtId="0" fontId="168" fillId="114" borderId="1" xfId="0" applyFont="1" applyFill="1" applyBorder="1" applyAlignment="1">
      <alignment vertical="center"/>
    </xf>
    <xf numFmtId="0" fontId="170" fillId="115" borderId="4" xfId="0" applyFont="1" applyFill="1" applyBorder="1" applyAlignment="1">
      <alignment vertical="center"/>
    </xf>
    <xf numFmtId="0" fontId="172" fillId="4" borderId="4" xfId="0" applyFont="1" applyFill="1" applyBorder="1" applyAlignment="1">
      <alignment vertical="center"/>
    </xf>
    <xf numFmtId="0" fontId="163" fillId="116" borderId="1" xfId="0" applyFont="1" applyFill="1" applyBorder="1" applyAlignment="1">
      <alignment vertical="center"/>
    </xf>
    <xf numFmtId="0" fontId="174" fillId="117" borderId="1" xfId="0" applyFont="1" applyFill="1" applyBorder="1" applyAlignment="1">
      <alignment vertical="center"/>
    </xf>
    <xf numFmtId="0" fontId="176" fillId="4" borderId="1" xfId="0" applyFont="1" applyFill="1" applyBorder="1" applyAlignment="1">
      <alignment vertical="center"/>
    </xf>
    <xf numFmtId="0" fontId="63" fillId="120" borderId="4" xfId="0" applyFont="1" applyFill="1" applyBorder="1" applyAlignment="1">
      <alignment vertical="center"/>
    </xf>
    <xf numFmtId="0" fontId="178" fillId="47" borderId="1" xfId="0" applyFont="1" applyFill="1" applyBorder="1" applyAlignment="1">
      <alignment vertical="center"/>
    </xf>
    <xf numFmtId="0" fontId="180" fillId="121" borderId="1" xfId="0" applyFont="1" applyFill="1" applyBorder="1" applyAlignment="1">
      <alignment vertical="center"/>
    </xf>
    <xf numFmtId="0" fontId="108" fillId="91" borderId="1" xfId="0" applyFont="1" applyFill="1" applyBorder="1" applyAlignment="1">
      <alignment vertical="center"/>
    </xf>
    <xf numFmtId="0" fontId="182" fillId="167" borderId="1" xfId="0" applyFont="1" applyFill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184" fillId="170" borderId="1" xfId="0" applyFont="1" applyFill="1" applyBorder="1" applyAlignment="1">
      <alignment vertical="center"/>
    </xf>
    <xf numFmtId="0" fontId="186" fillId="0" borderId="1" xfId="0" applyFont="1" applyBorder="1" applyAlignment="1">
      <alignment vertical="center"/>
    </xf>
    <xf numFmtId="0" fontId="188" fillId="3" borderId="1" xfId="0" applyFont="1" applyFill="1" applyBorder="1" applyAlignment="1">
      <alignment vertical="center"/>
    </xf>
    <xf numFmtId="0" fontId="0" fillId="57" borderId="0" xfId="0" applyFill="1" applyAlignment="1">
      <alignment vertical="center"/>
    </xf>
    <xf numFmtId="0" fontId="54" fillId="171" borderId="1" xfId="0" applyFont="1" applyFill="1" applyBorder="1" applyAlignment="1">
      <alignment vertical="center"/>
    </xf>
    <xf numFmtId="0" fontId="63" fillId="169" borderId="1" xfId="0" applyFont="1" applyFill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25" fillId="0" borderId="6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143" fillId="44" borderId="0" xfId="0" applyFont="1" applyFill="1" applyAlignment="1">
      <alignment vertical="center"/>
    </xf>
    <xf numFmtId="0" fontId="0" fillId="0" borderId="4" xfId="0" applyBorder="1" applyAlignment="1">
      <alignment vertical="center"/>
    </xf>
    <xf numFmtId="0" fontId="2" fillId="0" borderId="1" xfId="0" applyFont="1" applyBorder="1" applyAlignment="1">
      <alignment vertical="center"/>
    </xf>
    <xf numFmtId="49" fontId="0" fillId="0" borderId="8" xfId="0" applyNumberFormat="1" applyBorder="1" applyAlignment="1">
      <alignment vertical="center"/>
    </xf>
    <xf numFmtId="49" fontId="0" fillId="0" borderId="3" xfId="0" applyNumberFormat="1" applyBorder="1" applyAlignment="1">
      <alignment vertical="center"/>
    </xf>
    <xf numFmtId="0" fontId="159" fillId="0" borderId="4" xfId="0" applyFont="1" applyBorder="1" applyAlignment="1">
      <alignment vertical="center"/>
    </xf>
    <xf numFmtId="0" fontId="33" fillId="96" borderId="1" xfId="0" applyFont="1" applyFill="1" applyBorder="1" applyAlignment="1">
      <alignment vertical="center"/>
    </xf>
    <xf numFmtId="49" fontId="0" fillId="0" borderId="2" xfId="0" applyNumberFormat="1" applyBorder="1" applyAlignment="1">
      <alignment vertical="center"/>
    </xf>
    <xf numFmtId="0" fontId="190" fillId="174" borderId="1" xfId="0" applyFont="1" applyFill="1" applyBorder="1" applyAlignment="1">
      <alignment vertical="center"/>
    </xf>
    <xf numFmtId="0" fontId="192" fillId="176" borderId="1" xfId="0" applyFont="1" applyFill="1" applyBorder="1" applyAlignment="1">
      <alignment vertical="center"/>
    </xf>
    <xf numFmtId="0" fontId="194" fillId="177" borderId="1" xfId="0" applyFont="1" applyFill="1" applyBorder="1" applyAlignment="1">
      <alignment vertical="center"/>
    </xf>
    <xf numFmtId="0" fontId="196" fillId="178" borderId="1" xfId="0" applyFont="1" applyFill="1" applyBorder="1" applyAlignment="1">
      <alignment vertical="center"/>
    </xf>
    <xf numFmtId="0" fontId="198" fillId="180" borderId="1" xfId="0" applyFont="1" applyFill="1" applyBorder="1" applyAlignment="1">
      <alignment vertical="center"/>
    </xf>
    <xf numFmtId="0" fontId="200" fillId="182" borderId="1" xfId="0" applyFont="1" applyFill="1" applyBorder="1" applyAlignment="1">
      <alignment vertical="center"/>
    </xf>
    <xf numFmtId="0" fontId="113" fillId="121" borderId="1" xfId="0" applyFont="1" applyFill="1" applyBorder="1" applyAlignment="1">
      <alignment vertical="center"/>
    </xf>
    <xf numFmtId="0" fontId="202" fillId="186" borderId="1" xfId="0" applyFont="1" applyFill="1" applyBorder="1" applyAlignment="1">
      <alignment vertical="center"/>
    </xf>
    <xf numFmtId="0" fontId="205" fillId="188" borderId="1" xfId="0" applyFont="1" applyFill="1" applyBorder="1" applyAlignment="1">
      <alignment vertical="center"/>
    </xf>
    <xf numFmtId="0" fontId="147" fillId="190" borderId="1" xfId="0" applyFont="1" applyFill="1" applyBorder="1" applyAlignment="1">
      <alignment vertical="center"/>
    </xf>
    <xf numFmtId="0" fontId="207" fillId="191" borderId="1" xfId="0" applyFont="1" applyFill="1" applyBorder="1" applyAlignment="1">
      <alignment vertical="center"/>
    </xf>
    <xf numFmtId="0" fontId="180" fillId="0" borderId="1" xfId="0" applyFont="1" applyBorder="1" applyAlignment="1">
      <alignment vertical="center"/>
    </xf>
    <xf numFmtId="0" fontId="209" fillId="33" borderId="4" xfId="0" applyFont="1" applyFill="1" applyBorder="1" applyAlignment="1">
      <alignment vertical="center"/>
    </xf>
    <xf numFmtId="0" fontId="211" fillId="4" borderId="1" xfId="0" applyFont="1" applyFill="1" applyBorder="1" applyAlignment="1">
      <alignment vertical="center"/>
    </xf>
    <xf numFmtId="0" fontId="213" fillId="20" borderId="1" xfId="0" applyFont="1" applyFill="1" applyBorder="1" applyAlignment="1">
      <alignment vertical="center"/>
    </xf>
    <xf numFmtId="0" fontId="54" fillId="194" borderId="1" xfId="0" applyFont="1" applyFill="1" applyBorder="1" applyAlignment="1">
      <alignment vertical="center"/>
    </xf>
    <xf numFmtId="0" fontId="215" fillId="196" borderId="1" xfId="0" applyFont="1" applyFill="1" applyBorder="1" applyAlignment="1">
      <alignment vertical="center"/>
    </xf>
    <xf numFmtId="0" fontId="63" fillId="197" borderId="1" xfId="0" applyFont="1" applyFill="1" applyBorder="1" applyAlignment="1">
      <alignment vertical="center"/>
    </xf>
    <xf numFmtId="0" fontId="74" fillId="198" borderId="1" xfId="0" applyFont="1" applyFill="1" applyBorder="1" applyAlignment="1">
      <alignment vertical="center"/>
    </xf>
    <xf numFmtId="0" fontId="217" fillId="4" borderId="1" xfId="0" applyFont="1" applyFill="1" applyBorder="1" applyAlignment="1">
      <alignment vertical="center"/>
    </xf>
    <xf numFmtId="0" fontId="53" fillId="199" borderId="4" xfId="0" applyFont="1" applyFill="1" applyBorder="1" applyAlignment="1">
      <alignment vertical="center"/>
    </xf>
    <xf numFmtId="0" fontId="219" fillId="200" borderId="1" xfId="0" applyFont="1" applyFill="1" applyBorder="1" applyAlignment="1">
      <alignment vertical="center"/>
    </xf>
    <xf numFmtId="0" fontId="221" fillId="15" borderId="1" xfId="0" applyFont="1" applyFill="1" applyBorder="1" applyAlignment="1">
      <alignment vertical="center"/>
    </xf>
    <xf numFmtId="0" fontId="223" fillId="205" borderId="1" xfId="0" applyFont="1" applyFill="1" applyBorder="1" applyAlignment="1">
      <alignment vertical="center"/>
    </xf>
    <xf numFmtId="0" fontId="225" fillId="206" borderId="1" xfId="0" applyFont="1" applyFill="1" applyBorder="1" applyAlignment="1">
      <alignment vertical="center"/>
    </xf>
    <xf numFmtId="0" fontId="227" fillId="208" borderId="1" xfId="0" applyFont="1" applyFill="1" applyBorder="1" applyAlignment="1">
      <alignment vertical="center"/>
    </xf>
    <xf numFmtId="0" fontId="229" fillId="0" borderId="2" xfId="0" applyFont="1" applyBorder="1" applyAlignment="1">
      <alignment vertical="center"/>
    </xf>
    <xf numFmtId="0" fontId="230" fillId="209" borderId="1" xfId="0" applyFont="1" applyFill="1" applyBorder="1" applyAlignment="1">
      <alignment vertical="center"/>
    </xf>
    <xf numFmtId="0" fontId="136" fillId="208" borderId="1" xfId="0" applyFont="1" applyFill="1" applyBorder="1" applyAlignment="1">
      <alignment vertical="center"/>
    </xf>
    <xf numFmtId="0" fontId="54" fillId="212" borderId="1" xfId="0" applyFont="1" applyFill="1" applyBorder="1" applyAlignment="1">
      <alignment vertical="center"/>
    </xf>
    <xf numFmtId="0" fontId="232" fillId="74" borderId="1" xfId="0" applyFont="1" applyFill="1" applyBorder="1" applyAlignment="1">
      <alignment vertical="center"/>
    </xf>
    <xf numFmtId="0" fontId="234" fillId="214" borderId="1" xfId="0" applyFont="1" applyFill="1" applyBorder="1" applyAlignment="1">
      <alignment vertical="center"/>
    </xf>
    <xf numFmtId="0" fontId="237" fillId="215" borderId="1" xfId="0" applyFont="1" applyFill="1" applyBorder="1" applyAlignment="1">
      <alignment vertical="center"/>
    </xf>
    <xf numFmtId="0" fontId="239" fillId="217" borderId="1" xfId="0" applyFont="1" applyFill="1" applyBorder="1" applyAlignment="1">
      <alignment vertical="center"/>
    </xf>
    <xf numFmtId="0" fontId="241" fillId="218" borderId="1" xfId="0" applyFont="1" applyFill="1" applyBorder="1" applyAlignment="1">
      <alignment vertical="center"/>
    </xf>
    <xf numFmtId="0" fontId="243" fillId="219" borderId="1" xfId="0" applyFont="1" applyFill="1" applyBorder="1" applyAlignment="1">
      <alignment vertical="center"/>
    </xf>
    <xf numFmtId="0" fontId="227" fillId="220" borderId="4" xfId="0" applyFont="1" applyFill="1" applyBorder="1" applyAlignment="1">
      <alignment vertical="center"/>
    </xf>
    <xf numFmtId="0" fontId="63" fillId="4" borderId="1" xfId="0" applyFont="1" applyFill="1" applyBorder="1" applyAlignment="1">
      <alignment vertical="center"/>
    </xf>
    <xf numFmtId="0" fontId="245" fillId="208" borderId="1" xfId="0" applyFont="1" applyFill="1" applyBorder="1" applyAlignment="1">
      <alignment vertical="center"/>
    </xf>
    <xf numFmtId="0" fontId="247" fillId="223" borderId="1" xfId="0" applyFont="1" applyFill="1" applyBorder="1" applyAlignment="1">
      <alignment vertical="center"/>
    </xf>
    <xf numFmtId="0" fontId="249" fillId="44" borderId="1" xfId="0" applyFont="1" applyFill="1" applyBorder="1" applyAlignment="1">
      <alignment vertical="center"/>
    </xf>
    <xf numFmtId="0" fontId="63" fillId="226" borderId="1" xfId="0" applyFont="1" applyFill="1" applyBorder="1" applyAlignment="1">
      <alignment vertical="center"/>
    </xf>
    <xf numFmtId="0" fontId="253" fillId="227" borderId="1" xfId="0" applyFont="1" applyFill="1" applyBorder="1" applyAlignment="1">
      <alignment vertical="center"/>
    </xf>
    <xf numFmtId="0" fontId="255" fillId="228" borderId="1" xfId="0" applyFont="1" applyFill="1" applyBorder="1" applyAlignment="1">
      <alignment vertical="center"/>
    </xf>
    <xf numFmtId="0" fontId="25" fillId="0" borderId="5" xfId="0" applyFont="1" applyBorder="1" applyAlignment="1">
      <alignment vertical="center"/>
    </xf>
    <xf numFmtId="0" fontId="25" fillId="0" borderId="7" xfId="0" applyFont="1" applyBorder="1" applyAlignment="1">
      <alignment vertical="center"/>
    </xf>
    <xf numFmtId="0" fontId="259" fillId="0" borderId="1" xfId="0" applyFont="1" applyBorder="1" applyAlignment="1">
      <alignment vertical="center"/>
    </xf>
    <xf numFmtId="0" fontId="115" fillId="232" borderId="0" xfId="0" applyFont="1" applyFill="1" applyAlignment="1">
      <alignment vertical="center"/>
    </xf>
    <xf numFmtId="0" fontId="257" fillId="44" borderId="1" xfId="0" applyFont="1" applyFill="1" applyBorder="1" applyAlignment="1">
      <alignment vertical="center"/>
    </xf>
    <xf numFmtId="0" fontId="261" fillId="233" borderId="1" xfId="0" applyFont="1" applyFill="1" applyBorder="1" applyAlignment="1">
      <alignment vertical="center"/>
    </xf>
    <xf numFmtId="0" fontId="251" fillId="4" borderId="1" xfId="0" applyFont="1" applyFill="1" applyBorder="1" applyAlignment="1">
      <alignment vertical="center"/>
    </xf>
    <xf numFmtId="0" fontId="2" fillId="2" borderId="13" xfId="0" applyFont="1" applyFill="1" applyBorder="1" applyAlignment="1">
      <alignment vertical="center"/>
    </xf>
    <xf numFmtId="0" fontId="2" fillId="2" borderId="9" xfId="0" applyFont="1" applyFill="1" applyBorder="1" applyAlignment="1">
      <alignment vertical="center"/>
    </xf>
    <xf numFmtId="0" fontId="0" fillId="25" borderId="0" xfId="0" applyFill="1" applyAlignment="1">
      <alignment vertical="center"/>
    </xf>
    <xf numFmtId="49" fontId="0" fillId="0" borderId="0" xfId="0" applyNumberFormat="1" applyAlignment="1">
      <alignment vertical="center"/>
    </xf>
    <xf numFmtId="0" fontId="2" fillId="0" borderId="0" xfId="0" applyFont="1" applyAlignment="1">
      <alignment vertical="center"/>
    </xf>
    <xf numFmtId="0" fontId="25" fillId="0" borderId="0" xfId="0" applyFont="1" applyAlignment="1">
      <alignment vertical="center"/>
    </xf>
    <xf numFmtId="0" fontId="5" fillId="23" borderId="0" xfId="0" applyFont="1" applyFill="1" applyAlignment="1">
      <alignment vertical="center"/>
    </xf>
    <xf numFmtId="49" fontId="5" fillId="0" borderId="0" xfId="0" applyNumberFormat="1" applyFont="1" applyAlignment="1">
      <alignment vertical="center"/>
    </xf>
    <xf numFmtId="0" fontId="5" fillId="27" borderId="0" xfId="0" applyFont="1" applyFill="1" applyAlignment="1">
      <alignment vertical="center"/>
    </xf>
    <xf numFmtId="0" fontId="5" fillId="26" borderId="0" xfId="0" applyFont="1" applyFill="1" applyAlignment="1">
      <alignment vertical="center"/>
    </xf>
    <xf numFmtId="0" fontId="5" fillId="24" borderId="0" xfId="0" applyFont="1" applyFill="1" applyAlignment="1">
      <alignment vertical="center"/>
    </xf>
    <xf numFmtId="0" fontId="0" fillId="34" borderId="0" xfId="0" applyFill="1" applyAlignment="1">
      <alignment vertical="center"/>
    </xf>
    <xf numFmtId="0" fontId="0" fillId="229" borderId="0" xfId="0" applyFill="1" applyAlignment="1">
      <alignment vertical="center"/>
    </xf>
    <xf numFmtId="0" fontId="0" fillId="230" borderId="0" xfId="0" applyFill="1" applyAlignment="1">
      <alignment vertical="center"/>
    </xf>
    <xf numFmtId="0" fontId="0" fillId="28" borderId="0" xfId="0" applyFill="1" applyAlignment="1">
      <alignment vertical="center"/>
    </xf>
    <xf numFmtId="0" fontId="236" fillId="0" borderId="2" xfId="0" applyFont="1" applyBorder="1" applyAlignment="1">
      <alignment vertical="center"/>
    </xf>
    <xf numFmtId="0" fontId="0" fillId="0" borderId="0" xfId="0" applyAlignment="1">
      <alignment horizontal="center" vertical="center"/>
    </xf>
    <xf numFmtId="0" fontId="26" fillId="35" borderId="0" xfId="0" applyFont="1" applyFill="1" applyAlignment="1">
      <alignment horizontal="center"/>
    </xf>
    <xf numFmtId="0" fontId="0" fillId="36" borderId="0" xfId="0" applyFill="1"/>
    <xf numFmtId="0" fontId="0" fillId="36" borderId="0" xfId="0" applyFill="1" applyAlignment="1">
      <alignment horizontal="center"/>
    </xf>
    <xf numFmtId="49" fontId="0" fillId="36" borderId="0" xfId="0" applyNumberFormat="1" applyFill="1" applyAlignment="1">
      <alignment horizontal="center"/>
    </xf>
    <xf numFmtId="0" fontId="0" fillId="46" borderId="0" xfId="0" applyFill="1"/>
    <xf numFmtId="0" fontId="0" fillId="46" borderId="0" xfId="0" applyFill="1" applyAlignment="1">
      <alignment horizontal="center"/>
    </xf>
    <xf numFmtId="49" fontId="0" fillId="46" borderId="0" xfId="0" applyNumberFormat="1" applyFill="1" applyAlignment="1">
      <alignment horizontal="center"/>
    </xf>
    <xf numFmtId="0" fontId="25" fillId="22" borderId="0" xfId="0" applyFont="1" applyFill="1" applyAlignment="1">
      <alignment horizontal="center"/>
    </xf>
    <xf numFmtId="0" fontId="27" fillId="149" borderId="0" xfId="0" applyFont="1" applyFill="1" applyAlignment="1">
      <alignment horizontal="center"/>
    </xf>
    <xf numFmtId="0" fontId="25" fillId="40" borderId="0" xfId="0" applyFont="1" applyFill="1" applyAlignment="1">
      <alignment horizontal="center"/>
    </xf>
    <xf numFmtId="0" fontId="27" fillId="79" borderId="0" xfId="0" applyFont="1" applyFill="1" applyAlignment="1">
      <alignment horizontal="center"/>
    </xf>
    <xf numFmtId="0" fontId="25" fillId="41" borderId="0" xfId="0" applyFont="1" applyFill="1" applyAlignment="1">
      <alignment horizontal="center"/>
    </xf>
    <xf numFmtId="0" fontId="27" fillId="118" borderId="0" xfId="0" applyFont="1" applyFill="1" applyAlignment="1">
      <alignment horizontal="center"/>
    </xf>
    <xf numFmtId="0" fontId="25" fillId="42" borderId="0" xfId="0" applyFont="1" applyFill="1" applyAlignment="1">
      <alignment horizontal="center"/>
    </xf>
    <xf numFmtId="0" fontId="27" fillId="80" borderId="0" xfId="0" applyFont="1" applyFill="1" applyAlignment="1">
      <alignment horizontal="center"/>
    </xf>
    <xf numFmtId="0" fontId="27" fillId="153" borderId="0" xfId="0" applyFont="1" applyFill="1" applyAlignment="1">
      <alignment horizontal="center"/>
    </xf>
    <xf numFmtId="0" fontId="27" fillId="67" borderId="0" xfId="0" applyFont="1" applyFill="1" applyAlignment="1">
      <alignment horizontal="center"/>
    </xf>
    <xf numFmtId="0" fontId="27" fillId="105" borderId="0" xfId="0" applyFont="1" applyFill="1" applyAlignment="1">
      <alignment horizontal="center"/>
    </xf>
    <xf numFmtId="0" fontId="27" fillId="222" borderId="0" xfId="0" applyFont="1" applyFill="1" applyAlignment="1">
      <alignment horizontal="center"/>
    </xf>
    <xf numFmtId="0" fontId="27" fillId="172" borderId="0" xfId="0" applyFont="1" applyFill="1" applyAlignment="1">
      <alignment horizontal="center"/>
    </xf>
    <xf numFmtId="0" fontId="27" fillId="108" borderId="0" xfId="0" applyFont="1" applyFill="1" applyAlignment="1">
      <alignment horizontal="center"/>
    </xf>
    <xf numFmtId="0" fontId="27" fillId="181" borderId="0" xfId="0" applyFont="1" applyFill="1" applyAlignment="1">
      <alignment horizontal="center"/>
    </xf>
    <xf numFmtId="0" fontId="27" fillId="192" borderId="0" xfId="0" applyFont="1" applyFill="1" applyAlignment="1">
      <alignment horizontal="center"/>
    </xf>
    <xf numFmtId="0" fontId="27" fillId="145" borderId="0" xfId="0" applyFont="1" applyFill="1" applyAlignment="1">
      <alignment horizontal="center"/>
    </xf>
    <xf numFmtId="0" fontId="27" fillId="37" borderId="0" xfId="0" applyFont="1" applyFill="1" applyAlignment="1">
      <alignment horizontal="center"/>
    </xf>
    <xf numFmtId="0" fontId="27" fillId="185" borderId="0" xfId="0" applyFont="1" applyFill="1" applyAlignment="1">
      <alignment horizontal="center"/>
    </xf>
    <xf numFmtId="0" fontId="27" fillId="173" borderId="0" xfId="0" applyFont="1" applyFill="1" applyAlignment="1">
      <alignment horizontal="center"/>
    </xf>
    <xf numFmtId="0" fontId="27" fillId="138" borderId="0" xfId="0" applyFont="1" applyFill="1" applyAlignment="1">
      <alignment horizontal="center"/>
    </xf>
    <xf numFmtId="0" fontId="27" fillId="168" borderId="0" xfId="0" applyFont="1" applyFill="1" applyAlignment="1">
      <alignment horizontal="center"/>
    </xf>
    <xf numFmtId="0" fontId="27" fillId="136" borderId="0" xfId="0" applyFont="1" applyFill="1" applyAlignment="1">
      <alignment horizontal="center"/>
    </xf>
    <xf numFmtId="0" fontId="27" fillId="201" borderId="0" xfId="0" applyFont="1" applyFill="1" applyAlignment="1">
      <alignment horizontal="center"/>
    </xf>
    <xf numFmtId="0" fontId="27" fillId="137" borderId="0" xfId="0" applyFont="1" applyFill="1" applyAlignment="1">
      <alignment horizontal="center"/>
    </xf>
    <xf numFmtId="0" fontId="27" fillId="102" borderId="0" xfId="0" applyFont="1" applyFill="1" applyAlignment="1">
      <alignment horizontal="center"/>
    </xf>
    <xf numFmtId="0" fontId="27" fillId="68" borderId="0" xfId="0" applyFont="1" applyFill="1" applyAlignment="1">
      <alignment horizontal="center"/>
    </xf>
    <xf numFmtId="0" fontId="27" fillId="224" borderId="0" xfId="0" applyFont="1" applyFill="1" applyAlignment="1">
      <alignment horizontal="center"/>
    </xf>
    <xf numFmtId="0" fontId="27" fillId="73" borderId="0" xfId="0" applyFont="1" applyFill="1" applyAlignment="1">
      <alignment horizontal="center"/>
    </xf>
    <xf numFmtId="0" fontId="27" fillId="103" borderId="0" xfId="0" applyFont="1" applyFill="1" applyAlignment="1">
      <alignment horizontal="center"/>
    </xf>
    <xf numFmtId="0" fontId="27" fillId="112" borderId="0" xfId="0" applyFont="1" applyFill="1" applyAlignment="1">
      <alignment horizontal="center"/>
    </xf>
    <xf numFmtId="0" fontId="27" fillId="158" borderId="0" xfId="0" applyFont="1" applyFill="1" applyAlignment="1">
      <alignment horizontal="center"/>
    </xf>
    <xf numFmtId="0" fontId="27" fillId="161" borderId="0" xfId="0" applyFont="1" applyFill="1" applyAlignment="1">
      <alignment horizontal="center"/>
    </xf>
    <xf numFmtId="0" fontId="27" fillId="143" borderId="0" xfId="0" applyFont="1" applyFill="1" applyAlignment="1">
      <alignment horizontal="center"/>
    </xf>
    <xf numFmtId="0" fontId="27" fillId="216" borderId="0" xfId="0" applyFont="1" applyFill="1" applyAlignment="1">
      <alignment horizontal="center"/>
    </xf>
    <xf numFmtId="0" fontId="27" fillId="113" borderId="0" xfId="0" applyFont="1" applyFill="1" applyAlignment="1">
      <alignment horizontal="center"/>
    </xf>
    <xf numFmtId="0" fontId="27" fillId="107" borderId="0" xfId="0" applyFont="1" applyFill="1" applyAlignment="1">
      <alignment horizontal="center"/>
    </xf>
    <xf numFmtId="0" fontId="27" fillId="140" borderId="0" xfId="0" applyFont="1" applyFill="1" applyAlignment="1">
      <alignment horizontal="center"/>
    </xf>
    <xf numFmtId="0" fontId="27" fillId="101" borderId="0" xfId="0" applyFont="1" applyFill="1" applyAlignment="1">
      <alignment horizontal="center"/>
    </xf>
    <xf numFmtId="0" fontId="27" fillId="160" borderId="0" xfId="0" applyFont="1" applyFill="1" applyAlignment="1">
      <alignment horizontal="center"/>
    </xf>
    <xf numFmtId="0" fontId="27" fillId="147" borderId="0" xfId="0" applyFont="1" applyFill="1" applyAlignment="1">
      <alignment horizontal="center"/>
    </xf>
    <xf numFmtId="0" fontId="27" fillId="203" borderId="0" xfId="0" applyFont="1" applyFill="1" applyAlignment="1">
      <alignment horizontal="center"/>
    </xf>
    <xf numFmtId="0" fontId="27" fillId="122" borderId="0" xfId="0" applyFont="1" applyFill="1" applyAlignment="1">
      <alignment horizontal="center"/>
    </xf>
    <xf numFmtId="0" fontId="27" fillId="11" borderId="0" xfId="0" applyFont="1" applyFill="1" applyAlignment="1">
      <alignment horizontal="center"/>
    </xf>
    <xf numFmtId="0" fontId="27" fillId="148" borderId="0" xfId="0" applyFont="1" applyFill="1" applyAlignment="1">
      <alignment horizontal="center"/>
    </xf>
    <xf numFmtId="0" fontId="27" fillId="109" borderId="0" xfId="0" applyFont="1" applyFill="1" applyAlignment="1">
      <alignment horizontal="center"/>
    </xf>
    <xf numFmtId="0" fontId="27" fillId="142" borderId="0" xfId="0" applyFont="1" applyFill="1" applyAlignment="1">
      <alignment horizontal="center"/>
    </xf>
    <xf numFmtId="0" fontId="27" fillId="231" borderId="0" xfId="0" applyFont="1" applyFill="1" applyAlignment="1">
      <alignment horizontal="center"/>
    </xf>
    <xf numFmtId="0" fontId="27" fillId="111" borderId="0" xfId="0" applyFont="1" applyFill="1" applyAlignment="1">
      <alignment horizontal="center"/>
    </xf>
    <xf numFmtId="0" fontId="27" fillId="131" borderId="0" xfId="0" applyFont="1" applyFill="1" applyAlignment="1">
      <alignment horizontal="center"/>
    </xf>
    <xf numFmtId="0" fontId="27" fillId="164" borderId="0" xfId="0" applyFont="1" applyFill="1" applyAlignment="1">
      <alignment horizontal="center"/>
    </xf>
    <xf numFmtId="0" fontId="27" fillId="104" borderId="0" xfId="0" applyFont="1" applyFill="1" applyAlignment="1">
      <alignment horizontal="center"/>
    </xf>
    <xf numFmtId="0" fontId="27" fillId="165" borderId="0" xfId="0" applyFont="1" applyFill="1" applyAlignment="1">
      <alignment horizontal="center"/>
    </xf>
    <xf numFmtId="0" fontId="27" fillId="202" borderId="0" xfId="0" applyFont="1" applyFill="1" applyAlignment="1">
      <alignment horizontal="center"/>
    </xf>
    <xf numFmtId="0" fontId="27" fillId="119" borderId="0" xfId="0" applyFont="1" applyFill="1" applyAlignment="1">
      <alignment horizontal="center"/>
    </xf>
    <xf numFmtId="0" fontId="27" fillId="155" borderId="0" xfId="0" applyFont="1" applyFill="1" applyAlignment="1">
      <alignment horizontal="center"/>
    </xf>
    <xf numFmtId="0" fontId="27" fillId="183" borderId="0" xfId="0" applyFont="1" applyFill="1" applyAlignment="1">
      <alignment horizontal="center"/>
    </xf>
    <xf numFmtId="0" fontId="27" fillId="110" borderId="0" xfId="0" applyFont="1" applyFill="1" applyAlignment="1">
      <alignment horizontal="center"/>
    </xf>
    <xf numFmtId="0" fontId="27" fillId="100" borderId="0" xfId="0" applyFont="1" applyFill="1" applyAlignment="1">
      <alignment horizontal="center"/>
    </xf>
    <xf numFmtId="0" fontId="27" fillId="130" borderId="0" xfId="0" applyFont="1" applyFill="1" applyAlignment="1">
      <alignment horizontal="center"/>
    </xf>
    <xf numFmtId="0" fontId="27" fillId="144" borderId="0" xfId="0" applyFont="1" applyFill="1" applyAlignment="1">
      <alignment horizontal="center"/>
    </xf>
    <xf numFmtId="0" fontId="27" fillId="213" borderId="0" xfId="0" applyFont="1" applyFill="1" applyAlignment="1">
      <alignment horizontal="center"/>
    </xf>
    <xf numFmtId="0" fontId="27" fillId="128" borderId="0" xfId="0" applyFont="1" applyFill="1" applyAlignment="1">
      <alignment horizontal="center"/>
    </xf>
    <xf numFmtId="0" fontId="27" fillId="195" borderId="0" xfId="0" applyFont="1" applyFill="1" applyAlignment="1">
      <alignment horizontal="center"/>
    </xf>
    <xf numFmtId="0" fontId="27" fillId="150" borderId="0" xfId="0" applyFont="1" applyFill="1" applyAlignment="1">
      <alignment horizontal="center"/>
    </xf>
    <xf numFmtId="0" fontId="27" fillId="106" borderId="0" xfId="0" applyFont="1" applyFill="1" applyAlignment="1">
      <alignment horizontal="center"/>
    </xf>
    <xf numFmtId="0" fontId="27" fillId="162" borderId="0" xfId="0" applyFont="1" applyFill="1" applyAlignment="1">
      <alignment horizontal="center"/>
    </xf>
    <xf numFmtId="0" fontId="27" fillId="129" borderId="0" xfId="0" applyFont="1" applyFill="1" applyAlignment="1">
      <alignment horizontal="center"/>
    </xf>
    <xf numFmtId="0" fontId="27" fillId="133" borderId="0" xfId="0" applyFont="1" applyFill="1" applyAlignment="1">
      <alignment horizontal="center"/>
    </xf>
    <xf numFmtId="0" fontId="27" fillId="134" borderId="0" xfId="0" applyFont="1" applyFill="1" applyAlignment="1">
      <alignment horizontal="center"/>
    </xf>
    <xf numFmtId="0" fontId="27" fillId="189" borderId="0" xfId="0" applyFont="1" applyFill="1" applyAlignment="1">
      <alignment horizontal="center"/>
    </xf>
    <xf numFmtId="0" fontId="27" fillId="151" borderId="0" xfId="0" applyFont="1" applyFill="1" applyAlignment="1">
      <alignment horizontal="center"/>
    </xf>
    <xf numFmtId="0" fontId="27" fillId="204" borderId="0" xfId="0" applyFont="1" applyFill="1" applyAlignment="1">
      <alignment horizontal="center"/>
    </xf>
    <xf numFmtId="0" fontId="27" fillId="132" borderId="0" xfId="0" applyFont="1" applyFill="1" applyAlignment="1">
      <alignment horizontal="center"/>
    </xf>
    <xf numFmtId="0" fontId="27" fillId="135" borderId="0" xfId="0" applyFont="1" applyFill="1" applyAlignment="1">
      <alignment horizontal="center"/>
    </xf>
    <xf numFmtId="0" fontId="27" fillId="141" borderId="0" xfId="0" applyFont="1" applyFill="1" applyAlignment="1">
      <alignment horizontal="center"/>
    </xf>
    <xf numFmtId="0" fontId="27" fillId="187" borderId="0" xfId="0" applyFont="1" applyFill="1" applyAlignment="1">
      <alignment horizontal="center"/>
    </xf>
    <xf numFmtId="0" fontId="27" fillId="152" borderId="0" xfId="0" applyFont="1" applyFill="1" applyAlignment="1">
      <alignment horizontal="center"/>
    </xf>
    <xf numFmtId="0" fontId="27" fillId="221" borderId="0" xfId="0" applyFont="1" applyFill="1" applyAlignment="1">
      <alignment horizontal="center"/>
    </xf>
    <xf numFmtId="0" fontId="27" fillId="127" borderId="0" xfId="0" applyFont="1" applyFill="1" applyAlignment="1">
      <alignment horizontal="center"/>
    </xf>
    <xf numFmtId="0" fontId="27" fillId="175" borderId="0" xfId="0" applyFont="1" applyFill="1" applyAlignment="1">
      <alignment horizontal="center"/>
    </xf>
    <xf numFmtId="0" fontId="27" fillId="66" borderId="0" xfId="0" applyFont="1" applyFill="1" applyAlignment="1">
      <alignment horizontal="center"/>
    </xf>
    <xf numFmtId="0" fontId="27" fillId="125" borderId="0" xfId="0" applyFont="1" applyFill="1" applyAlignment="1">
      <alignment horizontal="center"/>
    </xf>
    <xf numFmtId="0" fontId="27" fillId="85" borderId="0" xfId="0" applyFont="1" applyFill="1" applyAlignment="1">
      <alignment horizontal="center"/>
    </xf>
    <xf numFmtId="0" fontId="27" fillId="99" borderId="0" xfId="0" applyFont="1" applyFill="1" applyAlignment="1">
      <alignment horizontal="center"/>
    </xf>
    <xf numFmtId="0" fontId="27" fillId="159" borderId="0" xfId="0" applyFont="1" applyFill="1" applyAlignment="1">
      <alignment horizontal="center"/>
    </xf>
    <xf numFmtId="0" fontId="27" fillId="163" borderId="0" xfId="0" applyFont="1" applyFill="1" applyAlignment="1">
      <alignment horizontal="center"/>
    </xf>
    <xf numFmtId="0" fontId="27" fillId="157" borderId="0" xfId="0" applyFont="1" applyFill="1" applyAlignment="1">
      <alignment horizontal="center"/>
    </xf>
    <xf numFmtId="0" fontId="27" fillId="146" borderId="0" xfId="0" applyFont="1" applyFill="1" applyAlignment="1">
      <alignment horizontal="center"/>
    </xf>
    <xf numFmtId="0" fontId="27" fillId="210" borderId="0" xfId="0" applyFont="1" applyFill="1" applyAlignment="1">
      <alignment horizontal="center"/>
    </xf>
    <xf numFmtId="0" fontId="27" fillId="179" borderId="0" xfId="0" applyFont="1" applyFill="1" applyAlignment="1">
      <alignment horizontal="center"/>
    </xf>
    <xf numFmtId="0" fontId="27" fillId="76" borderId="0" xfId="0" applyFont="1" applyFill="1" applyAlignment="1">
      <alignment horizontal="center"/>
    </xf>
    <xf numFmtId="0" fontId="27" fillId="193" borderId="0" xfId="0" applyFont="1" applyFill="1" applyAlignment="1">
      <alignment horizontal="center"/>
    </xf>
    <xf numFmtId="0" fontId="27" fillId="139" borderId="0" xfId="0" applyFont="1" applyFill="1" applyAlignment="1">
      <alignment horizontal="center"/>
    </xf>
    <xf numFmtId="0" fontId="27" fillId="156" borderId="0" xfId="0" applyFont="1" applyFill="1" applyAlignment="1">
      <alignment horizontal="center"/>
    </xf>
    <xf numFmtId="0" fontId="27" fillId="124" borderId="0" xfId="0" applyFont="1" applyFill="1" applyAlignment="1">
      <alignment horizontal="center"/>
    </xf>
    <xf numFmtId="0" fontId="27" fillId="123" borderId="0" xfId="0" applyFont="1" applyFill="1" applyAlignment="1">
      <alignment horizontal="center"/>
    </xf>
    <xf numFmtId="0" fontId="27" fillId="126" borderId="0" xfId="0" applyFont="1" applyFill="1" applyAlignment="1">
      <alignment horizontal="center"/>
    </xf>
    <xf numFmtId="0" fontId="27" fillId="154" borderId="0" xfId="0" applyFont="1" applyFill="1" applyAlignment="1">
      <alignment horizontal="center"/>
    </xf>
    <xf numFmtId="0" fontId="27" fillId="225" borderId="0" xfId="0" applyFont="1" applyFill="1" applyAlignment="1">
      <alignment horizontal="center"/>
    </xf>
    <xf numFmtId="0" fontId="27" fillId="234" borderId="0" xfId="0" applyFont="1" applyFill="1" applyAlignment="1">
      <alignment horizontal="center"/>
    </xf>
    <xf numFmtId="0" fontId="27" fillId="211" borderId="0" xfId="0" applyFont="1" applyFill="1" applyAlignment="1">
      <alignment horizontal="center"/>
    </xf>
    <xf numFmtId="0" fontId="27" fillId="166" borderId="0" xfId="0" applyFont="1" applyFill="1" applyAlignment="1">
      <alignment horizontal="center"/>
    </xf>
    <xf numFmtId="0" fontId="27" fillId="207" borderId="0" xfId="0" applyFont="1" applyFill="1" applyAlignment="1">
      <alignment horizontal="center"/>
    </xf>
    <xf numFmtId="0" fontId="27" fillId="184" borderId="0" xfId="0" applyFont="1" applyFill="1" applyAlignment="1">
      <alignment horizontal="center"/>
    </xf>
    <xf numFmtId="0" fontId="128" fillId="71" borderId="0" xfId="0" applyFont="1" applyFill="1"/>
    <xf numFmtId="0" fontId="0" fillId="46" borderId="0" xfId="0" applyFill="1" applyAlignment="1">
      <alignment horizontal="right"/>
    </xf>
    <xf numFmtId="0" fontId="0" fillId="36" borderId="0" xfId="0" applyFill="1" applyAlignment="1">
      <alignment horizontal="right"/>
    </xf>
    <xf numFmtId="10" fontId="0" fillId="46" borderId="0" xfId="0" applyNumberFormat="1" applyFill="1" applyAlignment="1">
      <alignment horizontal="right"/>
    </xf>
    <xf numFmtId="10" fontId="0" fillId="36" borderId="0" xfId="0" applyNumberFormat="1" applyFill="1" applyAlignment="1">
      <alignment horizontal="right"/>
    </xf>
    <xf numFmtId="0" fontId="263" fillId="235" borderId="5" xfId="0" applyFont="1" applyFill="1" applyBorder="1" applyAlignment="1">
      <alignment vertical="center"/>
    </xf>
    <xf numFmtId="0" fontId="214" fillId="49" borderId="1" xfId="0" applyFont="1" applyFill="1" applyBorder="1" applyAlignment="1">
      <alignment vertical="center"/>
    </xf>
    <xf numFmtId="0" fontId="265" fillId="236" borderId="1" xfId="0" applyFont="1" applyFill="1" applyBorder="1" applyAlignment="1">
      <alignment vertical="center"/>
    </xf>
    <xf numFmtId="0" fontId="27" fillId="237" borderId="0" xfId="0" applyFont="1" applyFill="1" applyAlignment="1">
      <alignment horizontal="center"/>
    </xf>
    <xf numFmtId="0" fontId="63" fillId="238" borderId="8" xfId="0" applyFont="1" applyFill="1" applyBorder="1" applyAlignment="1">
      <alignment vertical="center"/>
    </xf>
    <xf numFmtId="0" fontId="267" fillId="239" borderId="1" xfId="0" applyFont="1" applyFill="1" applyBorder="1" applyAlignment="1">
      <alignment vertical="center"/>
    </xf>
    <xf numFmtId="0" fontId="269" fillId="240" borderId="1" xfId="0" applyFont="1" applyFill="1" applyBorder="1" applyAlignment="1">
      <alignment vertical="center"/>
    </xf>
    <xf numFmtId="0" fontId="159" fillId="208" borderId="1" xfId="0" applyFont="1" applyFill="1" applyBorder="1" applyAlignment="1">
      <alignment vertical="center"/>
    </xf>
    <xf numFmtId="0" fontId="271" fillId="4" borderId="1" xfId="0" applyFont="1" applyFill="1" applyBorder="1" applyAlignment="1">
      <alignment vertical="center"/>
    </xf>
    <xf numFmtId="0" fontId="273" fillId="241" borderId="1" xfId="0" applyFont="1" applyFill="1" applyBorder="1" applyAlignment="1">
      <alignment vertical="center"/>
    </xf>
    <xf numFmtId="0" fontId="27" fillId="242" borderId="0" xfId="0" applyFont="1" applyFill="1" applyAlignment="1">
      <alignment horizontal="center"/>
    </xf>
    <xf numFmtId="0" fontId="27" fillId="243" borderId="0" xfId="0" applyFont="1" applyFill="1" applyAlignment="1">
      <alignment horizontal="center"/>
    </xf>
    <xf numFmtId="0" fontId="27" fillId="244" borderId="0" xfId="0" applyFont="1" applyFill="1" applyAlignment="1">
      <alignment horizontal="center"/>
    </xf>
    <xf numFmtId="0" fontId="27" fillId="245" borderId="0" xfId="0" applyFont="1" applyFill="1" applyAlignment="1">
      <alignment horizontal="center"/>
    </xf>
    <xf numFmtId="0" fontId="27" fillId="246" borderId="0" xfId="0" applyFont="1" applyFill="1" applyAlignment="1">
      <alignment horizontal="center"/>
    </xf>
    <xf numFmtId="0" fontId="27" fillId="247" borderId="0" xfId="0" applyFont="1" applyFill="1" applyAlignment="1">
      <alignment horizontal="center"/>
    </xf>
    <xf numFmtId="0" fontId="27" fillId="248" borderId="0" xfId="0" applyFont="1" applyFill="1" applyAlignment="1">
      <alignment horizontal="center"/>
    </xf>
    <xf numFmtId="0" fontId="27" fillId="249" borderId="0" xfId="0" applyFont="1" applyFill="1" applyAlignment="1">
      <alignment horizontal="center"/>
    </xf>
    <xf numFmtId="0" fontId="27" fillId="250" borderId="0" xfId="0" applyFont="1" applyFill="1" applyAlignment="1">
      <alignment horizontal="center"/>
    </xf>
    <xf numFmtId="0" fontId="127" fillId="70" borderId="0" xfId="0" applyFont="1" applyFill="1" applyAlignment="1">
      <alignment horizontal="center"/>
    </xf>
    <xf numFmtId="0" fontId="100" fillId="251" borderId="1" xfId="0" applyFont="1" applyFill="1" applyBorder="1" applyAlignment="1">
      <alignment vertical="center"/>
    </xf>
    <xf numFmtId="0" fontId="27" fillId="252" borderId="0" xfId="0" applyFont="1" applyFill="1" applyAlignment="1">
      <alignment horizontal="center"/>
    </xf>
  </cellXfs>
  <cellStyles count="2">
    <cellStyle name="Normal" xfId="0" builtinId="0"/>
    <cellStyle name="Normal 2" xfId="1" xr:uid="{A3973AD4-1F27-4CDB-8343-B3F4ADA8FA37}"/>
  </cellStyles>
  <dxfs count="1283"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rgb="FFFFD700"/>
        </patternFill>
      </fill>
    </dxf>
    <dxf>
      <fill>
        <patternFill>
          <bgColor rgb="FF8037B8"/>
        </patternFill>
      </fill>
    </dxf>
    <dxf>
      <fill>
        <patternFill>
          <bgColor rgb="FF00B0F0"/>
        </patternFill>
      </fill>
    </dxf>
    <dxf>
      <fill>
        <patternFill>
          <bgColor rgb="FF32D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C0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</dxfs>
  <tableStyles count="0" defaultTableStyle="TableStyleMedium2" defaultPivotStyle="PivotStyleLight16"/>
  <colors>
    <mruColors>
      <color rgb="FF02778C"/>
      <color rgb="FFF4E71C"/>
      <color rgb="FFAF561C"/>
      <color rgb="FFFDCA0F"/>
      <color rgb="FFFFFFCC"/>
      <color rgb="FF820041"/>
      <color rgb="FFFF33CC"/>
      <color rgb="FF2E90CC"/>
      <color rgb="FFABABAB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title pos="t" align="ctr" overlay="0">
      <cx:tx>
        <cx:txData>
          <cx:v>Distribución de Medias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Distribución de Medias</a:t>
          </a:r>
        </a:p>
      </cx:txPr>
    </cx:title>
    <cx:plotArea>
      <cx:plotAreaRegion>
        <cx:series layoutId="clusteredColumn" uniqueId="{856A6F65-1717-4D16-A265-8D7191D63DFD}" formatIdx="0">
          <cx:dataId val="0"/>
          <cx:layoutPr>
            <cx:binning intervalClosed="r" underflow="auto" overflow="auto">
              <cx:binCount val="50"/>
            </cx:binning>
          </cx:layoutPr>
        </cx:series>
      </cx:plotAreaRegion>
      <cx:axis id="0">
        <cx:catScaling gapWidth="0.330000013"/>
        <cx:tickLabels/>
        <cx:numFmt formatCode="#.##0,0" sourceLinked="0"/>
      </cx:axis>
      <cx:axis id="1">
        <cx:valScaling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36</xdr:col>
      <xdr:colOff>0</xdr:colOff>
      <xdr:row>42</xdr:row>
      <xdr:rowOff>82550</xdr:rowOff>
    </xdr:from>
    <xdr:to>
      <xdr:col>39</xdr:col>
      <xdr:colOff>101600</xdr:colOff>
      <xdr:row>53</xdr:row>
      <xdr:rowOff>69850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C21426D8-7AE6-1FBF-8A05-96ED37CBE8E1}"/>
            </a:ext>
          </a:extLst>
        </xdr:cNvPr>
        <xdr:cNvSpPr txBox="1"/>
      </xdr:nvSpPr>
      <xdr:spPr>
        <a:xfrm>
          <a:off x="43386375" y="8483600"/>
          <a:ext cx="2806700" cy="2187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_tradnl" sz="1100"/>
            <a:t>= B</a:t>
          </a:r>
        </a:p>
        <a:p>
          <a:r>
            <a:rPr lang="es-ES_tradnl" sz="1100"/>
            <a:t>- (D * 0.125)</a:t>
          </a:r>
        </a:p>
        <a:p>
          <a:r>
            <a:rPr lang="es-ES_tradnl" sz="1100"/>
            <a:t>+ ((C - B) * 0.2)</a:t>
          </a:r>
        </a:p>
        <a:p>
          <a:r>
            <a:rPr lang="es-ES_tradnl" sz="1100"/>
            <a:t>+ (G * 0.15)</a:t>
          </a:r>
        </a:p>
        <a:p>
          <a:r>
            <a:rPr lang="es-ES_tradnl" sz="1100"/>
            <a:t>+ ((E / F) * 0.2)</a:t>
          </a:r>
        </a:p>
        <a:p>
          <a:endParaRPr lang="es-ES_tradnl" sz="1100"/>
        </a:p>
        <a:p>
          <a:r>
            <a:rPr lang="es-ES_tradnl" sz="1100"/>
            <a:t>B = Media</a:t>
          </a:r>
        </a:p>
        <a:p>
          <a:r>
            <a:rPr lang="es-ES_tradnl" sz="1100"/>
            <a:t>C = Mediana</a:t>
          </a:r>
        </a:p>
        <a:p>
          <a:r>
            <a:rPr lang="es-ES_tradnl" sz="1100"/>
            <a:t>D = Desv. Típica</a:t>
          </a:r>
        </a:p>
        <a:p>
          <a:r>
            <a:rPr lang="es-ES_tradnl" sz="1100"/>
            <a:t>E = Notas ≥10</a:t>
          </a:r>
        </a:p>
        <a:p>
          <a:r>
            <a:rPr lang="es-ES_tradnl" sz="1100"/>
            <a:t>F = Total Canciones</a:t>
          </a:r>
        </a:p>
        <a:p>
          <a:r>
            <a:rPr lang="es-ES_tradnl" sz="1100"/>
            <a:t>G = Número de 10,5s</a:t>
          </a:r>
        </a:p>
      </xdr:txBody>
    </xdr:sp>
    <xdr:clientData/>
  </xdr:twoCellAnchor>
  <xdr:twoCellAnchor>
    <xdr:from>
      <xdr:col>39</xdr:col>
      <xdr:colOff>405765</xdr:colOff>
      <xdr:row>42</xdr:row>
      <xdr:rowOff>93583</xdr:rowOff>
    </xdr:from>
    <xdr:to>
      <xdr:col>45</xdr:col>
      <xdr:colOff>582386</xdr:colOff>
      <xdr:row>59</xdr:row>
      <xdr:rowOff>146685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B6FC0C47-7BCC-1612-2947-48C558F92E6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3872765" y="8627983"/>
              <a:ext cx="5370921" cy="350750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_tradn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N1000"/>
  <sheetViews>
    <sheetView tabSelected="1" topLeftCell="N1" zoomScale="110" zoomScaleNormal="110" workbookViewId="0">
      <pane ySplit="1" topLeftCell="A114" activePane="bottomLeft" state="frozen"/>
      <selection pane="bottomLeft" activeCell="Z141" sqref="Z141"/>
    </sheetView>
  </sheetViews>
  <sheetFormatPr baseColWidth="10" defaultColWidth="11.1640625" defaultRowHeight="16" x14ac:dyDescent="0.2"/>
  <cols>
    <col min="1" max="1" width="35.1640625" style="3" customWidth="1"/>
    <col min="2" max="2" width="11.33203125" style="3" customWidth="1"/>
    <col min="3" max="3" width="3.83203125" style="3" customWidth="1"/>
    <col min="4" max="4" width="35.1640625" style="3" customWidth="1"/>
    <col min="5" max="5" width="11.1640625" style="3"/>
    <col min="6" max="6" width="3.83203125" style="3" customWidth="1"/>
    <col min="7" max="7" width="35.1640625" style="3" customWidth="1"/>
    <col min="8" max="8" width="11.1640625" style="3"/>
    <col min="9" max="9" width="3.83203125" style="3" customWidth="1"/>
    <col min="10" max="10" width="35.1640625" style="3" customWidth="1"/>
    <col min="11" max="11" width="11.1640625" style="3"/>
    <col min="12" max="12" width="3.83203125" style="3" customWidth="1"/>
    <col min="13" max="13" width="35.1640625" style="3" customWidth="1"/>
    <col min="14" max="14" width="12" style="3" customWidth="1"/>
    <col min="15" max="15" width="3.83203125" style="3" customWidth="1"/>
    <col min="16" max="17" width="3.6640625" style="3" customWidth="1"/>
    <col min="18" max="18" width="4.33203125" style="3" bestFit="1" customWidth="1"/>
    <col min="19" max="19" width="25.6640625" style="3" bestFit="1" customWidth="1"/>
    <col min="20" max="20" width="75" style="3" bestFit="1" customWidth="1"/>
    <col min="21" max="21" width="6.1640625" style="3" bestFit="1" customWidth="1"/>
    <col min="22" max="22" width="14.6640625" style="230" bestFit="1" customWidth="1"/>
    <col min="23" max="23" width="8.1640625" style="230" bestFit="1" customWidth="1"/>
    <col min="24" max="24" width="11.1640625" style="230" bestFit="1" customWidth="1"/>
    <col min="25" max="25" width="9.5" style="230" bestFit="1" customWidth="1"/>
    <col min="26" max="26" width="14.33203125" style="230" bestFit="1" customWidth="1"/>
    <col min="27" max="27" width="10.1640625" style="3" bestFit="1" customWidth="1"/>
    <col min="28" max="28" width="52.5" style="3" bestFit="1" customWidth="1"/>
    <col min="29" max="29" width="10.83203125" style="3" bestFit="1" customWidth="1"/>
    <col min="30" max="30" width="8.6640625" style="3" bestFit="1" customWidth="1"/>
    <col min="31" max="31" width="14.1640625" style="3" bestFit="1" customWidth="1"/>
    <col min="32" max="32" width="28.33203125" style="3" bestFit="1" customWidth="1"/>
    <col min="33" max="33" width="29.1640625" style="3" bestFit="1" customWidth="1"/>
    <col min="34" max="34" width="29.5" style="3" bestFit="1" customWidth="1"/>
    <col min="35" max="35" width="42.1640625" style="3" bestFit="1" customWidth="1"/>
    <col min="36" max="36" width="13.33203125" style="3" customWidth="1"/>
    <col min="37" max="37" width="11" style="3" bestFit="1" customWidth="1"/>
    <col min="38" max="38" width="9.6640625" style="3" bestFit="1" customWidth="1"/>
    <col min="39" max="39" width="14.6640625" style="3" bestFit="1" customWidth="1"/>
    <col min="40" max="40" width="10.5" style="3" bestFit="1" customWidth="1"/>
    <col min="41" max="44" width="11.1640625" style="3"/>
    <col min="45" max="45" width="13" style="3" bestFit="1" customWidth="1"/>
    <col min="46" max="16384" width="11.1640625" style="3"/>
  </cols>
  <sheetData>
    <row r="1" spans="1:40" ht="16" customHeight="1" thickBot="1" x14ac:dyDescent="0.3">
      <c r="A1" s="214"/>
      <c r="B1" s="214"/>
      <c r="C1" s="214"/>
      <c r="D1" s="214"/>
      <c r="E1" s="214"/>
      <c r="F1" s="214"/>
      <c r="G1" s="214"/>
      <c r="H1" s="214"/>
      <c r="I1" s="214"/>
      <c r="J1" s="214"/>
      <c r="K1" s="214"/>
      <c r="L1" s="214"/>
      <c r="M1" s="214"/>
      <c r="N1" s="214"/>
      <c r="O1" s="215"/>
      <c r="R1" s="367" t="s">
        <v>1332</v>
      </c>
      <c r="S1" s="367"/>
      <c r="T1" s="367"/>
      <c r="U1" s="367"/>
      <c r="V1" s="367"/>
      <c r="W1" s="367"/>
      <c r="X1" s="367"/>
      <c r="Y1" s="367"/>
      <c r="Z1" s="367"/>
      <c r="AA1" s="367"/>
      <c r="AB1" s="367"/>
      <c r="AC1" s="367"/>
      <c r="AD1" s="367"/>
      <c r="AE1" s="367"/>
      <c r="AF1"/>
      <c r="AG1"/>
      <c r="AH1" s="367" t="s">
        <v>1031</v>
      </c>
      <c r="AI1" s="367"/>
    </row>
    <row r="2" spans="1:40" ht="16" customHeight="1" thickBot="1" x14ac:dyDescent="0.25">
      <c r="A2" s="85" t="s">
        <v>891</v>
      </c>
      <c r="B2" s="1">
        <f>ROUND(SUM(B3:B14)/COUNT(B3:B14), 2)</f>
        <v>9.89</v>
      </c>
      <c r="C2" s="2"/>
      <c r="D2" s="86" t="s">
        <v>892</v>
      </c>
      <c r="E2" s="12">
        <f>ROUND(SUM(E3:E12)/COUNT(E3:E12), 2)</f>
        <v>9.6999999999999993</v>
      </c>
      <c r="F2" s="2"/>
      <c r="G2" s="105" t="s">
        <v>1178</v>
      </c>
      <c r="H2" s="1">
        <f>ROUND(SUM(H3:H15)/COUNT(H3:H15), 2)</f>
        <v>8.73</v>
      </c>
      <c r="I2" s="2"/>
      <c r="J2" s="41" t="s">
        <v>443</v>
      </c>
      <c r="K2" s="1">
        <f>ROUND(SUM(K3:K12)/COUNT(K3:K12), 2)</f>
        <v>9.15</v>
      </c>
      <c r="L2" s="2"/>
      <c r="M2" s="20" t="s">
        <v>316</v>
      </c>
      <c r="N2" s="1">
        <f>ROUND(SUM(N3:N12)/COUNT(N3:N12), 2)</f>
        <v>9.61</v>
      </c>
      <c r="O2" s="17"/>
      <c r="R2" s="231" t="s">
        <v>352</v>
      </c>
      <c r="S2" s="231" t="s">
        <v>319</v>
      </c>
      <c r="T2" s="231" t="s">
        <v>320</v>
      </c>
      <c r="U2" s="231" t="s">
        <v>321</v>
      </c>
      <c r="V2" s="231" t="s">
        <v>2013</v>
      </c>
      <c r="W2" s="231" t="s">
        <v>513</v>
      </c>
      <c r="X2" s="231" t="s">
        <v>322</v>
      </c>
      <c r="Y2" s="231" t="s">
        <v>323</v>
      </c>
      <c r="Z2" s="231" t="s">
        <v>324</v>
      </c>
      <c r="AA2" s="231" t="s">
        <v>325</v>
      </c>
      <c r="AB2" s="231" t="s">
        <v>770</v>
      </c>
      <c r="AC2" s="231" t="s">
        <v>1947</v>
      </c>
      <c r="AD2" s="231" t="s">
        <v>1948</v>
      </c>
      <c r="AE2" s="231" t="s">
        <v>2124</v>
      </c>
      <c r="AF2"/>
      <c r="AG2"/>
      <c r="AH2" s="343" t="s">
        <v>1032</v>
      </c>
      <c r="AI2" s="343"/>
    </row>
    <row r="3" spans="1:40" ht="16" customHeight="1" x14ac:dyDescent="0.2">
      <c r="A3" s="4" t="s">
        <v>0</v>
      </c>
      <c r="B3" s="150">
        <v>10</v>
      </c>
      <c r="C3" s="2"/>
      <c r="D3" s="4" t="s">
        <v>12</v>
      </c>
      <c r="E3" s="150">
        <v>10</v>
      </c>
      <c r="F3" s="2"/>
      <c r="G3" s="4" t="s">
        <v>22</v>
      </c>
      <c r="H3" s="150">
        <v>8.5</v>
      </c>
      <c r="I3" s="2"/>
      <c r="J3" s="4" t="s">
        <v>35</v>
      </c>
      <c r="K3" s="150">
        <v>9.5</v>
      </c>
      <c r="L3" s="2"/>
      <c r="M3" s="4" t="s">
        <v>45</v>
      </c>
      <c r="N3" s="150"/>
      <c r="O3" s="17"/>
      <c r="R3" s="238">
        <v>1</v>
      </c>
      <c r="S3" s="232" t="s">
        <v>996</v>
      </c>
      <c r="T3" s="233" t="s">
        <v>994</v>
      </c>
      <c r="U3" s="233">
        <v>10.5</v>
      </c>
      <c r="V3" s="281">
        <v>10.85</v>
      </c>
      <c r="W3" s="233">
        <v>10.5</v>
      </c>
      <c r="X3" s="233">
        <v>0</v>
      </c>
      <c r="Y3" s="233">
        <v>1</v>
      </c>
      <c r="Z3" s="233">
        <v>1</v>
      </c>
      <c r="AA3" s="233">
        <v>0</v>
      </c>
      <c r="AB3" s="232" t="s">
        <v>997</v>
      </c>
      <c r="AC3" s="233">
        <v>1996</v>
      </c>
      <c r="AD3" s="233" t="s">
        <v>1899</v>
      </c>
      <c r="AE3" s="234" t="s">
        <v>2184</v>
      </c>
      <c r="AF3"/>
      <c r="AG3"/>
      <c r="AH3" s="235" t="s">
        <v>1033</v>
      </c>
      <c r="AI3" s="344">
        <v>172</v>
      </c>
      <c r="AK3" s="216"/>
      <c r="AL3" s="217" t="s">
        <v>2659</v>
      </c>
      <c r="AM3" s="218" t="s">
        <v>246</v>
      </c>
      <c r="AN3" s="219" t="s">
        <v>2645</v>
      </c>
    </row>
    <row r="4" spans="1:40" ht="16" customHeight="1" x14ac:dyDescent="0.2">
      <c r="A4" s="4" t="s">
        <v>1</v>
      </c>
      <c r="B4" s="151"/>
      <c r="C4" s="2"/>
      <c r="D4" s="4" t="s">
        <v>13</v>
      </c>
      <c r="E4" s="151">
        <v>9</v>
      </c>
      <c r="F4" s="2"/>
      <c r="G4" s="4" t="s">
        <v>23</v>
      </c>
      <c r="H4" s="151">
        <v>9</v>
      </c>
      <c r="I4" s="2"/>
      <c r="J4" s="4" t="s">
        <v>36</v>
      </c>
      <c r="K4" s="151">
        <v>10</v>
      </c>
      <c r="L4" s="2"/>
      <c r="M4" s="4" t="s">
        <v>46</v>
      </c>
      <c r="N4" s="151">
        <v>9</v>
      </c>
      <c r="O4" s="17"/>
      <c r="R4" s="240">
        <v>2</v>
      </c>
      <c r="S4" s="235" t="s">
        <v>326</v>
      </c>
      <c r="T4" s="236" t="s">
        <v>7</v>
      </c>
      <c r="U4" s="236">
        <v>9.89</v>
      </c>
      <c r="V4" s="281">
        <v>10.52</v>
      </c>
      <c r="W4" s="236">
        <v>10</v>
      </c>
      <c r="X4" s="236">
        <v>0.61</v>
      </c>
      <c r="Y4" s="236">
        <v>5</v>
      </c>
      <c r="Z4" s="236">
        <v>12</v>
      </c>
      <c r="AA4" s="236">
        <v>3</v>
      </c>
      <c r="AB4" s="235" t="s">
        <v>752</v>
      </c>
      <c r="AC4" s="236">
        <v>2001</v>
      </c>
      <c r="AD4" s="236" t="s">
        <v>1900</v>
      </c>
      <c r="AE4" s="237" t="s">
        <v>2195</v>
      </c>
      <c r="AF4"/>
      <c r="AG4"/>
      <c r="AH4" s="232" t="s">
        <v>1034</v>
      </c>
      <c r="AI4" s="345">
        <v>107</v>
      </c>
      <c r="AK4" s="220"/>
      <c r="AL4" s="221">
        <v>10</v>
      </c>
      <c r="AM4" s="218" t="s">
        <v>1781</v>
      </c>
      <c r="AN4" s="219" t="s">
        <v>2646</v>
      </c>
    </row>
    <row r="5" spans="1:40" ht="16" customHeight="1" x14ac:dyDescent="0.2">
      <c r="A5" s="4" t="s">
        <v>2</v>
      </c>
      <c r="B5" s="151">
        <v>9.5</v>
      </c>
      <c r="C5" s="2"/>
      <c r="D5" s="4" t="s">
        <v>14</v>
      </c>
      <c r="E5" s="151">
        <v>10.5</v>
      </c>
      <c r="F5" s="2"/>
      <c r="G5" s="4" t="s">
        <v>24</v>
      </c>
      <c r="H5" s="151">
        <v>8</v>
      </c>
      <c r="I5" s="2"/>
      <c r="J5" s="4" t="s">
        <v>37</v>
      </c>
      <c r="K5" s="151">
        <v>8.5</v>
      </c>
      <c r="L5" s="2"/>
      <c r="M5" s="4" t="s">
        <v>47</v>
      </c>
      <c r="N5" s="151">
        <v>7.5</v>
      </c>
      <c r="O5" s="17"/>
      <c r="R5" s="242">
        <v>3</v>
      </c>
      <c r="S5" s="232" t="s">
        <v>332</v>
      </c>
      <c r="T5" s="233" t="s">
        <v>1027</v>
      </c>
      <c r="U5" s="233">
        <v>10</v>
      </c>
      <c r="V5" s="281">
        <v>10.39</v>
      </c>
      <c r="W5" s="233">
        <v>10</v>
      </c>
      <c r="X5" s="233">
        <v>0.55000000000000004</v>
      </c>
      <c r="Y5" s="233">
        <v>4</v>
      </c>
      <c r="Z5" s="233">
        <v>5</v>
      </c>
      <c r="AA5" s="233">
        <v>0</v>
      </c>
      <c r="AB5" s="232" t="s">
        <v>754</v>
      </c>
      <c r="AC5" s="233">
        <v>1975</v>
      </c>
      <c r="AD5" s="233" t="s">
        <v>1901</v>
      </c>
      <c r="AE5" s="234" t="s">
        <v>2163</v>
      </c>
      <c r="AF5"/>
      <c r="AG5"/>
      <c r="AH5" s="235" t="s">
        <v>1035</v>
      </c>
      <c r="AI5" s="344">
        <v>1831</v>
      </c>
      <c r="AK5" s="222"/>
      <c r="AL5" s="221" t="s">
        <v>242</v>
      </c>
      <c r="AM5" s="218" t="s">
        <v>1782</v>
      </c>
      <c r="AN5" s="219" t="s">
        <v>2647</v>
      </c>
    </row>
    <row r="6" spans="1:40" ht="16" customHeight="1" x14ac:dyDescent="0.2">
      <c r="A6" s="4" t="s">
        <v>3</v>
      </c>
      <c r="B6" s="151"/>
      <c r="C6" s="2"/>
      <c r="D6" s="4" t="s">
        <v>16</v>
      </c>
      <c r="E6" s="151">
        <v>10.5</v>
      </c>
      <c r="F6" s="2"/>
      <c r="G6" s="4" t="s">
        <v>25</v>
      </c>
      <c r="H6" s="151">
        <v>9.5</v>
      </c>
      <c r="I6" s="2"/>
      <c r="J6" s="4" t="s">
        <v>38</v>
      </c>
      <c r="K6" s="151">
        <v>8</v>
      </c>
      <c r="L6" s="2"/>
      <c r="M6" s="4" t="s">
        <v>48</v>
      </c>
      <c r="N6" s="151">
        <v>10.5</v>
      </c>
      <c r="O6" s="17"/>
      <c r="R6" s="244">
        <v>4</v>
      </c>
      <c r="S6" s="235" t="s">
        <v>327</v>
      </c>
      <c r="T6" s="236" t="s">
        <v>328</v>
      </c>
      <c r="U6" s="236">
        <v>9.6999999999999993</v>
      </c>
      <c r="V6" s="281">
        <v>10.37</v>
      </c>
      <c r="W6" s="236">
        <v>10</v>
      </c>
      <c r="X6" s="236">
        <v>0.87</v>
      </c>
      <c r="Y6" s="236">
        <v>6</v>
      </c>
      <c r="Z6" s="236">
        <v>10</v>
      </c>
      <c r="AA6" s="236">
        <v>0</v>
      </c>
      <c r="AB6" s="235" t="s">
        <v>753</v>
      </c>
      <c r="AC6" s="236">
        <v>2007</v>
      </c>
      <c r="AD6" s="236" t="s">
        <v>1902</v>
      </c>
      <c r="AE6" s="237" t="s">
        <v>2146</v>
      </c>
      <c r="AF6"/>
      <c r="AG6"/>
      <c r="AH6" s="232" t="s">
        <v>1036</v>
      </c>
      <c r="AI6" s="345">
        <v>1754</v>
      </c>
      <c r="AK6" s="223"/>
      <c r="AL6" s="221" t="s">
        <v>243</v>
      </c>
      <c r="AM6" s="218" t="s">
        <v>1783</v>
      </c>
      <c r="AN6" s="219" t="s">
        <v>2648</v>
      </c>
    </row>
    <row r="7" spans="1:40" ht="16" customHeight="1" x14ac:dyDescent="0.2">
      <c r="A7" s="4" t="s">
        <v>4</v>
      </c>
      <c r="B7" s="151">
        <v>10.5</v>
      </c>
      <c r="C7" s="2"/>
      <c r="D7" s="4" t="s">
        <v>15</v>
      </c>
      <c r="E7" s="151">
        <v>10</v>
      </c>
      <c r="F7" s="2"/>
      <c r="G7" s="4" t="s">
        <v>26</v>
      </c>
      <c r="H7" s="151">
        <v>10.5</v>
      </c>
      <c r="I7" s="2"/>
      <c r="J7" s="4" t="s">
        <v>39</v>
      </c>
      <c r="K7" s="151">
        <v>10.5</v>
      </c>
      <c r="L7" s="2"/>
      <c r="M7" s="4" t="s">
        <v>49</v>
      </c>
      <c r="N7" s="151">
        <v>10.5</v>
      </c>
      <c r="O7" s="17"/>
      <c r="R7" s="244">
        <v>5</v>
      </c>
      <c r="S7" s="232" t="s">
        <v>2696</v>
      </c>
      <c r="T7" s="233" t="s">
        <v>674</v>
      </c>
      <c r="U7" s="233">
        <v>9.8800000000000008</v>
      </c>
      <c r="V7" s="281">
        <v>10.220000000000001</v>
      </c>
      <c r="W7" s="233">
        <v>10</v>
      </c>
      <c r="X7" s="233">
        <v>0.65</v>
      </c>
      <c r="Y7" s="233">
        <v>2</v>
      </c>
      <c r="Z7" s="233">
        <v>4</v>
      </c>
      <c r="AA7" s="233">
        <v>0</v>
      </c>
      <c r="AB7" s="232" t="s">
        <v>1098</v>
      </c>
      <c r="AC7" s="233">
        <v>2000</v>
      </c>
      <c r="AD7" s="233" t="s">
        <v>2704</v>
      </c>
      <c r="AE7" s="234" t="s">
        <v>2180</v>
      </c>
      <c r="AF7"/>
      <c r="AG7"/>
      <c r="AH7" s="235" t="s">
        <v>325</v>
      </c>
      <c r="AI7" s="344">
        <v>77</v>
      </c>
      <c r="AK7" s="224"/>
      <c r="AL7" s="221" t="s">
        <v>244</v>
      </c>
      <c r="AM7" s="218" t="s">
        <v>1784</v>
      </c>
      <c r="AN7" s="219" t="s">
        <v>2649</v>
      </c>
    </row>
    <row r="8" spans="1:40" ht="16" customHeight="1" x14ac:dyDescent="0.2">
      <c r="A8" s="4" t="s">
        <v>5</v>
      </c>
      <c r="B8" s="151">
        <v>10.5</v>
      </c>
      <c r="C8" s="2"/>
      <c r="D8" s="4" t="s">
        <v>17</v>
      </c>
      <c r="E8" s="151">
        <v>8.5</v>
      </c>
      <c r="F8" s="2"/>
      <c r="G8" s="4" t="s">
        <v>27</v>
      </c>
      <c r="H8" s="151">
        <v>10</v>
      </c>
      <c r="I8" s="2"/>
      <c r="J8" s="4" t="s">
        <v>40</v>
      </c>
      <c r="K8" s="151">
        <v>8.5</v>
      </c>
      <c r="L8" s="2"/>
      <c r="M8" s="4" t="s">
        <v>50</v>
      </c>
      <c r="N8" s="151">
        <v>10</v>
      </c>
      <c r="O8" s="17"/>
      <c r="R8" s="244">
        <v>6</v>
      </c>
      <c r="S8" s="235" t="s">
        <v>332</v>
      </c>
      <c r="T8" s="236" t="s">
        <v>333</v>
      </c>
      <c r="U8" s="236">
        <v>9.61</v>
      </c>
      <c r="V8" s="281">
        <v>10</v>
      </c>
      <c r="W8" s="236">
        <v>10</v>
      </c>
      <c r="X8" s="236">
        <v>0.91</v>
      </c>
      <c r="Y8" s="236">
        <v>6</v>
      </c>
      <c r="Z8" s="236">
        <v>10</v>
      </c>
      <c r="AA8" s="236">
        <v>1</v>
      </c>
      <c r="AB8" s="235" t="s">
        <v>755</v>
      </c>
      <c r="AC8" s="236">
        <v>1973</v>
      </c>
      <c r="AD8" s="236" t="s">
        <v>1902</v>
      </c>
      <c r="AE8" s="237" t="s">
        <v>2193</v>
      </c>
      <c r="AF8"/>
      <c r="AG8"/>
      <c r="AH8" s="232" t="s">
        <v>1037</v>
      </c>
      <c r="AI8" s="345">
        <v>10.65</v>
      </c>
      <c r="AK8" s="225"/>
      <c r="AL8" s="217" t="s">
        <v>2651</v>
      </c>
      <c r="AM8" s="218" t="s">
        <v>1785</v>
      </c>
      <c r="AN8" s="3" t="s">
        <v>2650</v>
      </c>
    </row>
    <row r="9" spans="1:40" ht="16" customHeight="1" x14ac:dyDescent="0.2">
      <c r="A9" s="4" t="s">
        <v>6</v>
      </c>
      <c r="B9" s="151">
        <v>9</v>
      </c>
      <c r="C9" s="2"/>
      <c r="D9" s="4" t="s">
        <v>18</v>
      </c>
      <c r="E9" s="151">
        <v>10.5</v>
      </c>
      <c r="F9" s="2"/>
      <c r="G9" s="4" t="s">
        <v>28</v>
      </c>
      <c r="H9" s="151">
        <v>9</v>
      </c>
      <c r="I9" s="2"/>
      <c r="J9" s="4" t="s">
        <v>41</v>
      </c>
      <c r="K9" s="151">
        <v>9</v>
      </c>
      <c r="L9" s="2"/>
      <c r="M9" s="4" t="s">
        <v>51</v>
      </c>
      <c r="N9" s="151">
        <v>10</v>
      </c>
      <c r="O9" s="17"/>
      <c r="R9" s="244">
        <v>7</v>
      </c>
      <c r="S9" s="232" t="s">
        <v>326</v>
      </c>
      <c r="T9" s="233" t="s">
        <v>557</v>
      </c>
      <c r="U9" s="233">
        <v>9.61</v>
      </c>
      <c r="V9" s="334">
        <v>9.99</v>
      </c>
      <c r="W9" s="233">
        <v>10</v>
      </c>
      <c r="X9" s="233">
        <v>0.74</v>
      </c>
      <c r="Y9" s="233">
        <v>5</v>
      </c>
      <c r="Z9" s="233">
        <v>11</v>
      </c>
      <c r="AA9" s="233">
        <v>2</v>
      </c>
      <c r="AB9" s="232" t="s">
        <v>752</v>
      </c>
      <c r="AC9" s="233">
        <v>2006</v>
      </c>
      <c r="AD9" s="233" t="s">
        <v>1903</v>
      </c>
      <c r="AE9" s="234" t="s">
        <v>2160</v>
      </c>
      <c r="AF9"/>
      <c r="AG9"/>
      <c r="AH9" s="235" t="s">
        <v>1038</v>
      </c>
      <c r="AI9" s="346">
        <v>4.2099999999999999E-2</v>
      </c>
      <c r="AK9" s="226"/>
      <c r="AL9" s="217" t="s">
        <v>2652</v>
      </c>
      <c r="AM9" s="219" t="s">
        <v>2653</v>
      </c>
      <c r="AN9" s="3" t="s">
        <v>2654</v>
      </c>
    </row>
    <row r="10" spans="1:40" ht="16" customHeight="1" x14ac:dyDescent="0.2">
      <c r="A10" s="4" t="s">
        <v>7</v>
      </c>
      <c r="B10" s="151">
        <v>10.5</v>
      </c>
      <c r="C10" s="2"/>
      <c r="D10" s="4" t="s">
        <v>19</v>
      </c>
      <c r="E10" s="151">
        <v>9.5</v>
      </c>
      <c r="F10" s="2"/>
      <c r="G10" s="4" t="s">
        <v>29</v>
      </c>
      <c r="H10" s="151">
        <v>7.5</v>
      </c>
      <c r="I10" s="2"/>
      <c r="J10" s="4" t="s">
        <v>42</v>
      </c>
      <c r="K10" s="151">
        <v>9</v>
      </c>
      <c r="L10" s="2"/>
      <c r="M10" s="4" t="s">
        <v>52</v>
      </c>
      <c r="N10" s="151">
        <v>9</v>
      </c>
      <c r="O10" s="17"/>
      <c r="R10" s="244">
        <v>8</v>
      </c>
      <c r="S10" s="235" t="s">
        <v>326</v>
      </c>
      <c r="T10" s="236" t="s">
        <v>158</v>
      </c>
      <c r="U10" s="236">
        <v>9.61</v>
      </c>
      <c r="V10" s="333">
        <v>9.9600000000000009</v>
      </c>
      <c r="W10" s="236">
        <v>10</v>
      </c>
      <c r="X10" s="236">
        <v>0.74</v>
      </c>
      <c r="Y10" s="236">
        <v>5</v>
      </c>
      <c r="Z10" s="236">
        <v>15</v>
      </c>
      <c r="AA10" s="236">
        <v>6</v>
      </c>
      <c r="AB10" s="235" t="s">
        <v>752</v>
      </c>
      <c r="AC10" s="236">
        <v>1996</v>
      </c>
      <c r="AD10" s="236" t="s">
        <v>1904</v>
      </c>
      <c r="AE10" s="237" t="s">
        <v>2177</v>
      </c>
      <c r="AF10"/>
      <c r="AG10"/>
      <c r="AH10"/>
      <c r="AI10"/>
      <c r="AK10" s="227"/>
      <c r="AL10" s="217" t="s">
        <v>2656</v>
      </c>
      <c r="AM10" s="219" t="s">
        <v>2655</v>
      </c>
      <c r="AN10" s="3" t="s">
        <v>2658</v>
      </c>
    </row>
    <row r="11" spans="1:40" ht="16" customHeight="1" x14ac:dyDescent="0.2">
      <c r="A11" s="4" t="s">
        <v>8</v>
      </c>
      <c r="B11" s="151">
        <v>9</v>
      </c>
      <c r="C11" s="2"/>
      <c r="D11" s="4" t="s">
        <v>20</v>
      </c>
      <c r="E11" s="151">
        <v>10.5</v>
      </c>
      <c r="F11" s="2"/>
      <c r="G11" s="4" t="s">
        <v>30</v>
      </c>
      <c r="H11" s="151">
        <v>7.5</v>
      </c>
      <c r="I11" s="2"/>
      <c r="J11" s="4" t="s">
        <v>43</v>
      </c>
      <c r="K11" s="151">
        <v>8.5</v>
      </c>
      <c r="L11" s="2"/>
      <c r="M11" s="4" t="s">
        <v>53</v>
      </c>
      <c r="N11" s="151">
        <v>10</v>
      </c>
      <c r="O11" s="17"/>
      <c r="R11" s="244">
        <v>9</v>
      </c>
      <c r="S11" s="232" t="s">
        <v>327</v>
      </c>
      <c r="T11" s="233" t="s">
        <v>329</v>
      </c>
      <c r="U11" s="233">
        <v>9.5500000000000007</v>
      </c>
      <c r="V11" s="320">
        <v>9.81</v>
      </c>
      <c r="W11" s="233">
        <v>9.5</v>
      </c>
      <c r="X11" s="233">
        <v>0.57999999999999996</v>
      </c>
      <c r="Y11" s="233">
        <v>3</v>
      </c>
      <c r="Z11" s="233">
        <v>12</v>
      </c>
      <c r="AA11" s="233">
        <v>1</v>
      </c>
      <c r="AB11" s="232" t="s">
        <v>753</v>
      </c>
      <c r="AC11" s="233">
        <v>1997</v>
      </c>
      <c r="AD11" s="233" t="s">
        <v>1905</v>
      </c>
      <c r="AE11" s="234" t="s">
        <v>2177</v>
      </c>
      <c r="AF11"/>
      <c r="AG11"/>
      <c r="AH11" s="343" t="s">
        <v>1039</v>
      </c>
      <c r="AI11" s="343"/>
      <c r="AK11" s="228"/>
      <c r="AM11" s="218" t="s">
        <v>248</v>
      </c>
      <c r="AN11" s="3" t="s">
        <v>2657</v>
      </c>
    </row>
    <row r="12" spans="1:40" ht="16" customHeight="1" thickBot="1" x14ac:dyDescent="0.25">
      <c r="A12" s="4" t="s">
        <v>9</v>
      </c>
      <c r="B12" s="151">
        <v>10.5</v>
      </c>
      <c r="C12" s="2"/>
      <c r="D12" s="7" t="s">
        <v>21</v>
      </c>
      <c r="E12" s="152">
        <v>8</v>
      </c>
      <c r="F12" s="2"/>
      <c r="G12" s="4" t="s">
        <v>31</v>
      </c>
      <c r="H12" s="151">
        <v>8</v>
      </c>
      <c r="I12" s="2"/>
      <c r="J12" s="7" t="s">
        <v>44</v>
      </c>
      <c r="K12" s="152">
        <v>10</v>
      </c>
      <c r="L12" s="2"/>
      <c r="M12" s="7" t="s">
        <v>54</v>
      </c>
      <c r="N12" s="152">
        <v>10</v>
      </c>
      <c r="O12" s="17"/>
      <c r="R12" s="244">
        <v>10</v>
      </c>
      <c r="S12" s="235" t="s">
        <v>326</v>
      </c>
      <c r="T12" s="236" t="s">
        <v>1243</v>
      </c>
      <c r="U12" s="236">
        <v>9.36</v>
      </c>
      <c r="V12" s="365">
        <v>9.6</v>
      </c>
      <c r="W12" s="236">
        <v>10</v>
      </c>
      <c r="X12" s="236">
        <v>0.95</v>
      </c>
      <c r="Y12" s="236">
        <v>4</v>
      </c>
      <c r="Z12" s="236">
        <v>10</v>
      </c>
      <c r="AA12" s="236">
        <v>3</v>
      </c>
      <c r="AB12" s="235" t="s">
        <v>1255</v>
      </c>
      <c r="AC12" s="236">
        <v>2019</v>
      </c>
      <c r="AD12" s="236" t="s">
        <v>1906</v>
      </c>
      <c r="AE12" s="237" t="s">
        <v>2159</v>
      </c>
      <c r="AF12"/>
      <c r="AG12"/>
      <c r="AH12" s="232" t="s">
        <v>1040</v>
      </c>
      <c r="AI12" s="345">
        <v>8.57</v>
      </c>
    </row>
    <row r="13" spans="1:40" ht="16" customHeight="1" thickBot="1" x14ac:dyDescent="0.25">
      <c r="A13" s="4" t="s">
        <v>10</v>
      </c>
      <c r="B13" s="151">
        <v>9.5</v>
      </c>
      <c r="C13" s="2"/>
      <c r="D13" s="2"/>
      <c r="E13" s="2"/>
      <c r="F13" s="2"/>
      <c r="G13" s="4" t="s">
        <v>32</v>
      </c>
      <c r="H13" s="151">
        <v>9</v>
      </c>
      <c r="I13" s="9"/>
      <c r="J13" s="9"/>
      <c r="K13" s="9"/>
      <c r="L13" s="9"/>
      <c r="M13" s="9"/>
      <c r="N13" s="9"/>
      <c r="O13" s="18"/>
      <c r="R13" s="244">
        <v>11</v>
      </c>
      <c r="S13" s="232" t="s">
        <v>332</v>
      </c>
      <c r="T13" s="233" t="s">
        <v>767</v>
      </c>
      <c r="U13" s="233">
        <v>9.4</v>
      </c>
      <c r="V13" s="317">
        <v>9.5500000000000007</v>
      </c>
      <c r="W13" s="233">
        <v>9.5</v>
      </c>
      <c r="X13" s="233">
        <v>0.8</v>
      </c>
      <c r="Y13" s="233">
        <v>2</v>
      </c>
      <c r="Z13" s="233">
        <v>5</v>
      </c>
      <c r="AA13" s="233">
        <v>0</v>
      </c>
      <c r="AB13" s="232" t="s">
        <v>755</v>
      </c>
      <c r="AC13" s="233">
        <v>1977</v>
      </c>
      <c r="AD13" s="233" t="s">
        <v>1907</v>
      </c>
      <c r="AE13" s="234" t="s">
        <v>2174</v>
      </c>
      <c r="AF13"/>
      <c r="AG13"/>
      <c r="AH13" s="235" t="s">
        <v>1041</v>
      </c>
      <c r="AI13" s="344">
        <v>8.5</v>
      </c>
    </row>
    <row r="14" spans="1:40" ht="16" customHeight="1" thickBot="1" x14ac:dyDescent="0.25">
      <c r="A14" s="4" t="s">
        <v>11</v>
      </c>
      <c r="B14" s="152"/>
      <c r="C14" s="2"/>
      <c r="D14" s="81" t="s">
        <v>887</v>
      </c>
      <c r="E14" s="1">
        <f>ROUND(SUM(E15:E28)/COUNT(E15:E28), 2)</f>
        <v>9</v>
      </c>
      <c r="F14" s="2"/>
      <c r="G14" s="4" t="s">
        <v>33</v>
      </c>
      <c r="H14" s="151">
        <v>8.5</v>
      </c>
      <c r="I14" s="9"/>
      <c r="J14" s="83" t="s">
        <v>889</v>
      </c>
      <c r="K14" s="1">
        <f>ROUND(SUM(K15:K23)/COUNT(K15:K23), 2)</f>
        <v>8.83</v>
      </c>
      <c r="L14" s="2"/>
      <c r="M14" s="84" t="s">
        <v>890</v>
      </c>
      <c r="N14" s="1">
        <f>ROUND(SUM(N15:N26)/COUNT(N15:N26), 2)</f>
        <v>8.67</v>
      </c>
      <c r="O14" s="17"/>
      <c r="R14" s="244">
        <v>12</v>
      </c>
      <c r="S14" s="235" t="s">
        <v>330</v>
      </c>
      <c r="T14" s="236" t="s">
        <v>269</v>
      </c>
      <c r="U14" s="236">
        <v>9.3800000000000008</v>
      </c>
      <c r="V14" s="300">
        <v>9.5299999999999994</v>
      </c>
      <c r="W14" s="236">
        <v>9.5</v>
      </c>
      <c r="X14" s="236">
        <v>0.78</v>
      </c>
      <c r="Y14" s="236">
        <v>3</v>
      </c>
      <c r="Z14" s="236">
        <v>8</v>
      </c>
      <c r="AA14" s="236">
        <v>0</v>
      </c>
      <c r="AB14" s="235" t="s">
        <v>760</v>
      </c>
      <c r="AC14" s="236">
        <v>1971</v>
      </c>
      <c r="AD14" s="236" t="s">
        <v>1902</v>
      </c>
      <c r="AE14" s="237" t="s">
        <v>2192</v>
      </c>
      <c r="AF14"/>
      <c r="AG14"/>
      <c r="AH14" s="232" t="s">
        <v>1042</v>
      </c>
      <c r="AI14" s="345" t="s">
        <v>2876</v>
      </c>
    </row>
    <row r="15" spans="1:40" ht="16" customHeight="1" thickBot="1" x14ac:dyDescent="0.25">
      <c r="A15" s="9"/>
      <c r="B15" s="9"/>
      <c r="C15" s="2"/>
      <c r="D15" s="11" t="s">
        <v>63</v>
      </c>
      <c r="E15" s="150">
        <v>9</v>
      </c>
      <c r="F15" s="2"/>
      <c r="G15" s="7" t="s">
        <v>34</v>
      </c>
      <c r="H15" s="152">
        <v>8.5</v>
      </c>
      <c r="I15" s="9"/>
      <c r="J15" s="4" t="s">
        <v>87</v>
      </c>
      <c r="K15" s="150">
        <v>9</v>
      </c>
      <c r="L15" s="2"/>
      <c r="M15" s="4" t="s">
        <v>96</v>
      </c>
      <c r="N15" s="150">
        <v>8.5</v>
      </c>
      <c r="O15" s="17"/>
      <c r="R15" s="244">
        <v>13</v>
      </c>
      <c r="S15" s="232" t="s">
        <v>326</v>
      </c>
      <c r="T15" s="233" t="s">
        <v>2569</v>
      </c>
      <c r="U15" s="233">
        <v>9.25</v>
      </c>
      <c r="V15" s="300">
        <v>9.5299999999999994</v>
      </c>
      <c r="W15" s="233">
        <v>9.5</v>
      </c>
      <c r="X15" s="233">
        <v>1.18</v>
      </c>
      <c r="Y15" s="233">
        <v>3</v>
      </c>
      <c r="Z15" s="233">
        <v>8</v>
      </c>
      <c r="AA15" s="233">
        <v>2</v>
      </c>
      <c r="AB15" s="232" t="s">
        <v>2576</v>
      </c>
      <c r="AC15" s="233">
        <v>2000</v>
      </c>
      <c r="AD15" s="233" t="s">
        <v>1921</v>
      </c>
      <c r="AE15" s="234" t="s">
        <v>2448</v>
      </c>
      <c r="AF15"/>
      <c r="AG15"/>
      <c r="AH15"/>
      <c r="AI15"/>
      <c r="AK15" s="3" t="s">
        <v>374</v>
      </c>
    </row>
    <row r="16" spans="1:40" ht="16" customHeight="1" thickBot="1" x14ac:dyDescent="0.25">
      <c r="A16" s="82" t="s">
        <v>888</v>
      </c>
      <c r="B16" s="1">
        <f>ROUND(SUM(B17:B24)/COUNT(B17:B24), 2)</f>
        <v>9.25</v>
      </c>
      <c r="C16" s="2"/>
      <c r="D16" s="4" t="s">
        <v>64</v>
      </c>
      <c r="E16" s="151">
        <v>10.5</v>
      </c>
      <c r="F16" s="9"/>
      <c r="G16" s="9"/>
      <c r="H16" s="9"/>
      <c r="I16" s="9"/>
      <c r="J16" s="4" t="s">
        <v>88</v>
      </c>
      <c r="K16" s="151">
        <v>10</v>
      </c>
      <c r="L16" s="2"/>
      <c r="M16" s="4" t="s">
        <v>97</v>
      </c>
      <c r="N16" s="151">
        <v>10</v>
      </c>
      <c r="O16" s="17"/>
      <c r="R16" s="244">
        <v>14</v>
      </c>
      <c r="S16" s="235" t="s">
        <v>331</v>
      </c>
      <c r="T16" s="236" t="s">
        <v>1181</v>
      </c>
      <c r="U16" s="236">
        <v>9.4</v>
      </c>
      <c r="V16" s="296">
        <v>9.4600000000000009</v>
      </c>
      <c r="W16" s="236">
        <v>9</v>
      </c>
      <c r="X16" s="236">
        <v>0.73</v>
      </c>
      <c r="Y16" s="236">
        <v>2</v>
      </c>
      <c r="Z16" s="236">
        <v>5</v>
      </c>
      <c r="AA16" s="236">
        <v>0</v>
      </c>
      <c r="AB16" s="235" t="s">
        <v>754</v>
      </c>
      <c r="AC16" s="236">
        <v>1969</v>
      </c>
      <c r="AD16" s="236" t="s">
        <v>1908</v>
      </c>
      <c r="AE16" s="237" t="s">
        <v>2193</v>
      </c>
      <c r="AF16"/>
      <c r="AG16"/>
      <c r="AH16" s="343" t="s">
        <v>1043</v>
      </c>
      <c r="AI16" s="343"/>
    </row>
    <row r="17" spans="1:37" ht="16" customHeight="1" thickBot="1" x14ac:dyDescent="0.25">
      <c r="A17" s="4" t="s">
        <v>55</v>
      </c>
      <c r="B17" s="150">
        <v>9.5</v>
      </c>
      <c r="C17" s="2"/>
      <c r="D17" s="4" t="s">
        <v>65</v>
      </c>
      <c r="E17" s="151">
        <v>10</v>
      </c>
      <c r="F17" s="10"/>
      <c r="G17" s="106" t="s">
        <v>1179</v>
      </c>
      <c r="H17" s="1">
        <f>ROUND(SUM(H18:H28)/COUNT(H18:H28), 2)</f>
        <v>8.68</v>
      </c>
      <c r="I17" s="9"/>
      <c r="J17" s="4" t="s">
        <v>89</v>
      </c>
      <c r="K17" s="151">
        <v>9.5</v>
      </c>
      <c r="L17" s="2"/>
      <c r="M17" s="4" t="s">
        <v>98</v>
      </c>
      <c r="N17" s="151">
        <v>8</v>
      </c>
      <c r="O17" s="17"/>
      <c r="R17" s="244">
        <v>15</v>
      </c>
      <c r="S17" s="232" t="s">
        <v>2035</v>
      </c>
      <c r="T17" s="233" t="s">
        <v>2028</v>
      </c>
      <c r="U17" s="233">
        <v>9.31</v>
      </c>
      <c r="V17" s="253">
        <v>9.43</v>
      </c>
      <c r="W17" s="233">
        <v>9.25</v>
      </c>
      <c r="X17" s="233">
        <v>0.75</v>
      </c>
      <c r="Y17" s="233">
        <v>3</v>
      </c>
      <c r="Z17" s="233">
        <v>8</v>
      </c>
      <c r="AA17" s="233">
        <v>0</v>
      </c>
      <c r="AB17" s="232" t="s">
        <v>2037</v>
      </c>
      <c r="AC17" s="233">
        <v>1970</v>
      </c>
      <c r="AD17" s="233" t="s">
        <v>1907</v>
      </c>
      <c r="AE17" s="234" t="s">
        <v>2131</v>
      </c>
      <c r="AF17"/>
      <c r="AG17"/>
      <c r="AH17" s="235" t="s">
        <v>1044</v>
      </c>
      <c r="AI17" s="344">
        <v>1.1299999999999999</v>
      </c>
      <c r="AK17" s="3" t="s">
        <v>271</v>
      </c>
    </row>
    <row r="18" spans="1:37" ht="16" customHeight="1" x14ac:dyDescent="0.2">
      <c r="A18" s="4" t="s">
        <v>56</v>
      </c>
      <c r="B18" s="151">
        <v>10</v>
      </c>
      <c r="C18" s="2"/>
      <c r="D18" s="4" t="s">
        <v>66</v>
      </c>
      <c r="E18" s="151">
        <v>9.5</v>
      </c>
      <c r="F18" s="10"/>
      <c r="G18" s="4" t="s">
        <v>76</v>
      </c>
      <c r="H18" s="150">
        <v>10</v>
      </c>
      <c r="I18" s="9"/>
      <c r="J18" s="4" t="s">
        <v>90</v>
      </c>
      <c r="K18" s="151">
        <v>8.5</v>
      </c>
      <c r="L18" s="2"/>
      <c r="M18" s="4" t="s">
        <v>99</v>
      </c>
      <c r="N18" s="151">
        <v>8.5</v>
      </c>
      <c r="O18" s="17"/>
      <c r="R18" s="244">
        <v>16</v>
      </c>
      <c r="S18" s="235" t="s">
        <v>2487</v>
      </c>
      <c r="T18" s="236" t="s">
        <v>2471</v>
      </c>
      <c r="U18" s="236">
        <v>9.33</v>
      </c>
      <c r="V18" s="337">
        <v>9.3800000000000008</v>
      </c>
      <c r="W18" s="236">
        <v>9</v>
      </c>
      <c r="X18" s="236">
        <v>0.85</v>
      </c>
      <c r="Y18" s="236">
        <v>1</v>
      </c>
      <c r="Z18" s="236">
        <v>3</v>
      </c>
      <c r="AA18" s="236">
        <v>0</v>
      </c>
      <c r="AB18" s="235" t="s">
        <v>1076</v>
      </c>
      <c r="AC18" s="236">
        <v>1972</v>
      </c>
      <c r="AD18" s="236" t="s">
        <v>1911</v>
      </c>
      <c r="AE18" s="237" t="s">
        <v>2503</v>
      </c>
      <c r="AF18"/>
      <c r="AG18"/>
      <c r="AH18" s="232" t="s">
        <v>1045</v>
      </c>
      <c r="AI18" s="347">
        <v>0.1313</v>
      </c>
      <c r="AK18" s="3" t="s">
        <v>272</v>
      </c>
    </row>
    <row r="19" spans="1:37" ht="16" customHeight="1" x14ac:dyDescent="0.2">
      <c r="A19" s="4" t="s">
        <v>57</v>
      </c>
      <c r="B19" s="151">
        <v>8.5</v>
      </c>
      <c r="C19" s="2"/>
      <c r="D19" s="4" t="s">
        <v>67</v>
      </c>
      <c r="E19" s="151">
        <v>8.5</v>
      </c>
      <c r="F19" s="10"/>
      <c r="G19" s="4" t="s">
        <v>77</v>
      </c>
      <c r="H19" s="151">
        <v>8.5</v>
      </c>
      <c r="I19" s="9"/>
      <c r="J19" s="4" t="s">
        <v>91</v>
      </c>
      <c r="K19" s="151">
        <v>7.5</v>
      </c>
      <c r="L19" s="2"/>
      <c r="M19" s="4" t="s">
        <v>100</v>
      </c>
      <c r="N19" s="151">
        <v>8.5</v>
      </c>
      <c r="O19" s="17"/>
      <c r="R19" s="244">
        <v>17</v>
      </c>
      <c r="S19" s="232" t="s">
        <v>335</v>
      </c>
      <c r="T19" s="233" t="s">
        <v>56</v>
      </c>
      <c r="U19" s="233">
        <v>9.25</v>
      </c>
      <c r="V19" s="305">
        <v>9.3699999999999992</v>
      </c>
      <c r="W19" s="233">
        <v>9.25</v>
      </c>
      <c r="X19" s="233">
        <v>0.83</v>
      </c>
      <c r="Y19" s="233">
        <v>3</v>
      </c>
      <c r="Z19" s="233">
        <v>8</v>
      </c>
      <c r="AA19" s="233">
        <v>0</v>
      </c>
      <c r="AB19" s="232" t="s">
        <v>775</v>
      </c>
      <c r="AC19" s="233">
        <v>1986</v>
      </c>
      <c r="AD19" s="233" t="s">
        <v>1909</v>
      </c>
      <c r="AE19" s="234" t="s">
        <v>2193</v>
      </c>
      <c r="AF19"/>
      <c r="AG19"/>
      <c r="AH19" s="235" t="s">
        <v>1046</v>
      </c>
      <c r="AI19" s="344" t="s">
        <v>2642</v>
      </c>
      <c r="AK19" s="3" t="s">
        <v>273</v>
      </c>
    </row>
    <row r="20" spans="1:37" ht="16" customHeight="1" x14ac:dyDescent="0.2">
      <c r="A20" s="4" t="s">
        <v>58</v>
      </c>
      <c r="B20" s="151">
        <v>10</v>
      </c>
      <c r="C20" s="2"/>
      <c r="D20" s="4" t="s">
        <v>68</v>
      </c>
      <c r="E20" s="151"/>
      <c r="F20" s="10"/>
      <c r="G20" s="4" t="s">
        <v>78</v>
      </c>
      <c r="H20" s="151">
        <v>10</v>
      </c>
      <c r="I20" s="9"/>
      <c r="J20" s="4" t="s">
        <v>92</v>
      </c>
      <c r="K20" s="151">
        <v>8</v>
      </c>
      <c r="L20" s="2"/>
      <c r="M20" s="4" t="s">
        <v>101</v>
      </c>
      <c r="N20" s="151">
        <v>7.5</v>
      </c>
      <c r="O20" s="17"/>
      <c r="R20" s="244">
        <v>18</v>
      </c>
      <c r="S20" s="235" t="s">
        <v>327</v>
      </c>
      <c r="T20" s="236" t="s">
        <v>285</v>
      </c>
      <c r="U20" s="236">
        <v>9.15</v>
      </c>
      <c r="V20" s="305">
        <v>9.3699999999999992</v>
      </c>
      <c r="W20" s="236">
        <v>9</v>
      </c>
      <c r="X20" s="236">
        <v>1</v>
      </c>
      <c r="Y20" s="236">
        <v>4</v>
      </c>
      <c r="Z20" s="236">
        <v>11</v>
      </c>
      <c r="AA20" s="236">
        <v>1</v>
      </c>
      <c r="AB20" s="235" t="s">
        <v>856</v>
      </c>
      <c r="AC20" s="236">
        <v>2000</v>
      </c>
      <c r="AD20" s="236" t="s">
        <v>1910</v>
      </c>
      <c r="AE20" s="237" t="s">
        <v>2188</v>
      </c>
      <c r="AF20"/>
      <c r="AG20"/>
      <c r="AH20" s="232" t="s">
        <v>1047</v>
      </c>
      <c r="AI20" s="345" t="s">
        <v>1831</v>
      </c>
    </row>
    <row r="21" spans="1:37" ht="16" customHeight="1" x14ac:dyDescent="0.2">
      <c r="A21" s="4" t="s">
        <v>59</v>
      </c>
      <c r="B21" s="151">
        <v>8.5</v>
      </c>
      <c r="C21" s="2"/>
      <c r="D21" s="4" t="s">
        <v>69</v>
      </c>
      <c r="E21" s="151">
        <v>9</v>
      </c>
      <c r="F21" s="10"/>
      <c r="G21" s="4" t="s">
        <v>79</v>
      </c>
      <c r="H21" s="151">
        <v>9</v>
      </c>
      <c r="I21" s="9"/>
      <c r="J21" s="4" t="s">
        <v>93</v>
      </c>
      <c r="K21" s="151">
        <v>8.5</v>
      </c>
      <c r="L21" s="2"/>
      <c r="M21" s="4" t="s">
        <v>102</v>
      </c>
      <c r="N21" s="151">
        <v>10</v>
      </c>
      <c r="O21" s="17"/>
      <c r="R21" s="244">
        <v>19</v>
      </c>
      <c r="S21" s="232" t="s">
        <v>331</v>
      </c>
      <c r="T21" s="233" t="s">
        <v>1005</v>
      </c>
      <c r="U21" s="233">
        <v>9.3000000000000007</v>
      </c>
      <c r="V21" s="297">
        <v>9.36</v>
      </c>
      <c r="W21" s="233">
        <v>9</v>
      </c>
      <c r="X21" s="233">
        <v>0.87</v>
      </c>
      <c r="Y21" s="233">
        <v>2</v>
      </c>
      <c r="Z21" s="233">
        <v>5</v>
      </c>
      <c r="AA21" s="233">
        <v>0</v>
      </c>
      <c r="AB21" s="232" t="s">
        <v>754</v>
      </c>
      <c r="AC21" s="233">
        <v>2024</v>
      </c>
      <c r="AD21" s="233" t="s">
        <v>1911</v>
      </c>
      <c r="AE21" s="234" t="s">
        <v>2164</v>
      </c>
      <c r="AF21"/>
      <c r="AG21"/>
      <c r="AH21"/>
      <c r="AI21"/>
      <c r="AK21" s="3" t="s">
        <v>1786</v>
      </c>
    </row>
    <row r="22" spans="1:37" ht="16" customHeight="1" x14ac:dyDescent="0.2">
      <c r="A22" s="4" t="s">
        <v>60</v>
      </c>
      <c r="B22" s="151">
        <v>9</v>
      </c>
      <c r="C22" s="2"/>
      <c r="D22" s="4" t="s">
        <v>70</v>
      </c>
      <c r="E22" s="151">
        <v>8</v>
      </c>
      <c r="F22" s="10"/>
      <c r="G22" s="4" t="s">
        <v>80</v>
      </c>
      <c r="H22" s="151">
        <v>8</v>
      </c>
      <c r="I22" s="9"/>
      <c r="J22" s="4" t="s">
        <v>94</v>
      </c>
      <c r="K22" s="151">
        <v>8</v>
      </c>
      <c r="L22" s="2"/>
      <c r="M22" s="4" t="s">
        <v>103</v>
      </c>
      <c r="N22" s="151">
        <v>9</v>
      </c>
      <c r="O22" s="17"/>
      <c r="R22" s="244">
        <v>20</v>
      </c>
      <c r="S22" s="235" t="s">
        <v>336</v>
      </c>
      <c r="T22" s="236" t="s">
        <v>188</v>
      </c>
      <c r="U22" s="236">
        <v>9.2100000000000009</v>
      </c>
      <c r="V22" s="287">
        <v>9.34</v>
      </c>
      <c r="W22" s="236">
        <v>9.25</v>
      </c>
      <c r="X22" s="236">
        <v>0.85</v>
      </c>
      <c r="Y22" s="236">
        <v>5</v>
      </c>
      <c r="Z22" s="236">
        <v>13</v>
      </c>
      <c r="AA22" s="236">
        <v>1</v>
      </c>
      <c r="AB22" s="235" t="s">
        <v>757</v>
      </c>
      <c r="AC22" s="236">
        <v>2008</v>
      </c>
      <c r="AD22" s="236" t="s">
        <v>1912</v>
      </c>
      <c r="AE22" s="237" t="s">
        <v>2193</v>
      </c>
      <c r="AF22"/>
      <c r="AG22"/>
      <c r="AH22" s="343" t="s">
        <v>1048</v>
      </c>
      <c r="AI22" s="343"/>
      <c r="AK22" s="3" t="s">
        <v>283</v>
      </c>
    </row>
    <row r="23" spans="1:37" ht="16" customHeight="1" thickBot="1" x14ac:dyDescent="0.25">
      <c r="A23" s="4" t="s">
        <v>61</v>
      </c>
      <c r="B23" s="151">
        <v>10.5</v>
      </c>
      <c r="C23" s="2"/>
      <c r="D23" s="4" t="s">
        <v>71</v>
      </c>
      <c r="E23" s="151">
        <v>10</v>
      </c>
      <c r="F23" s="10"/>
      <c r="G23" s="4" t="s">
        <v>81</v>
      </c>
      <c r="H23" s="151">
        <v>8.5</v>
      </c>
      <c r="I23" s="9"/>
      <c r="J23" s="7" t="s">
        <v>95</v>
      </c>
      <c r="K23" s="151">
        <v>10.5</v>
      </c>
      <c r="L23" s="2"/>
      <c r="M23" s="4" t="s">
        <v>104</v>
      </c>
      <c r="N23" s="151">
        <v>8.5</v>
      </c>
      <c r="O23" s="17"/>
      <c r="R23" s="244">
        <v>21</v>
      </c>
      <c r="S23" s="232" t="s">
        <v>334</v>
      </c>
      <c r="T23" s="233" t="s">
        <v>132</v>
      </c>
      <c r="U23" s="233">
        <v>9.2100000000000009</v>
      </c>
      <c r="V23" s="311">
        <v>9.2799999999999994</v>
      </c>
      <c r="W23" s="233">
        <v>9</v>
      </c>
      <c r="X23" s="233">
        <v>0.8</v>
      </c>
      <c r="Y23" s="233">
        <v>2</v>
      </c>
      <c r="Z23" s="233">
        <v>7</v>
      </c>
      <c r="AA23" s="233">
        <v>0</v>
      </c>
      <c r="AB23" s="232" t="s">
        <v>776</v>
      </c>
      <c r="AC23" s="233">
        <v>2001</v>
      </c>
      <c r="AD23" s="233" t="s">
        <v>1900</v>
      </c>
      <c r="AE23" s="234" t="s">
        <v>2194</v>
      </c>
      <c r="AF23"/>
      <c r="AG23"/>
      <c r="AH23" s="235" t="s">
        <v>1049</v>
      </c>
      <c r="AI23" s="344" t="s">
        <v>2877</v>
      </c>
    </row>
    <row r="24" spans="1:37" ht="16" customHeight="1" thickBot="1" x14ac:dyDescent="0.25">
      <c r="A24" s="7" t="s">
        <v>62</v>
      </c>
      <c r="B24" s="152">
        <v>8</v>
      </c>
      <c r="C24" s="2"/>
      <c r="D24" s="4" t="s">
        <v>72</v>
      </c>
      <c r="E24" s="151">
        <v>8.5</v>
      </c>
      <c r="F24" s="10"/>
      <c r="G24" s="4" t="s">
        <v>82</v>
      </c>
      <c r="H24" s="151">
        <v>8</v>
      </c>
      <c r="I24" s="9"/>
      <c r="J24" s="9"/>
      <c r="K24" s="9"/>
      <c r="L24" s="9"/>
      <c r="M24" s="4" t="s">
        <v>105</v>
      </c>
      <c r="N24" s="151">
        <v>7.5</v>
      </c>
      <c r="O24" s="17"/>
      <c r="R24" s="244">
        <v>22</v>
      </c>
      <c r="S24" s="235" t="s">
        <v>444</v>
      </c>
      <c r="T24" s="236" t="s">
        <v>36</v>
      </c>
      <c r="U24" s="236">
        <v>9.15</v>
      </c>
      <c r="V24" s="319">
        <v>9.23</v>
      </c>
      <c r="W24" s="236">
        <v>9</v>
      </c>
      <c r="X24" s="236">
        <v>0.78</v>
      </c>
      <c r="Y24" s="236">
        <v>3</v>
      </c>
      <c r="Z24" s="236">
        <v>10</v>
      </c>
      <c r="AA24" s="236">
        <v>0</v>
      </c>
      <c r="AB24" s="235" t="s">
        <v>754</v>
      </c>
      <c r="AC24" s="236">
        <v>1982</v>
      </c>
      <c r="AD24" s="236" t="s">
        <v>1902</v>
      </c>
      <c r="AE24" s="237" t="s">
        <v>2194</v>
      </c>
      <c r="AF24"/>
      <c r="AG24"/>
      <c r="AH24" s="232" t="s">
        <v>1050</v>
      </c>
      <c r="AI24" s="345" t="s">
        <v>2878</v>
      </c>
      <c r="AK24" s="45" t="s">
        <v>514</v>
      </c>
    </row>
    <row r="25" spans="1:37" ht="16" customHeight="1" thickBot="1" x14ac:dyDescent="0.25">
      <c r="A25" s="2"/>
      <c r="B25" s="2"/>
      <c r="C25" s="2"/>
      <c r="D25" s="4" t="s">
        <v>73</v>
      </c>
      <c r="E25" s="151">
        <v>9.5</v>
      </c>
      <c r="F25" s="10"/>
      <c r="G25" s="4" t="s">
        <v>83</v>
      </c>
      <c r="H25" s="151">
        <v>9.5</v>
      </c>
      <c r="I25" s="9"/>
      <c r="J25" s="80" t="s">
        <v>886</v>
      </c>
      <c r="K25" s="1">
        <f>ROUND(SUM(K26:K38)/COUNT(K26:K38), 2)</f>
        <v>8.42</v>
      </c>
      <c r="L25" s="2"/>
      <c r="M25" s="4" t="s">
        <v>106</v>
      </c>
      <c r="N25" s="151">
        <v>9</v>
      </c>
      <c r="O25" s="17"/>
      <c r="R25" s="244">
        <v>23</v>
      </c>
      <c r="S25" s="232" t="s">
        <v>480</v>
      </c>
      <c r="T25" s="233" t="s">
        <v>498</v>
      </c>
      <c r="U25" s="233">
        <v>9.17</v>
      </c>
      <c r="V25" s="319">
        <v>9.23</v>
      </c>
      <c r="W25" s="233">
        <v>9</v>
      </c>
      <c r="X25" s="233">
        <v>0.69</v>
      </c>
      <c r="Y25" s="233">
        <v>1</v>
      </c>
      <c r="Z25" s="233">
        <v>6</v>
      </c>
      <c r="AA25" s="233">
        <v>0</v>
      </c>
      <c r="AB25" s="232" t="s">
        <v>756</v>
      </c>
      <c r="AC25" s="233">
        <v>2007</v>
      </c>
      <c r="AD25" s="233" t="s">
        <v>1913</v>
      </c>
      <c r="AE25" s="234" t="s">
        <v>2186</v>
      </c>
      <c r="AF25"/>
      <c r="AG25"/>
      <c r="AH25"/>
      <c r="AI25"/>
      <c r="AK25" s="13"/>
    </row>
    <row r="26" spans="1:37" ht="16" customHeight="1" thickBot="1" x14ac:dyDescent="0.25">
      <c r="A26" s="107" t="s">
        <v>1180</v>
      </c>
      <c r="B26" s="1">
        <f>ROUND(SUM(B27:B31)/COUNT(B27:B31), 2)</f>
        <v>9.4</v>
      </c>
      <c r="C26" s="2"/>
      <c r="D26" s="4" t="s">
        <v>74</v>
      </c>
      <c r="E26" s="151">
        <v>8</v>
      </c>
      <c r="F26" s="10"/>
      <c r="G26" s="4" t="s">
        <v>84</v>
      </c>
      <c r="H26" s="151">
        <v>7.5</v>
      </c>
      <c r="I26" s="9"/>
      <c r="J26" s="4" t="s">
        <v>113</v>
      </c>
      <c r="K26" s="150">
        <v>10</v>
      </c>
      <c r="L26" s="2"/>
      <c r="M26" s="7" t="s">
        <v>107</v>
      </c>
      <c r="N26" s="152">
        <v>9</v>
      </c>
      <c r="O26" s="17"/>
      <c r="R26" s="244">
        <v>24</v>
      </c>
      <c r="S26" s="235" t="s">
        <v>335</v>
      </c>
      <c r="T26" s="236" t="s">
        <v>693</v>
      </c>
      <c r="U26" s="236">
        <v>9.1300000000000008</v>
      </c>
      <c r="V26" s="306">
        <v>9.2100000000000009</v>
      </c>
      <c r="W26" s="236">
        <v>9</v>
      </c>
      <c r="X26" s="236">
        <v>0.93</v>
      </c>
      <c r="Y26" s="236">
        <v>3</v>
      </c>
      <c r="Z26" s="236">
        <v>8</v>
      </c>
      <c r="AA26" s="236">
        <v>0</v>
      </c>
      <c r="AB26" s="235" t="s">
        <v>775</v>
      </c>
      <c r="AC26" s="236">
        <v>1984</v>
      </c>
      <c r="AD26" s="236" t="s">
        <v>1910</v>
      </c>
      <c r="AE26" s="237" t="s">
        <v>2178</v>
      </c>
      <c r="AF26"/>
      <c r="AG26"/>
      <c r="AH26" s="343" t="s">
        <v>1051</v>
      </c>
      <c r="AI26" s="343"/>
      <c r="AK26" s="36" t="s">
        <v>355</v>
      </c>
    </row>
    <row r="27" spans="1:37" ht="16" customHeight="1" thickBot="1" x14ac:dyDescent="0.25">
      <c r="A27" s="4" t="s">
        <v>108</v>
      </c>
      <c r="B27" s="150">
        <v>10</v>
      </c>
      <c r="C27" s="2"/>
      <c r="D27" s="4" t="s">
        <v>75</v>
      </c>
      <c r="E27" s="151">
        <v>9</v>
      </c>
      <c r="F27" s="10"/>
      <c r="G27" s="4" t="s">
        <v>85</v>
      </c>
      <c r="H27" s="151">
        <v>8.5</v>
      </c>
      <c r="I27" s="9"/>
      <c r="J27" s="4" t="s">
        <v>114</v>
      </c>
      <c r="K27" s="151">
        <v>9.5</v>
      </c>
      <c r="L27" s="2"/>
      <c r="M27" s="2"/>
      <c r="N27" s="2"/>
      <c r="O27" s="17"/>
      <c r="R27" s="244">
        <v>25</v>
      </c>
      <c r="S27" s="232" t="s">
        <v>337</v>
      </c>
      <c r="T27" s="233" t="s">
        <v>2568</v>
      </c>
      <c r="U27" s="233">
        <v>9.08</v>
      </c>
      <c r="V27" s="265">
        <v>9.17</v>
      </c>
      <c r="W27" s="233">
        <v>9</v>
      </c>
      <c r="X27" s="233">
        <v>0.73</v>
      </c>
      <c r="Y27" s="233">
        <v>3</v>
      </c>
      <c r="Z27" s="233">
        <v>13</v>
      </c>
      <c r="AA27" s="233">
        <v>0</v>
      </c>
      <c r="AB27" s="232" t="s">
        <v>2591</v>
      </c>
      <c r="AC27" s="233">
        <v>2007</v>
      </c>
      <c r="AD27" s="233" t="s">
        <v>1912</v>
      </c>
      <c r="AE27" s="234" t="s">
        <v>2552</v>
      </c>
      <c r="AF27"/>
      <c r="AG27"/>
      <c r="AH27" s="235" t="s">
        <v>1052</v>
      </c>
      <c r="AI27" s="344" t="s">
        <v>2879</v>
      </c>
      <c r="AK27" s="3" t="s">
        <v>356</v>
      </c>
    </row>
    <row r="28" spans="1:37" ht="16" customHeight="1" thickBot="1" x14ac:dyDescent="0.25">
      <c r="A28" s="4" t="s">
        <v>109</v>
      </c>
      <c r="B28" s="151">
        <v>9</v>
      </c>
      <c r="C28" s="9"/>
      <c r="D28" s="7" t="s">
        <v>1864</v>
      </c>
      <c r="E28" s="152">
        <v>7.5</v>
      </c>
      <c r="F28" s="9"/>
      <c r="G28" s="7" t="s">
        <v>86</v>
      </c>
      <c r="H28" s="152">
        <v>8</v>
      </c>
      <c r="I28" s="9"/>
      <c r="J28" s="4" t="s">
        <v>115</v>
      </c>
      <c r="K28" s="151">
        <v>8.5</v>
      </c>
      <c r="L28" s="2"/>
      <c r="M28" s="19" t="s">
        <v>317</v>
      </c>
      <c r="N28" s="12">
        <f>ROUND(SUM(N29:N37)/COUNT(N29:N37), 2)</f>
        <v>8.89</v>
      </c>
      <c r="O28" s="17"/>
      <c r="R28" s="244">
        <v>26</v>
      </c>
      <c r="S28" s="235" t="s">
        <v>908</v>
      </c>
      <c r="T28" s="236" t="s">
        <v>899</v>
      </c>
      <c r="U28" s="236">
        <v>9.06</v>
      </c>
      <c r="V28" s="266">
        <v>9.1</v>
      </c>
      <c r="W28" s="236">
        <v>8.75</v>
      </c>
      <c r="X28" s="236">
        <v>0.92</v>
      </c>
      <c r="Y28" s="236">
        <v>3</v>
      </c>
      <c r="Z28" s="236">
        <v>9</v>
      </c>
      <c r="AA28" s="236">
        <v>1</v>
      </c>
      <c r="AB28" s="235" t="s">
        <v>909</v>
      </c>
      <c r="AC28" s="236">
        <v>2021</v>
      </c>
      <c r="AD28" s="236" t="s">
        <v>1899</v>
      </c>
      <c r="AE28" s="237" t="s">
        <v>2170</v>
      </c>
      <c r="AF28"/>
      <c r="AG28"/>
      <c r="AH28" s="232" t="s">
        <v>1053</v>
      </c>
      <c r="AI28" s="345" t="s">
        <v>2880</v>
      </c>
      <c r="AK28" s="3" t="s">
        <v>357</v>
      </c>
    </row>
    <row r="29" spans="1:37" ht="16" customHeight="1" thickBot="1" x14ac:dyDescent="0.25">
      <c r="A29" s="4" t="s">
        <v>430</v>
      </c>
      <c r="B29" s="151">
        <v>10.5</v>
      </c>
      <c r="C29" s="9"/>
      <c r="D29" s="9"/>
      <c r="E29" s="9"/>
      <c r="F29" s="2"/>
      <c r="G29" s="10"/>
      <c r="H29" s="10"/>
      <c r="I29" s="9"/>
      <c r="J29" s="4" t="s">
        <v>116</v>
      </c>
      <c r="K29" s="151">
        <v>8.5</v>
      </c>
      <c r="L29" s="2"/>
      <c r="M29" s="5" t="s">
        <v>133</v>
      </c>
      <c r="N29" s="150">
        <v>10</v>
      </c>
      <c r="O29" s="17"/>
      <c r="R29" s="244">
        <v>27</v>
      </c>
      <c r="S29" s="232" t="s">
        <v>337</v>
      </c>
      <c r="T29" s="233" t="s">
        <v>159</v>
      </c>
      <c r="U29" s="233">
        <v>9</v>
      </c>
      <c r="V29" s="266">
        <v>9.09</v>
      </c>
      <c r="W29" s="233">
        <v>9</v>
      </c>
      <c r="X29" s="233">
        <v>0.85</v>
      </c>
      <c r="Y29" s="233">
        <v>3</v>
      </c>
      <c r="Z29" s="233">
        <v>14</v>
      </c>
      <c r="AA29" s="233">
        <v>1</v>
      </c>
      <c r="AB29" s="232" t="s">
        <v>758</v>
      </c>
      <c r="AC29" s="233">
        <v>2001</v>
      </c>
      <c r="AD29" s="233" t="s">
        <v>1914</v>
      </c>
      <c r="AE29" s="234" t="s">
        <v>2194</v>
      </c>
      <c r="AF29"/>
      <c r="AG29"/>
      <c r="AH29" s="235" t="s">
        <v>1054</v>
      </c>
      <c r="AI29" s="344" t="s">
        <v>2881</v>
      </c>
      <c r="AK29" s="3" t="s">
        <v>358</v>
      </c>
    </row>
    <row r="30" spans="1:37" ht="16" customHeight="1" thickBot="1" x14ac:dyDescent="0.25">
      <c r="A30" s="4" t="s">
        <v>111</v>
      </c>
      <c r="B30" s="151">
        <v>8.5</v>
      </c>
      <c r="C30" s="9"/>
      <c r="D30" s="77" t="s">
        <v>883</v>
      </c>
      <c r="E30" s="1">
        <f>ROUND(SUM(E31:E37)/COUNT(E31:E37), 2)</f>
        <v>9.2100000000000009</v>
      </c>
      <c r="F30" s="2"/>
      <c r="G30" s="75" t="s">
        <v>881</v>
      </c>
      <c r="H30" s="1">
        <f>ROUND(SUM(H31:H45)/COUNT(H31:H45), 2)</f>
        <v>9.61</v>
      </c>
      <c r="I30" s="9"/>
      <c r="J30" s="4" t="s">
        <v>117</v>
      </c>
      <c r="K30" s="151">
        <v>9.5</v>
      </c>
      <c r="L30" s="2"/>
      <c r="M30" s="6" t="s">
        <v>134</v>
      </c>
      <c r="N30" s="151">
        <v>9</v>
      </c>
      <c r="O30" s="17"/>
      <c r="R30" s="244">
        <v>28</v>
      </c>
      <c r="S30" s="235" t="s">
        <v>338</v>
      </c>
      <c r="T30" s="236" t="s">
        <v>259</v>
      </c>
      <c r="U30" s="236">
        <v>9</v>
      </c>
      <c r="V30" s="266">
        <v>9.09</v>
      </c>
      <c r="W30" s="236">
        <v>9</v>
      </c>
      <c r="X30" s="236">
        <v>0.82</v>
      </c>
      <c r="Y30" s="236">
        <v>2</v>
      </c>
      <c r="Z30" s="236">
        <v>9</v>
      </c>
      <c r="AA30" s="236">
        <v>0</v>
      </c>
      <c r="AB30" s="235" t="s">
        <v>775</v>
      </c>
      <c r="AC30" s="236">
        <v>1990</v>
      </c>
      <c r="AD30" s="236" t="s">
        <v>1915</v>
      </c>
      <c r="AE30" s="237" t="s">
        <v>2192</v>
      </c>
      <c r="AF30"/>
      <c r="AG30"/>
      <c r="AH30" s="232" t="s">
        <v>1055</v>
      </c>
      <c r="AI30" s="345" t="s">
        <v>2882</v>
      </c>
      <c r="AK30" s="3" t="s">
        <v>2574</v>
      </c>
    </row>
    <row r="31" spans="1:37" ht="16" customHeight="1" thickBot="1" x14ac:dyDescent="0.25">
      <c r="A31" s="7" t="s">
        <v>112</v>
      </c>
      <c r="B31" s="152">
        <v>9</v>
      </c>
      <c r="C31" s="9"/>
      <c r="D31" s="4" t="s">
        <v>126</v>
      </c>
      <c r="E31" s="150">
        <v>9</v>
      </c>
      <c r="F31" s="2"/>
      <c r="G31" s="5" t="s">
        <v>143</v>
      </c>
      <c r="H31" s="150">
        <v>10</v>
      </c>
      <c r="I31" s="9"/>
      <c r="J31" s="4" t="s">
        <v>118</v>
      </c>
      <c r="K31" s="151">
        <v>8.5</v>
      </c>
      <c r="L31" s="2"/>
      <c r="M31" s="6" t="s">
        <v>135</v>
      </c>
      <c r="N31" s="151">
        <v>8</v>
      </c>
      <c r="O31" s="17"/>
      <c r="R31" s="244">
        <v>29</v>
      </c>
      <c r="S31" s="232" t="s">
        <v>335</v>
      </c>
      <c r="T31" s="233" t="s">
        <v>1127</v>
      </c>
      <c r="U31" s="233">
        <v>9</v>
      </c>
      <c r="V31" s="307">
        <v>9.08</v>
      </c>
      <c r="W31" s="233">
        <v>9</v>
      </c>
      <c r="X31" s="233">
        <v>0.88</v>
      </c>
      <c r="Y31" s="233">
        <v>2</v>
      </c>
      <c r="Z31" s="233">
        <v>9</v>
      </c>
      <c r="AA31" s="233">
        <v>0</v>
      </c>
      <c r="AB31" s="232" t="s">
        <v>775</v>
      </c>
      <c r="AC31" s="233">
        <v>1988</v>
      </c>
      <c r="AD31" s="233" t="s">
        <v>1916</v>
      </c>
      <c r="AE31" s="234" t="s">
        <v>2162</v>
      </c>
      <c r="AF31"/>
      <c r="AG31"/>
      <c r="AH31" s="235" t="s">
        <v>1056</v>
      </c>
      <c r="AI31" s="344" t="s">
        <v>2883</v>
      </c>
      <c r="AK31" s="3" t="s">
        <v>2573</v>
      </c>
    </row>
    <row r="32" spans="1:37" ht="16" customHeight="1" thickBot="1" x14ac:dyDescent="0.25">
      <c r="A32" s="2"/>
      <c r="B32" s="2"/>
      <c r="C32" s="9"/>
      <c r="D32" s="4" t="s">
        <v>127</v>
      </c>
      <c r="E32" s="151">
        <v>10</v>
      </c>
      <c r="F32" s="2"/>
      <c r="G32" s="6" t="s">
        <v>144</v>
      </c>
      <c r="H32" s="151">
        <v>10.5</v>
      </c>
      <c r="I32" s="2"/>
      <c r="J32" s="4" t="s">
        <v>119</v>
      </c>
      <c r="K32" s="151">
        <v>7.5</v>
      </c>
      <c r="L32" s="2"/>
      <c r="M32" s="6" t="s">
        <v>136</v>
      </c>
      <c r="N32" s="151">
        <v>8.5</v>
      </c>
      <c r="O32" s="17"/>
      <c r="R32" s="244">
        <v>30</v>
      </c>
      <c r="S32" s="235" t="s">
        <v>480</v>
      </c>
      <c r="T32" s="236" t="s">
        <v>649</v>
      </c>
      <c r="U32" s="236">
        <v>8.94</v>
      </c>
      <c r="V32" s="312">
        <v>9.0399999999999991</v>
      </c>
      <c r="W32" s="236">
        <v>9</v>
      </c>
      <c r="X32" s="236">
        <v>0.86</v>
      </c>
      <c r="Y32" s="236">
        <v>2</v>
      </c>
      <c r="Z32" s="236">
        <v>9</v>
      </c>
      <c r="AA32" s="236">
        <v>0</v>
      </c>
      <c r="AB32" s="235" t="s">
        <v>756</v>
      </c>
      <c r="AC32" s="236">
        <v>2005</v>
      </c>
      <c r="AD32" s="236" t="s">
        <v>1917</v>
      </c>
      <c r="AE32" s="237" t="s">
        <v>2181</v>
      </c>
      <c r="AF32"/>
      <c r="AG32"/>
      <c r="AH32" s="232" t="s">
        <v>1057</v>
      </c>
      <c r="AI32" s="345" t="s">
        <v>2884</v>
      </c>
      <c r="AK32" s="3" t="s">
        <v>2571</v>
      </c>
    </row>
    <row r="33" spans="1:37" ht="16" customHeight="1" thickBot="1" x14ac:dyDescent="0.25">
      <c r="A33" s="76" t="s">
        <v>882</v>
      </c>
      <c r="B33" s="12">
        <f>ROUND(SUM(B34:B45)/COUNT(B34:B45), 2)</f>
        <v>9.5500000000000007</v>
      </c>
      <c r="C33" s="9"/>
      <c r="D33" s="4" t="s">
        <v>128</v>
      </c>
      <c r="E33" s="151">
        <v>9</v>
      </c>
      <c r="F33" s="2"/>
      <c r="G33" s="4" t="s">
        <v>145</v>
      </c>
      <c r="H33" s="151">
        <v>10</v>
      </c>
      <c r="I33" s="2"/>
      <c r="J33" s="4" t="s">
        <v>120</v>
      </c>
      <c r="K33" s="151">
        <v>9</v>
      </c>
      <c r="L33" s="2"/>
      <c r="M33" s="6" t="s">
        <v>137</v>
      </c>
      <c r="N33" s="151">
        <v>9</v>
      </c>
      <c r="O33" s="17"/>
      <c r="R33" s="244">
        <v>31</v>
      </c>
      <c r="S33" s="232" t="s">
        <v>334</v>
      </c>
      <c r="T33" s="233" t="s">
        <v>967</v>
      </c>
      <c r="U33" s="233">
        <v>9</v>
      </c>
      <c r="V33" s="312">
        <v>9.0399999999999991</v>
      </c>
      <c r="W33" s="233">
        <v>8.75</v>
      </c>
      <c r="X33" s="233">
        <v>0.87</v>
      </c>
      <c r="Y33" s="233">
        <v>2</v>
      </c>
      <c r="Z33" s="233">
        <v>8</v>
      </c>
      <c r="AA33" s="233">
        <v>0</v>
      </c>
      <c r="AB33" s="232" t="s">
        <v>776</v>
      </c>
      <c r="AC33" s="233">
        <v>2005</v>
      </c>
      <c r="AD33" s="233" t="s">
        <v>1918</v>
      </c>
      <c r="AE33" s="234" t="s">
        <v>2166</v>
      </c>
      <c r="AF33"/>
      <c r="AG33"/>
      <c r="AH33"/>
      <c r="AI33"/>
      <c r="AK33" s="3" t="s">
        <v>2572</v>
      </c>
    </row>
    <row r="34" spans="1:37" ht="16" customHeight="1" x14ac:dyDescent="0.2">
      <c r="A34" s="11" t="s">
        <v>146</v>
      </c>
      <c r="B34" s="150">
        <v>9</v>
      </c>
      <c r="C34" s="9"/>
      <c r="D34" s="4" t="s">
        <v>129</v>
      </c>
      <c r="E34" s="151">
        <v>10.5</v>
      </c>
      <c r="F34" s="2"/>
      <c r="G34" s="4" t="s">
        <v>200</v>
      </c>
      <c r="H34" s="151"/>
      <c r="I34" s="2"/>
      <c r="J34" s="4" t="s">
        <v>121</v>
      </c>
      <c r="K34" s="151">
        <v>8</v>
      </c>
      <c r="L34" s="2"/>
      <c r="M34" s="6" t="s">
        <v>138</v>
      </c>
      <c r="N34" s="151">
        <v>8</v>
      </c>
      <c r="O34" s="17"/>
      <c r="R34" s="244">
        <v>32</v>
      </c>
      <c r="S34" s="235" t="s">
        <v>1605</v>
      </c>
      <c r="T34" s="236" t="s">
        <v>2371</v>
      </c>
      <c r="U34" s="236">
        <v>9.07</v>
      </c>
      <c r="V34" s="327">
        <v>9.02</v>
      </c>
      <c r="W34" s="236">
        <v>9</v>
      </c>
      <c r="X34" s="236">
        <v>0.73</v>
      </c>
      <c r="Y34" s="236">
        <v>2</v>
      </c>
      <c r="Z34" s="236">
        <v>7</v>
      </c>
      <c r="AA34" s="236">
        <v>0</v>
      </c>
      <c r="AB34" s="235" t="s">
        <v>1608</v>
      </c>
      <c r="AC34" s="236">
        <v>1977</v>
      </c>
      <c r="AD34" s="236" t="s">
        <v>1938</v>
      </c>
      <c r="AE34" s="237" t="s">
        <v>2372</v>
      </c>
      <c r="AF34"/>
      <c r="AG34"/>
      <c r="AH34" s="343" t="s">
        <v>1058</v>
      </c>
      <c r="AI34" s="343"/>
    </row>
    <row r="35" spans="1:37" ht="16" customHeight="1" x14ac:dyDescent="0.2">
      <c r="A35" s="4" t="s">
        <v>147</v>
      </c>
      <c r="B35" s="151">
        <v>10.5</v>
      </c>
      <c r="C35" s="9"/>
      <c r="D35" s="4" t="s">
        <v>130</v>
      </c>
      <c r="E35" s="151">
        <v>9.5</v>
      </c>
      <c r="F35" s="2"/>
      <c r="G35" s="4" t="s">
        <v>201</v>
      </c>
      <c r="H35" s="151">
        <v>10.5</v>
      </c>
      <c r="I35" s="2"/>
      <c r="J35" s="4" t="s">
        <v>122</v>
      </c>
      <c r="K35" s="151">
        <v>7</v>
      </c>
      <c r="L35" s="2"/>
      <c r="M35" s="6" t="s">
        <v>139</v>
      </c>
      <c r="N35" s="151">
        <v>9</v>
      </c>
      <c r="O35" s="17"/>
      <c r="R35" s="244">
        <v>33</v>
      </c>
      <c r="S35" s="232" t="s">
        <v>2789</v>
      </c>
      <c r="T35" s="233" t="s">
        <v>2782</v>
      </c>
      <c r="U35" s="233">
        <v>9.06</v>
      </c>
      <c r="V35" s="327">
        <v>9.02</v>
      </c>
      <c r="W35" s="233">
        <v>9</v>
      </c>
      <c r="X35" s="233">
        <v>0.72</v>
      </c>
      <c r="Y35" s="233">
        <v>3</v>
      </c>
      <c r="Z35" s="233">
        <v>9</v>
      </c>
      <c r="AA35" s="233">
        <v>0</v>
      </c>
      <c r="AB35" s="232" t="s">
        <v>2794</v>
      </c>
      <c r="AC35" s="233">
        <v>1982</v>
      </c>
      <c r="AD35" s="233" t="s">
        <v>1902</v>
      </c>
      <c r="AE35" s="234" t="s">
        <v>2795</v>
      </c>
      <c r="AF35"/>
      <c r="AG35"/>
      <c r="AH35" s="235" t="s">
        <v>1059</v>
      </c>
      <c r="AI35" s="344" t="s">
        <v>1060</v>
      </c>
      <c r="AK35" s="3" t="s">
        <v>2575</v>
      </c>
    </row>
    <row r="36" spans="1:37" ht="16" customHeight="1" x14ac:dyDescent="0.2">
      <c r="A36" s="4" t="s">
        <v>148</v>
      </c>
      <c r="B36" s="151">
        <v>9.5</v>
      </c>
      <c r="C36" s="9"/>
      <c r="D36" s="4" t="s">
        <v>131</v>
      </c>
      <c r="E36" s="151">
        <v>8</v>
      </c>
      <c r="F36" s="2"/>
      <c r="G36" s="4" t="s">
        <v>202</v>
      </c>
      <c r="H36" s="151"/>
      <c r="I36" s="2"/>
      <c r="J36" s="4" t="s">
        <v>123</v>
      </c>
      <c r="K36" s="151"/>
      <c r="L36" s="2"/>
      <c r="M36" s="6" t="s">
        <v>140</v>
      </c>
      <c r="N36" s="151">
        <v>8.5</v>
      </c>
      <c r="O36" s="17"/>
      <c r="R36" s="244">
        <v>34</v>
      </c>
      <c r="S36" s="235" t="s">
        <v>327</v>
      </c>
      <c r="T36" s="236" t="s">
        <v>432</v>
      </c>
      <c r="U36" s="236">
        <v>8.9600000000000009</v>
      </c>
      <c r="V36" s="321">
        <v>9.01</v>
      </c>
      <c r="W36" s="236">
        <v>8.75</v>
      </c>
      <c r="X36" s="236">
        <v>0.83</v>
      </c>
      <c r="Y36" s="236">
        <v>3</v>
      </c>
      <c r="Z36" s="236">
        <v>12</v>
      </c>
      <c r="AA36" s="236">
        <v>0</v>
      </c>
      <c r="AB36" s="235" t="s">
        <v>773</v>
      </c>
      <c r="AC36" s="236">
        <v>1995</v>
      </c>
      <c r="AD36" s="236" t="s">
        <v>1919</v>
      </c>
      <c r="AE36" s="237" t="s">
        <v>2187</v>
      </c>
      <c r="AF36"/>
      <c r="AG36"/>
      <c r="AH36" s="232" t="s">
        <v>1061</v>
      </c>
      <c r="AI36" s="345" t="s">
        <v>2643</v>
      </c>
    </row>
    <row r="37" spans="1:37" ht="16" customHeight="1" thickBot="1" x14ac:dyDescent="0.25">
      <c r="A37" s="4" t="s">
        <v>149</v>
      </c>
      <c r="B37" s="151">
        <v>9.5</v>
      </c>
      <c r="C37" s="9"/>
      <c r="D37" s="7" t="s">
        <v>132</v>
      </c>
      <c r="E37" s="152">
        <v>8.5</v>
      </c>
      <c r="F37" s="2"/>
      <c r="G37" s="4" t="s">
        <v>203</v>
      </c>
      <c r="H37" s="151">
        <v>8.5</v>
      </c>
      <c r="I37" s="2"/>
      <c r="J37" s="4" t="s">
        <v>124</v>
      </c>
      <c r="K37" s="151">
        <v>7.5</v>
      </c>
      <c r="L37" s="2"/>
      <c r="M37" s="8" t="s">
        <v>141</v>
      </c>
      <c r="N37" s="152">
        <v>10</v>
      </c>
      <c r="O37" s="17"/>
      <c r="R37" s="244">
        <v>35</v>
      </c>
      <c r="S37" s="232" t="s">
        <v>1552</v>
      </c>
      <c r="T37" s="233" t="s">
        <v>1553</v>
      </c>
      <c r="U37" s="233">
        <v>8.67</v>
      </c>
      <c r="V37" s="260">
        <v>9</v>
      </c>
      <c r="W37" s="233">
        <v>8.5</v>
      </c>
      <c r="X37" s="233">
        <v>0.98</v>
      </c>
      <c r="Y37" s="233">
        <v>5</v>
      </c>
      <c r="Z37" s="233">
        <v>26</v>
      </c>
      <c r="AA37" s="233">
        <v>0</v>
      </c>
      <c r="AB37" s="232" t="s">
        <v>1554</v>
      </c>
      <c r="AC37" s="233">
        <v>2017</v>
      </c>
      <c r="AD37" s="233" t="s">
        <v>1908</v>
      </c>
      <c r="AE37" s="234" t="s">
        <v>2147</v>
      </c>
      <c r="AF37"/>
      <c r="AG37"/>
      <c r="AH37" s="235" t="s">
        <v>1062</v>
      </c>
      <c r="AI37" s="344" t="s">
        <v>2698</v>
      </c>
    </row>
    <row r="38" spans="1:37" ht="16" customHeight="1" thickBot="1" x14ac:dyDescent="0.25">
      <c r="A38" s="4" t="s">
        <v>150</v>
      </c>
      <c r="B38" s="151">
        <v>10.5</v>
      </c>
      <c r="C38" s="2"/>
      <c r="D38" s="2"/>
      <c r="E38" s="2"/>
      <c r="F38" s="2"/>
      <c r="G38" s="4" t="s">
        <v>204</v>
      </c>
      <c r="H38" s="151"/>
      <c r="I38" s="2"/>
      <c r="J38" s="7" t="s">
        <v>125</v>
      </c>
      <c r="K38" s="152">
        <v>7.5</v>
      </c>
      <c r="L38" s="2"/>
      <c r="M38" s="16"/>
      <c r="N38" s="16"/>
      <c r="O38" s="17"/>
      <c r="R38" s="244">
        <v>36</v>
      </c>
      <c r="S38" s="235" t="s">
        <v>332</v>
      </c>
      <c r="T38" s="236" t="s">
        <v>1809</v>
      </c>
      <c r="U38" s="236">
        <v>8.92</v>
      </c>
      <c r="V38" s="318">
        <v>8.9700000000000006</v>
      </c>
      <c r="W38" s="236">
        <v>8.75</v>
      </c>
      <c r="X38" s="236">
        <v>0.79</v>
      </c>
      <c r="Y38" s="236">
        <v>1</v>
      </c>
      <c r="Z38" s="236">
        <v>6</v>
      </c>
      <c r="AA38" s="236">
        <v>0</v>
      </c>
      <c r="AB38" s="235" t="s">
        <v>1076</v>
      </c>
      <c r="AC38" s="236">
        <v>1971</v>
      </c>
      <c r="AD38" s="236" t="s">
        <v>1920</v>
      </c>
      <c r="AE38" s="237" t="s">
        <v>2136</v>
      </c>
      <c r="AF38"/>
      <c r="AG38"/>
      <c r="AH38" s="232" t="s">
        <v>1063</v>
      </c>
      <c r="AI38" s="345" t="s">
        <v>1800</v>
      </c>
    </row>
    <row r="39" spans="1:37" ht="16" customHeight="1" thickBot="1" x14ac:dyDescent="0.25">
      <c r="A39" s="4" t="s">
        <v>151</v>
      </c>
      <c r="B39" s="151">
        <v>9.5</v>
      </c>
      <c r="C39" s="2"/>
      <c r="D39" s="74" t="s">
        <v>880</v>
      </c>
      <c r="E39" s="1">
        <f>ROUND(SUM(E40:E52)/COUNT(E40:E52), 2)</f>
        <v>8.65</v>
      </c>
      <c r="F39" s="2"/>
      <c r="G39" s="4" t="s">
        <v>205</v>
      </c>
      <c r="H39" s="151">
        <v>9</v>
      </c>
      <c r="I39" s="2"/>
      <c r="J39" s="16"/>
      <c r="K39" s="16"/>
      <c r="L39" s="2"/>
      <c r="M39" s="21" t="s">
        <v>318</v>
      </c>
      <c r="N39" s="12">
        <f>ROUND(SUM(N40:N52)/COUNT(N40:N52), 2)</f>
        <v>9.2100000000000009</v>
      </c>
      <c r="O39" s="17"/>
      <c r="R39" s="244">
        <v>37</v>
      </c>
      <c r="S39" s="232" t="s">
        <v>1333</v>
      </c>
      <c r="T39" s="233" t="s">
        <v>1324</v>
      </c>
      <c r="U39" s="233">
        <v>9</v>
      </c>
      <c r="V39" s="369">
        <v>8.9600000000000009</v>
      </c>
      <c r="W39" s="233">
        <v>9</v>
      </c>
      <c r="X39" s="233">
        <v>0.6</v>
      </c>
      <c r="Y39" s="233">
        <v>2</v>
      </c>
      <c r="Z39" s="233">
        <v>11</v>
      </c>
      <c r="AA39" s="233">
        <v>0</v>
      </c>
      <c r="AB39" s="232" t="s">
        <v>1337</v>
      </c>
      <c r="AC39" s="233">
        <v>2025</v>
      </c>
      <c r="AD39" s="233" t="s">
        <v>1925</v>
      </c>
      <c r="AE39" s="234" t="s">
        <v>2157</v>
      </c>
      <c r="AF39"/>
      <c r="AG39"/>
      <c r="AH39"/>
      <c r="AI39"/>
      <c r="AK39" s="3" t="s">
        <v>784</v>
      </c>
    </row>
    <row r="40" spans="1:37" ht="16" customHeight="1" thickBot="1" x14ac:dyDescent="0.25">
      <c r="A40" s="4" t="s">
        <v>152</v>
      </c>
      <c r="B40" s="151"/>
      <c r="C40" s="2"/>
      <c r="D40" s="5" t="s">
        <v>163</v>
      </c>
      <c r="E40" s="150">
        <v>8.5</v>
      </c>
      <c r="F40" s="2"/>
      <c r="G40" s="4" t="s">
        <v>206</v>
      </c>
      <c r="H40" s="151"/>
      <c r="I40" s="2"/>
      <c r="J40" s="78" t="s">
        <v>884</v>
      </c>
      <c r="K40" s="12">
        <f>ROUND(SUM(K41:K52)/COUNT(K41:K52), 2)</f>
        <v>8.3800000000000008</v>
      </c>
      <c r="L40" s="2"/>
      <c r="M40" s="4" t="s">
        <v>175</v>
      </c>
      <c r="N40" s="150">
        <v>10</v>
      </c>
      <c r="O40" s="17"/>
      <c r="R40" s="244">
        <v>38</v>
      </c>
      <c r="S40" s="235" t="s">
        <v>345</v>
      </c>
      <c r="T40" s="236" t="s">
        <v>1617</v>
      </c>
      <c r="U40" s="236">
        <v>8.94</v>
      </c>
      <c r="V40" s="262">
        <v>8.9499999999999993</v>
      </c>
      <c r="W40" s="236">
        <v>8.5</v>
      </c>
      <c r="X40" s="236">
        <v>0.76</v>
      </c>
      <c r="Y40" s="236">
        <v>2</v>
      </c>
      <c r="Z40" s="236">
        <v>10</v>
      </c>
      <c r="AA40" s="236">
        <v>1</v>
      </c>
      <c r="AB40" s="235" t="s">
        <v>1634</v>
      </c>
      <c r="AC40" s="236">
        <v>2000</v>
      </c>
      <c r="AD40" s="236" t="s">
        <v>1907</v>
      </c>
      <c r="AE40" s="237" t="s">
        <v>2145</v>
      </c>
      <c r="AF40"/>
      <c r="AG40"/>
      <c r="AH40" s="343" t="s">
        <v>1064</v>
      </c>
      <c r="AI40" s="343"/>
    </row>
    <row r="41" spans="1:37" ht="16" customHeight="1" x14ac:dyDescent="0.2">
      <c r="A41" s="4" t="s">
        <v>153</v>
      </c>
      <c r="B41" s="151">
        <v>9</v>
      </c>
      <c r="C41" s="2"/>
      <c r="D41" s="6" t="s">
        <v>164</v>
      </c>
      <c r="E41" s="151">
        <v>9</v>
      </c>
      <c r="F41" s="2"/>
      <c r="G41" s="4" t="s">
        <v>207</v>
      </c>
      <c r="H41" s="151">
        <v>10</v>
      </c>
      <c r="I41" s="2"/>
      <c r="J41" s="11" t="s">
        <v>189</v>
      </c>
      <c r="K41" s="150">
        <v>9</v>
      </c>
      <c r="L41" s="2"/>
      <c r="M41" s="4" t="s">
        <v>176</v>
      </c>
      <c r="N41" s="151">
        <v>9.5</v>
      </c>
      <c r="O41" s="17"/>
      <c r="R41" s="244">
        <v>39</v>
      </c>
      <c r="S41" s="232" t="s">
        <v>739</v>
      </c>
      <c r="T41" s="233" t="s">
        <v>740</v>
      </c>
      <c r="U41" s="233">
        <v>8.91</v>
      </c>
      <c r="V41" s="328">
        <v>8.93</v>
      </c>
      <c r="W41" s="233">
        <v>8.5</v>
      </c>
      <c r="X41" s="233">
        <v>0.85</v>
      </c>
      <c r="Y41" s="233">
        <v>3</v>
      </c>
      <c r="Z41" s="233">
        <v>11</v>
      </c>
      <c r="AA41" s="233">
        <v>0</v>
      </c>
      <c r="AB41" s="232" t="s">
        <v>839</v>
      </c>
      <c r="AC41" s="233">
        <v>2002</v>
      </c>
      <c r="AD41" s="233" t="s">
        <v>1924</v>
      </c>
      <c r="AE41" s="234" t="s">
        <v>2175</v>
      </c>
      <c r="AF41"/>
      <c r="AG41"/>
      <c r="AH41" s="235" t="s">
        <v>1065</v>
      </c>
      <c r="AI41" s="344" t="s">
        <v>2885</v>
      </c>
    </row>
    <row r="42" spans="1:37" ht="16" customHeight="1" x14ac:dyDescent="0.2">
      <c r="A42" s="4" t="s">
        <v>154</v>
      </c>
      <c r="B42" s="151">
        <v>9.5</v>
      </c>
      <c r="C42" s="2"/>
      <c r="D42" s="6" t="s">
        <v>165</v>
      </c>
      <c r="E42" s="151">
        <v>8.5</v>
      </c>
      <c r="F42" s="2"/>
      <c r="G42" s="4" t="s">
        <v>208</v>
      </c>
      <c r="H42" s="151"/>
      <c r="I42" s="2"/>
      <c r="J42" s="4" t="s">
        <v>190</v>
      </c>
      <c r="K42" s="151">
        <v>8.5</v>
      </c>
      <c r="L42" s="2"/>
      <c r="M42" s="4" t="s">
        <v>177</v>
      </c>
      <c r="N42" s="151">
        <v>9</v>
      </c>
      <c r="O42" s="17"/>
      <c r="R42" s="244">
        <v>40</v>
      </c>
      <c r="S42" s="235" t="s">
        <v>346</v>
      </c>
      <c r="T42" s="236" t="s">
        <v>1845</v>
      </c>
      <c r="U42" s="236">
        <v>8.9600000000000009</v>
      </c>
      <c r="V42" s="328">
        <v>8.93</v>
      </c>
      <c r="W42" s="236">
        <v>9</v>
      </c>
      <c r="X42" s="236">
        <v>0.59</v>
      </c>
      <c r="Y42" s="236">
        <v>2</v>
      </c>
      <c r="Z42" s="236">
        <v>12</v>
      </c>
      <c r="AA42" s="236">
        <v>0</v>
      </c>
      <c r="AB42" s="235" t="s">
        <v>1846</v>
      </c>
      <c r="AC42" s="236">
        <v>2003</v>
      </c>
      <c r="AD42" s="236" t="s">
        <v>1921</v>
      </c>
      <c r="AE42" s="237" t="s">
        <v>2134</v>
      </c>
      <c r="AF42"/>
      <c r="AG42"/>
      <c r="AH42" s="232" t="s">
        <v>1066</v>
      </c>
      <c r="AI42" s="345">
        <v>105</v>
      </c>
      <c r="AK42" s="3" t="s">
        <v>1003</v>
      </c>
    </row>
    <row r="43" spans="1:37" ht="16" customHeight="1" x14ac:dyDescent="0.2">
      <c r="A43" s="4" t="s">
        <v>155</v>
      </c>
      <c r="B43" s="151">
        <v>9.5</v>
      </c>
      <c r="C43" s="2"/>
      <c r="D43" s="6" t="s">
        <v>166</v>
      </c>
      <c r="E43" s="151">
        <v>10</v>
      </c>
      <c r="F43" s="2"/>
      <c r="G43" s="4" t="s">
        <v>209</v>
      </c>
      <c r="H43" s="151">
        <v>9.5</v>
      </c>
      <c r="I43" s="2"/>
      <c r="J43" s="4" t="s">
        <v>191</v>
      </c>
      <c r="K43" s="151">
        <v>9</v>
      </c>
      <c r="L43" s="2"/>
      <c r="M43" s="4" t="s">
        <v>178</v>
      </c>
      <c r="N43" s="151">
        <v>10.5</v>
      </c>
      <c r="O43" s="17"/>
      <c r="R43" s="244">
        <v>41</v>
      </c>
      <c r="S43" s="232" t="s">
        <v>1177</v>
      </c>
      <c r="T43" s="233" t="s">
        <v>2091</v>
      </c>
      <c r="U43" s="233">
        <v>8.7200000000000006</v>
      </c>
      <c r="V43" s="256">
        <v>8.91</v>
      </c>
      <c r="W43" s="233">
        <v>8.5</v>
      </c>
      <c r="X43" s="233">
        <v>0.85</v>
      </c>
      <c r="Y43" s="233">
        <v>5</v>
      </c>
      <c r="Z43" s="233">
        <v>30</v>
      </c>
      <c r="AA43" s="233">
        <v>1</v>
      </c>
      <c r="AB43" s="232" t="s">
        <v>1554</v>
      </c>
      <c r="AC43" s="233">
        <v>2013</v>
      </c>
      <c r="AD43" s="233" t="s">
        <v>2094</v>
      </c>
      <c r="AE43" s="234" t="s">
        <v>2129</v>
      </c>
      <c r="AF43"/>
      <c r="AG43"/>
      <c r="AH43" s="235" t="s">
        <v>1067</v>
      </c>
      <c r="AI43" s="344" t="s">
        <v>2577</v>
      </c>
    </row>
    <row r="44" spans="1:37" ht="16" customHeight="1" x14ac:dyDescent="0.2">
      <c r="A44" s="4" t="s">
        <v>156</v>
      </c>
      <c r="B44" s="151">
        <v>10</v>
      </c>
      <c r="C44" s="2"/>
      <c r="D44" s="6" t="s">
        <v>167</v>
      </c>
      <c r="E44" s="151">
        <v>9</v>
      </c>
      <c r="F44" s="2"/>
      <c r="G44" s="4" t="s">
        <v>210</v>
      </c>
      <c r="H44" s="151"/>
      <c r="I44" s="2"/>
      <c r="J44" s="4" t="s">
        <v>192</v>
      </c>
      <c r="K44" s="151">
        <v>9.5</v>
      </c>
      <c r="L44" s="2"/>
      <c r="M44" s="4" t="s">
        <v>179</v>
      </c>
      <c r="N44" s="151">
        <v>8.5</v>
      </c>
      <c r="O44" s="17"/>
      <c r="R44" s="244">
        <v>42</v>
      </c>
      <c r="S44" s="235" t="s">
        <v>334</v>
      </c>
      <c r="T44" s="236" t="s">
        <v>2547</v>
      </c>
      <c r="U44" s="236">
        <v>8.9</v>
      </c>
      <c r="V44" s="256">
        <v>8.9</v>
      </c>
      <c r="W44" s="236">
        <v>8.5</v>
      </c>
      <c r="X44" s="236">
        <v>0.86</v>
      </c>
      <c r="Y44" s="236">
        <v>1</v>
      </c>
      <c r="Z44" s="236">
        <v>6</v>
      </c>
      <c r="AA44" s="236">
        <v>1</v>
      </c>
      <c r="AB44" s="235" t="s">
        <v>776</v>
      </c>
      <c r="AC44" s="236">
        <v>2002</v>
      </c>
      <c r="AD44" s="236" t="s">
        <v>1914</v>
      </c>
      <c r="AE44" s="237" t="s">
        <v>2552</v>
      </c>
      <c r="AF44"/>
      <c r="AG44"/>
      <c r="AH44" s="232" t="s">
        <v>1068</v>
      </c>
      <c r="AI44" s="345" t="s">
        <v>2122</v>
      </c>
    </row>
    <row r="45" spans="1:37" ht="16" customHeight="1" thickBot="1" x14ac:dyDescent="0.25">
      <c r="A45" s="7" t="s">
        <v>157</v>
      </c>
      <c r="B45" s="152">
        <v>8.5</v>
      </c>
      <c r="C45" s="2"/>
      <c r="D45" s="6" t="s">
        <v>160</v>
      </c>
      <c r="E45" s="151">
        <v>8</v>
      </c>
      <c r="F45" s="2"/>
      <c r="G45" s="4" t="s">
        <v>211</v>
      </c>
      <c r="H45" s="152">
        <v>8.5</v>
      </c>
      <c r="I45" s="2"/>
      <c r="J45" s="4" t="s">
        <v>193</v>
      </c>
      <c r="K45" s="151">
        <v>7.5</v>
      </c>
      <c r="L45" s="2"/>
      <c r="M45" s="4" t="s">
        <v>180</v>
      </c>
      <c r="N45" s="151">
        <v>8</v>
      </c>
      <c r="O45" s="17"/>
      <c r="R45" s="244">
        <v>43</v>
      </c>
      <c r="S45" s="232" t="s">
        <v>1177</v>
      </c>
      <c r="T45" s="233" t="s">
        <v>1551</v>
      </c>
      <c r="U45" s="233">
        <v>8.7200000000000006</v>
      </c>
      <c r="V45" s="255">
        <v>8.89</v>
      </c>
      <c r="W45" s="233">
        <v>8.5</v>
      </c>
      <c r="X45" s="233">
        <v>1.03</v>
      </c>
      <c r="Y45" s="233">
        <v>5</v>
      </c>
      <c r="Z45" s="233">
        <v>24</v>
      </c>
      <c r="AA45" s="233">
        <v>1</v>
      </c>
      <c r="AB45" s="232" t="s">
        <v>1554</v>
      </c>
      <c r="AC45" s="233">
        <v>2011</v>
      </c>
      <c r="AD45" s="233" t="s">
        <v>1922</v>
      </c>
      <c r="AE45" s="234" t="s">
        <v>2161</v>
      </c>
      <c r="AF45"/>
      <c r="AG45"/>
      <c r="AH45" s="235" t="s">
        <v>1069</v>
      </c>
      <c r="AI45" s="344" t="s">
        <v>1070</v>
      </c>
    </row>
    <row r="46" spans="1:37" ht="16" customHeight="1" thickBot="1" x14ac:dyDescent="0.25">
      <c r="A46" s="14"/>
      <c r="B46" s="14"/>
      <c r="C46" s="2"/>
      <c r="D46" s="6" t="s">
        <v>168</v>
      </c>
      <c r="E46" s="151">
        <v>9</v>
      </c>
      <c r="F46" s="2"/>
      <c r="G46" s="14"/>
      <c r="H46" s="14"/>
      <c r="I46" s="2"/>
      <c r="J46" s="4" t="s">
        <v>194</v>
      </c>
      <c r="K46" s="151">
        <v>10</v>
      </c>
      <c r="L46" s="2"/>
      <c r="M46" s="4" t="s">
        <v>181</v>
      </c>
      <c r="N46" s="151">
        <v>8.5</v>
      </c>
      <c r="O46" s="17"/>
      <c r="R46" s="244">
        <v>44</v>
      </c>
      <c r="S46" s="235" t="s">
        <v>717</v>
      </c>
      <c r="T46" s="236" t="s">
        <v>1427</v>
      </c>
      <c r="U46" s="236">
        <v>8.8800000000000008</v>
      </c>
      <c r="V46" s="255">
        <v>8.89</v>
      </c>
      <c r="W46" s="236">
        <v>8.5</v>
      </c>
      <c r="X46" s="236">
        <v>0.74</v>
      </c>
      <c r="Y46" s="236">
        <v>2</v>
      </c>
      <c r="Z46" s="236">
        <v>15</v>
      </c>
      <c r="AA46" s="236">
        <v>2</v>
      </c>
      <c r="AB46" s="235" t="s">
        <v>1428</v>
      </c>
      <c r="AC46" s="236">
        <v>2005</v>
      </c>
      <c r="AD46" s="236" t="s">
        <v>1913</v>
      </c>
      <c r="AE46" s="237" t="s">
        <v>2153</v>
      </c>
      <c r="AF46"/>
      <c r="AG46"/>
      <c r="AH46"/>
      <c r="AI46"/>
    </row>
    <row r="47" spans="1:37" ht="16" customHeight="1" thickBot="1" x14ac:dyDescent="0.25">
      <c r="A47" s="73" t="s">
        <v>879</v>
      </c>
      <c r="B47" s="12">
        <f>ROUND(SUM(B48:B57)/COUNT(B48:B57), 2)</f>
        <v>8.7799999999999994</v>
      </c>
      <c r="C47" s="2"/>
      <c r="D47" s="6" t="s">
        <v>169</v>
      </c>
      <c r="E47" s="151">
        <v>8.5</v>
      </c>
      <c r="F47" s="17"/>
      <c r="G47" s="79" t="s">
        <v>885</v>
      </c>
      <c r="H47" s="1">
        <f>ROUND(SUM(H48:H55)/COUNT(H48:H55), 2)</f>
        <v>9.3800000000000008</v>
      </c>
      <c r="I47" s="2"/>
      <c r="J47" s="4" t="s">
        <v>195</v>
      </c>
      <c r="K47" s="151">
        <v>8</v>
      </c>
      <c r="L47" s="2"/>
      <c r="M47" s="4" t="s">
        <v>182</v>
      </c>
      <c r="N47" s="151">
        <v>8.5</v>
      </c>
      <c r="O47" s="17"/>
      <c r="R47" s="244">
        <v>45</v>
      </c>
      <c r="S47" s="232" t="s">
        <v>1373</v>
      </c>
      <c r="T47" s="233" t="s">
        <v>1374</v>
      </c>
      <c r="U47" s="233">
        <v>8.82</v>
      </c>
      <c r="V47" s="258">
        <v>8.8800000000000008</v>
      </c>
      <c r="W47" s="233">
        <v>8.75</v>
      </c>
      <c r="X47" s="233">
        <v>0.92</v>
      </c>
      <c r="Y47" s="233">
        <v>3</v>
      </c>
      <c r="Z47" s="233">
        <v>16</v>
      </c>
      <c r="AA47" s="233">
        <v>2</v>
      </c>
      <c r="AB47" s="232" t="s">
        <v>1375</v>
      </c>
      <c r="AC47" s="233">
        <v>2015</v>
      </c>
      <c r="AD47" s="233" t="s">
        <v>1923</v>
      </c>
      <c r="AE47" s="234" t="s">
        <v>2155</v>
      </c>
      <c r="AF47"/>
      <c r="AG47"/>
      <c r="AH47" s="343" t="s">
        <v>1071</v>
      </c>
      <c r="AI47" s="343"/>
    </row>
    <row r="48" spans="1:37" ht="16" customHeight="1" x14ac:dyDescent="0.2">
      <c r="A48" s="5" t="s">
        <v>249</v>
      </c>
      <c r="B48" s="150"/>
      <c r="C48" s="2"/>
      <c r="D48" s="6" t="s">
        <v>170</v>
      </c>
      <c r="E48" s="151">
        <v>8</v>
      </c>
      <c r="F48" s="2"/>
      <c r="G48" s="5" t="s">
        <v>212</v>
      </c>
      <c r="H48" s="150">
        <v>10</v>
      </c>
      <c r="I48" s="2"/>
      <c r="J48" s="4" t="s">
        <v>162</v>
      </c>
      <c r="K48" s="151">
        <v>7.5</v>
      </c>
      <c r="L48" s="2"/>
      <c r="M48" s="4" t="s">
        <v>183</v>
      </c>
      <c r="N48" s="151">
        <v>10</v>
      </c>
      <c r="O48" s="17"/>
      <c r="R48" s="244">
        <v>46</v>
      </c>
      <c r="S48" s="235" t="s">
        <v>1489</v>
      </c>
      <c r="T48" s="236" t="s">
        <v>1490</v>
      </c>
      <c r="U48" s="236">
        <v>8.93</v>
      </c>
      <c r="V48" s="258">
        <v>8.8800000000000008</v>
      </c>
      <c r="W48" s="236">
        <v>9</v>
      </c>
      <c r="X48" s="236">
        <v>0.73</v>
      </c>
      <c r="Y48" s="236">
        <v>1</v>
      </c>
      <c r="Z48" s="236">
        <v>7</v>
      </c>
      <c r="AA48" s="236">
        <v>0</v>
      </c>
      <c r="AB48" s="235" t="s">
        <v>1493</v>
      </c>
      <c r="AC48" s="236">
        <v>2000</v>
      </c>
      <c r="AD48" s="236" t="s">
        <v>1919</v>
      </c>
      <c r="AE48" s="237" t="s">
        <v>2149</v>
      </c>
      <c r="AF48"/>
      <c r="AG48"/>
      <c r="AH48" s="232" t="s">
        <v>1072</v>
      </c>
      <c r="AI48" s="345" t="s">
        <v>2123</v>
      </c>
    </row>
    <row r="49" spans="1:35" ht="16" customHeight="1" x14ac:dyDescent="0.2">
      <c r="A49" s="6" t="s">
        <v>250</v>
      </c>
      <c r="B49" s="151">
        <v>10</v>
      </c>
      <c r="C49" s="2"/>
      <c r="D49" s="6" t="s">
        <v>171</v>
      </c>
      <c r="E49" s="151">
        <v>10</v>
      </c>
      <c r="F49" s="2"/>
      <c r="G49" s="6" t="s">
        <v>213</v>
      </c>
      <c r="H49" s="151">
        <v>9.5</v>
      </c>
      <c r="I49" s="2"/>
      <c r="J49" s="4" t="s">
        <v>196</v>
      </c>
      <c r="K49" s="151">
        <v>7</v>
      </c>
      <c r="L49" s="2"/>
      <c r="M49" s="4" t="s">
        <v>184</v>
      </c>
      <c r="N49" s="151"/>
      <c r="O49" s="17"/>
      <c r="R49" s="244">
        <v>47</v>
      </c>
      <c r="S49" s="232" t="s">
        <v>1591</v>
      </c>
      <c r="T49" s="233" t="s">
        <v>1592</v>
      </c>
      <c r="U49" s="233">
        <v>8.9</v>
      </c>
      <c r="V49" s="258">
        <v>8.8800000000000008</v>
      </c>
      <c r="W49" s="233">
        <v>9</v>
      </c>
      <c r="X49" s="233">
        <v>0.66</v>
      </c>
      <c r="Y49" s="233">
        <v>1</v>
      </c>
      <c r="Z49" s="233">
        <v>5</v>
      </c>
      <c r="AA49" s="233">
        <v>0</v>
      </c>
      <c r="AB49" s="232" t="s">
        <v>1593</v>
      </c>
      <c r="AC49" s="233">
        <v>1974</v>
      </c>
      <c r="AD49" s="233" t="s">
        <v>1908</v>
      </c>
      <c r="AE49" s="234" t="s">
        <v>2146</v>
      </c>
      <c r="AF49"/>
      <c r="AG49"/>
      <c r="AH49" s="235" t="s">
        <v>1078</v>
      </c>
      <c r="AI49" s="344" t="s">
        <v>1135</v>
      </c>
    </row>
    <row r="50" spans="1:35" ht="16" customHeight="1" x14ac:dyDescent="0.2">
      <c r="A50" s="6" t="s">
        <v>251</v>
      </c>
      <c r="B50" s="151">
        <v>9</v>
      </c>
      <c r="C50" s="2"/>
      <c r="D50" s="6" t="s">
        <v>172</v>
      </c>
      <c r="E50" s="151">
        <v>8.5</v>
      </c>
      <c r="F50" s="2"/>
      <c r="G50" s="6" t="s">
        <v>214</v>
      </c>
      <c r="H50" s="151">
        <v>9.5</v>
      </c>
      <c r="I50" s="2"/>
      <c r="J50" s="4" t="s">
        <v>197</v>
      </c>
      <c r="K50" s="151">
        <v>7</v>
      </c>
      <c r="L50" s="2"/>
      <c r="M50" s="4" t="s">
        <v>185</v>
      </c>
      <c r="N50" s="151">
        <v>8</v>
      </c>
      <c r="O50" s="17"/>
      <c r="R50" s="244">
        <v>48</v>
      </c>
      <c r="S50" s="235" t="s">
        <v>1743</v>
      </c>
      <c r="T50" s="236" t="s">
        <v>1744</v>
      </c>
      <c r="U50" s="236">
        <v>8.91</v>
      </c>
      <c r="V50" s="258">
        <v>8.8800000000000008</v>
      </c>
      <c r="W50" s="236">
        <v>9</v>
      </c>
      <c r="X50" s="236">
        <v>0.67</v>
      </c>
      <c r="Y50" s="236">
        <v>2</v>
      </c>
      <c r="Z50" s="236">
        <v>11</v>
      </c>
      <c r="AA50" s="236">
        <v>0</v>
      </c>
      <c r="AB50" s="235" t="s">
        <v>1094</v>
      </c>
      <c r="AC50" s="236">
        <v>1994</v>
      </c>
      <c r="AD50" s="236" t="s">
        <v>1924</v>
      </c>
      <c r="AE50" s="237" t="s">
        <v>2138</v>
      </c>
      <c r="AF50"/>
      <c r="AG50"/>
      <c r="AH50" s="232" t="s">
        <v>1074</v>
      </c>
      <c r="AI50" s="345" t="s">
        <v>1075</v>
      </c>
    </row>
    <row r="51" spans="1:35" ht="16" customHeight="1" x14ac:dyDescent="0.2">
      <c r="A51" s="6" t="s">
        <v>252</v>
      </c>
      <c r="B51" s="151">
        <v>9</v>
      </c>
      <c r="C51" s="2"/>
      <c r="D51" s="6" t="s">
        <v>173</v>
      </c>
      <c r="E51" s="151">
        <v>8</v>
      </c>
      <c r="F51" s="2"/>
      <c r="G51" s="6" t="s">
        <v>215</v>
      </c>
      <c r="H51" s="151">
        <v>10.5</v>
      </c>
      <c r="I51" s="2"/>
      <c r="J51" s="4" t="s">
        <v>198</v>
      </c>
      <c r="K51" s="151">
        <v>7.5</v>
      </c>
      <c r="L51" s="2"/>
      <c r="M51" s="4" t="s">
        <v>186</v>
      </c>
      <c r="N51" s="151">
        <v>10</v>
      </c>
      <c r="O51" s="17"/>
      <c r="R51" s="244">
        <v>49</v>
      </c>
      <c r="S51" s="232" t="s">
        <v>349</v>
      </c>
      <c r="T51" s="233" t="s">
        <v>2388</v>
      </c>
      <c r="U51" s="233">
        <v>8.83</v>
      </c>
      <c r="V51" s="258">
        <v>8.8800000000000008</v>
      </c>
      <c r="W51" s="233">
        <v>8.75</v>
      </c>
      <c r="X51" s="233">
        <v>1.05</v>
      </c>
      <c r="Y51" s="233">
        <v>3</v>
      </c>
      <c r="Z51" s="233">
        <v>13</v>
      </c>
      <c r="AA51" s="233">
        <v>1</v>
      </c>
      <c r="AB51" s="232" t="s">
        <v>765</v>
      </c>
      <c r="AC51" s="233">
        <v>2003</v>
      </c>
      <c r="AD51" s="233" t="s">
        <v>1926</v>
      </c>
      <c r="AE51" s="234" t="s">
        <v>2409</v>
      </c>
      <c r="AF51"/>
      <c r="AG51"/>
      <c r="AH51" s="235" t="s">
        <v>760</v>
      </c>
      <c r="AI51" s="344" t="s">
        <v>2886</v>
      </c>
    </row>
    <row r="52" spans="1:35" ht="16" customHeight="1" thickBot="1" x14ac:dyDescent="0.25">
      <c r="A52" s="6" t="s">
        <v>253</v>
      </c>
      <c r="B52" s="151">
        <v>8</v>
      </c>
      <c r="C52" s="2"/>
      <c r="D52" s="8" t="s">
        <v>174</v>
      </c>
      <c r="E52" s="152">
        <v>7.5</v>
      </c>
      <c r="F52" s="2"/>
      <c r="G52" s="6" t="s">
        <v>216</v>
      </c>
      <c r="H52" s="151">
        <v>8.5</v>
      </c>
      <c r="I52" s="2"/>
      <c r="J52" s="7" t="s">
        <v>199</v>
      </c>
      <c r="K52" s="152">
        <v>10</v>
      </c>
      <c r="L52" s="2"/>
      <c r="M52" s="7" t="s">
        <v>187</v>
      </c>
      <c r="N52" s="152">
        <v>10</v>
      </c>
      <c r="O52" s="17"/>
      <c r="R52" s="244">
        <v>50</v>
      </c>
      <c r="S52" s="235" t="s">
        <v>2592</v>
      </c>
      <c r="T52" s="236" t="s">
        <v>2593</v>
      </c>
      <c r="U52" s="236">
        <v>8.86</v>
      </c>
      <c r="V52" s="258">
        <v>8.8800000000000008</v>
      </c>
      <c r="W52" s="236">
        <v>8.5</v>
      </c>
      <c r="X52" s="236">
        <v>0.93</v>
      </c>
      <c r="Y52" s="236">
        <v>3</v>
      </c>
      <c r="Z52" s="236">
        <v>11</v>
      </c>
      <c r="AA52" s="236">
        <v>0</v>
      </c>
      <c r="AB52" s="235" t="s">
        <v>2598</v>
      </c>
      <c r="AC52" s="236">
        <v>1991</v>
      </c>
      <c r="AD52" s="236" t="s">
        <v>1909</v>
      </c>
      <c r="AE52" s="237" t="s">
        <v>2599</v>
      </c>
      <c r="AF52"/>
      <c r="AG52"/>
      <c r="AH52" s="232" t="s">
        <v>2595</v>
      </c>
      <c r="AI52" s="345" t="s">
        <v>2596</v>
      </c>
    </row>
    <row r="53" spans="1:35" ht="16" customHeight="1" thickBot="1" x14ac:dyDescent="0.25">
      <c r="A53" s="6" t="s">
        <v>254</v>
      </c>
      <c r="B53" s="151">
        <v>8</v>
      </c>
      <c r="C53" s="2"/>
      <c r="D53" s="14"/>
      <c r="E53" s="16"/>
      <c r="F53" s="2"/>
      <c r="G53" s="6" t="s">
        <v>217</v>
      </c>
      <c r="H53" s="151">
        <v>8</v>
      </c>
      <c r="I53" s="2"/>
      <c r="J53" s="16"/>
      <c r="K53" s="16"/>
      <c r="L53" s="2"/>
      <c r="M53" s="16"/>
      <c r="N53" s="16"/>
      <c r="O53" s="17"/>
      <c r="R53" s="244">
        <v>51</v>
      </c>
      <c r="S53" s="232" t="s">
        <v>339</v>
      </c>
      <c r="T53" s="233" t="s">
        <v>340</v>
      </c>
      <c r="U53" s="233">
        <v>8.89</v>
      </c>
      <c r="V53" s="331">
        <v>8.8699999999999992</v>
      </c>
      <c r="W53" s="233">
        <v>9</v>
      </c>
      <c r="X53" s="233">
        <v>0.7</v>
      </c>
      <c r="Y53" s="233">
        <v>2</v>
      </c>
      <c r="Z53" s="233">
        <v>9</v>
      </c>
      <c r="AA53" s="233">
        <v>0</v>
      </c>
      <c r="AB53" s="232" t="s">
        <v>759</v>
      </c>
      <c r="AC53" s="233">
        <v>2020</v>
      </c>
      <c r="AD53" s="233" t="s">
        <v>1925</v>
      </c>
      <c r="AE53" s="234" t="s">
        <v>2194</v>
      </c>
      <c r="AF53"/>
      <c r="AG53"/>
      <c r="AH53" s="235" t="s">
        <v>1079</v>
      </c>
      <c r="AI53" s="344" t="s">
        <v>1080</v>
      </c>
    </row>
    <row r="54" spans="1:35" ht="16" customHeight="1" thickBot="1" x14ac:dyDescent="0.25">
      <c r="A54" s="6" t="s">
        <v>255</v>
      </c>
      <c r="B54" s="151">
        <v>8</v>
      </c>
      <c r="C54" s="2"/>
      <c r="D54" s="72" t="s">
        <v>878</v>
      </c>
      <c r="E54" s="12">
        <f>ROUND(SUM(E55:E63)/COUNT(E55:E63), 2)</f>
        <v>9</v>
      </c>
      <c r="F54" s="2"/>
      <c r="G54" s="6" t="s">
        <v>218</v>
      </c>
      <c r="H54" s="151">
        <v>9</v>
      </c>
      <c r="I54" s="17"/>
      <c r="J54" s="40" t="s">
        <v>397</v>
      </c>
      <c r="K54" s="1">
        <f>ROUND(SUM(K55:K64)/COUNT(K55:K64), 2)</f>
        <v>8.35</v>
      </c>
      <c r="L54" s="2"/>
      <c r="M54" s="71" t="s">
        <v>877</v>
      </c>
      <c r="N54" s="12">
        <f>ROUND(SUM(N55:N65)/COUNT(N55:N65), 2)</f>
        <v>9.15</v>
      </c>
      <c r="O54" s="17"/>
      <c r="R54" s="244">
        <v>52</v>
      </c>
      <c r="S54" s="235" t="s">
        <v>2808</v>
      </c>
      <c r="T54" s="236" t="s">
        <v>170</v>
      </c>
      <c r="U54" s="236">
        <v>8.91</v>
      </c>
      <c r="V54" s="331">
        <v>8.8699999999999992</v>
      </c>
      <c r="W54" s="236">
        <v>9</v>
      </c>
      <c r="X54" s="236">
        <v>0.63</v>
      </c>
      <c r="Y54" s="236">
        <v>1</v>
      </c>
      <c r="Z54" s="236">
        <v>11</v>
      </c>
      <c r="AA54" s="236">
        <v>0</v>
      </c>
      <c r="AB54" s="235" t="s">
        <v>2816</v>
      </c>
      <c r="AC54" s="236">
        <v>1977</v>
      </c>
      <c r="AD54" s="236" t="s">
        <v>1931</v>
      </c>
      <c r="AE54" s="237" t="s">
        <v>2817</v>
      </c>
      <c r="AF54"/>
      <c r="AG54"/>
      <c r="AH54" s="232" t="s">
        <v>1081</v>
      </c>
      <c r="AI54" s="345" t="s">
        <v>1080</v>
      </c>
    </row>
    <row r="55" spans="1:35" ht="16" customHeight="1" thickBot="1" x14ac:dyDescent="0.25">
      <c r="A55" s="6" t="s">
        <v>256</v>
      </c>
      <c r="B55" s="151">
        <v>8</v>
      </c>
      <c r="C55" s="2"/>
      <c r="D55" s="5" t="s">
        <v>260</v>
      </c>
      <c r="E55" s="150">
        <v>10</v>
      </c>
      <c r="F55" s="2"/>
      <c r="G55" s="8" t="s">
        <v>219</v>
      </c>
      <c r="H55" s="152">
        <v>10</v>
      </c>
      <c r="I55" s="2"/>
      <c r="J55" s="5" t="s">
        <v>295</v>
      </c>
      <c r="K55" s="150">
        <v>10</v>
      </c>
      <c r="L55" s="2"/>
      <c r="M55" s="5" t="s">
        <v>284</v>
      </c>
      <c r="N55" s="150">
        <v>10</v>
      </c>
      <c r="O55" s="17"/>
      <c r="R55" s="244">
        <v>53</v>
      </c>
      <c r="S55" s="232" t="s">
        <v>341</v>
      </c>
      <c r="T55" s="233" t="s">
        <v>341</v>
      </c>
      <c r="U55" s="233">
        <v>8.83</v>
      </c>
      <c r="V55" s="276">
        <v>8.86</v>
      </c>
      <c r="W55" s="233">
        <v>8.5</v>
      </c>
      <c r="X55" s="233">
        <v>0.82</v>
      </c>
      <c r="Y55" s="233">
        <v>2</v>
      </c>
      <c r="Z55" s="233">
        <v>9</v>
      </c>
      <c r="AA55" s="233">
        <v>0</v>
      </c>
      <c r="AB55" s="232" t="s">
        <v>1209</v>
      </c>
      <c r="AC55" s="233">
        <v>1978</v>
      </c>
      <c r="AD55" s="233" t="s">
        <v>1907</v>
      </c>
      <c r="AE55" s="234" t="s">
        <v>2160</v>
      </c>
      <c r="AF55"/>
      <c r="AG55"/>
      <c r="AH55" s="235" t="s">
        <v>2809</v>
      </c>
      <c r="AI55" s="344" t="s">
        <v>1080</v>
      </c>
    </row>
    <row r="56" spans="1:35" ht="16" customHeight="1" thickBot="1" x14ac:dyDescent="0.25">
      <c r="A56" s="6" t="s">
        <v>257</v>
      </c>
      <c r="B56" s="151">
        <v>10</v>
      </c>
      <c r="C56" s="2"/>
      <c r="D56" s="6" t="s">
        <v>261</v>
      </c>
      <c r="E56" s="151">
        <v>9.5</v>
      </c>
      <c r="F56" s="2"/>
      <c r="G56" s="16"/>
      <c r="H56" s="16"/>
      <c r="I56" s="2"/>
      <c r="J56" s="6" t="s">
        <v>296</v>
      </c>
      <c r="K56" s="151">
        <v>9</v>
      </c>
      <c r="L56" s="2"/>
      <c r="M56" s="6" t="s">
        <v>285</v>
      </c>
      <c r="N56" s="151">
        <v>8.5</v>
      </c>
      <c r="O56" s="17"/>
      <c r="R56" s="244">
        <v>54</v>
      </c>
      <c r="S56" s="235" t="s">
        <v>2345</v>
      </c>
      <c r="T56" s="236" t="s">
        <v>2509</v>
      </c>
      <c r="U56" s="236">
        <v>8.7899999999999991</v>
      </c>
      <c r="V56" s="276">
        <v>8.86</v>
      </c>
      <c r="W56" s="236">
        <v>8.75</v>
      </c>
      <c r="X56" s="236">
        <v>0.75</v>
      </c>
      <c r="Y56" s="236">
        <v>1</v>
      </c>
      <c r="Z56" s="236">
        <v>13</v>
      </c>
      <c r="AA56" s="236">
        <v>1</v>
      </c>
      <c r="AB56" s="235" t="s">
        <v>2524</v>
      </c>
      <c r="AC56" s="236">
        <v>1967</v>
      </c>
      <c r="AD56" s="236" t="s">
        <v>1931</v>
      </c>
      <c r="AE56" s="237" t="s">
        <v>2525</v>
      </c>
      <c r="AF56"/>
      <c r="AG56"/>
      <c r="AH56" s="232" t="s">
        <v>2810</v>
      </c>
      <c r="AI56" s="345" t="s">
        <v>1080</v>
      </c>
    </row>
    <row r="57" spans="1:35" ht="16" customHeight="1" thickBot="1" x14ac:dyDescent="0.25">
      <c r="A57" s="8" t="s">
        <v>258</v>
      </c>
      <c r="B57" s="152">
        <v>9</v>
      </c>
      <c r="C57" s="2"/>
      <c r="D57" s="6" t="s">
        <v>262</v>
      </c>
      <c r="E57" s="151">
        <v>8</v>
      </c>
      <c r="F57" s="17"/>
      <c r="G57" s="175" t="s">
        <v>2060</v>
      </c>
      <c r="H57" s="1">
        <f>ROUND(SUM(H58:H67)/COUNT(H58:H67), 2)</f>
        <v>8.35</v>
      </c>
      <c r="I57" s="2"/>
      <c r="J57" s="6" t="s">
        <v>297</v>
      </c>
      <c r="K57" s="151">
        <v>8</v>
      </c>
      <c r="L57" s="2"/>
      <c r="M57" s="6" t="s">
        <v>286</v>
      </c>
      <c r="N57" s="151">
        <v>9</v>
      </c>
      <c r="O57" s="17"/>
      <c r="R57" s="244">
        <v>55</v>
      </c>
      <c r="S57" s="232" t="s">
        <v>345</v>
      </c>
      <c r="T57" s="233" t="s">
        <v>992</v>
      </c>
      <c r="U57" s="233">
        <v>8.73</v>
      </c>
      <c r="V57" s="263">
        <v>8.85</v>
      </c>
      <c r="W57" s="233">
        <v>9</v>
      </c>
      <c r="X57" s="233">
        <v>0.96</v>
      </c>
      <c r="Y57" s="233">
        <v>2</v>
      </c>
      <c r="Z57" s="233">
        <v>11</v>
      </c>
      <c r="AA57" s="233">
        <v>0</v>
      </c>
      <c r="AB57" s="232" t="s">
        <v>998</v>
      </c>
      <c r="AC57" s="233">
        <v>2002</v>
      </c>
      <c r="AD57" s="233" t="s">
        <v>1909</v>
      </c>
      <c r="AE57" s="234" t="s">
        <v>2165</v>
      </c>
      <c r="AF57"/>
      <c r="AG57"/>
      <c r="AH57" s="235" t="s">
        <v>1073</v>
      </c>
      <c r="AI57" s="344" t="s">
        <v>2286</v>
      </c>
    </row>
    <row r="58" spans="1:35" ht="16" customHeight="1" thickBot="1" x14ac:dyDescent="0.25">
      <c r="A58" s="16"/>
      <c r="B58" s="16"/>
      <c r="C58" s="2"/>
      <c r="D58" s="6" t="s">
        <v>263</v>
      </c>
      <c r="E58" s="151">
        <v>8.5</v>
      </c>
      <c r="F58" s="2"/>
      <c r="G58" s="5" t="s">
        <v>306</v>
      </c>
      <c r="H58" s="150">
        <v>8</v>
      </c>
      <c r="I58" s="2"/>
      <c r="J58" s="6" t="s">
        <v>298</v>
      </c>
      <c r="K58" s="151">
        <v>7</v>
      </c>
      <c r="L58" s="2"/>
      <c r="M58" s="6" t="s">
        <v>287</v>
      </c>
      <c r="N58" s="151">
        <v>10.5</v>
      </c>
      <c r="O58" s="17"/>
      <c r="R58" s="244">
        <v>56</v>
      </c>
      <c r="S58" s="235" t="s">
        <v>341</v>
      </c>
      <c r="T58" s="236" t="s">
        <v>95</v>
      </c>
      <c r="U58" s="236">
        <v>8.83</v>
      </c>
      <c r="V58" s="275">
        <v>8.84</v>
      </c>
      <c r="W58" s="236">
        <v>8.5</v>
      </c>
      <c r="X58" s="236">
        <v>0.94</v>
      </c>
      <c r="Y58" s="236">
        <v>2</v>
      </c>
      <c r="Z58" s="236">
        <v>9</v>
      </c>
      <c r="AA58" s="236">
        <v>0</v>
      </c>
      <c r="AB58" s="235" t="s">
        <v>760</v>
      </c>
      <c r="AC58" s="236">
        <v>1985</v>
      </c>
      <c r="AD58" s="236" t="s">
        <v>1909</v>
      </c>
      <c r="AE58" s="237" t="s">
        <v>2194</v>
      </c>
      <c r="AF58"/>
      <c r="AG58"/>
      <c r="AH58" s="232" t="s">
        <v>1077</v>
      </c>
      <c r="AI58" s="345" t="s">
        <v>2819</v>
      </c>
    </row>
    <row r="59" spans="1:35" ht="16" customHeight="1" thickBot="1" x14ac:dyDescent="0.25">
      <c r="A59" s="35" t="s">
        <v>351</v>
      </c>
      <c r="B59" s="12">
        <f>ROUND(SUM(B60:B69)/COUNT(B60:B69), 2)</f>
        <v>8.33</v>
      </c>
      <c r="C59" s="2"/>
      <c r="D59" s="6" t="s">
        <v>264</v>
      </c>
      <c r="E59" s="151">
        <v>9</v>
      </c>
      <c r="F59" s="2"/>
      <c r="G59" s="6" t="s">
        <v>307</v>
      </c>
      <c r="H59" s="151">
        <v>10</v>
      </c>
      <c r="I59" s="2"/>
      <c r="J59" s="6" t="s">
        <v>299</v>
      </c>
      <c r="K59" s="151">
        <v>8</v>
      </c>
      <c r="L59" s="2"/>
      <c r="M59" s="6" t="s">
        <v>288</v>
      </c>
      <c r="N59" s="151">
        <v>8</v>
      </c>
      <c r="O59" s="17"/>
      <c r="R59" s="244">
        <v>57</v>
      </c>
      <c r="S59" s="232" t="s">
        <v>1522</v>
      </c>
      <c r="T59" s="233" t="s">
        <v>1523</v>
      </c>
      <c r="U59" s="233">
        <v>8.82</v>
      </c>
      <c r="V59" s="275">
        <v>8.84</v>
      </c>
      <c r="W59" s="233">
        <v>8.5</v>
      </c>
      <c r="X59" s="233">
        <v>0.81</v>
      </c>
      <c r="Y59" s="233">
        <v>2</v>
      </c>
      <c r="Z59" s="233">
        <v>12</v>
      </c>
      <c r="AA59" s="233">
        <v>1</v>
      </c>
      <c r="AB59" s="232" t="s">
        <v>776</v>
      </c>
      <c r="AC59" s="233">
        <v>2005</v>
      </c>
      <c r="AD59" s="233" t="s">
        <v>1918</v>
      </c>
      <c r="AE59" s="234" t="s">
        <v>2148</v>
      </c>
      <c r="AF59"/>
      <c r="AG59"/>
      <c r="AH59" s="235" t="s">
        <v>2058</v>
      </c>
      <c r="AI59" s="344" t="s">
        <v>2112</v>
      </c>
    </row>
    <row r="60" spans="1:35" ht="16" customHeight="1" x14ac:dyDescent="0.2">
      <c r="A60" s="5" t="s">
        <v>274</v>
      </c>
      <c r="B60" s="150">
        <v>8</v>
      </c>
      <c r="C60" s="2"/>
      <c r="D60" s="6" t="s">
        <v>265</v>
      </c>
      <c r="E60" s="151">
        <v>9</v>
      </c>
      <c r="F60" s="2"/>
      <c r="G60" s="6" t="s">
        <v>308</v>
      </c>
      <c r="H60" s="151">
        <v>10</v>
      </c>
      <c r="I60" s="2"/>
      <c r="J60" s="6" t="s">
        <v>300</v>
      </c>
      <c r="K60" s="151">
        <v>8</v>
      </c>
      <c r="L60" s="2"/>
      <c r="M60" s="6" t="s">
        <v>289</v>
      </c>
      <c r="N60" s="151">
        <v>8.5</v>
      </c>
      <c r="O60" s="17"/>
      <c r="R60" s="244">
        <v>58</v>
      </c>
      <c r="S60" s="235" t="s">
        <v>2696</v>
      </c>
      <c r="T60" s="236" t="s">
        <v>2697</v>
      </c>
      <c r="U60" s="236">
        <v>8.83</v>
      </c>
      <c r="V60" s="275">
        <v>8.84</v>
      </c>
      <c r="W60" s="236">
        <v>9</v>
      </c>
      <c r="X60" s="236">
        <v>0.24</v>
      </c>
      <c r="Y60" s="236">
        <v>0</v>
      </c>
      <c r="Z60" s="236">
        <v>3</v>
      </c>
      <c r="AA60" s="236">
        <v>0</v>
      </c>
      <c r="AB60" s="235" t="s">
        <v>1098</v>
      </c>
      <c r="AC60" s="236">
        <v>1997</v>
      </c>
      <c r="AD60" s="236" t="s">
        <v>1933</v>
      </c>
      <c r="AE60" s="237" t="s">
        <v>2700</v>
      </c>
      <c r="AF60"/>
      <c r="AG60"/>
      <c r="AH60" s="232" t="s">
        <v>1098</v>
      </c>
      <c r="AI60" s="345" t="s">
        <v>2763</v>
      </c>
    </row>
    <row r="61" spans="1:35" ht="16" customHeight="1" x14ac:dyDescent="0.2">
      <c r="A61" s="6" t="s">
        <v>275</v>
      </c>
      <c r="B61" s="151">
        <v>7</v>
      </c>
      <c r="C61" s="2"/>
      <c r="D61" s="6" t="s">
        <v>266</v>
      </c>
      <c r="E61" s="151">
        <v>10.5</v>
      </c>
      <c r="F61" s="2"/>
      <c r="G61" s="6" t="s">
        <v>309</v>
      </c>
      <c r="H61" s="151">
        <v>9</v>
      </c>
      <c r="I61" s="2"/>
      <c r="J61" s="6" t="s">
        <v>301</v>
      </c>
      <c r="K61" s="151">
        <v>9</v>
      </c>
      <c r="L61" s="2"/>
      <c r="M61" s="6" t="s">
        <v>290</v>
      </c>
      <c r="N61" s="151">
        <v>7.5</v>
      </c>
      <c r="O61" s="17"/>
      <c r="R61" s="244">
        <v>59</v>
      </c>
      <c r="S61" s="232" t="s">
        <v>1384</v>
      </c>
      <c r="T61" s="233" t="s">
        <v>1377</v>
      </c>
      <c r="U61" s="233">
        <v>8.86</v>
      </c>
      <c r="V61" s="275">
        <v>8.83</v>
      </c>
      <c r="W61" s="233">
        <v>9</v>
      </c>
      <c r="X61" s="233">
        <v>0.69</v>
      </c>
      <c r="Y61" s="233">
        <v>1</v>
      </c>
      <c r="Z61" s="233">
        <v>7</v>
      </c>
      <c r="AA61" s="233">
        <v>0</v>
      </c>
      <c r="AB61" s="232" t="s">
        <v>1386</v>
      </c>
      <c r="AC61" s="233">
        <v>1971</v>
      </c>
      <c r="AD61" s="233" t="s">
        <v>1926</v>
      </c>
      <c r="AE61" s="234" t="s">
        <v>2154</v>
      </c>
      <c r="AF61"/>
      <c r="AG61"/>
      <c r="AH61" s="235" t="s">
        <v>1076</v>
      </c>
      <c r="AI61" s="344" t="s">
        <v>2790</v>
      </c>
    </row>
    <row r="62" spans="1:35" ht="16" customHeight="1" x14ac:dyDescent="0.2">
      <c r="A62" s="6" t="s">
        <v>276</v>
      </c>
      <c r="B62" s="151">
        <v>7.5</v>
      </c>
      <c r="C62" s="2"/>
      <c r="D62" s="6" t="s">
        <v>267</v>
      </c>
      <c r="E62" s="151">
        <v>8</v>
      </c>
      <c r="F62" s="2"/>
      <c r="G62" s="6" t="s">
        <v>310</v>
      </c>
      <c r="H62" s="151">
        <v>7</v>
      </c>
      <c r="I62" s="2"/>
      <c r="J62" s="6" t="s">
        <v>302</v>
      </c>
      <c r="K62" s="151">
        <v>8</v>
      </c>
      <c r="L62" s="2"/>
      <c r="M62" s="6" t="s">
        <v>291</v>
      </c>
      <c r="N62" s="151">
        <v>10</v>
      </c>
      <c r="O62" s="17"/>
      <c r="R62" s="244">
        <v>60</v>
      </c>
      <c r="S62" s="235" t="s">
        <v>1695</v>
      </c>
      <c r="T62" s="236" t="s">
        <v>2118</v>
      </c>
      <c r="U62" s="236">
        <v>8.81</v>
      </c>
      <c r="V62" s="275">
        <v>8.83</v>
      </c>
      <c r="W62" s="236">
        <v>8.5</v>
      </c>
      <c r="X62" s="236">
        <v>0.79</v>
      </c>
      <c r="Y62" s="236">
        <v>1</v>
      </c>
      <c r="Z62" s="236">
        <v>8</v>
      </c>
      <c r="AA62" s="236">
        <v>0</v>
      </c>
      <c r="AB62" s="235" t="s">
        <v>1355</v>
      </c>
      <c r="AC62" s="236">
        <v>1988</v>
      </c>
      <c r="AD62" s="236" t="s">
        <v>1901</v>
      </c>
      <c r="AE62" s="237" t="s">
        <v>2128</v>
      </c>
      <c r="AF62"/>
      <c r="AG62"/>
      <c r="AH62" s="232" t="s">
        <v>1609</v>
      </c>
      <c r="AI62" s="345" t="s">
        <v>2374</v>
      </c>
    </row>
    <row r="63" spans="1:35" ht="16" customHeight="1" thickBot="1" x14ac:dyDescent="0.25">
      <c r="A63" s="6" t="s">
        <v>277</v>
      </c>
      <c r="B63" s="151">
        <v>8.5</v>
      </c>
      <c r="C63" s="2"/>
      <c r="D63" s="8" t="s">
        <v>268</v>
      </c>
      <c r="E63" s="152">
        <v>8.5</v>
      </c>
      <c r="F63" s="2"/>
      <c r="G63" s="6" t="s">
        <v>311</v>
      </c>
      <c r="H63" s="151">
        <v>8.5</v>
      </c>
      <c r="I63" s="2"/>
      <c r="J63" s="6" t="s">
        <v>303</v>
      </c>
      <c r="K63" s="151">
        <v>8.5</v>
      </c>
      <c r="L63" s="2"/>
      <c r="M63" s="6" t="s">
        <v>292</v>
      </c>
      <c r="N63" s="151">
        <v>9</v>
      </c>
      <c r="O63" s="17"/>
      <c r="R63" s="244">
        <v>61</v>
      </c>
      <c r="S63" s="232" t="s">
        <v>2345</v>
      </c>
      <c r="T63" s="233" t="s">
        <v>2346</v>
      </c>
      <c r="U63" s="233">
        <v>8.81</v>
      </c>
      <c r="V63" s="275">
        <v>8.83</v>
      </c>
      <c r="W63" s="233">
        <v>8.5</v>
      </c>
      <c r="X63" s="233">
        <v>0.73</v>
      </c>
      <c r="Y63" s="233">
        <v>2</v>
      </c>
      <c r="Z63" s="233">
        <v>17</v>
      </c>
      <c r="AA63" s="233">
        <v>1</v>
      </c>
      <c r="AB63" s="232" t="s">
        <v>1100</v>
      </c>
      <c r="AC63" s="233">
        <v>1969</v>
      </c>
      <c r="AD63" s="233" t="s">
        <v>1910</v>
      </c>
      <c r="AE63" s="234" t="s">
        <v>2347</v>
      </c>
      <c r="AF63"/>
      <c r="AG63"/>
      <c r="AH63" s="235" t="s">
        <v>1606</v>
      </c>
      <c r="AI63" s="344" t="s">
        <v>1607</v>
      </c>
    </row>
    <row r="64" spans="1:35" ht="16" customHeight="1" thickBot="1" x14ac:dyDescent="0.25">
      <c r="A64" s="6" t="s">
        <v>278</v>
      </c>
      <c r="B64" s="151">
        <v>9</v>
      </c>
      <c r="C64" s="2"/>
      <c r="D64" s="14"/>
      <c r="E64" s="16"/>
      <c r="F64" s="2"/>
      <c r="G64" s="6" t="s">
        <v>312</v>
      </c>
      <c r="H64" s="151">
        <v>7.5</v>
      </c>
      <c r="I64" s="2"/>
      <c r="J64" s="8" t="s">
        <v>304</v>
      </c>
      <c r="K64" s="152">
        <v>8</v>
      </c>
      <c r="L64" s="2"/>
      <c r="M64" s="6" t="s">
        <v>293</v>
      </c>
      <c r="N64" s="151">
        <v>10.5</v>
      </c>
      <c r="O64" s="17"/>
      <c r="R64" s="244">
        <v>62</v>
      </c>
      <c r="S64" s="235" t="s">
        <v>396</v>
      </c>
      <c r="T64" s="236" t="s">
        <v>390</v>
      </c>
      <c r="U64" s="236">
        <v>8.8000000000000007</v>
      </c>
      <c r="V64" s="261">
        <v>8.81</v>
      </c>
      <c r="W64" s="236">
        <v>8.5</v>
      </c>
      <c r="X64" s="236">
        <v>0.98</v>
      </c>
      <c r="Y64" s="236">
        <v>2</v>
      </c>
      <c r="Z64" s="236">
        <v>10</v>
      </c>
      <c r="AA64" s="236">
        <v>0</v>
      </c>
      <c r="AB64" s="235" t="s">
        <v>762</v>
      </c>
      <c r="AC64" s="236">
        <v>1990</v>
      </c>
      <c r="AD64" s="236" t="s">
        <v>1936</v>
      </c>
      <c r="AE64" s="237" t="s">
        <v>2190</v>
      </c>
      <c r="AF64"/>
      <c r="AG64"/>
      <c r="AH64" s="232" t="s">
        <v>1083</v>
      </c>
      <c r="AI64" s="345" t="s">
        <v>1084</v>
      </c>
    </row>
    <row r="65" spans="1:35" ht="16" customHeight="1" thickBot="1" x14ac:dyDescent="0.25">
      <c r="A65" s="6" t="s">
        <v>279</v>
      </c>
      <c r="B65" s="151">
        <v>9.5</v>
      </c>
      <c r="C65" s="17"/>
      <c r="D65" s="70" t="s">
        <v>876</v>
      </c>
      <c r="E65" s="1">
        <f>ROUND(SUM(E66:E78)/COUNT(E66:E78), 2)</f>
        <v>8.4600000000000009</v>
      </c>
      <c r="F65" s="2"/>
      <c r="G65" s="6" t="s">
        <v>313</v>
      </c>
      <c r="H65" s="151">
        <v>10</v>
      </c>
      <c r="I65" s="2"/>
      <c r="J65" s="16"/>
      <c r="K65" s="16"/>
      <c r="L65" s="2"/>
      <c r="M65" s="8" t="s">
        <v>294</v>
      </c>
      <c r="N65" s="152"/>
      <c r="O65" s="17"/>
      <c r="R65" s="244">
        <v>63</v>
      </c>
      <c r="S65" s="232" t="s">
        <v>480</v>
      </c>
      <c r="T65" s="233" t="s">
        <v>481</v>
      </c>
      <c r="U65" s="233">
        <v>8.7899999999999991</v>
      </c>
      <c r="V65" s="261">
        <v>8.81</v>
      </c>
      <c r="W65" s="233">
        <v>8.5</v>
      </c>
      <c r="X65" s="233">
        <v>0.99</v>
      </c>
      <c r="Y65" s="233">
        <v>3</v>
      </c>
      <c r="Z65" s="233">
        <v>12</v>
      </c>
      <c r="AA65" s="233">
        <v>0</v>
      </c>
      <c r="AB65" s="232" t="s">
        <v>756</v>
      </c>
      <c r="AC65" s="233">
        <v>2002</v>
      </c>
      <c r="AD65" s="233" t="s">
        <v>1928</v>
      </c>
      <c r="AE65" s="234" t="s">
        <v>2187</v>
      </c>
      <c r="AF65"/>
      <c r="AG65"/>
      <c r="AH65" s="235" t="s">
        <v>2764</v>
      </c>
      <c r="AI65" s="344" t="s">
        <v>2660</v>
      </c>
    </row>
    <row r="66" spans="1:35" ht="16" customHeight="1" thickBot="1" x14ac:dyDescent="0.25">
      <c r="A66" s="6" t="s">
        <v>280</v>
      </c>
      <c r="B66" s="151">
        <v>10</v>
      </c>
      <c r="C66" s="17"/>
      <c r="D66" s="3" t="s">
        <v>359</v>
      </c>
      <c r="E66" s="151">
        <v>8</v>
      </c>
      <c r="F66" s="2"/>
      <c r="G66" s="6" t="s">
        <v>314</v>
      </c>
      <c r="H66" s="151">
        <v>7.5</v>
      </c>
      <c r="I66" s="17"/>
      <c r="J66" s="38" t="s">
        <v>384</v>
      </c>
      <c r="K66" s="1">
        <f>ROUND(SUM(K67:K75)/COUNT(K67:K75), 2)</f>
        <v>8</v>
      </c>
      <c r="L66" s="2"/>
      <c r="M66" s="16"/>
      <c r="N66" s="16"/>
      <c r="O66" s="17"/>
      <c r="R66" s="244">
        <v>64</v>
      </c>
      <c r="S66" s="235" t="s">
        <v>2719</v>
      </c>
      <c r="T66" s="236" t="s">
        <v>2718</v>
      </c>
      <c r="U66" s="236">
        <v>8.8800000000000008</v>
      </c>
      <c r="V66" s="261">
        <v>8.81</v>
      </c>
      <c r="W66" s="236">
        <v>8.75</v>
      </c>
      <c r="X66" s="236">
        <v>0.74</v>
      </c>
      <c r="Y66" s="236">
        <v>1</v>
      </c>
      <c r="Z66" s="236">
        <v>4</v>
      </c>
      <c r="AA66" s="236">
        <v>0</v>
      </c>
      <c r="AB66" s="235" t="s">
        <v>2760</v>
      </c>
      <c r="AC66" s="236">
        <v>2000</v>
      </c>
      <c r="AD66" s="236" t="s">
        <v>2761</v>
      </c>
      <c r="AE66" s="237" t="s">
        <v>2762</v>
      </c>
      <c r="AF66"/>
      <c r="AG66"/>
      <c r="AH66" s="232" t="s">
        <v>2644</v>
      </c>
      <c r="AI66" s="345" t="s">
        <v>2660</v>
      </c>
    </row>
    <row r="67" spans="1:35" ht="16" customHeight="1" thickBot="1" x14ac:dyDescent="0.25">
      <c r="A67" s="6" t="s">
        <v>281</v>
      </c>
      <c r="B67" s="151">
        <v>8</v>
      </c>
      <c r="C67" s="17"/>
      <c r="D67" s="3" t="s">
        <v>360</v>
      </c>
      <c r="E67" s="151">
        <v>10</v>
      </c>
      <c r="F67" s="2"/>
      <c r="G67" s="8" t="s">
        <v>315</v>
      </c>
      <c r="H67" s="152">
        <v>6</v>
      </c>
      <c r="I67" s="2"/>
      <c r="J67" s="5" t="s">
        <v>375</v>
      </c>
      <c r="K67" s="150"/>
      <c r="L67" s="17"/>
      <c r="M67" s="100" t="s">
        <v>1001</v>
      </c>
      <c r="N67" s="1">
        <f>ROUND(SUM(N68:N77)/COUNT(N68:N77), 2)</f>
        <v>8.8000000000000007</v>
      </c>
      <c r="O67" s="17"/>
      <c r="R67" s="244">
        <v>65</v>
      </c>
      <c r="S67" s="232" t="s">
        <v>585</v>
      </c>
      <c r="T67" s="233" t="s">
        <v>586</v>
      </c>
      <c r="U67" s="233">
        <v>8.7799999999999994</v>
      </c>
      <c r="V67" s="267">
        <v>8.7899999999999991</v>
      </c>
      <c r="W67" s="233">
        <v>8.5</v>
      </c>
      <c r="X67" s="233">
        <v>0.97</v>
      </c>
      <c r="Y67" s="233">
        <v>2</v>
      </c>
      <c r="Z67" s="233">
        <v>9</v>
      </c>
      <c r="AA67" s="233">
        <v>0</v>
      </c>
      <c r="AB67" s="232" t="s">
        <v>819</v>
      </c>
      <c r="AC67" s="233">
        <v>1983</v>
      </c>
      <c r="AD67" s="233" t="s">
        <v>1910</v>
      </c>
      <c r="AE67" s="234" t="s">
        <v>2184</v>
      </c>
      <c r="AF67"/>
      <c r="AG67"/>
      <c r="AH67" s="235" t="s">
        <v>1395</v>
      </c>
      <c r="AI67" s="344" t="s">
        <v>1396</v>
      </c>
    </row>
    <row r="68" spans="1:35" ht="16" customHeight="1" thickBot="1" x14ac:dyDescent="0.25">
      <c r="A68" s="8" t="s">
        <v>282</v>
      </c>
      <c r="B68" s="152">
        <v>7.5</v>
      </c>
      <c r="C68" s="17"/>
      <c r="D68" s="3" t="s">
        <v>361</v>
      </c>
      <c r="E68" s="151">
        <v>9</v>
      </c>
      <c r="F68" s="2"/>
      <c r="G68" s="16"/>
      <c r="H68" s="16"/>
      <c r="I68" s="2"/>
      <c r="J68" s="6" t="s">
        <v>376</v>
      </c>
      <c r="K68" s="151">
        <v>7</v>
      </c>
      <c r="L68" s="17"/>
      <c r="M68" s="3" t="s">
        <v>386</v>
      </c>
      <c r="N68" s="151">
        <v>10.5</v>
      </c>
      <c r="O68" s="17"/>
      <c r="R68" s="244">
        <v>66</v>
      </c>
      <c r="S68" s="235" t="s">
        <v>337</v>
      </c>
      <c r="T68" s="236" t="s">
        <v>628</v>
      </c>
      <c r="U68" s="236">
        <v>8.77</v>
      </c>
      <c r="V68" s="267">
        <v>8.7899999999999991</v>
      </c>
      <c r="W68" s="236">
        <v>8.5</v>
      </c>
      <c r="X68" s="236">
        <v>0.99</v>
      </c>
      <c r="Y68" s="236">
        <v>3</v>
      </c>
      <c r="Z68" s="236">
        <v>13</v>
      </c>
      <c r="AA68" s="236">
        <v>0</v>
      </c>
      <c r="AB68" s="235" t="s">
        <v>758</v>
      </c>
      <c r="AC68" s="236">
        <v>2013</v>
      </c>
      <c r="AD68" s="236" t="s">
        <v>1927</v>
      </c>
      <c r="AE68" s="237" t="s">
        <v>2182</v>
      </c>
      <c r="AF68"/>
      <c r="AG68"/>
      <c r="AH68" s="232" t="s">
        <v>1355</v>
      </c>
      <c r="AI68" s="345" t="s">
        <v>2126</v>
      </c>
    </row>
    <row r="69" spans="1:35" ht="16" customHeight="1" thickBot="1" x14ac:dyDescent="0.25">
      <c r="A69" s="16"/>
      <c r="B69" s="16"/>
      <c r="C69" s="17"/>
      <c r="D69" s="3" t="s">
        <v>362</v>
      </c>
      <c r="E69" s="151">
        <v>8.5</v>
      </c>
      <c r="F69" s="17"/>
      <c r="G69" s="69" t="s">
        <v>875</v>
      </c>
      <c r="H69" s="1">
        <f>ROUND(SUM(H70:H81)/COUNT(H70:H81), 2)</f>
        <v>8.67</v>
      </c>
      <c r="I69" s="2"/>
      <c r="J69" s="6" t="s">
        <v>377</v>
      </c>
      <c r="K69" s="151">
        <v>8.5</v>
      </c>
      <c r="L69" s="17"/>
      <c r="M69" s="3" t="s">
        <v>387</v>
      </c>
      <c r="N69" s="151">
        <v>9.5</v>
      </c>
      <c r="O69" s="17"/>
      <c r="R69" s="244">
        <v>67</v>
      </c>
      <c r="S69" s="232" t="s">
        <v>816</v>
      </c>
      <c r="T69" s="233" t="s">
        <v>817</v>
      </c>
      <c r="U69" s="233">
        <v>8.82</v>
      </c>
      <c r="V69" s="267">
        <v>8.7899999999999991</v>
      </c>
      <c r="W69" s="233">
        <v>9</v>
      </c>
      <c r="X69" s="233">
        <v>0.86</v>
      </c>
      <c r="Y69" s="233">
        <v>3</v>
      </c>
      <c r="Z69" s="233">
        <v>13</v>
      </c>
      <c r="AA69" s="233">
        <v>2</v>
      </c>
      <c r="AB69" s="232" t="s">
        <v>818</v>
      </c>
      <c r="AC69" s="233">
        <v>2010</v>
      </c>
      <c r="AD69" s="233" t="s">
        <v>1928</v>
      </c>
      <c r="AE69" s="234" t="s">
        <v>2172</v>
      </c>
      <c r="AF69"/>
      <c r="AG69"/>
      <c r="AH69" s="235" t="s">
        <v>1089</v>
      </c>
      <c r="AI69" s="344" t="s">
        <v>1647</v>
      </c>
    </row>
    <row r="70" spans="1:35" ht="16" customHeight="1" thickBot="1" x14ac:dyDescent="0.25">
      <c r="A70" s="42" t="s">
        <v>464</v>
      </c>
      <c r="B70" s="1">
        <f>ROUND(SUM(B71:B77)/COUNT(B71:B77), 2)</f>
        <v>7.29</v>
      </c>
      <c r="C70" s="17"/>
      <c r="D70" s="3" t="s">
        <v>363</v>
      </c>
      <c r="E70" s="151">
        <v>10</v>
      </c>
      <c r="F70" s="17"/>
      <c r="G70" s="3" t="s">
        <v>398</v>
      </c>
      <c r="H70" s="151">
        <v>8.5</v>
      </c>
      <c r="I70" s="2"/>
      <c r="J70" s="6" t="s">
        <v>378</v>
      </c>
      <c r="K70" s="151">
        <v>8.5</v>
      </c>
      <c r="L70" s="17"/>
      <c r="M70" s="3" t="s">
        <v>388</v>
      </c>
      <c r="N70" s="151">
        <v>8</v>
      </c>
      <c r="O70" s="17"/>
      <c r="R70" s="244">
        <v>68</v>
      </c>
      <c r="S70" s="235" t="s">
        <v>1279</v>
      </c>
      <c r="T70" s="236" t="s">
        <v>1280</v>
      </c>
      <c r="U70" s="236">
        <v>8.67</v>
      </c>
      <c r="V70" s="267">
        <v>8.7899999999999991</v>
      </c>
      <c r="W70" s="236">
        <v>9</v>
      </c>
      <c r="X70" s="236">
        <v>1.08</v>
      </c>
      <c r="Y70" s="236">
        <v>2</v>
      </c>
      <c r="Z70" s="236">
        <v>9</v>
      </c>
      <c r="AA70" s="236">
        <v>0</v>
      </c>
      <c r="AB70" s="235" t="s">
        <v>1284</v>
      </c>
      <c r="AC70" s="236">
        <v>2008</v>
      </c>
      <c r="AD70" s="236" t="s">
        <v>1929</v>
      </c>
      <c r="AE70" s="237" t="s">
        <v>2159</v>
      </c>
      <c r="AF70"/>
      <c r="AG70"/>
      <c r="AH70" s="232" t="s">
        <v>1226</v>
      </c>
      <c r="AI70" s="345" t="s">
        <v>1227</v>
      </c>
    </row>
    <row r="71" spans="1:35" ht="16" customHeight="1" x14ac:dyDescent="0.2">
      <c r="A71" s="11" t="s">
        <v>410</v>
      </c>
      <c r="B71" s="150">
        <v>8</v>
      </c>
      <c r="C71" s="17"/>
      <c r="D71" s="3" t="s">
        <v>364</v>
      </c>
      <c r="E71" s="151">
        <v>8</v>
      </c>
      <c r="F71" s="17"/>
      <c r="G71" s="3" t="s">
        <v>399</v>
      </c>
      <c r="H71" s="151">
        <v>9</v>
      </c>
      <c r="I71" s="2"/>
      <c r="J71" s="6" t="s">
        <v>379</v>
      </c>
      <c r="K71" s="151">
        <v>8</v>
      </c>
      <c r="L71" s="17"/>
      <c r="M71" s="3" t="s">
        <v>389</v>
      </c>
      <c r="N71" s="151">
        <v>8.5</v>
      </c>
      <c r="O71" s="17"/>
      <c r="R71" s="244">
        <v>69</v>
      </c>
      <c r="S71" s="232" t="s">
        <v>334</v>
      </c>
      <c r="T71" s="233" t="s">
        <v>897</v>
      </c>
      <c r="U71" s="233">
        <v>8.7899999999999991</v>
      </c>
      <c r="V71" s="313">
        <v>8.7799999999999994</v>
      </c>
      <c r="W71" s="233">
        <v>8.5</v>
      </c>
      <c r="X71" s="233">
        <v>0.99</v>
      </c>
      <c r="Y71" s="233">
        <v>1</v>
      </c>
      <c r="Z71" s="233">
        <v>7</v>
      </c>
      <c r="AA71" s="233">
        <v>0</v>
      </c>
      <c r="AB71" s="232" t="s">
        <v>776</v>
      </c>
      <c r="AC71" s="233">
        <v>1999</v>
      </c>
      <c r="AD71" s="233" t="s">
        <v>1935</v>
      </c>
      <c r="AE71" s="234" t="s">
        <v>2169</v>
      </c>
      <c r="AF71"/>
      <c r="AG71"/>
      <c r="AH71" s="235" t="s">
        <v>1228</v>
      </c>
      <c r="AI71" s="344" t="s">
        <v>1227</v>
      </c>
    </row>
    <row r="72" spans="1:35" ht="16" customHeight="1" x14ac:dyDescent="0.2">
      <c r="A72" s="4" t="s">
        <v>411</v>
      </c>
      <c r="B72" s="151">
        <v>7</v>
      </c>
      <c r="C72" s="17"/>
      <c r="D72" s="3" t="s">
        <v>365</v>
      </c>
      <c r="E72" s="151">
        <v>7.5</v>
      </c>
      <c r="F72" s="17"/>
      <c r="G72" s="3" t="s">
        <v>400</v>
      </c>
      <c r="H72" s="151">
        <v>8.5</v>
      </c>
      <c r="I72" s="2"/>
      <c r="J72" s="6" t="s">
        <v>380</v>
      </c>
      <c r="K72" s="151">
        <v>8.5</v>
      </c>
      <c r="L72" s="17"/>
      <c r="M72" s="3" t="s">
        <v>390</v>
      </c>
      <c r="N72" s="151">
        <v>10</v>
      </c>
      <c r="O72" s="17"/>
      <c r="R72" s="244">
        <v>70</v>
      </c>
      <c r="S72" s="235" t="s">
        <v>1672</v>
      </c>
      <c r="T72" s="236" t="s">
        <v>1671</v>
      </c>
      <c r="U72" s="236">
        <v>8.85</v>
      </c>
      <c r="V72" s="313">
        <v>8.7799999999999994</v>
      </c>
      <c r="W72" s="236">
        <v>8.75</v>
      </c>
      <c r="X72" s="236">
        <v>0.55000000000000004</v>
      </c>
      <c r="Y72" s="236">
        <v>1</v>
      </c>
      <c r="Z72" s="236">
        <v>10</v>
      </c>
      <c r="AA72" s="236">
        <v>0</v>
      </c>
      <c r="AB72" s="235" t="s">
        <v>1673</v>
      </c>
      <c r="AC72" s="236">
        <v>2014</v>
      </c>
      <c r="AD72" s="236" t="s">
        <v>1930</v>
      </c>
      <c r="AE72" s="237" t="s">
        <v>2142</v>
      </c>
      <c r="AF72"/>
      <c r="AG72"/>
      <c r="AH72" s="232" t="s">
        <v>1398</v>
      </c>
      <c r="AI72" s="345" t="s">
        <v>1227</v>
      </c>
    </row>
    <row r="73" spans="1:35" ht="16" customHeight="1" x14ac:dyDescent="0.2">
      <c r="A73" s="4" t="s">
        <v>412</v>
      </c>
      <c r="B73" s="151">
        <v>6.5</v>
      </c>
      <c r="C73" s="17"/>
      <c r="D73" s="3" t="s">
        <v>366</v>
      </c>
      <c r="E73" s="151">
        <v>9</v>
      </c>
      <c r="F73" s="17"/>
      <c r="G73" s="3" t="s">
        <v>401</v>
      </c>
      <c r="H73" s="151">
        <v>10</v>
      </c>
      <c r="I73" s="2"/>
      <c r="J73" s="6" t="s">
        <v>381</v>
      </c>
      <c r="K73" s="151">
        <v>8.5</v>
      </c>
      <c r="L73" s="17"/>
      <c r="M73" s="3" t="s">
        <v>391</v>
      </c>
      <c r="N73" s="151">
        <v>8.5</v>
      </c>
      <c r="O73" s="17"/>
      <c r="R73" s="244">
        <v>71</v>
      </c>
      <c r="S73" s="232" t="s">
        <v>480</v>
      </c>
      <c r="T73" s="233" t="s">
        <v>2530</v>
      </c>
      <c r="U73" s="233">
        <v>8.75</v>
      </c>
      <c r="V73" s="313">
        <v>8.7799999999999994</v>
      </c>
      <c r="W73" s="233">
        <v>8.5</v>
      </c>
      <c r="X73" s="233">
        <v>0.68</v>
      </c>
      <c r="Y73" s="233">
        <v>1</v>
      </c>
      <c r="Z73" s="233">
        <v>10</v>
      </c>
      <c r="AA73" s="233">
        <v>0</v>
      </c>
      <c r="AB73" s="232" t="s">
        <v>2541</v>
      </c>
      <c r="AC73" s="233">
        <v>2000</v>
      </c>
      <c r="AD73" s="233" t="s">
        <v>1934</v>
      </c>
      <c r="AE73" s="234" t="s">
        <v>2525</v>
      </c>
      <c r="AF73"/>
      <c r="AG73"/>
      <c r="AH73" s="235" t="s">
        <v>1787</v>
      </c>
      <c r="AI73" s="344" t="s">
        <v>1227</v>
      </c>
    </row>
    <row r="74" spans="1:35" ht="16" customHeight="1" x14ac:dyDescent="0.2">
      <c r="A74" s="4" t="s">
        <v>413</v>
      </c>
      <c r="B74" s="151">
        <v>7</v>
      </c>
      <c r="C74" s="17"/>
      <c r="D74" s="3" t="s">
        <v>367</v>
      </c>
      <c r="E74" s="151">
        <v>7</v>
      </c>
      <c r="F74" s="17"/>
      <c r="G74" s="3" t="s">
        <v>402</v>
      </c>
      <c r="H74" s="151">
        <v>8.5</v>
      </c>
      <c r="I74" s="2"/>
      <c r="J74" s="6" t="s">
        <v>382</v>
      </c>
      <c r="K74" s="151">
        <v>7.5</v>
      </c>
      <c r="L74" s="17"/>
      <c r="M74" s="3" t="s">
        <v>392</v>
      </c>
      <c r="N74" s="151">
        <v>7.5</v>
      </c>
      <c r="O74" s="17"/>
      <c r="R74" s="244">
        <v>72</v>
      </c>
      <c r="S74" s="235" t="s">
        <v>331</v>
      </c>
      <c r="T74" s="236" t="s">
        <v>1394</v>
      </c>
      <c r="U74" s="236">
        <v>8.83</v>
      </c>
      <c r="V74" s="289">
        <v>8.77</v>
      </c>
      <c r="W74" s="236">
        <v>8.75</v>
      </c>
      <c r="X74" s="236">
        <v>0.62</v>
      </c>
      <c r="Y74" s="236">
        <v>1</v>
      </c>
      <c r="Z74" s="236">
        <v>6</v>
      </c>
      <c r="AA74" s="236">
        <v>0</v>
      </c>
      <c r="AB74" s="235" t="s">
        <v>1397</v>
      </c>
      <c r="AC74" s="236">
        <v>2023</v>
      </c>
      <c r="AD74" s="236" t="s">
        <v>1931</v>
      </c>
      <c r="AE74" s="237" t="s">
        <v>2154</v>
      </c>
      <c r="AF74"/>
      <c r="AG74"/>
      <c r="AH74" s="232" t="s">
        <v>1459</v>
      </c>
      <c r="AI74" s="345" t="s">
        <v>1227</v>
      </c>
    </row>
    <row r="75" spans="1:35" ht="16" customHeight="1" thickBot="1" x14ac:dyDescent="0.25">
      <c r="A75" s="4" t="s">
        <v>414</v>
      </c>
      <c r="B75" s="151">
        <v>8</v>
      </c>
      <c r="C75" s="17"/>
      <c r="D75" s="3" t="s">
        <v>368</v>
      </c>
      <c r="E75" s="151">
        <v>8.5</v>
      </c>
      <c r="F75" s="17"/>
      <c r="G75" s="3" t="s">
        <v>403</v>
      </c>
      <c r="H75" s="151">
        <v>10.5</v>
      </c>
      <c r="I75" s="2"/>
      <c r="J75" s="8" t="s">
        <v>383</v>
      </c>
      <c r="K75" s="152">
        <v>7.5</v>
      </c>
      <c r="L75" s="17"/>
      <c r="M75" s="3" t="s">
        <v>393</v>
      </c>
      <c r="N75" s="151">
        <v>8.5</v>
      </c>
      <c r="O75" s="17"/>
      <c r="R75" s="244">
        <v>73</v>
      </c>
      <c r="S75" s="232" t="s">
        <v>1776</v>
      </c>
      <c r="T75" s="233" t="s">
        <v>1777</v>
      </c>
      <c r="U75" s="233">
        <v>8.83</v>
      </c>
      <c r="V75" s="289">
        <v>8.77</v>
      </c>
      <c r="W75" s="233">
        <v>8.75</v>
      </c>
      <c r="X75" s="233">
        <v>0.62</v>
      </c>
      <c r="Y75" s="233">
        <v>1</v>
      </c>
      <c r="Z75" s="233">
        <v>6</v>
      </c>
      <c r="AA75" s="233">
        <v>0</v>
      </c>
      <c r="AB75" s="232" t="s">
        <v>1780</v>
      </c>
      <c r="AC75" s="233">
        <v>1991</v>
      </c>
      <c r="AD75" s="233" t="s">
        <v>1931</v>
      </c>
      <c r="AE75" s="234" t="s">
        <v>2137</v>
      </c>
      <c r="AF75"/>
      <c r="AG75"/>
      <c r="AH75" s="235" t="s">
        <v>775</v>
      </c>
      <c r="AI75" s="344" t="s">
        <v>2327</v>
      </c>
    </row>
    <row r="76" spans="1:35" ht="16" customHeight="1" thickBot="1" x14ac:dyDescent="0.25">
      <c r="A76" s="4" t="s">
        <v>415</v>
      </c>
      <c r="B76" s="151">
        <v>7.5</v>
      </c>
      <c r="C76" s="17"/>
      <c r="D76" s="3" t="s">
        <v>369</v>
      </c>
      <c r="E76" s="151">
        <v>8</v>
      </c>
      <c r="F76" s="17"/>
      <c r="G76" s="3" t="s">
        <v>404</v>
      </c>
      <c r="H76" s="151">
        <v>9</v>
      </c>
      <c r="I76" s="2"/>
      <c r="J76" s="16"/>
      <c r="K76" s="16"/>
      <c r="L76" s="17"/>
      <c r="M76" s="3" t="s">
        <v>394</v>
      </c>
      <c r="N76" s="151">
        <v>7.5</v>
      </c>
      <c r="O76" s="17"/>
      <c r="R76" s="244">
        <v>74</v>
      </c>
      <c r="S76" s="235" t="s">
        <v>2632</v>
      </c>
      <c r="T76" s="236" t="s">
        <v>2633</v>
      </c>
      <c r="U76" s="236">
        <v>8.8800000000000008</v>
      </c>
      <c r="V76" s="289">
        <v>8.77</v>
      </c>
      <c r="W76" s="236">
        <v>8.75</v>
      </c>
      <c r="X76" s="236">
        <v>0.89</v>
      </c>
      <c r="Y76" s="236">
        <v>1</v>
      </c>
      <c r="Z76" s="236">
        <v>6</v>
      </c>
      <c r="AA76" s="236">
        <v>2</v>
      </c>
      <c r="AB76" s="235" t="s">
        <v>2637</v>
      </c>
      <c r="AC76" s="236">
        <v>2000</v>
      </c>
      <c r="AD76" s="236" t="s">
        <v>2638</v>
      </c>
      <c r="AE76" s="237" t="s">
        <v>2639</v>
      </c>
      <c r="AF76"/>
      <c r="AG76"/>
      <c r="AH76" s="232" t="s">
        <v>1088</v>
      </c>
      <c r="AI76" s="345" t="s">
        <v>2570</v>
      </c>
    </row>
    <row r="77" spans="1:35" ht="16" customHeight="1" thickBot="1" x14ac:dyDescent="0.25">
      <c r="A77" s="7" t="s">
        <v>416</v>
      </c>
      <c r="B77" s="152">
        <v>7</v>
      </c>
      <c r="C77" s="17"/>
      <c r="D77" s="3" t="s">
        <v>371</v>
      </c>
      <c r="E77" s="151">
        <v>8.5</v>
      </c>
      <c r="F77" s="17"/>
      <c r="G77" s="3" t="s">
        <v>405</v>
      </c>
      <c r="H77" s="151">
        <v>8.5</v>
      </c>
      <c r="I77" s="17"/>
      <c r="J77" s="87" t="s">
        <v>893</v>
      </c>
      <c r="K77" s="1">
        <f>ROUND(SUM(K78:K88)/COUNT(K78:K88), 2)</f>
        <v>7.77</v>
      </c>
      <c r="L77" s="17"/>
      <c r="M77" s="39" t="s">
        <v>395</v>
      </c>
      <c r="N77" s="152">
        <v>9.5</v>
      </c>
      <c r="O77" s="17"/>
      <c r="R77" s="244">
        <v>75</v>
      </c>
      <c r="S77" s="232" t="s">
        <v>346</v>
      </c>
      <c r="T77" s="233" t="s">
        <v>1182</v>
      </c>
      <c r="U77" s="233">
        <v>8.73</v>
      </c>
      <c r="V77" s="247">
        <v>8.76</v>
      </c>
      <c r="W77" s="233">
        <v>8.5</v>
      </c>
      <c r="X77" s="233">
        <v>0.87</v>
      </c>
      <c r="Y77" s="233">
        <v>2</v>
      </c>
      <c r="Z77" s="233">
        <v>13</v>
      </c>
      <c r="AA77" s="233">
        <v>0</v>
      </c>
      <c r="AB77" s="232" t="s">
        <v>1184</v>
      </c>
      <c r="AC77" s="233">
        <v>2009</v>
      </c>
      <c r="AD77" s="233" t="s">
        <v>1932</v>
      </c>
      <c r="AE77" s="234" t="s">
        <v>2194</v>
      </c>
      <c r="AF77"/>
      <c r="AG77"/>
      <c r="AH77" s="235" t="s">
        <v>1094</v>
      </c>
      <c r="AI77" s="344" t="s">
        <v>1746</v>
      </c>
    </row>
    <row r="78" spans="1:35" ht="16" customHeight="1" thickBot="1" x14ac:dyDescent="0.25">
      <c r="A78" s="16"/>
      <c r="B78" s="16"/>
      <c r="C78" s="17"/>
      <c r="D78" s="37" t="s">
        <v>370</v>
      </c>
      <c r="E78" s="152">
        <v>8</v>
      </c>
      <c r="F78" s="17"/>
      <c r="G78" s="3" t="s">
        <v>406</v>
      </c>
      <c r="H78" s="153">
        <v>7.5</v>
      </c>
      <c r="I78" s="2"/>
      <c r="J78" s="5" t="s">
        <v>419</v>
      </c>
      <c r="K78" s="150">
        <v>8.5</v>
      </c>
      <c r="L78" s="2"/>
      <c r="M78" s="16"/>
      <c r="N78" s="16"/>
      <c r="O78" s="17"/>
      <c r="R78" s="244">
        <v>76</v>
      </c>
      <c r="S78" s="235" t="s">
        <v>342</v>
      </c>
      <c r="T78" s="236" t="s">
        <v>270</v>
      </c>
      <c r="U78" s="236">
        <v>8.7799999999999994</v>
      </c>
      <c r="V78" s="247">
        <v>8.76</v>
      </c>
      <c r="W78" s="236">
        <v>9</v>
      </c>
      <c r="X78" s="236">
        <v>0.79</v>
      </c>
      <c r="Y78" s="236">
        <v>2</v>
      </c>
      <c r="Z78" s="236">
        <v>10</v>
      </c>
      <c r="AA78" s="236">
        <v>1</v>
      </c>
      <c r="AB78" s="235" t="s">
        <v>761</v>
      </c>
      <c r="AC78" s="236">
        <v>1994</v>
      </c>
      <c r="AD78" s="236" t="s">
        <v>1931</v>
      </c>
      <c r="AE78" s="237" t="s">
        <v>2192</v>
      </c>
      <c r="AF78"/>
      <c r="AG78"/>
      <c r="AH78" s="232" t="s">
        <v>2527</v>
      </c>
      <c r="AI78" s="345" t="s">
        <v>2528</v>
      </c>
    </row>
    <row r="79" spans="1:35" ht="16" customHeight="1" thickBot="1" x14ac:dyDescent="0.25">
      <c r="A79" s="43" t="s">
        <v>479</v>
      </c>
      <c r="B79" s="1">
        <f>ROUND(SUM(B80:B91)/COUNT(B80:B91), 2)</f>
        <v>8.9600000000000009</v>
      </c>
      <c r="C79" s="2"/>
      <c r="D79" s="14"/>
      <c r="E79" s="16"/>
      <c r="F79" s="17"/>
      <c r="G79" s="3" t="s">
        <v>407</v>
      </c>
      <c r="H79" s="151">
        <v>8.5</v>
      </c>
      <c r="I79" s="2"/>
      <c r="J79" s="6" t="s">
        <v>420</v>
      </c>
      <c r="K79" s="151">
        <v>8.5</v>
      </c>
      <c r="L79" s="17"/>
      <c r="M79" s="99" t="s">
        <v>1000</v>
      </c>
      <c r="N79" s="1">
        <f>ROUND(SUM(N80:N91)/COUNT(N80:N91), 2)</f>
        <v>8.7899999999999991</v>
      </c>
      <c r="O79" s="17"/>
      <c r="R79" s="244">
        <v>77</v>
      </c>
      <c r="S79" s="232" t="s">
        <v>837</v>
      </c>
      <c r="T79" s="233" t="s">
        <v>832</v>
      </c>
      <c r="U79" s="233">
        <v>8.7100000000000009</v>
      </c>
      <c r="V79" s="247">
        <v>8.76</v>
      </c>
      <c r="W79" s="233">
        <v>8.5</v>
      </c>
      <c r="X79" s="233">
        <v>0.75</v>
      </c>
      <c r="Y79" s="233">
        <v>2</v>
      </c>
      <c r="Z79" s="233">
        <v>14</v>
      </c>
      <c r="AA79" s="233">
        <v>0</v>
      </c>
      <c r="AB79" s="232" t="s">
        <v>838</v>
      </c>
      <c r="AC79" s="233">
        <v>2005</v>
      </c>
      <c r="AD79" s="233" t="s">
        <v>1933</v>
      </c>
      <c r="AE79" s="234" t="s">
        <v>2171</v>
      </c>
      <c r="AF79"/>
      <c r="AG79"/>
      <c r="AH79" s="235" t="s">
        <v>1242</v>
      </c>
      <c r="AI79" s="344" t="s">
        <v>2362</v>
      </c>
    </row>
    <row r="80" spans="1:35" ht="16" customHeight="1" thickBot="1" x14ac:dyDescent="0.25">
      <c r="A80" s="5" t="s">
        <v>431</v>
      </c>
      <c r="B80" s="150">
        <v>8.5</v>
      </c>
      <c r="C80" s="2"/>
      <c r="D80" s="68" t="s">
        <v>874</v>
      </c>
      <c r="E80" s="1">
        <f>ROUND(SUM(E81:E99)/COUNT(E81:E99), 2)</f>
        <v>8.18</v>
      </c>
      <c r="F80" s="17"/>
      <c r="G80" s="3" t="s">
        <v>408</v>
      </c>
      <c r="H80" s="151">
        <v>8</v>
      </c>
      <c r="I80" s="2"/>
      <c r="J80" s="6" t="s">
        <v>421</v>
      </c>
      <c r="K80" s="151">
        <v>7.5</v>
      </c>
      <c r="L80" s="17"/>
      <c r="M80" s="3" t="s">
        <v>467</v>
      </c>
      <c r="N80" s="151">
        <v>10</v>
      </c>
      <c r="O80" s="17"/>
      <c r="R80" s="244">
        <v>78</v>
      </c>
      <c r="S80" s="235" t="s">
        <v>1478</v>
      </c>
      <c r="T80" s="236" t="s">
        <v>1479</v>
      </c>
      <c r="U80" s="236">
        <v>8.73</v>
      </c>
      <c r="V80" s="247">
        <v>8.76</v>
      </c>
      <c r="W80" s="236">
        <v>8.5</v>
      </c>
      <c r="X80" s="236">
        <v>0.75</v>
      </c>
      <c r="Y80" s="236">
        <v>1</v>
      </c>
      <c r="Z80" s="236">
        <v>13</v>
      </c>
      <c r="AA80" s="236">
        <v>0</v>
      </c>
      <c r="AB80" s="235" t="s">
        <v>1480</v>
      </c>
      <c r="AC80" s="236">
        <v>1992</v>
      </c>
      <c r="AD80" s="236" t="s">
        <v>1927</v>
      </c>
      <c r="AE80" s="237" t="s">
        <v>2150</v>
      </c>
      <c r="AF80"/>
      <c r="AG80"/>
      <c r="AH80" s="232" t="s">
        <v>1339</v>
      </c>
      <c r="AI80" s="345" t="s">
        <v>1340</v>
      </c>
    </row>
    <row r="81" spans="1:35" ht="16" customHeight="1" thickBot="1" x14ac:dyDescent="0.25">
      <c r="A81" s="6" t="s">
        <v>432</v>
      </c>
      <c r="B81" s="151">
        <v>9</v>
      </c>
      <c r="C81" s="2"/>
      <c r="D81" s="11" t="s">
        <v>445</v>
      </c>
      <c r="E81" s="150">
        <v>10</v>
      </c>
      <c r="F81" s="17"/>
      <c r="G81" s="37" t="s">
        <v>294</v>
      </c>
      <c r="H81" s="152">
        <v>7.5</v>
      </c>
      <c r="I81" s="2"/>
      <c r="J81" s="6" t="s">
        <v>422</v>
      </c>
      <c r="K81" s="151">
        <v>7</v>
      </c>
      <c r="L81" s="17"/>
      <c r="M81" s="3" t="s">
        <v>468</v>
      </c>
      <c r="N81" s="151">
        <v>10.5</v>
      </c>
      <c r="O81" s="17"/>
      <c r="R81" s="244">
        <v>79</v>
      </c>
      <c r="S81" s="232" t="s">
        <v>327</v>
      </c>
      <c r="T81" s="233" t="s">
        <v>558</v>
      </c>
      <c r="U81" s="233">
        <v>8.77</v>
      </c>
      <c r="V81" s="284">
        <v>8.75</v>
      </c>
      <c r="W81" s="233">
        <v>9</v>
      </c>
      <c r="X81" s="233">
        <v>0.72</v>
      </c>
      <c r="Y81" s="233">
        <v>1</v>
      </c>
      <c r="Z81" s="233">
        <v>11</v>
      </c>
      <c r="AA81" s="233">
        <v>0</v>
      </c>
      <c r="AB81" s="232" t="s">
        <v>753</v>
      </c>
      <c r="AC81" s="233">
        <v>2016</v>
      </c>
      <c r="AD81" s="233" t="s">
        <v>1929</v>
      </c>
      <c r="AE81" s="234" t="s">
        <v>2185</v>
      </c>
      <c r="AF81"/>
      <c r="AG81"/>
      <c r="AH81" s="235" t="s">
        <v>774</v>
      </c>
      <c r="AI81" s="344" t="s">
        <v>2578</v>
      </c>
    </row>
    <row r="82" spans="1:35" ht="16" customHeight="1" thickBot="1" x14ac:dyDescent="0.25">
      <c r="A82" s="6" t="s">
        <v>433</v>
      </c>
      <c r="B82" s="151">
        <v>10</v>
      </c>
      <c r="C82" s="2"/>
      <c r="D82" s="4" t="s">
        <v>446</v>
      </c>
      <c r="E82" s="151">
        <v>8</v>
      </c>
      <c r="F82" s="2"/>
      <c r="G82" s="16"/>
      <c r="H82" s="16"/>
      <c r="I82" s="2"/>
      <c r="J82" s="6" t="s">
        <v>423</v>
      </c>
      <c r="K82" s="151">
        <v>8</v>
      </c>
      <c r="L82" s="17"/>
      <c r="M82" s="3" t="s">
        <v>469</v>
      </c>
      <c r="N82" s="151">
        <v>8.5</v>
      </c>
      <c r="O82" s="17"/>
      <c r="R82" s="244">
        <v>80</v>
      </c>
      <c r="S82" s="235" t="s">
        <v>717</v>
      </c>
      <c r="T82" s="236" t="s">
        <v>713</v>
      </c>
      <c r="U82" s="236">
        <v>8.67</v>
      </c>
      <c r="V82" s="284">
        <v>8.75</v>
      </c>
      <c r="W82" s="236">
        <v>8</v>
      </c>
      <c r="X82" s="236">
        <v>1.04</v>
      </c>
      <c r="Y82" s="236">
        <v>4</v>
      </c>
      <c r="Z82" s="236">
        <v>16</v>
      </c>
      <c r="AA82" s="236">
        <v>1</v>
      </c>
      <c r="AB82" s="235" t="s">
        <v>777</v>
      </c>
      <c r="AC82" s="236">
        <v>2010</v>
      </c>
      <c r="AD82" s="236" t="s">
        <v>1934</v>
      </c>
      <c r="AE82" s="237" t="s">
        <v>2178</v>
      </c>
      <c r="AF82"/>
      <c r="AG82"/>
      <c r="AH82" s="232" t="s">
        <v>1848</v>
      </c>
      <c r="AI82" s="345" t="s">
        <v>2722</v>
      </c>
    </row>
    <row r="83" spans="1:35" ht="16" customHeight="1" thickBot="1" x14ac:dyDescent="0.25">
      <c r="A83" s="6" t="s">
        <v>434</v>
      </c>
      <c r="B83" s="151">
        <v>10.5</v>
      </c>
      <c r="C83" s="2"/>
      <c r="D83" s="4" t="s">
        <v>447</v>
      </c>
      <c r="E83" s="151">
        <v>8.5</v>
      </c>
      <c r="F83" s="17"/>
      <c r="G83" s="44" t="s">
        <v>482</v>
      </c>
      <c r="H83" s="1">
        <f>ROUND(SUM(H84:H95)/COUNT(H84:H95), 2)</f>
        <v>7.67</v>
      </c>
      <c r="I83" s="2"/>
      <c r="J83" s="6" t="s">
        <v>424</v>
      </c>
      <c r="K83" s="151">
        <v>7.5</v>
      </c>
      <c r="L83" s="17"/>
      <c r="M83" s="3" t="s">
        <v>470</v>
      </c>
      <c r="N83" s="151">
        <v>9.5</v>
      </c>
      <c r="O83" s="17"/>
      <c r="R83" s="244">
        <v>81</v>
      </c>
      <c r="S83" s="232" t="s">
        <v>2422</v>
      </c>
      <c r="T83" s="233" t="s">
        <v>2412</v>
      </c>
      <c r="U83" s="233">
        <v>8.86</v>
      </c>
      <c r="V83" s="291">
        <v>8.74</v>
      </c>
      <c r="W83" s="233">
        <v>8.5</v>
      </c>
      <c r="X83" s="233">
        <v>0.86</v>
      </c>
      <c r="Y83" s="233">
        <v>3</v>
      </c>
      <c r="Z83" s="233">
        <v>11</v>
      </c>
      <c r="AA83" s="233">
        <v>0</v>
      </c>
      <c r="AB83" s="232" t="s">
        <v>2424</v>
      </c>
      <c r="AC83" s="233">
        <v>1994</v>
      </c>
      <c r="AD83" s="233" t="s">
        <v>1913</v>
      </c>
      <c r="AE83" s="234" t="s">
        <v>2425</v>
      </c>
      <c r="AF83"/>
      <c r="AG83"/>
      <c r="AH83" s="235" t="s">
        <v>1082</v>
      </c>
      <c r="AI83" s="344" t="s">
        <v>2811</v>
      </c>
    </row>
    <row r="84" spans="1:35" ht="16" customHeight="1" x14ac:dyDescent="0.2">
      <c r="A84" s="6" t="s">
        <v>435</v>
      </c>
      <c r="B84" s="151">
        <v>8</v>
      </c>
      <c r="C84" s="2"/>
      <c r="D84" s="4" t="s">
        <v>448</v>
      </c>
      <c r="E84" s="151">
        <v>10</v>
      </c>
      <c r="F84" s="17"/>
      <c r="G84" s="3" t="s">
        <v>483</v>
      </c>
      <c r="H84" s="150">
        <v>8</v>
      </c>
      <c r="I84" s="2"/>
      <c r="J84" s="6" t="s">
        <v>425</v>
      </c>
      <c r="K84" s="151">
        <v>7.5</v>
      </c>
      <c r="L84" s="17"/>
      <c r="M84" s="3" t="s">
        <v>471</v>
      </c>
      <c r="N84" s="151">
        <v>8</v>
      </c>
      <c r="O84" s="17"/>
      <c r="R84" s="244">
        <v>82</v>
      </c>
      <c r="S84" s="235" t="s">
        <v>1439</v>
      </c>
      <c r="T84" s="236" t="s">
        <v>1440</v>
      </c>
      <c r="U84" s="236">
        <v>8.83</v>
      </c>
      <c r="V84" s="241">
        <v>8.7200000000000006</v>
      </c>
      <c r="W84" s="236">
        <v>8.5</v>
      </c>
      <c r="X84" s="236">
        <v>0.57999999999999996</v>
      </c>
      <c r="Y84" s="236">
        <v>1</v>
      </c>
      <c r="Z84" s="236">
        <v>9</v>
      </c>
      <c r="AA84" s="236">
        <v>0</v>
      </c>
      <c r="AB84" s="235" t="s">
        <v>1442</v>
      </c>
      <c r="AC84" s="236">
        <v>2002</v>
      </c>
      <c r="AD84" s="236" t="s">
        <v>1928</v>
      </c>
      <c r="AE84" s="237" t="s">
        <v>2152</v>
      </c>
      <c r="AF84"/>
      <c r="AG84"/>
      <c r="AH84" s="232" t="s">
        <v>1183</v>
      </c>
      <c r="AI84" s="345" t="s">
        <v>2820</v>
      </c>
    </row>
    <row r="85" spans="1:35" ht="16" customHeight="1" x14ac:dyDescent="0.2">
      <c r="A85" s="6" t="s">
        <v>436</v>
      </c>
      <c r="B85" s="151">
        <v>8.5</v>
      </c>
      <c r="C85" s="2"/>
      <c r="D85" s="4" t="s">
        <v>449</v>
      </c>
      <c r="E85" s="151">
        <v>8.5</v>
      </c>
      <c r="F85" s="17"/>
      <c r="G85" s="3" t="s">
        <v>484</v>
      </c>
      <c r="H85" s="151">
        <v>8</v>
      </c>
      <c r="I85" s="2"/>
      <c r="J85" s="6" t="s">
        <v>426</v>
      </c>
      <c r="K85" s="151">
        <v>7.5</v>
      </c>
      <c r="L85" s="17"/>
      <c r="M85" s="3" t="s">
        <v>472</v>
      </c>
      <c r="N85" s="151">
        <v>8</v>
      </c>
      <c r="O85" s="17"/>
      <c r="R85" s="244">
        <v>83</v>
      </c>
      <c r="S85" s="232" t="s">
        <v>409</v>
      </c>
      <c r="T85" s="233" t="s">
        <v>407</v>
      </c>
      <c r="U85" s="233">
        <v>8.67</v>
      </c>
      <c r="V85" s="329">
        <v>8.7100000000000009</v>
      </c>
      <c r="W85" s="233">
        <v>8.5</v>
      </c>
      <c r="X85" s="233">
        <v>0.85</v>
      </c>
      <c r="Y85" s="233">
        <v>2</v>
      </c>
      <c r="Z85" s="233">
        <v>12</v>
      </c>
      <c r="AA85" s="233">
        <v>0</v>
      </c>
      <c r="AB85" s="232" t="s">
        <v>819</v>
      </c>
      <c r="AC85" s="233">
        <v>1989</v>
      </c>
      <c r="AD85" s="233" t="s">
        <v>1937</v>
      </c>
      <c r="AE85" s="234" t="s">
        <v>2190</v>
      </c>
      <c r="AF85"/>
      <c r="AG85"/>
      <c r="AH85" s="235" t="s">
        <v>2544</v>
      </c>
      <c r="AI85" s="344" t="s">
        <v>1241</v>
      </c>
    </row>
    <row r="86" spans="1:35" ht="16" customHeight="1" x14ac:dyDescent="0.2">
      <c r="A86" s="6" t="s">
        <v>437</v>
      </c>
      <c r="B86" s="151">
        <v>9</v>
      </c>
      <c r="C86" s="2"/>
      <c r="D86" s="4" t="s">
        <v>450</v>
      </c>
      <c r="E86" s="151">
        <v>7</v>
      </c>
      <c r="F86" s="17"/>
      <c r="G86" s="3" t="s">
        <v>485</v>
      </c>
      <c r="H86" s="151">
        <v>8</v>
      </c>
      <c r="I86" s="2"/>
      <c r="J86" s="6" t="s">
        <v>427</v>
      </c>
      <c r="K86" s="151">
        <v>7</v>
      </c>
      <c r="L86" s="17"/>
      <c r="M86" s="3" t="s">
        <v>473</v>
      </c>
      <c r="N86" s="151">
        <v>8.5</v>
      </c>
      <c r="O86" s="17"/>
      <c r="R86" s="244">
        <v>84</v>
      </c>
      <c r="S86" s="235" t="s">
        <v>1504</v>
      </c>
      <c r="T86" s="236" t="s">
        <v>1505</v>
      </c>
      <c r="U86" s="236">
        <v>8.75</v>
      </c>
      <c r="V86" s="245">
        <v>8.6999999999999993</v>
      </c>
      <c r="W86" s="236">
        <v>8.75</v>
      </c>
      <c r="X86" s="236">
        <v>0.75</v>
      </c>
      <c r="Y86" s="236">
        <v>2</v>
      </c>
      <c r="Z86" s="236">
        <v>10</v>
      </c>
      <c r="AA86" s="236">
        <v>0</v>
      </c>
      <c r="AB86" s="235" t="s">
        <v>1506</v>
      </c>
      <c r="AC86" s="236">
        <v>1998</v>
      </c>
      <c r="AD86" s="236" t="s">
        <v>1938</v>
      </c>
      <c r="AE86" s="237" t="s">
        <v>2148</v>
      </c>
      <c r="AF86"/>
      <c r="AG86"/>
      <c r="AH86" s="232" t="s">
        <v>1507</v>
      </c>
      <c r="AI86" s="345" t="s">
        <v>1241</v>
      </c>
    </row>
    <row r="87" spans="1:35" ht="16" customHeight="1" x14ac:dyDescent="0.2">
      <c r="A87" s="6" t="s">
        <v>438</v>
      </c>
      <c r="B87" s="151">
        <v>8</v>
      </c>
      <c r="C87" s="2"/>
      <c r="D87" s="4" t="s">
        <v>451</v>
      </c>
      <c r="E87" s="151">
        <v>7.5</v>
      </c>
      <c r="F87" s="17"/>
      <c r="G87" s="3" t="s">
        <v>486</v>
      </c>
      <c r="H87" s="151">
        <v>8.5</v>
      </c>
      <c r="I87" s="2"/>
      <c r="J87" s="6" t="s">
        <v>428</v>
      </c>
      <c r="K87" s="151">
        <v>7.5</v>
      </c>
      <c r="L87" s="17"/>
      <c r="M87" s="3" t="s">
        <v>474</v>
      </c>
      <c r="N87" s="151">
        <v>9</v>
      </c>
      <c r="O87" s="17"/>
      <c r="R87" s="244">
        <v>85</v>
      </c>
      <c r="S87" s="232" t="s">
        <v>1695</v>
      </c>
      <c r="T87" s="233" t="s">
        <v>1691</v>
      </c>
      <c r="U87" s="233">
        <v>8.81</v>
      </c>
      <c r="V87" s="245">
        <v>8.6999999999999993</v>
      </c>
      <c r="W87" s="233">
        <v>8.5</v>
      </c>
      <c r="X87" s="233">
        <v>0.83</v>
      </c>
      <c r="Y87" s="233">
        <v>2</v>
      </c>
      <c r="Z87" s="233">
        <v>8</v>
      </c>
      <c r="AA87" s="233">
        <v>0</v>
      </c>
      <c r="AB87" s="232" t="s">
        <v>1355</v>
      </c>
      <c r="AC87" s="233">
        <v>1982</v>
      </c>
      <c r="AD87" s="233" t="s">
        <v>1915</v>
      </c>
      <c r="AE87" s="234" t="s">
        <v>2141</v>
      </c>
      <c r="AF87"/>
      <c r="AG87"/>
      <c r="AH87" s="235" t="s">
        <v>2812</v>
      </c>
      <c r="AI87" s="344" t="s">
        <v>1241</v>
      </c>
    </row>
    <row r="88" spans="1:35" ht="16" customHeight="1" thickBot="1" x14ac:dyDescent="0.25">
      <c r="A88" s="6" t="s">
        <v>439</v>
      </c>
      <c r="B88" s="151">
        <v>8.5</v>
      </c>
      <c r="C88" s="2"/>
      <c r="D88" s="4" t="s">
        <v>452</v>
      </c>
      <c r="E88" s="151">
        <v>9</v>
      </c>
      <c r="F88" s="17"/>
      <c r="G88" s="3" t="s">
        <v>487</v>
      </c>
      <c r="H88" s="151">
        <v>7</v>
      </c>
      <c r="I88" s="2"/>
      <c r="J88" s="8" t="s">
        <v>429</v>
      </c>
      <c r="K88" s="152">
        <v>9</v>
      </c>
      <c r="L88" s="17"/>
      <c r="M88" s="3" t="s">
        <v>475</v>
      </c>
      <c r="N88" s="151">
        <v>8</v>
      </c>
      <c r="O88" s="17"/>
      <c r="R88" s="244">
        <v>86</v>
      </c>
      <c r="S88" s="235" t="s">
        <v>1458</v>
      </c>
      <c r="T88" s="236" t="s">
        <v>1463</v>
      </c>
      <c r="U88" s="236">
        <v>8.8000000000000007</v>
      </c>
      <c r="V88" s="292">
        <v>8.68</v>
      </c>
      <c r="W88" s="236">
        <v>8.5</v>
      </c>
      <c r="X88" s="236">
        <v>0.7</v>
      </c>
      <c r="Y88" s="236">
        <v>2</v>
      </c>
      <c r="Z88" s="236">
        <v>15</v>
      </c>
      <c r="AA88" s="236">
        <v>0</v>
      </c>
      <c r="AB88" s="235" t="s">
        <v>1460</v>
      </c>
      <c r="AC88" s="236">
        <v>2012</v>
      </c>
      <c r="AD88" s="236" t="s">
        <v>1914</v>
      </c>
      <c r="AE88" s="237" t="s">
        <v>2151</v>
      </c>
      <c r="AF88"/>
      <c r="AG88"/>
      <c r="AH88" s="232" t="s">
        <v>1649</v>
      </c>
      <c r="AI88" s="345" t="s">
        <v>1241</v>
      </c>
    </row>
    <row r="89" spans="1:35" ht="16" customHeight="1" thickBot="1" x14ac:dyDescent="0.25">
      <c r="A89" s="6" t="s">
        <v>440</v>
      </c>
      <c r="B89" s="151">
        <v>9.5</v>
      </c>
      <c r="C89" s="2"/>
      <c r="D89" s="4" t="s">
        <v>453</v>
      </c>
      <c r="E89" s="151">
        <v>7</v>
      </c>
      <c r="F89" s="17"/>
      <c r="G89" s="3" t="s">
        <v>488</v>
      </c>
      <c r="H89" s="151">
        <v>8</v>
      </c>
      <c r="I89" s="2"/>
      <c r="J89" s="16"/>
      <c r="K89" s="16"/>
      <c r="L89" s="17"/>
      <c r="M89" s="3" t="s">
        <v>476</v>
      </c>
      <c r="N89" s="151">
        <v>7</v>
      </c>
      <c r="O89" s="17"/>
      <c r="R89" s="244">
        <v>87</v>
      </c>
      <c r="S89" s="232" t="s">
        <v>1478</v>
      </c>
      <c r="T89" s="233" t="s">
        <v>2631</v>
      </c>
      <c r="U89" s="233">
        <v>8.6300000000000008</v>
      </c>
      <c r="V89" s="248">
        <v>8.67</v>
      </c>
      <c r="W89" s="233">
        <v>8.5</v>
      </c>
      <c r="X89" s="233">
        <v>0.89</v>
      </c>
      <c r="Y89" s="233">
        <v>2</v>
      </c>
      <c r="Z89" s="233">
        <v>12</v>
      </c>
      <c r="AA89" s="233">
        <v>0</v>
      </c>
      <c r="AB89" s="232" t="s">
        <v>1848</v>
      </c>
      <c r="AC89" s="233">
        <v>1995</v>
      </c>
      <c r="AD89" s="233" t="s">
        <v>1933</v>
      </c>
      <c r="AE89" s="234" t="s">
        <v>2640</v>
      </c>
      <c r="AF89"/>
      <c r="AG89"/>
      <c r="AH89" s="235" t="s">
        <v>1650</v>
      </c>
      <c r="AI89" s="344" t="s">
        <v>1241</v>
      </c>
    </row>
    <row r="90" spans="1:35" ht="16" customHeight="1" thickBot="1" x14ac:dyDescent="0.25">
      <c r="A90" s="6" t="s">
        <v>441</v>
      </c>
      <c r="B90" s="151">
        <v>8</v>
      </c>
      <c r="C90" s="2"/>
      <c r="D90" s="4" t="s">
        <v>454</v>
      </c>
      <c r="E90" s="151">
        <v>8</v>
      </c>
      <c r="F90" s="17"/>
      <c r="G90" s="3" t="s">
        <v>489</v>
      </c>
      <c r="H90" s="151">
        <v>7</v>
      </c>
      <c r="I90" s="17"/>
      <c r="J90" s="47" t="s">
        <v>497</v>
      </c>
      <c r="K90" s="1">
        <f>ROUND(SUM(K91:K96)/COUNT(K91:K96), 2)</f>
        <v>9.17</v>
      </c>
      <c r="L90" s="17"/>
      <c r="M90" s="3" t="s">
        <v>477</v>
      </c>
      <c r="N90" s="151">
        <v>8.5</v>
      </c>
      <c r="O90" s="17"/>
      <c r="R90" s="244">
        <v>88</v>
      </c>
      <c r="S90" s="235" t="s">
        <v>2752</v>
      </c>
      <c r="T90" s="236" t="s">
        <v>2753</v>
      </c>
      <c r="U90" s="236">
        <v>8.75</v>
      </c>
      <c r="V90" s="248">
        <v>8.67</v>
      </c>
      <c r="W90" s="236">
        <v>8.75</v>
      </c>
      <c r="X90" s="236">
        <v>0.75</v>
      </c>
      <c r="Y90" s="236">
        <v>1</v>
      </c>
      <c r="Z90" s="236">
        <v>11</v>
      </c>
      <c r="AA90" s="236">
        <v>1</v>
      </c>
      <c r="AB90" s="235" t="s">
        <v>2793</v>
      </c>
      <c r="AC90" s="236">
        <v>1991</v>
      </c>
      <c r="AD90" s="236" t="s">
        <v>1919</v>
      </c>
      <c r="AE90" s="237" t="s">
        <v>2756</v>
      </c>
      <c r="AF90"/>
      <c r="AG90"/>
      <c r="AH90" s="232" t="s">
        <v>2209</v>
      </c>
      <c r="AI90" s="345" t="s">
        <v>1241</v>
      </c>
    </row>
    <row r="91" spans="1:35" ht="16" customHeight="1" thickBot="1" x14ac:dyDescent="0.25">
      <c r="A91" s="8" t="s">
        <v>442</v>
      </c>
      <c r="B91" s="152">
        <v>10</v>
      </c>
      <c r="C91" s="2"/>
      <c r="D91" s="4" t="s">
        <v>455</v>
      </c>
      <c r="E91" s="151">
        <v>7.5</v>
      </c>
      <c r="F91" s="17"/>
      <c r="G91" s="3" t="s">
        <v>490</v>
      </c>
      <c r="H91" s="151">
        <v>8</v>
      </c>
      <c r="I91" s="2"/>
      <c r="J91" s="5" t="s">
        <v>498</v>
      </c>
      <c r="K91" s="150">
        <v>9.5</v>
      </c>
      <c r="L91" s="17"/>
      <c r="M91" s="37" t="s">
        <v>478</v>
      </c>
      <c r="N91" s="152">
        <v>10</v>
      </c>
      <c r="O91" s="17"/>
      <c r="R91" s="244">
        <v>89</v>
      </c>
      <c r="S91" s="232" t="s">
        <v>1334</v>
      </c>
      <c r="T91" s="233" t="s">
        <v>1335</v>
      </c>
      <c r="U91" s="233">
        <v>8.77</v>
      </c>
      <c r="V91" s="280">
        <v>8.65</v>
      </c>
      <c r="W91" s="233">
        <v>8.5</v>
      </c>
      <c r="X91" s="233">
        <v>0.75</v>
      </c>
      <c r="Y91" s="233">
        <v>2</v>
      </c>
      <c r="Z91" s="233">
        <v>14</v>
      </c>
      <c r="AA91" s="233">
        <v>1</v>
      </c>
      <c r="AB91" s="232" t="s">
        <v>1338</v>
      </c>
      <c r="AC91" s="233">
        <v>2002</v>
      </c>
      <c r="AD91" s="233" t="s">
        <v>1916</v>
      </c>
      <c r="AE91" s="234" t="s">
        <v>2157</v>
      </c>
      <c r="AF91"/>
      <c r="AG91"/>
      <c r="AH91" s="235" t="s">
        <v>1240</v>
      </c>
      <c r="AI91" s="344" t="s">
        <v>1241</v>
      </c>
    </row>
    <row r="92" spans="1:35" ht="16" customHeight="1" thickBot="1" x14ac:dyDescent="0.25">
      <c r="A92" s="16"/>
      <c r="B92" s="16"/>
      <c r="C92" s="2"/>
      <c r="D92" s="4" t="s">
        <v>456</v>
      </c>
      <c r="E92" s="151">
        <v>8.5</v>
      </c>
      <c r="F92" s="17"/>
      <c r="G92" s="3" t="s">
        <v>491</v>
      </c>
      <c r="H92" s="151">
        <v>7</v>
      </c>
      <c r="I92" s="2"/>
      <c r="J92" s="6" t="s">
        <v>499</v>
      </c>
      <c r="K92" s="151">
        <v>8.5</v>
      </c>
      <c r="L92" s="2"/>
      <c r="M92" s="16"/>
      <c r="N92" s="16"/>
      <c r="O92" s="17"/>
      <c r="R92" s="244">
        <v>90</v>
      </c>
      <c r="S92" s="235" t="s">
        <v>335</v>
      </c>
      <c r="T92" s="236" t="s">
        <v>335</v>
      </c>
      <c r="U92" s="236">
        <v>8.4600000000000009</v>
      </c>
      <c r="V92" s="280">
        <v>8.65</v>
      </c>
      <c r="W92" s="236">
        <v>8.5</v>
      </c>
      <c r="X92" s="236">
        <v>1.33</v>
      </c>
      <c r="Y92" s="236">
        <v>3</v>
      </c>
      <c r="Z92" s="236">
        <v>12</v>
      </c>
      <c r="AA92" s="236">
        <v>0</v>
      </c>
      <c r="AB92" s="235" t="s">
        <v>1355</v>
      </c>
      <c r="AC92" s="236">
        <v>2021</v>
      </c>
      <c r="AD92" s="236" t="s">
        <v>1935</v>
      </c>
      <c r="AE92" s="237" t="s">
        <v>2156</v>
      </c>
      <c r="AF92"/>
      <c r="AG92"/>
      <c r="AH92" s="232" t="s">
        <v>1102</v>
      </c>
      <c r="AI92" s="345" t="s">
        <v>2597</v>
      </c>
    </row>
    <row r="93" spans="1:35" ht="16" customHeight="1" thickBot="1" x14ac:dyDescent="0.25">
      <c r="A93" s="88" t="s">
        <v>894</v>
      </c>
      <c r="B93" s="12">
        <f>ROUND(SUM(B94:B101)/COUNT(B94:B101), 2)</f>
        <v>8.69</v>
      </c>
      <c r="C93" s="2"/>
      <c r="D93" s="4" t="s">
        <v>457</v>
      </c>
      <c r="E93" s="151">
        <v>8</v>
      </c>
      <c r="F93" s="17"/>
      <c r="G93" s="3" t="s">
        <v>492</v>
      </c>
      <c r="H93" s="151">
        <v>8</v>
      </c>
      <c r="I93" s="2"/>
      <c r="J93" s="6" t="s">
        <v>500</v>
      </c>
      <c r="K93" s="151">
        <v>10.5</v>
      </c>
      <c r="L93" s="17"/>
      <c r="M93" s="98" t="s">
        <v>999</v>
      </c>
      <c r="N93" s="1">
        <f>ROUND(SUM(N94:N110)/COUNT(N94:N110), 2)</f>
        <v>8.5</v>
      </c>
      <c r="O93" s="17"/>
      <c r="R93" s="244">
        <v>91</v>
      </c>
      <c r="S93" s="232" t="s">
        <v>1645</v>
      </c>
      <c r="T93" s="233" t="s">
        <v>1641</v>
      </c>
      <c r="U93" s="233">
        <v>8.75</v>
      </c>
      <c r="V93" s="280">
        <v>8.65</v>
      </c>
      <c r="W93" s="233">
        <v>8.5</v>
      </c>
      <c r="X93" s="233">
        <v>0.56000000000000005</v>
      </c>
      <c r="Y93" s="233">
        <v>1</v>
      </c>
      <c r="Z93" s="233">
        <v>9</v>
      </c>
      <c r="AA93" s="233">
        <v>1</v>
      </c>
      <c r="AB93" s="232" t="s">
        <v>1648</v>
      </c>
      <c r="AC93" s="233">
        <v>2000</v>
      </c>
      <c r="AD93" s="233" t="s">
        <v>1903</v>
      </c>
      <c r="AE93" s="234" t="s">
        <v>2144</v>
      </c>
      <c r="AF93"/>
      <c r="AG93"/>
      <c r="AH93" s="235" t="s">
        <v>1196</v>
      </c>
      <c r="AI93" s="344" t="s">
        <v>1090</v>
      </c>
    </row>
    <row r="94" spans="1:35" ht="16" customHeight="1" x14ac:dyDescent="0.2">
      <c r="A94" s="11" t="s">
        <v>504</v>
      </c>
      <c r="B94" s="150">
        <v>10</v>
      </c>
      <c r="C94" s="2"/>
      <c r="D94" s="4" t="s">
        <v>458</v>
      </c>
      <c r="E94" s="151">
        <v>8</v>
      </c>
      <c r="F94" s="17"/>
      <c r="G94" s="3" t="s">
        <v>493</v>
      </c>
      <c r="H94" s="151">
        <v>6.5</v>
      </c>
      <c r="I94" s="2"/>
      <c r="J94" s="6" t="s">
        <v>501</v>
      </c>
      <c r="K94" s="151">
        <v>9</v>
      </c>
      <c r="L94" s="2"/>
      <c r="M94" s="5" t="s">
        <v>516</v>
      </c>
      <c r="N94" s="150">
        <v>8</v>
      </c>
      <c r="O94" s="17"/>
      <c r="R94" s="244">
        <v>92</v>
      </c>
      <c r="S94" s="235" t="s">
        <v>2207</v>
      </c>
      <c r="T94" s="236" t="s">
        <v>2208</v>
      </c>
      <c r="U94" s="236">
        <v>8.75</v>
      </c>
      <c r="V94" s="279">
        <v>8.64</v>
      </c>
      <c r="W94" s="236">
        <v>8.5</v>
      </c>
      <c r="X94" s="236">
        <v>0.66</v>
      </c>
      <c r="Y94" s="236">
        <v>1</v>
      </c>
      <c r="Z94" s="236">
        <v>8</v>
      </c>
      <c r="AA94" s="236">
        <v>0</v>
      </c>
      <c r="AB94" s="235" t="s">
        <v>2209</v>
      </c>
      <c r="AC94" s="236">
        <v>1996</v>
      </c>
      <c r="AD94" s="236" t="s">
        <v>1915</v>
      </c>
      <c r="AE94" s="237" t="s">
        <v>2127</v>
      </c>
      <c r="AF94"/>
      <c r="AG94"/>
      <c r="AH94" s="232" t="s">
        <v>1491</v>
      </c>
      <c r="AI94" s="345" t="s">
        <v>1090</v>
      </c>
    </row>
    <row r="95" spans="1:35" ht="16" customHeight="1" thickBot="1" x14ac:dyDescent="0.25">
      <c r="A95" s="4" t="s">
        <v>505</v>
      </c>
      <c r="B95" s="151">
        <v>9.5</v>
      </c>
      <c r="C95" s="2"/>
      <c r="D95" s="4" t="s">
        <v>459</v>
      </c>
      <c r="E95" s="151">
        <v>7</v>
      </c>
      <c r="F95" s="17"/>
      <c r="G95" s="7" t="s">
        <v>494</v>
      </c>
      <c r="H95" s="152">
        <v>8</v>
      </c>
      <c r="I95" s="2"/>
      <c r="J95" s="6" t="s">
        <v>502</v>
      </c>
      <c r="K95" s="151">
        <v>9</v>
      </c>
      <c r="L95" s="2"/>
      <c r="M95" s="6" t="s">
        <v>517</v>
      </c>
      <c r="N95" s="151">
        <v>8</v>
      </c>
      <c r="O95" s="17"/>
      <c r="R95" s="244">
        <v>93</v>
      </c>
      <c r="S95" s="232" t="s">
        <v>334</v>
      </c>
      <c r="T95" s="233" t="s">
        <v>512</v>
      </c>
      <c r="U95" s="233">
        <v>8.69</v>
      </c>
      <c r="V95" s="271">
        <v>8.6300000000000008</v>
      </c>
      <c r="W95" s="233">
        <v>8.75</v>
      </c>
      <c r="X95" s="233">
        <v>0.79</v>
      </c>
      <c r="Y95" s="233">
        <v>1</v>
      </c>
      <c r="Z95" s="233">
        <v>8</v>
      </c>
      <c r="AA95" s="233">
        <v>0</v>
      </c>
      <c r="AB95" s="232" t="s">
        <v>776</v>
      </c>
      <c r="AC95" s="233">
        <v>2003</v>
      </c>
      <c r="AD95" s="233" t="s">
        <v>1938</v>
      </c>
      <c r="AE95" s="234" t="s">
        <v>2186</v>
      </c>
      <c r="AF95"/>
      <c r="AG95"/>
      <c r="AH95" s="235" t="s">
        <v>1492</v>
      </c>
      <c r="AI95" s="344" t="s">
        <v>1090</v>
      </c>
    </row>
    <row r="96" spans="1:35" ht="16" customHeight="1" thickBot="1" x14ac:dyDescent="0.25">
      <c r="A96" s="4" t="s">
        <v>506</v>
      </c>
      <c r="B96" s="151">
        <v>8.5</v>
      </c>
      <c r="C96" s="2"/>
      <c r="D96" s="4" t="s">
        <v>460</v>
      </c>
      <c r="E96" s="151">
        <v>8.5</v>
      </c>
      <c r="F96" s="2"/>
      <c r="G96" s="16"/>
      <c r="H96" s="16"/>
      <c r="I96" s="2"/>
      <c r="J96" s="8" t="s">
        <v>503</v>
      </c>
      <c r="K96" s="152">
        <v>8.5</v>
      </c>
      <c r="L96" s="2"/>
      <c r="M96" s="6" t="s">
        <v>518</v>
      </c>
      <c r="N96" s="151">
        <v>9</v>
      </c>
      <c r="O96" s="17"/>
      <c r="R96" s="244">
        <v>94</v>
      </c>
      <c r="S96" s="235" t="s">
        <v>1238</v>
      </c>
      <c r="T96" s="236" t="s">
        <v>1233</v>
      </c>
      <c r="U96" s="236">
        <v>8.75</v>
      </c>
      <c r="V96" s="271">
        <v>8.6300000000000008</v>
      </c>
      <c r="W96" s="236">
        <v>8.5</v>
      </c>
      <c r="X96" s="236">
        <v>0.8</v>
      </c>
      <c r="Y96" s="236">
        <v>1</v>
      </c>
      <c r="Z96" s="236">
        <v>7</v>
      </c>
      <c r="AA96" s="236">
        <v>1</v>
      </c>
      <c r="AB96" s="235" t="s">
        <v>1239</v>
      </c>
      <c r="AC96" s="236">
        <v>2013</v>
      </c>
      <c r="AD96" s="236" t="s">
        <v>1917</v>
      </c>
      <c r="AE96" s="237" t="s">
        <v>2160</v>
      </c>
      <c r="AF96"/>
      <c r="AG96"/>
      <c r="AH96" s="232" t="s">
        <v>2245</v>
      </c>
      <c r="AI96" s="345" t="s">
        <v>1090</v>
      </c>
    </row>
    <row r="97" spans="1:35" ht="16" customHeight="1" thickBot="1" x14ac:dyDescent="0.25">
      <c r="A97" s="4" t="s">
        <v>507</v>
      </c>
      <c r="B97" s="151">
        <v>8</v>
      </c>
      <c r="C97" s="2"/>
      <c r="D97" s="4" t="s">
        <v>461</v>
      </c>
      <c r="E97" s="151">
        <v>8.5</v>
      </c>
      <c r="F97" s="17"/>
      <c r="G97" s="46" t="s">
        <v>545</v>
      </c>
      <c r="H97" s="1">
        <f>ROUND(SUM(H98:H108)/COUNT(H98:H109), 2)</f>
        <v>8.77</v>
      </c>
      <c r="I97" s="2"/>
      <c r="J97" s="16"/>
      <c r="K97" s="16"/>
      <c r="L97" s="2"/>
      <c r="M97" s="6" t="s">
        <v>519</v>
      </c>
      <c r="N97" s="151"/>
      <c r="O97" s="17"/>
      <c r="R97" s="244">
        <v>95</v>
      </c>
      <c r="S97" s="232" t="s">
        <v>1605</v>
      </c>
      <c r="T97" s="233" t="s">
        <v>1598</v>
      </c>
      <c r="U97" s="233">
        <v>8.75</v>
      </c>
      <c r="V97" s="271">
        <v>8.6300000000000008</v>
      </c>
      <c r="W97" s="233">
        <v>8.5</v>
      </c>
      <c r="X97" s="233">
        <v>0.87</v>
      </c>
      <c r="Y97" s="233">
        <v>2</v>
      </c>
      <c r="Z97" s="233">
        <v>10</v>
      </c>
      <c r="AA97" s="233">
        <v>0</v>
      </c>
      <c r="AB97" s="232" t="s">
        <v>1608</v>
      </c>
      <c r="AC97" s="233">
        <v>1979</v>
      </c>
      <c r="AD97" s="233" t="s">
        <v>1920</v>
      </c>
      <c r="AE97" s="234" t="s">
        <v>2146</v>
      </c>
      <c r="AF97"/>
      <c r="AG97"/>
      <c r="AH97" s="235" t="s">
        <v>1091</v>
      </c>
      <c r="AI97" s="344" t="s">
        <v>1090</v>
      </c>
    </row>
    <row r="98" spans="1:35" ht="16" customHeight="1" thickBot="1" x14ac:dyDescent="0.25">
      <c r="A98" s="4" t="s">
        <v>508</v>
      </c>
      <c r="B98" s="151">
        <v>9</v>
      </c>
      <c r="C98" s="2"/>
      <c r="D98" s="4" t="s">
        <v>462</v>
      </c>
      <c r="E98" s="151">
        <v>7</v>
      </c>
      <c r="F98" s="2"/>
      <c r="G98" s="5" t="s">
        <v>535</v>
      </c>
      <c r="H98" s="150">
        <v>9.5</v>
      </c>
      <c r="I98" s="17"/>
      <c r="J98" s="183" t="s">
        <v>2267</v>
      </c>
      <c r="K98" s="1">
        <f>ROUND(SUM(K99:K109)/COUNT(K99:K109), 2)</f>
        <v>9.61</v>
      </c>
      <c r="L98" s="2"/>
      <c r="M98" s="6" t="s">
        <v>520</v>
      </c>
      <c r="N98" s="151">
        <v>8.5</v>
      </c>
      <c r="O98" s="17"/>
      <c r="R98" s="244">
        <v>96</v>
      </c>
      <c r="S98" s="235" t="s">
        <v>1150</v>
      </c>
      <c r="T98" s="236" t="s">
        <v>1704</v>
      </c>
      <c r="U98" s="236">
        <v>8.57</v>
      </c>
      <c r="V98" s="271">
        <v>8.6300000000000008</v>
      </c>
      <c r="W98" s="236">
        <v>8.5</v>
      </c>
      <c r="X98" s="236">
        <v>0.78</v>
      </c>
      <c r="Y98" s="236">
        <v>3</v>
      </c>
      <c r="Z98" s="236">
        <v>28</v>
      </c>
      <c r="AA98" s="236">
        <v>1</v>
      </c>
      <c r="AB98" s="235" t="s">
        <v>1731</v>
      </c>
      <c r="AC98" s="236">
        <v>1995</v>
      </c>
      <c r="AD98" s="236" t="s">
        <v>1930</v>
      </c>
      <c r="AE98" s="237" t="s">
        <v>2139</v>
      </c>
      <c r="AF98"/>
      <c r="AG98"/>
      <c r="AH98" s="232" t="s">
        <v>1095</v>
      </c>
      <c r="AI98" s="345" t="s">
        <v>1508</v>
      </c>
    </row>
    <row r="99" spans="1:35" ht="16" customHeight="1" thickBot="1" x14ac:dyDescent="0.25">
      <c r="A99" s="4" t="s">
        <v>509</v>
      </c>
      <c r="B99" s="151">
        <v>8</v>
      </c>
      <c r="C99" s="2"/>
      <c r="D99" s="7" t="s">
        <v>463</v>
      </c>
      <c r="E99" s="152">
        <v>9</v>
      </c>
      <c r="F99" s="2"/>
      <c r="G99" s="6" t="s">
        <v>536</v>
      </c>
      <c r="H99" s="151">
        <v>8.5</v>
      </c>
      <c r="I99" s="2"/>
      <c r="J99" s="5" t="s">
        <v>546</v>
      </c>
      <c r="K99" s="150">
        <v>10.5</v>
      </c>
      <c r="L99" s="2"/>
      <c r="M99" s="6" t="s">
        <v>521</v>
      </c>
      <c r="N99" s="151">
        <v>7.5</v>
      </c>
      <c r="O99" s="17"/>
      <c r="R99" s="244">
        <v>97</v>
      </c>
      <c r="S99" s="232" t="s">
        <v>2226</v>
      </c>
      <c r="T99" s="233" t="s">
        <v>2227</v>
      </c>
      <c r="U99" s="233">
        <v>8.73</v>
      </c>
      <c r="V99" s="271">
        <v>8.6300000000000008</v>
      </c>
      <c r="W99" s="233">
        <v>8.5</v>
      </c>
      <c r="X99" s="233">
        <v>0.67</v>
      </c>
      <c r="Y99" s="233">
        <v>2</v>
      </c>
      <c r="Z99" s="233">
        <v>15</v>
      </c>
      <c r="AA99" s="233">
        <v>2</v>
      </c>
      <c r="AB99" s="232" t="s">
        <v>2228</v>
      </c>
      <c r="AC99" s="233">
        <v>2024</v>
      </c>
      <c r="AD99" s="233" t="s">
        <v>1905</v>
      </c>
      <c r="AE99" s="234" t="s">
        <v>2229</v>
      </c>
      <c r="AF99"/>
      <c r="AG99"/>
      <c r="AH99" s="235" t="s">
        <v>2427</v>
      </c>
      <c r="AI99" s="344" t="s">
        <v>2757</v>
      </c>
    </row>
    <row r="100" spans="1:35" ht="16" customHeight="1" thickBot="1" x14ac:dyDescent="0.25">
      <c r="A100" s="4" t="s">
        <v>510</v>
      </c>
      <c r="B100" s="151">
        <v>9</v>
      </c>
      <c r="C100" s="2"/>
      <c r="D100" s="14"/>
      <c r="E100" s="16"/>
      <c r="F100" s="2"/>
      <c r="G100" s="6" t="s">
        <v>537</v>
      </c>
      <c r="H100" s="151">
        <v>8.5</v>
      </c>
      <c r="I100" s="2"/>
      <c r="J100" s="6" t="s">
        <v>547</v>
      </c>
      <c r="K100" s="151">
        <v>10</v>
      </c>
      <c r="L100" s="2"/>
      <c r="M100" s="6" t="s">
        <v>522</v>
      </c>
      <c r="N100" s="151">
        <v>9.5</v>
      </c>
      <c r="O100" s="17"/>
      <c r="R100" s="244">
        <v>98</v>
      </c>
      <c r="S100" s="235" t="s">
        <v>600</v>
      </c>
      <c r="T100" s="236" t="s">
        <v>601</v>
      </c>
      <c r="U100" s="236">
        <v>8.73</v>
      </c>
      <c r="V100" s="243">
        <v>8.6199999999999992</v>
      </c>
      <c r="W100" s="236">
        <v>8.5</v>
      </c>
      <c r="X100" s="236">
        <v>0.89</v>
      </c>
      <c r="Y100" s="236">
        <v>3</v>
      </c>
      <c r="Z100" s="236">
        <v>13</v>
      </c>
      <c r="AA100" s="236">
        <v>2</v>
      </c>
      <c r="AB100" s="235" t="s">
        <v>820</v>
      </c>
      <c r="AC100" s="236">
        <v>2015</v>
      </c>
      <c r="AD100" s="236" t="s">
        <v>1913</v>
      </c>
      <c r="AE100" s="237" t="s">
        <v>2183</v>
      </c>
      <c r="AF100"/>
      <c r="AG100"/>
      <c r="AH100" s="232" t="s">
        <v>1555</v>
      </c>
      <c r="AI100" s="345" t="s">
        <v>2108</v>
      </c>
    </row>
    <row r="101" spans="1:35" ht="16" customHeight="1" thickBot="1" x14ac:dyDescent="0.25">
      <c r="A101" s="7" t="s">
        <v>511</v>
      </c>
      <c r="B101" s="152">
        <v>7.5</v>
      </c>
      <c r="C101" s="2"/>
      <c r="D101" s="67" t="s">
        <v>873</v>
      </c>
      <c r="E101" s="1">
        <f>ROUND(SUM(E102:E115)/COUNT(E102:E115), 2)</f>
        <v>8.31</v>
      </c>
      <c r="F101" s="2"/>
      <c r="G101" s="6" t="s">
        <v>538</v>
      </c>
      <c r="H101" s="151">
        <v>8</v>
      </c>
      <c r="I101" s="2"/>
      <c r="J101" s="6" t="s">
        <v>548</v>
      </c>
      <c r="K101" s="151">
        <v>8.5</v>
      </c>
      <c r="L101" s="2"/>
      <c r="M101" s="6" t="s">
        <v>532</v>
      </c>
      <c r="N101" s="151"/>
      <c r="O101" s="17"/>
      <c r="R101" s="244">
        <v>99</v>
      </c>
      <c r="S101" s="232" t="s">
        <v>1439</v>
      </c>
      <c r="T101" s="233" t="s">
        <v>1683</v>
      </c>
      <c r="U101" s="233">
        <v>8.7100000000000009</v>
      </c>
      <c r="V101" s="243">
        <v>8.6199999999999992</v>
      </c>
      <c r="W101" s="233">
        <v>8.5</v>
      </c>
      <c r="X101" s="233">
        <v>0.65</v>
      </c>
      <c r="Y101" s="233">
        <v>1</v>
      </c>
      <c r="Z101" s="233">
        <v>8</v>
      </c>
      <c r="AA101" s="233">
        <v>1</v>
      </c>
      <c r="AB101" s="232" t="s">
        <v>1684</v>
      </c>
      <c r="AC101" s="233">
        <v>2006</v>
      </c>
      <c r="AD101" s="233" t="s">
        <v>1939</v>
      </c>
      <c r="AE101" s="234" t="s">
        <v>2141</v>
      </c>
      <c r="AF101"/>
      <c r="AG101"/>
      <c r="AH101" s="235" t="s">
        <v>1092</v>
      </c>
      <c r="AI101" s="344" t="s">
        <v>2302</v>
      </c>
    </row>
    <row r="102" spans="1:35" ht="16" customHeight="1" thickBot="1" x14ac:dyDescent="0.25">
      <c r="A102" s="16"/>
      <c r="B102" s="16"/>
      <c r="C102" s="17"/>
      <c r="D102" s="5" t="s">
        <v>560</v>
      </c>
      <c r="E102" s="154"/>
      <c r="F102" s="2"/>
      <c r="G102" s="6" t="s">
        <v>539</v>
      </c>
      <c r="H102" s="151">
        <v>9</v>
      </c>
      <c r="I102" s="2"/>
      <c r="J102" s="6" t="s">
        <v>549</v>
      </c>
      <c r="K102" s="151">
        <v>9.5</v>
      </c>
      <c r="L102" s="2"/>
      <c r="M102" s="6" t="s">
        <v>523</v>
      </c>
      <c r="N102" s="151">
        <v>9</v>
      </c>
      <c r="O102" s="17"/>
      <c r="R102" s="244">
        <v>100</v>
      </c>
      <c r="S102" s="235" t="s">
        <v>2009</v>
      </c>
      <c r="T102" s="236" t="s">
        <v>2010</v>
      </c>
      <c r="U102" s="236">
        <v>8.67</v>
      </c>
      <c r="V102" s="308">
        <v>8.61</v>
      </c>
      <c r="W102" s="236">
        <v>8.75</v>
      </c>
      <c r="X102" s="236">
        <v>0.62</v>
      </c>
      <c r="Y102" s="236">
        <v>0</v>
      </c>
      <c r="Z102" s="236">
        <v>6</v>
      </c>
      <c r="AA102" s="236">
        <v>0</v>
      </c>
      <c r="AB102" s="235" t="s">
        <v>1076</v>
      </c>
      <c r="AC102" s="236">
        <v>2013</v>
      </c>
      <c r="AD102" s="236" t="s">
        <v>1909</v>
      </c>
      <c r="AE102" s="237" t="s">
        <v>2131</v>
      </c>
      <c r="AF102"/>
      <c r="AG102"/>
      <c r="AH102" s="232" t="s">
        <v>2723</v>
      </c>
      <c r="AI102" s="345" t="s">
        <v>2458</v>
      </c>
    </row>
    <row r="103" spans="1:35" ht="16" customHeight="1" thickBot="1" x14ac:dyDescent="0.25">
      <c r="A103" s="48" t="s">
        <v>575</v>
      </c>
      <c r="B103" s="1">
        <f>ROUND(SUM(B104:B112)/COUNT(B104:B112), 2)</f>
        <v>8.7799999999999994</v>
      </c>
      <c r="C103" s="17"/>
      <c r="D103" s="15" t="s">
        <v>561</v>
      </c>
      <c r="E103" s="151">
        <v>8</v>
      </c>
      <c r="F103" s="2"/>
      <c r="G103" s="6" t="s">
        <v>540</v>
      </c>
      <c r="H103" s="151">
        <v>8</v>
      </c>
      <c r="I103" s="2"/>
      <c r="J103" s="6" t="s">
        <v>550</v>
      </c>
      <c r="K103" s="151">
        <v>10</v>
      </c>
      <c r="L103" s="2"/>
      <c r="M103" s="6" t="s">
        <v>524</v>
      </c>
      <c r="N103" s="151"/>
      <c r="O103" s="17"/>
      <c r="R103" s="244">
        <v>101</v>
      </c>
      <c r="S103" s="232" t="s">
        <v>335</v>
      </c>
      <c r="T103" s="233" t="s">
        <v>2300</v>
      </c>
      <c r="U103" s="233">
        <v>8.6999999999999993</v>
      </c>
      <c r="V103" s="308">
        <v>8.61</v>
      </c>
      <c r="W103" s="233">
        <v>8.5</v>
      </c>
      <c r="X103" s="233">
        <v>0.75</v>
      </c>
      <c r="Y103" s="233">
        <v>2</v>
      </c>
      <c r="Z103" s="233">
        <v>10</v>
      </c>
      <c r="AA103" s="233">
        <v>0</v>
      </c>
      <c r="AB103" s="232" t="s">
        <v>775</v>
      </c>
      <c r="AC103" s="233">
        <v>1983</v>
      </c>
      <c r="AD103" s="233" t="s">
        <v>1913</v>
      </c>
      <c r="AE103" s="234" t="s">
        <v>2288</v>
      </c>
      <c r="AF103"/>
      <c r="AG103"/>
      <c r="AH103" s="235" t="s">
        <v>2457</v>
      </c>
      <c r="AI103" s="344" t="s">
        <v>2458</v>
      </c>
    </row>
    <row r="104" spans="1:35" ht="16" customHeight="1" x14ac:dyDescent="0.2">
      <c r="A104" s="3" t="s">
        <v>576</v>
      </c>
      <c r="B104" s="151">
        <v>9.5</v>
      </c>
      <c r="C104" s="34"/>
      <c r="D104" s="15" t="s">
        <v>562</v>
      </c>
      <c r="E104" s="151">
        <v>9</v>
      </c>
      <c r="F104" s="2"/>
      <c r="G104" s="6" t="s">
        <v>541</v>
      </c>
      <c r="H104" s="151">
        <v>9.5</v>
      </c>
      <c r="I104" s="2"/>
      <c r="J104" s="6" t="s">
        <v>551</v>
      </c>
      <c r="K104" s="151"/>
      <c r="L104" s="2"/>
      <c r="M104" s="6" t="s">
        <v>525</v>
      </c>
      <c r="N104" s="151">
        <v>8</v>
      </c>
      <c r="O104" s="17"/>
      <c r="R104" s="244">
        <v>102</v>
      </c>
      <c r="S104" s="235" t="s">
        <v>931</v>
      </c>
      <c r="T104" s="236" t="s">
        <v>912</v>
      </c>
      <c r="U104" s="236">
        <v>8.5500000000000007</v>
      </c>
      <c r="V104" s="298">
        <v>8.6</v>
      </c>
      <c r="W104" s="236">
        <v>8.5</v>
      </c>
      <c r="X104" s="236">
        <v>0.96</v>
      </c>
      <c r="Y104" s="236">
        <v>3</v>
      </c>
      <c r="Z104" s="236">
        <v>19</v>
      </c>
      <c r="AA104" s="236">
        <v>0</v>
      </c>
      <c r="AB104" s="235" t="s">
        <v>932</v>
      </c>
      <c r="AC104" s="236">
        <v>1979</v>
      </c>
      <c r="AD104" s="236" t="s">
        <v>1916</v>
      </c>
      <c r="AE104" s="237" t="s">
        <v>2168</v>
      </c>
      <c r="AF104"/>
      <c r="AG104"/>
      <c r="AH104" s="232" t="s">
        <v>2459</v>
      </c>
      <c r="AI104" s="345" t="s">
        <v>2458</v>
      </c>
    </row>
    <row r="105" spans="1:35" ht="16" customHeight="1" x14ac:dyDescent="0.2">
      <c r="A105" s="3" t="s">
        <v>577</v>
      </c>
      <c r="B105" s="151">
        <v>9</v>
      </c>
      <c r="C105" s="2"/>
      <c r="D105" s="6" t="s">
        <v>563</v>
      </c>
      <c r="E105" s="151">
        <v>8.5</v>
      </c>
      <c r="F105" s="2"/>
      <c r="G105" s="6" t="s">
        <v>542</v>
      </c>
      <c r="H105" s="151">
        <v>10</v>
      </c>
      <c r="I105" s="2"/>
      <c r="J105" s="6" t="s">
        <v>552</v>
      </c>
      <c r="K105" s="151">
        <v>9</v>
      </c>
      <c r="L105" s="2"/>
      <c r="M105" s="6" t="s">
        <v>526</v>
      </c>
      <c r="N105" s="151"/>
      <c r="O105" s="17"/>
      <c r="R105" s="244">
        <v>103</v>
      </c>
      <c r="S105" s="232" t="s">
        <v>331</v>
      </c>
      <c r="T105" s="233" t="s">
        <v>2688</v>
      </c>
      <c r="U105" s="233">
        <v>8.7100000000000009</v>
      </c>
      <c r="V105" s="298">
        <v>8.6</v>
      </c>
      <c r="W105" s="233">
        <v>8.5</v>
      </c>
      <c r="X105" s="233">
        <v>0.59</v>
      </c>
      <c r="Y105" s="233">
        <v>0</v>
      </c>
      <c r="Z105" s="233">
        <v>7</v>
      </c>
      <c r="AA105" s="233">
        <v>0</v>
      </c>
      <c r="AB105" s="232" t="s">
        <v>754</v>
      </c>
      <c r="AC105" s="233">
        <v>1981</v>
      </c>
      <c r="AD105" s="233" t="s">
        <v>1936</v>
      </c>
      <c r="AE105" s="234" t="s">
        <v>2699</v>
      </c>
      <c r="AF105"/>
      <c r="AG105"/>
      <c r="AH105" s="235" t="s">
        <v>773</v>
      </c>
      <c r="AI105" s="344" t="s">
        <v>2691</v>
      </c>
    </row>
    <row r="106" spans="1:35" ht="16" customHeight="1" x14ac:dyDescent="0.2">
      <c r="A106" s="3" t="s">
        <v>578</v>
      </c>
      <c r="B106" s="151">
        <v>10</v>
      </c>
      <c r="C106" s="2"/>
      <c r="D106" s="6" t="s">
        <v>564</v>
      </c>
      <c r="E106" s="151">
        <v>7.5</v>
      </c>
      <c r="F106" s="2"/>
      <c r="G106" s="6" t="s">
        <v>543</v>
      </c>
      <c r="H106" s="151">
        <v>9</v>
      </c>
      <c r="I106" s="2"/>
      <c r="J106" s="6" t="s">
        <v>553</v>
      </c>
      <c r="K106" s="151">
        <v>10.5</v>
      </c>
      <c r="L106" s="2"/>
      <c r="M106" s="6" t="s">
        <v>527</v>
      </c>
      <c r="N106" s="151">
        <v>8</v>
      </c>
      <c r="O106" s="17"/>
      <c r="R106" s="244">
        <v>104</v>
      </c>
      <c r="S106" s="235" t="s">
        <v>343</v>
      </c>
      <c r="T106" s="236" t="s">
        <v>245</v>
      </c>
      <c r="U106" s="236">
        <v>8.68</v>
      </c>
      <c r="V106" s="303">
        <v>8.58</v>
      </c>
      <c r="W106" s="236">
        <v>8.5</v>
      </c>
      <c r="X106" s="236">
        <v>0.81</v>
      </c>
      <c r="Y106" s="236">
        <v>2</v>
      </c>
      <c r="Z106" s="236">
        <v>11</v>
      </c>
      <c r="AA106" s="236">
        <v>0</v>
      </c>
      <c r="AB106" s="235" t="s">
        <v>763</v>
      </c>
      <c r="AC106" s="236">
        <v>1998</v>
      </c>
      <c r="AD106" s="236" t="s">
        <v>1933</v>
      </c>
      <c r="AE106" s="237" t="s">
        <v>2194</v>
      </c>
      <c r="AF106"/>
      <c r="AG106"/>
      <c r="AH106" s="232" t="s">
        <v>1101</v>
      </c>
      <c r="AI106" s="345" t="s">
        <v>2887</v>
      </c>
    </row>
    <row r="107" spans="1:35" ht="16" customHeight="1" x14ac:dyDescent="0.2">
      <c r="A107" s="3" t="s">
        <v>579</v>
      </c>
      <c r="B107" s="151">
        <v>8.5</v>
      </c>
      <c r="C107" s="2"/>
      <c r="D107" s="6" t="s">
        <v>565</v>
      </c>
      <c r="E107" s="151">
        <v>7.5</v>
      </c>
      <c r="F107" s="2"/>
      <c r="G107" s="6" t="s">
        <v>544</v>
      </c>
      <c r="H107" s="151">
        <v>7.5</v>
      </c>
      <c r="I107" s="2"/>
      <c r="J107" s="6" t="s">
        <v>554</v>
      </c>
      <c r="K107" s="153">
        <v>8.5</v>
      </c>
      <c r="L107" s="2"/>
      <c r="M107" s="6" t="s">
        <v>528</v>
      </c>
      <c r="N107" s="151">
        <v>9</v>
      </c>
      <c r="O107" s="17"/>
      <c r="R107" s="244">
        <v>105</v>
      </c>
      <c r="S107" s="232" t="s">
        <v>727</v>
      </c>
      <c r="T107" s="233" t="s">
        <v>728</v>
      </c>
      <c r="U107" s="233">
        <v>8.67</v>
      </c>
      <c r="V107" s="303">
        <v>8.58</v>
      </c>
      <c r="W107" s="233">
        <v>8.5</v>
      </c>
      <c r="X107" s="233">
        <v>0.62</v>
      </c>
      <c r="Y107" s="233">
        <v>1</v>
      </c>
      <c r="Z107" s="233">
        <v>9</v>
      </c>
      <c r="AA107" s="233">
        <v>0</v>
      </c>
      <c r="AB107" s="232" t="s">
        <v>778</v>
      </c>
      <c r="AC107" s="233">
        <v>1992</v>
      </c>
      <c r="AD107" s="233" t="s">
        <v>1925</v>
      </c>
      <c r="AE107" s="234" t="s">
        <v>2176</v>
      </c>
      <c r="AF107"/>
      <c r="AG107"/>
      <c r="AH107" s="235" t="s">
        <v>1385</v>
      </c>
      <c r="AI107" s="344" t="s">
        <v>2287</v>
      </c>
    </row>
    <row r="108" spans="1:35" ht="16" customHeight="1" thickBot="1" x14ac:dyDescent="0.25">
      <c r="A108" s="3" t="s">
        <v>580</v>
      </c>
      <c r="B108" s="151">
        <v>8</v>
      </c>
      <c r="C108" s="2"/>
      <c r="D108" s="6" t="s">
        <v>566</v>
      </c>
      <c r="E108" s="151">
        <v>10</v>
      </c>
      <c r="F108" s="2"/>
      <c r="G108" s="8" t="s">
        <v>559</v>
      </c>
      <c r="H108" s="152">
        <v>9</v>
      </c>
      <c r="I108" s="2"/>
      <c r="J108" s="6" t="s">
        <v>555</v>
      </c>
      <c r="K108" s="151">
        <v>10</v>
      </c>
      <c r="L108" s="2"/>
      <c r="M108" s="6" t="s">
        <v>529</v>
      </c>
      <c r="N108" s="151">
        <v>9</v>
      </c>
      <c r="O108" s="17"/>
      <c r="R108" s="244">
        <v>106</v>
      </c>
      <c r="S108" s="235" t="s">
        <v>344</v>
      </c>
      <c r="T108" s="236" t="s">
        <v>161</v>
      </c>
      <c r="U108" s="236">
        <v>8.67</v>
      </c>
      <c r="V108" s="254">
        <v>8.57</v>
      </c>
      <c r="W108" s="236">
        <v>8.5</v>
      </c>
      <c r="X108" s="236">
        <v>0.77</v>
      </c>
      <c r="Y108" s="236">
        <v>2</v>
      </c>
      <c r="Z108" s="236">
        <v>12</v>
      </c>
      <c r="AA108" s="236">
        <v>0</v>
      </c>
      <c r="AB108" s="235" t="s">
        <v>2863</v>
      </c>
      <c r="AC108" s="236">
        <v>1977</v>
      </c>
      <c r="AD108" s="236" t="s">
        <v>1931</v>
      </c>
      <c r="AE108" s="237" t="s">
        <v>2127</v>
      </c>
      <c r="AF108"/>
      <c r="AG108"/>
      <c r="AH108" s="232" t="s">
        <v>2246</v>
      </c>
      <c r="AI108" s="345" t="s">
        <v>2423</v>
      </c>
    </row>
    <row r="109" spans="1:35" ht="16" customHeight="1" thickBot="1" x14ac:dyDescent="0.25">
      <c r="A109" s="3" t="s">
        <v>581</v>
      </c>
      <c r="B109" s="151">
        <v>7.5</v>
      </c>
      <c r="C109" s="2"/>
      <c r="D109" s="6" t="s">
        <v>50</v>
      </c>
      <c r="E109" s="151">
        <v>9</v>
      </c>
      <c r="F109" s="2"/>
      <c r="G109" s="16"/>
      <c r="H109" s="16"/>
      <c r="I109" s="2"/>
      <c r="J109" s="8" t="s">
        <v>556</v>
      </c>
      <c r="K109" s="152"/>
      <c r="L109" s="2"/>
      <c r="M109" s="6" t="s">
        <v>530</v>
      </c>
      <c r="N109" s="151">
        <v>9</v>
      </c>
      <c r="O109" s="17"/>
      <c r="R109" s="244">
        <v>107</v>
      </c>
      <c r="S109" s="232" t="s">
        <v>768</v>
      </c>
      <c r="T109" s="233" t="s">
        <v>769</v>
      </c>
      <c r="U109" s="233">
        <v>8.67</v>
      </c>
      <c r="V109" s="254">
        <v>8.57</v>
      </c>
      <c r="W109" s="233">
        <v>8.5</v>
      </c>
      <c r="X109" s="233">
        <v>0.75</v>
      </c>
      <c r="Y109" s="233">
        <v>1</v>
      </c>
      <c r="Z109" s="233">
        <v>6</v>
      </c>
      <c r="AA109" s="233">
        <v>0</v>
      </c>
      <c r="AB109" s="232" t="s">
        <v>771</v>
      </c>
      <c r="AC109" s="233">
        <v>2024</v>
      </c>
      <c r="AD109" s="233" t="s">
        <v>1938</v>
      </c>
      <c r="AE109" s="234" t="s">
        <v>2174</v>
      </c>
      <c r="AF109"/>
      <c r="AG109"/>
      <c r="AH109" s="235" t="s">
        <v>1285</v>
      </c>
      <c r="AI109" s="344" t="s">
        <v>1097</v>
      </c>
    </row>
    <row r="110" spans="1:35" ht="16" customHeight="1" thickBot="1" x14ac:dyDescent="0.25">
      <c r="A110" s="3" t="s">
        <v>582</v>
      </c>
      <c r="B110" s="151">
        <v>8</v>
      </c>
      <c r="C110" s="2"/>
      <c r="D110" s="6" t="s">
        <v>567</v>
      </c>
      <c r="E110" s="151">
        <v>8</v>
      </c>
      <c r="F110" s="17"/>
      <c r="G110" s="66" t="s">
        <v>872</v>
      </c>
      <c r="H110" s="1">
        <f>ROUND(SUM(H111:H124)/COUNT(H111:H124), 2)</f>
        <v>8.73</v>
      </c>
      <c r="I110" s="2"/>
      <c r="J110" s="16"/>
      <c r="K110" s="16"/>
      <c r="L110" s="2"/>
      <c r="M110" s="8" t="s">
        <v>531</v>
      </c>
      <c r="N110" s="152">
        <v>8</v>
      </c>
      <c r="O110" s="17"/>
      <c r="R110" s="244">
        <v>108</v>
      </c>
      <c r="S110" s="235" t="s">
        <v>345</v>
      </c>
      <c r="T110" s="236" t="s">
        <v>160</v>
      </c>
      <c r="U110" s="236">
        <v>8.65</v>
      </c>
      <c r="V110" s="264">
        <v>8.56</v>
      </c>
      <c r="W110" s="236">
        <v>8.5</v>
      </c>
      <c r="X110" s="236">
        <v>0.72</v>
      </c>
      <c r="Y110" s="236">
        <v>2</v>
      </c>
      <c r="Z110" s="236">
        <v>13</v>
      </c>
      <c r="AA110" s="236">
        <v>0</v>
      </c>
      <c r="AB110" s="235" t="s">
        <v>782</v>
      </c>
      <c r="AC110" s="236">
        <v>2005</v>
      </c>
      <c r="AD110" s="236" t="s">
        <v>1935</v>
      </c>
      <c r="AE110" s="237" t="s">
        <v>2189</v>
      </c>
      <c r="AF110"/>
      <c r="AG110"/>
      <c r="AH110" s="232" t="s">
        <v>778</v>
      </c>
      <c r="AI110" s="345" t="s">
        <v>1097</v>
      </c>
    </row>
    <row r="111" spans="1:35" ht="16" customHeight="1" thickBot="1" x14ac:dyDescent="0.25">
      <c r="A111" s="3" t="s">
        <v>583</v>
      </c>
      <c r="B111" s="151">
        <v>8</v>
      </c>
      <c r="C111" s="2"/>
      <c r="D111" s="6" t="s">
        <v>568</v>
      </c>
      <c r="E111" s="151">
        <v>7.5</v>
      </c>
      <c r="F111" s="2"/>
      <c r="G111" s="5" t="s">
        <v>587</v>
      </c>
      <c r="H111" s="150">
        <v>10</v>
      </c>
      <c r="I111" s="17"/>
      <c r="J111" s="65" t="s">
        <v>871</v>
      </c>
      <c r="K111" s="1">
        <f>ROUND(SUM(K112:K125)/COUNT(K112:K125), 2)</f>
        <v>7.96</v>
      </c>
      <c r="L111" s="2"/>
      <c r="M111" s="16"/>
      <c r="N111" s="16"/>
      <c r="O111" s="17"/>
      <c r="R111" s="244">
        <v>109</v>
      </c>
      <c r="S111" s="232" t="s">
        <v>327</v>
      </c>
      <c r="T111" s="233" t="s">
        <v>855</v>
      </c>
      <c r="U111" s="233">
        <v>8.5</v>
      </c>
      <c r="V111" s="264">
        <v>8.56</v>
      </c>
      <c r="W111" s="233">
        <v>8.5</v>
      </c>
      <c r="X111" s="233">
        <v>0.96</v>
      </c>
      <c r="Y111" s="233">
        <v>2</v>
      </c>
      <c r="Z111" s="233">
        <v>14</v>
      </c>
      <c r="AA111" s="233">
        <v>1</v>
      </c>
      <c r="AB111" s="232" t="s">
        <v>753</v>
      </c>
      <c r="AC111" s="233">
        <v>2003</v>
      </c>
      <c r="AD111" s="233" t="s">
        <v>1934</v>
      </c>
      <c r="AE111" s="234" t="s">
        <v>2171</v>
      </c>
      <c r="AF111"/>
      <c r="AG111"/>
      <c r="AH111" s="235" t="s">
        <v>2888</v>
      </c>
      <c r="AI111" s="344" t="s">
        <v>1097</v>
      </c>
    </row>
    <row r="112" spans="1:35" ht="16" customHeight="1" thickBot="1" x14ac:dyDescent="0.25">
      <c r="A112" s="39" t="s">
        <v>584</v>
      </c>
      <c r="B112" s="152">
        <v>10.5</v>
      </c>
      <c r="C112" s="2"/>
      <c r="D112" s="6" t="s">
        <v>569</v>
      </c>
      <c r="E112" s="151">
        <v>7.5</v>
      </c>
      <c r="F112" s="2"/>
      <c r="G112" s="6" t="s">
        <v>588</v>
      </c>
      <c r="H112" s="151">
        <v>8</v>
      </c>
      <c r="I112" s="17"/>
      <c r="J112" s="3" t="s">
        <v>602</v>
      </c>
      <c r="K112" s="151">
        <v>8</v>
      </c>
      <c r="L112" s="17"/>
      <c r="M112" s="50" t="s">
        <v>614</v>
      </c>
      <c r="N112" s="1">
        <f>ROUND(SUM(N113:N125)/COUNT(N113:N125), 2)</f>
        <v>8.77</v>
      </c>
      <c r="O112" s="17"/>
      <c r="R112" s="244">
        <v>110</v>
      </c>
      <c r="S112" s="235" t="s">
        <v>956</v>
      </c>
      <c r="T112" s="236" t="s">
        <v>954</v>
      </c>
      <c r="U112" s="236">
        <v>8.67</v>
      </c>
      <c r="V112" s="264">
        <v>8.56</v>
      </c>
      <c r="W112" s="236">
        <v>8.5</v>
      </c>
      <c r="X112" s="236">
        <v>0.71</v>
      </c>
      <c r="Y112" s="236">
        <v>1</v>
      </c>
      <c r="Z112" s="236">
        <v>10</v>
      </c>
      <c r="AA112" s="236">
        <v>1</v>
      </c>
      <c r="AB112" s="235" t="s">
        <v>957</v>
      </c>
      <c r="AC112" s="236">
        <v>1999</v>
      </c>
      <c r="AD112" s="236" t="s">
        <v>1940</v>
      </c>
      <c r="AE112" s="237" t="s">
        <v>2167</v>
      </c>
      <c r="AF112"/>
      <c r="AG112"/>
      <c r="AH112" s="232" t="s">
        <v>1093</v>
      </c>
      <c r="AI112" s="345" t="s">
        <v>2303</v>
      </c>
    </row>
    <row r="113" spans="1:35" ht="16" customHeight="1" thickBot="1" x14ac:dyDescent="0.25">
      <c r="A113" s="16"/>
      <c r="B113" s="16"/>
      <c r="C113" s="17"/>
      <c r="D113" s="15" t="s">
        <v>570</v>
      </c>
      <c r="E113" s="151">
        <v>8</v>
      </c>
      <c r="F113" s="2"/>
      <c r="G113" s="6" t="s">
        <v>589</v>
      </c>
      <c r="H113" s="151">
        <v>8.5</v>
      </c>
      <c r="I113" s="17"/>
      <c r="J113" s="3" t="s">
        <v>603</v>
      </c>
      <c r="K113" s="151">
        <v>10.5</v>
      </c>
      <c r="L113" s="17"/>
      <c r="M113" s="3" t="s">
        <v>615</v>
      </c>
      <c r="N113" s="151">
        <v>9</v>
      </c>
      <c r="O113" s="17"/>
      <c r="R113" s="244">
        <v>111</v>
      </c>
      <c r="S113" s="232" t="s">
        <v>2404</v>
      </c>
      <c r="T113" s="233" t="s">
        <v>2405</v>
      </c>
      <c r="U113" s="233">
        <v>8.61</v>
      </c>
      <c r="V113" s="274">
        <v>8.5500000000000007</v>
      </c>
      <c r="W113" s="233">
        <v>8</v>
      </c>
      <c r="X113" s="233">
        <v>1.24</v>
      </c>
      <c r="Y113" s="233">
        <v>3</v>
      </c>
      <c r="Z113" s="233">
        <v>9</v>
      </c>
      <c r="AA113" s="233">
        <v>0</v>
      </c>
      <c r="AB113" s="232" t="s">
        <v>2246</v>
      </c>
      <c r="AC113" s="233">
        <v>1990</v>
      </c>
      <c r="AD113" s="233" t="s">
        <v>1910</v>
      </c>
      <c r="AE113" s="234" t="s">
        <v>2409</v>
      </c>
      <c r="AF113"/>
      <c r="AG113"/>
      <c r="AH113" s="235" t="s">
        <v>1116</v>
      </c>
      <c r="AI113" s="344" t="s">
        <v>2408</v>
      </c>
    </row>
    <row r="114" spans="1:35" ht="16" customHeight="1" thickBot="1" x14ac:dyDescent="0.25">
      <c r="A114" s="64" t="s">
        <v>870</v>
      </c>
      <c r="B114" s="1">
        <f>ROUND(SUM(B115:B132)/COUNT(B115:B132), 2)</f>
        <v>7.72</v>
      </c>
      <c r="C114" s="17"/>
      <c r="D114" s="15" t="s">
        <v>571</v>
      </c>
      <c r="E114" s="151">
        <v>7.5</v>
      </c>
      <c r="F114" s="2"/>
      <c r="G114" s="6" t="s">
        <v>590</v>
      </c>
      <c r="H114" s="151">
        <v>9</v>
      </c>
      <c r="I114" s="17"/>
      <c r="J114" s="3" t="s">
        <v>604</v>
      </c>
      <c r="K114" s="151">
        <v>6</v>
      </c>
      <c r="L114" s="17"/>
      <c r="M114" s="3" t="s">
        <v>616</v>
      </c>
      <c r="N114" s="151">
        <v>8.5</v>
      </c>
      <c r="O114" s="17"/>
      <c r="R114" s="244">
        <v>112</v>
      </c>
      <c r="S114" s="235" t="s">
        <v>330</v>
      </c>
      <c r="T114" s="236" t="s">
        <v>2105</v>
      </c>
      <c r="U114" s="236">
        <v>8.6</v>
      </c>
      <c r="V114" s="301">
        <v>8.5399999999999991</v>
      </c>
      <c r="W114" s="236">
        <v>8</v>
      </c>
      <c r="X114" s="236">
        <v>1.02</v>
      </c>
      <c r="Y114" s="236">
        <v>2</v>
      </c>
      <c r="Z114" s="236">
        <v>10</v>
      </c>
      <c r="AA114" s="236">
        <v>0</v>
      </c>
      <c r="AB114" s="235" t="s">
        <v>2110</v>
      </c>
      <c r="AC114" s="236">
        <v>1970</v>
      </c>
      <c r="AD114" s="236" t="s">
        <v>1938</v>
      </c>
      <c r="AE114" s="237" t="s">
        <v>2129</v>
      </c>
      <c r="AF114"/>
      <c r="AG114"/>
      <c r="AH114" s="232" t="s">
        <v>1117</v>
      </c>
      <c r="AI114" s="345" t="s">
        <v>2408</v>
      </c>
    </row>
    <row r="115" spans="1:35" ht="16" customHeight="1" thickBot="1" x14ac:dyDescent="0.25">
      <c r="A115" s="5" t="s">
        <v>629</v>
      </c>
      <c r="B115" s="151">
        <v>7.5</v>
      </c>
      <c r="C115" s="2"/>
      <c r="D115" s="8" t="s">
        <v>572</v>
      </c>
      <c r="E115" s="152">
        <v>10</v>
      </c>
      <c r="F115" s="2"/>
      <c r="G115" s="6" t="s">
        <v>591</v>
      </c>
      <c r="H115" s="151">
        <v>10</v>
      </c>
      <c r="I115" s="17"/>
      <c r="J115" s="3" t="s">
        <v>605</v>
      </c>
      <c r="K115" s="151">
        <v>9</v>
      </c>
      <c r="L115" s="17"/>
      <c r="M115" s="3" t="s">
        <v>617</v>
      </c>
      <c r="N115" s="151">
        <v>9</v>
      </c>
      <c r="O115" s="17"/>
      <c r="R115" s="244">
        <v>113</v>
      </c>
      <c r="S115" s="232" t="s">
        <v>1478</v>
      </c>
      <c r="T115" s="233" t="s">
        <v>2706</v>
      </c>
      <c r="U115" s="233">
        <v>8.69</v>
      </c>
      <c r="V115" s="301">
        <v>8.5399999999999991</v>
      </c>
      <c r="W115" s="233">
        <v>8.25</v>
      </c>
      <c r="X115" s="233">
        <v>1.06</v>
      </c>
      <c r="Y115" s="233">
        <v>3</v>
      </c>
      <c r="Z115" s="233">
        <v>8</v>
      </c>
      <c r="AA115" s="233">
        <v>0</v>
      </c>
      <c r="AB115" s="232" t="s">
        <v>2715</v>
      </c>
      <c r="AC115" s="233">
        <v>1997</v>
      </c>
      <c r="AD115" s="233" t="s">
        <v>2638</v>
      </c>
      <c r="AE115" s="234" t="s">
        <v>2716</v>
      </c>
      <c r="AF115"/>
      <c r="AG115"/>
      <c r="AH115" s="235" t="s">
        <v>1113</v>
      </c>
      <c r="AI115" s="344" t="s">
        <v>2636</v>
      </c>
    </row>
    <row r="116" spans="1:35" ht="16" customHeight="1" thickBot="1" x14ac:dyDescent="0.25">
      <c r="A116" s="6" t="s">
        <v>630</v>
      </c>
      <c r="B116" s="151">
        <v>8</v>
      </c>
      <c r="C116" s="2"/>
      <c r="D116" s="14"/>
      <c r="E116" s="14"/>
      <c r="F116" s="2"/>
      <c r="G116" s="6" t="s">
        <v>592</v>
      </c>
      <c r="H116" s="151"/>
      <c r="I116" s="17"/>
      <c r="J116" s="3" t="s">
        <v>606</v>
      </c>
      <c r="K116" s="151">
        <v>8.5</v>
      </c>
      <c r="L116" s="17"/>
      <c r="M116" s="3" t="s">
        <v>618</v>
      </c>
      <c r="N116" s="151">
        <v>8</v>
      </c>
      <c r="O116" s="17"/>
      <c r="R116" s="244">
        <v>114</v>
      </c>
      <c r="S116" s="235" t="s">
        <v>2437</v>
      </c>
      <c r="T116" s="236" t="s">
        <v>2438</v>
      </c>
      <c r="U116" s="236">
        <v>8.69</v>
      </c>
      <c r="V116" s="272">
        <v>8.5299999999999994</v>
      </c>
      <c r="W116" s="236">
        <v>8.25</v>
      </c>
      <c r="X116" s="236">
        <v>0.79</v>
      </c>
      <c r="Y116" s="236">
        <v>1</v>
      </c>
      <c r="Z116" s="236">
        <v>8</v>
      </c>
      <c r="AA116" s="236">
        <v>0</v>
      </c>
      <c r="AB116" s="235" t="s">
        <v>2447</v>
      </c>
      <c r="AC116" s="236">
        <v>1976</v>
      </c>
      <c r="AD116" s="236" t="s">
        <v>1915</v>
      </c>
      <c r="AE116" s="237" t="s">
        <v>2448</v>
      </c>
      <c r="AF116"/>
      <c r="AG116"/>
      <c r="AH116" s="232" t="s">
        <v>2522</v>
      </c>
      <c r="AI116" s="345" t="s">
        <v>2523</v>
      </c>
    </row>
    <row r="117" spans="1:35" ht="16" customHeight="1" thickBot="1" x14ac:dyDescent="0.25">
      <c r="A117" s="6" t="s">
        <v>631</v>
      </c>
      <c r="B117" s="151">
        <v>8</v>
      </c>
      <c r="C117" s="17"/>
      <c r="D117" s="63" t="s">
        <v>869</v>
      </c>
      <c r="E117" s="1">
        <f>ROUND(SUM(E118:E131)/COUNT(E118:E131), 2)</f>
        <v>8.76</v>
      </c>
      <c r="F117" s="2"/>
      <c r="G117" s="6" t="s">
        <v>593</v>
      </c>
      <c r="H117" s="151">
        <v>10</v>
      </c>
      <c r="I117" s="17"/>
      <c r="J117" s="3" t="s">
        <v>607</v>
      </c>
      <c r="K117" s="151">
        <v>8.5</v>
      </c>
      <c r="L117" s="17"/>
      <c r="M117" s="3" t="s">
        <v>619</v>
      </c>
      <c r="N117" s="151">
        <v>10</v>
      </c>
      <c r="O117" s="17"/>
      <c r="R117" s="244">
        <v>115</v>
      </c>
      <c r="S117" s="232" t="s">
        <v>1156</v>
      </c>
      <c r="T117" s="233" t="s">
        <v>2486</v>
      </c>
      <c r="U117" s="233">
        <v>8.61</v>
      </c>
      <c r="V117" s="272">
        <v>8.5299999999999994</v>
      </c>
      <c r="W117" s="233">
        <v>8.5</v>
      </c>
      <c r="X117" s="233">
        <v>0.66</v>
      </c>
      <c r="Y117" s="233">
        <v>1</v>
      </c>
      <c r="Z117" s="233">
        <v>9</v>
      </c>
      <c r="AA117" s="233">
        <v>0</v>
      </c>
      <c r="AB117" s="232" t="s">
        <v>2504</v>
      </c>
      <c r="AC117" s="233">
        <v>1998</v>
      </c>
      <c r="AD117" s="233" t="s">
        <v>1934</v>
      </c>
      <c r="AE117" s="234" t="s">
        <v>2505</v>
      </c>
      <c r="AF117"/>
      <c r="AG117"/>
      <c r="AH117" s="235" t="s">
        <v>2113</v>
      </c>
      <c r="AI117" s="344" t="s">
        <v>1863</v>
      </c>
    </row>
    <row r="118" spans="1:35" ht="16" customHeight="1" x14ac:dyDescent="0.2">
      <c r="A118" s="6" t="s">
        <v>632</v>
      </c>
      <c r="B118" s="151">
        <v>7</v>
      </c>
      <c r="C118" s="17"/>
      <c r="D118" s="3" t="s">
        <v>649</v>
      </c>
      <c r="E118" s="151">
        <v>9</v>
      </c>
      <c r="F118" s="2"/>
      <c r="G118" s="6" t="s">
        <v>594</v>
      </c>
      <c r="H118" s="151">
        <v>7.5</v>
      </c>
      <c r="I118" s="17"/>
      <c r="J118" s="3" t="s">
        <v>608</v>
      </c>
      <c r="K118" s="151">
        <v>7.5</v>
      </c>
      <c r="L118" s="17"/>
      <c r="M118" s="3" t="s">
        <v>620</v>
      </c>
      <c r="N118" s="151">
        <v>9.5</v>
      </c>
      <c r="O118" s="17"/>
      <c r="R118" s="244">
        <v>116</v>
      </c>
      <c r="S118" s="235" t="s">
        <v>1860</v>
      </c>
      <c r="T118" s="236" t="s">
        <v>1861</v>
      </c>
      <c r="U118" s="236">
        <v>8.6</v>
      </c>
      <c r="V118" s="252">
        <v>8.52</v>
      </c>
      <c r="W118" s="236">
        <v>8.5</v>
      </c>
      <c r="X118" s="236">
        <v>0.66</v>
      </c>
      <c r="Y118" s="236">
        <v>1</v>
      </c>
      <c r="Z118" s="236">
        <v>10</v>
      </c>
      <c r="AA118" s="236">
        <v>0</v>
      </c>
      <c r="AB118" s="235" t="s">
        <v>1862</v>
      </c>
      <c r="AC118" s="236">
        <v>2024</v>
      </c>
      <c r="AD118" s="236" t="s">
        <v>1938</v>
      </c>
      <c r="AE118" s="237" t="s">
        <v>2134</v>
      </c>
      <c r="AF118"/>
      <c r="AG118"/>
      <c r="AH118" s="232" t="s">
        <v>1862</v>
      </c>
      <c r="AI118" s="345" t="s">
        <v>1863</v>
      </c>
    </row>
    <row r="119" spans="1:35" ht="16" customHeight="1" x14ac:dyDescent="0.2">
      <c r="A119" s="6" t="s">
        <v>633</v>
      </c>
      <c r="B119" s="151">
        <v>7.5</v>
      </c>
      <c r="C119" s="17"/>
      <c r="D119" s="3" t="s">
        <v>650</v>
      </c>
      <c r="E119" s="151">
        <v>9.5</v>
      </c>
      <c r="F119" s="2"/>
      <c r="G119" s="6" t="s">
        <v>595</v>
      </c>
      <c r="H119" s="151"/>
      <c r="I119" s="17"/>
      <c r="J119" s="3" t="s">
        <v>609</v>
      </c>
      <c r="K119" s="151">
        <v>7</v>
      </c>
      <c r="L119" s="17"/>
      <c r="M119" s="3" t="s">
        <v>621</v>
      </c>
      <c r="N119" s="151">
        <v>10.5</v>
      </c>
      <c r="O119" s="17"/>
      <c r="R119" s="244">
        <v>117</v>
      </c>
      <c r="S119" s="232" t="s">
        <v>2359</v>
      </c>
      <c r="T119" s="233" t="s">
        <v>2358</v>
      </c>
      <c r="U119" s="233">
        <v>8.61</v>
      </c>
      <c r="V119" s="252">
        <v>8.52</v>
      </c>
      <c r="W119" s="233">
        <v>8.5</v>
      </c>
      <c r="X119" s="233">
        <v>0.87</v>
      </c>
      <c r="Y119" s="233">
        <v>2</v>
      </c>
      <c r="Z119" s="233">
        <v>10</v>
      </c>
      <c r="AA119" s="233">
        <v>1</v>
      </c>
      <c r="AB119" s="232" t="s">
        <v>2360</v>
      </c>
      <c r="AC119" s="233">
        <v>2015</v>
      </c>
      <c r="AD119" s="233" t="s">
        <v>1934</v>
      </c>
      <c r="AE119" s="234" t="s">
        <v>2361</v>
      </c>
      <c r="AF119"/>
      <c r="AG119"/>
      <c r="AH119" s="235" t="s">
        <v>1103</v>
      </c>
      <c r="AI119" s="344" t="s">
        <v>1104</v>
      </c>
    </row>
    <row r="120" spans="1:35" ht="16" customHeight="1" x14ac:dyDescent="0.2">
      <c r="A120" s="6" t="s">
        <v>634</v>
      </c>
      <c r="B120" s="151">
        <v>8</v>
      </c>
      <c r="C120" s="17"/>
      <c r="D120" s="3" t="s">
        <v>489</v>
      </c>
      <c r="E120" s="151">
        <v>10</v>
      </c>
      <c r="F120" s="2"/>
      <c r="G120" s="49" t="s">
        <v>596</v>
      </c>
      <c r="H120" s="151">
        <v>8</v>
      </c>
      <c r="I120" s="17"/>
      <c r="J120" s="3" t="s">
        <v>610</v>
      </c>
      <c r="K120" s="151"/>
      <c r="L120" s="17"/>
      <c r="M120" s="3" t="s">
        <v>622</v>
      </c>
      <c r="N120" s="151">
        <v>10</v>
      </c>
      <c r="O120" s="17"/>
      <c r="R120" s="244">
        <v>118</v>
      </c>
      <c r="S120" s="235" t="s">
        <v>1632</v>
      </c>
      <c r="T120" s="236" t="s">
        <v>1633</v>
      </c>
      <c r="U120" s="236">
        <v>8.6</v>
      </c>
      <c r="V120" s="326">
        <v>8.5</v>
      </c>
      <c r="W120" s="236">
        <v>8.5</v>
      </c>
      <c r="X120" s="236">
        <v>0.83</v>
      </c>
      <c r="Y120" s="236">
        <v>1</v>
      </c>
      <c r="Z120" s="236">
        <v>10</v>
      </c>
      <c r="AA120" s="236">
        <v>0</v>
      </c>
      <c r="AB120" s="235" t="s">
        <v>762</v>
      </c>
      <c r="AC120" s="236">
        <v>1993</v>
      </c>
      <c r="AD120" s="236" t="s">
        <v>1915</v>
      </c>
      <c r="AE120" s="237" t="s">
        <v>2145</v>
      </c>
      <c r="AF120"/>
      <c r="AG120"/>
      <c r="AH120" s="232" t="s">
        <v>1461</v>
      </c>
      <c r="AI120" s="345" t="s">
        <v>2092</v>
      </c>
    </row>
    <row r="121" spans="1:35" ht="16" customHeight="1" x14ac:dyDescent="0.2">
      <c r="A121" s="6" t="s">
        <v>635</v>
      </c>
      <c r="B121" s="151">
        <v>8</v>
      </c>
      <c r="C121" s="17"/>
      <c r="D121" s="3" t="s">
        <v>651</v>
      </c>
      <c r="E121" s="151">
        <v>8</v>
      </c>
      <c r="F121" s="2"/>
      <c r="G121" s="6" t="s">
        <v>597</v>
      </c>
      <c r="H121" s="151">
        <v>8</v>
      </c>
      <c r="I121" s="17"/>
      <c r="J121" s="3" t="s">
        <v>611</v>
      </c>
      <c r="K121" s="151">
        <v>7</v>
      </c>
      <c r="L121" s="17"/>
      <c r="M121" s="3" t="s">
        <v>623</v>
      </c>
      <c r="N121" s="151">
        <v>8.5</v>
      </c>
      <c r="O121" s="17"/>
      <c r="R121" s="244">
        <v>119</v>
      </c>
      <c r="S121" s="232" t="s">
        <v>2243</v>
      </c>
      <c r="T121" s="233" t="s">
        <v>2244</v>
      </c>
      <c r="U121" s="233">
        <v>8.58</v>
      </c>
      <c r="V121" s="326">
        <v>8.5</v>
      </c>
      <c r="W121" s="233">
        <v>8.5</v>
      </c>
      <c r="X121" s="233">
        <v>0.67</v>
      </c>
      <c r="Y121" s="233">
        <v>1</v>
      </c>
      <c r="Z121" s="233">
        <v>12</v>
      </c>
      <c r="AA121" s="233">
        <v>0</v>
      </c>
      <c r="AB121" s="232" t="s">
        <v>2247</v>
      </c>
      <c r="AC121" s="233">
        <v>1992</v>
      </c>
      <c r="AD121" s="233" t="s">
        <v>1934</v>
      </c>
      <c r="AE121" s="234" t="s">
        <v>2229</v>
      </c>
      <c r="AF121"/>
      <c r="AG121"/>
      <c r="AH121" s="235" t="s">
        <v>1099</v>
      </c>
      <c r="AI121" s="344" t="s">
        <v>1441</v>
      </c>
    </row>
    <row r="122" spans="1:35" ht="16" customHeight="1" thickBot="1" x14ac:dyDescent="0.25">
      <c r="A122" s="6" t="s">
        <v>636</v>
      </c>
      <c r="B122" s="151">
        <v>8</v>
      </c>
      <c r="C122" s="17"/>
      <c r="D122" s="3" t="s">
        <v>652</v>
      </c>
      <c r="E122" s="151">
        <v>10.5</v>
      </c>
      <c r="F122" s="2"/>
      <c r="G122" s="6" t="s">
        <v>598</v>
      </c>
      <c r="H122" s="151">
        <v>8</v>
      </c>
      <c r="I122" s="17"/>
      <c r="J122" s="7" t="s">
        <v>612</v>
      </c>
      <c r="K122" s="152">
        <v>8.5</v>
      </c>
      <c r="L122" s="17"/>
      <c r="M122" s="3" t="s">
        <v>624</v>
      </c>
      <c r="N122" s="151">
        <v>7.5</v>
      </c>
      <c r="O122" s="17"/>
      <c r="R122" s="244">
        <v>120</v>
      </c>
      <c r="S122" s="235" t="s">
        <v>837</v>
      </c>
      <c r="T122" s="236" t="s">
        <v>2285</v>
      </c>
      <c r="U122" s="236">
        <v>8.57</v>
      </c>
      <c r="V122" s="310">
        <v>8.49</v>
      </c>
      <c r="W122" s="236">
        <v>8.5</v>
      </c>
      <c r="X122" s="236">
        <v>0.6</v>
      </c>
      <c r="Y122" s="236">
        <v>1</v>
      </c>
      <c r="Z122" s="236">
        <v>15</v>
      </c>
      <c r="AA122" s="236">
        <v>0</v>
      </c>
      <c r="AB122" s="235" t="s">
        <v>838</v>
      </c>
      <c r="AC122" s="236">
        <v>2003</v>
      </c>
      <c r="AD122" s="236" t="s">
        <v>1935</v>
      </c>
      <c r="AE122" s="237" t="s">
        <v>2288</v>
      </c>
      <c r="AF122"/>
      <c r="AG122"/>
      <c r="AH122" s="232" t="s">
        <v>1105</v>
      </c>
      <c r="AI122" s="345" t="s">
        <v>1865</v>
      </c>
    </row>
    <row r="123" spans="1:35" ht="16" customHeight="1" thickBot="1" x14ac:dyDescent="0.25">
      <c r="A123" s="6" t="s">
        <v>637</v>
      </c>
      <c r="B123" s="151">
        <v>6.5</v>
      </c>
      <c r="C123" s="17"/>
      <c r="D123" s="3" t="s">
        <v>653</v>
      </c>
      <c r="E123" s="151">
        <v>8</v>
      </c>
      <c r="F123" s="2"/>
      <c r="G123" s="8" t="s">
        <v>599</v>
      </c>
      <c r="H123" s="152">
        <v>9</v>
      </c>
      <c r="I123" s="2"/>
      <c r="J123" s="16"/>
      <c r="K123" s="16"/>
      <c r="L123" s="17"/>
      <c r="M123" s="3" t="s">
        <v>625</v>
      </c>
      <c r="N123" s="151">
        <v>8</v>
      </c>
      <c r="O123" s="17"/>
      <c r="R123" s="244">
        <v>121</v>
      </c>
      <c r="S123" s="232" t="s">
        <v>1022</v>
      </c>
      <c r="T123" s="233" t="s">
        <v>1023</v>
      </c>
      <c r="U123" s="233">
        <v>8.5500000000000007</v>
      </c>
      <c r="V123" s="278">
        <v>8.4700000000000006</v>
      </c>
      <c r="W123" s="233">
        <v>8.5</v>
      </c>
      <c r="X123" s="233">
        <v>0.69</v>
      </c>
      <c r="Y123" s="233">
        <v>1</v>
      </c>
      <c r="Z123" s="233">
        <v>12</v>
      </c>
      <c r="AA123" s="233">
        <v>1</v>
      </c>
      <c r="AB123" s="232" t="s">
        <v>774</v>
      </c>
      <c r="AC123" s="233">
        <v>1999</v>
      </c>
      <c r="AD123" s="233" t="s">
        <v>1904</v>
      </c>
      <c r="AE123" s="234" t="s">
        <v>2163</v>
      </c>
      <c r="AF123"/>
      <c r="AG123"/>
      <c r="AH123" s="235" t="s">
        <v>1096</v>
      </c>
      <c r="AI123" s="344" t="s">
        <v>1778</v>
      </c>
    </row>
    <row r="124" spans="1:35" ht="16" customHeight="1" thickBot="1" x14ac:dyDescent="0.25">
      <c r="A124" s="6" t="s">
        <v>638</v>
      </c>
      <c r="B124" s="151">
        <v>7.5</v>
      </c>
      <c r="C124" s="17"/>
      <c r="D124" s="3" t="s">
        <v>654</v>
      </c>
      <c r="E124" s="151">
        <v>9</v>
      </c>
      <c r="F124" s="2"/>
      <c r="G124" s="16"/>
      <c r="H124" s="16"/>
      <c r="I124" s="2"/>
      <c r="J124" s="52" t="s">
        <v>667</v>
      </c>
      <c r="K124" s="1">
        <f>ROUND(SUM(K125:K134)/COUNT(K125:K134), 2)</f>
        <v>7.06</v>
      </c>
      <c r="L124" s="17"/>
      <c r="M124" s="3" t="s">
        <v>626</v>
      </c>
      <c r="N124" s="151">
        <v>8.5</v>
      </c>
      <c r="O124" s="17"/>
      <c r="R124" s="244">
        <v>122</v>
      </c>
      <c r="S124" s="235" t="s">
        <v>2754</v>
      </c>
      <c r="T124" s="236" t="s">
        <v>2750</v>
      </c>
      <c r="U124" s="236">
        <v>8.5500000000000007</v>
      </c>
      <c r="V124" s="278">
        <v>8.4700000000000006</v>
      </c>
      <c r="W124" s="236">
        <v>8.5</v>
      </c>
      <c r="X124" s="236">
        <v>0.78</v>
      </c>
      <c r="Y124" s="236">
        <v>2</v>
      </c>
      <c r="Z124" s="236">
        <v>11</v>
      </c>
      <c r="AA124" s="236">
        <v>0</v>
      </c>
      <c r="AB124" s="235" t="s">
        <v>2755</v>
      </c>
      <c r="AC124" s="236">
        <v>1970</v>
      </c>
      <c r="AD124" s="236" t="s">
        <v>1926</v>
      </c>
      <c r="AE124" s="237" t="s">
        <v>2756</v>
      </c>
      <c r="AF124"/>
      <c r="AG124"/>
      <c r="AH124" s="232" t="s">
        <v>1085</v>
      </c>
      <c r="AI124" s="345" t="s">
        <v>1107</v>
      </c>
    </row>
    <row r="125" spans="1:35" ht="16" customHeight="1" thickBot="1" x14ac:dyDescent="0.25">
      <c r="A125" s="6" t="s">
        <v>639</v>
      </c>
      <c r="B125" s="151">
        <v>7</v>
      </c>
      <c r="C125" s="17"/>
      <c r="D125" s="3" t="s">
        <v>655</v>
      </c>
      <c r="E125" s="151">
        <v>8.5</v>
      </c>
      <c r="F125" s="17"/>
      <c r="G125" s="349" t="s">
        <v>2702</v>
      </c>
      <c r="H125" s="1">
        <f>ROUND(SUM(H126:H129)/COUNT(H126:H129), 2)</f>
        <v>9.8800000000000008</v>
      </c>
      <c r="I125" s="2"/>
      <c r="J125" s="11" t="s">
        <v>657</v>
      </c>
      <c r="K125" s="151"/>
      <c r="L125" s="17"/>
      <c r="M125" s="37" t="s">
        <v>627</v>
      </c>
      <c r="N125" s="152">
        <v>7</v>
      </c>
      <c r="O125" s="17"/>
      <c r="R125" s="244">
        <v>123</v>
      </c>
      <c r="S125" s="232" t="s">
        <v>1743</v>
      </c>
      <c r="T125" s="233" t="s">
        <v>2874</v>
      </c>
      <c r="U125" s="233">
        <v>8.5</v>
      </c>
      <c r="V125" s="278">
        <v>8.4700000000000006</v>
      </c>
      <c r="W125" s="233">
        <v>8</v>
      </c>
      <c r="X125" s="233">
        <v>0.8</v>
      </c>
      <c r="Y125" s="233">
        <v>1</v>
      </c>
      <c r="Z125" s="233">
        <v>11</v>
      </c>
      <c r="AA125" s="233">
        <v>0</v>
      </c>
      <c r="AB125" s="232" t="s">
        <v>943</v>
      </c>
      <c r="AC125" s="233">
        <v>2008</v>
      </c>
      <c r="AD125" s="233" t="s">
        <v>1924</v>
      </c>
      <c r="AE125" s="234" t="s">
        <v>2894</v>
      </c>
      <c r="AF125"/>
      <c r="AG125"/>
      <c r="AH125" s="235" t="s">
        <v>1106</v>
      </c>
      <c r="AI125" s="344" t="s">
        <v>1107</v>
      </c>
    </row>
    <row r="126" spans="1:35" ht="16" customHeight="1" thickBot="1" x14ac:dyDescent="0.25">
      <c r="A126" s="6" t="s">
        <v>640</v>
      </c>
      <c r="B126" s="151">
        <v>8</v>
      </c>
      <c r="C126" s="2"/>
      <c r="D126" s="7" t="s">
        <v>656</v>
      </c>
      <c r="E126" s="152">
        <v>8</v>
      </c>
      <c r="F126" s="2"/>
      <c r="G126" s="11" t="s">
        <v>670</v>
      </c>
      <c r="H126" s="150">
        <v>10.5</v>
      </c>
      <c r="I126" s="2"/>
      <c r="J126" s="4" t="s">
        <v>658</v>
      </c>
      <c r="K126" s="151">
        <v>7.5</v>
      </c>
      <c r="L126" s="2"/>
      <c r="M126" s="16"/>
      <c r="N126" s="16"/>
      <c r="O126" s="17"/>
      <c r="R126" s="244">
        <v>124</v>
      </c>
      <c r="S126" s="235" t="s">
        <v>334</v>
      </c>
      <c r="T126" s="236" t="s">
        <v>2001</v>
      </c>
      <c r="U126" s="236">
        <v>8.5</v>
      </c>
      <c r="V126" s="314">
        <v>8.4600000000000009</v>
      </c>
      <c r="W126" s="236">
        <v>8.5</v>
      </c>
      <c r="X126" s="236">
        <v>0.35</v>
      </c>
      <c r="Y126" s="236">
        <v>0</v>
      </c>
      <c r="Z126" s="236">
        <v>8</v>
      </c>
      <c r="AA126" s="236">
        <v>0</v>
      </c>
      <c r="AB126" s="235" t="s">
        <v>774</v>
      </c>
      <c r="AC126" s="236">
        <v>2024</v>
      </c>
      <c r="AD126" s="236" t="s">
        <v>1946</v>
      </c>
      <c r="AE126" s="237" t="s">
        <v>2132</v>
      </c>
      <c r="AF126"/>
      <c r="AG126"/>
      <c r="AH126" s="232" t="s">
        <v>1108</v>
      </c>
      <c r="AI126" s="345" t="s">
        <v>1107</v>
      </c>
    </row>
    <row r="127" spans="1:35" ht="16" customHeight="1" thickBot="1" x14ac:dyDescent="0.25">
      <c r="A127" s="6" t="s">
        <v>641</v>
      </c>
      <c r="B127" s="151">
        <v>7</v>
      </c>
      <c r="C127" s="2"/>
      <c r="D127" s="14"/>
      <c r="E127" s="16"/>
      <c r="F127" s="2"/>
      <c r="G127" s="4" t="s">
        <v>671</v>
      </c>
      <c r="H127" s="151">
        <v>9.5</v>
      </c>
      <c r="I127" s="34"/>
      <c r="J127" s="4" t="s">
        <v>659</v>
      </c>
      <c r="K127" s="151">
        <v>7</v>
      </c>
      <c r="L127" s="17"/>
      <c r="M127" s="53" t="s">
        <v>700</v>
      </c>
      <c r="N127" s="1">
        <f>ROUND(SUM(N128:N135)/COUNT(N128:N135), 2)</f>
        <v>9.1300000000000008</v>
      </c>
      <c r="O127" s="17"/>
      <c r="R127" s="244">
        <v>125</v>
      </c>
      <c r="S127" s="232" t="s">
        <v>1224</v>
      </c>
      <c r="T127" s="233" t="s">
        <v>1225</v>
      </c>
      <c r="U127" s="233">
        <v>8.5299999999999994</v>
      </c>
      <c r="V127" s="259">
        <v>8.4499999999999993</v>
      </c>
      <c r="W127" s="233">
        <v>8.5</v>
      </c>
      <c r="X127" s="233">
        <v>0.96</v>
      </c>
      <c r="Y127" s="233">
        <v>3</v>
      </c>
      <c r="Z127" s="233">
        <v>15</v>
      </c>
      <c r="AA127" s="233">
        <v>0</v>
      </c>
      <c r="AB127" s="232" t="s">
        <v>1229</v>
      </c>
      <c r="AC127" s="233">
        <v>2024</v>
      </c>
      <c r="AD127" s="233" t="s">
        <v>1907</v>
      </c>
      <c r="AE127" s="234" t="s">
        <v>2160</v>
      </c>
      <c r="AF127"/>
      <c r="AG127"/>
      <c r="AH127" s="235" t="s">
        <v>1660</v>
      </c>
      <c r="AI127" s="344" t="s">
        <v>1107</v>
      </c>
    </row>
    <row r="128" spans="1:35" ht="16" customHeight="1" thickBot="1" x14ac:dyDescent="0.25">
      <c r="A128" s="6" t="s">
        <v>642</v>
      </c>
      <c r="B128" s="151">
        <v>8</v>
      </c>
      <c r="C128" s="2"/>
      <c r="D128" s="62" t="s">
        <v>868</v>
      </c>
      <c r="E128" s="1">
        <f>ROUND(SUM(E129:E144)/COUNT(E129:E144), 2)</f>
        <v>8.07</v>
      </c>
      <c r="F128" s="2"/>
      <c r="G128" s="4" t="s">
        <v>672</v>
      </c>
      <c r="H128" s="151">
        <v>10.5</v>
      </c>
      <c r="I128" s="2"/>
      <c r="J128" s="4" t="s">
        <v>660</v>
      </c>
      <c r="K128" s="151">
        <v>7</v>
      </c>
      <c r="L128" s="2"/>
      <c r="M128" s="11" t="s">
        <v>692</v>
      </c>
      <c r="N128" s="150">
        <v>8.5</v>
      </c>
      <c r="O128" s="17"/>
      <c r="R128" s="244">
        <v>126</v>
      </c>
      <c r="S128" s="235" t="s">
        <v>1767</v>
      </c>
      <c r="T128" s="236" t="s">
        <v>1768</v>
      </c>
      <c r="U128" s="236">
        <v>8.5</v>
      </c>
      <c r="V128" s="259">
        <v>8.4499999999999993</v>
      </c>
      <c r="W128" s="236">
        <v>8.5</v>
      </c>
      <c r="X128" s="236">
        <v>0.41</v>
      </c>
      <c r="Y128" s="236">
        <v>0</v>
      </c>
      <c r="Z128" s="236">
        <v>9</v>
      </c>
      <c r="AA128" s="236">
        <v>0</v>
      </c>
      <c r="AB128" s="235" t="s">
        <v>1229</v>
      </c>
      <c r="AC128" s="236">
        <v>2026</v>
      </c>
      <c r="AD128" s="236" t="s">
        <v>1941</v>
      </c>
      <c r="AE128" s="237" t="s">
        <v>2138</v>
      </c>
      <c r="AF128"/>
      <c r="AG128"/>
      <c r="AH128" s="232" t="s">
        <v>1109</v>
      </c>
      <c r="AI128" s="345" t="s">
        <v>1110</v>
      </c>
    </row>
    <row r="129" spans="1:35" ht="16" customHeight="1" thickBot="1" x14ac:dyDescent="0.25">
      <c r="A129" s="6" t="s">
        <v>643</v>
      </c>
      <c r="B129" s="151">
        <v>8.5</v>
      </c>
      <c r="C129" s="2"/>
      <c r="D129" s="11" t="s">
        <v>675</v>
      </c>
      <c r="E129" s="150">
        <v>7.5</v>
      </c>
      <c r="F129" s="2"/>
      <c r="G129" s="7" t="s">
        <v>673</v>
      </c>
      <c r="H129" s="152">
        <v>9</v>
      </c>
      <c r="I129" s="2"/>
      <c r="J129" s="4" t="s">
        <v>661</v>
      </c>
      <c r="K129" s="151">
        <v>6.5</v>
      </c>
      <c r="L129" s="2"/>
      <c r="M129" s="4" t="s">
        <v>693</v>
      </c>
      <c r="N129" s="151">
        <v>10</v>
      </c>
      <c r="O129" s="17"/>
      <c r="R129" s="244">
        <v>127</v>
      </c>
      <c r="S129" s="232" t="s">
        <v>533</v>
      </c>
      <c r="T129" s="233" t="s">
        <v>534</v>
      </c>
      <c r="U129" s="233">
        <v>8.5</v>
      </c>
      <c r="V129" s="282">
        <v>8.43</v>
      </c>
      <c r="W129" s="233">
        <v>8.5</v>
      </c>
      <c r="X129" s="233">
        <v>0.59</v>
      </c>
      <c r="Y129" s="233">
        <v>0</v>
      </c>
      <c r="Z129" s="233">
        <v>17</v>
      </c>
      <c r="AA129" s="233">
        <v>4</v>
      </c>
      <c r="AB129" s="232" t="s">
        <v>783</v>
      </c>
      <c r="AC129" s="233">
        <v>2016</v>
      </c>
      <c r="AD129" s="233" t="s">
        <v>1939</v>
      </c>
      <c r="AE129" s="234" t="s">
        <v>2185</v>
      </c>
      <c r="AF129"/>
      <c r="AG129"/>
      <c r="AH129" s="235" t="s">
        <v>2758</v>
      </c>
      <c r="AI129" s="344" t="s">
        <v>1110</v>
      </c>
    </row>
    <row r="130" spans="1:35" ht="16" customHeight="1" thickBot="1" x14ac:dyDescent="0.25">
      <c r="A130" s="6" t="s">
        <v>644</v>
      </c>
      <c r="B130" s="151">
        <v>8</v>
      </c>
      <c r="C130" s="2"/>
      <c r="D130" s="4" t="s">
        <v>676</v>
      </c>
      <c r="E130" s="151"/>
      <c r="F130" s="2"/>
      <c r="G130" s="16"/>
      <c r="H130" s="16"/>
      <c r="I130" s="2"/>
      <c r="J130" s="4" t="s">
        <v>662</v>
      </c>
      <c r="K130" s="151">
        <v>8</v>
      </c>
      <c r="L130" s="2"/>
      <c r="M130" s="4" t="s">
        <v>694</v>
      </c>
      <c r="N130" s="151">
        <v>10</v>
      </c>
      <c r="O130" s="17"/>
      <c r="R130" s="244">
        <v>128</v>
      </c>
      <c r="S130" s="235" t="s">
        <v>334</v>
      </c>
      <c r="T130" s="236" t="s">
        <v>2326</v>
      </c>
      <c r="U130" s="236">
        <v>8.5</v>
      </c>
      <c r="V130" s="282">
        <v>8.43</v>
      </c>
      <c r="W130" s="236">
        <v>8.5</v>
      </c>
      <c r="X130" s="236">
        <v>0.76</v>
      </c>
      <c r="Y130" s="236">
        <v>1</v>
      </c>
      <c r="Z130" s="236">
        <v>7</v>
      </c>
      <c r="AA130" s="236">
        <v>0</v>
      </c>
      <c r="AB130" s="235" t="s">
        <v>774</v>
      </c>
      <c r="AC130" s="236">
        <v>2008</v>
      </c>
      <c r="AD130" s="236" t="s">
        <v>1942</v>
      </c>
      <c r="AE130" s="237" t="s">
        <v>2347</v>
      </c>
      <c r="AF130"/>
      <c r="AG130"/>
      <c r="AH130" s="232" t="s">
        <v>1086</v>
      </c>
      <c r="AI130" s="345" t="s">
        <v>2692</v>
      </c>
    </row>
    <row r="131" spans="1:35" ht="16" customHeight="1" thickBot="1" x14ac:dyDescent="0.25">
      <c r="A131" s="6" t="s">
        <v>645</v>
      </c>
      <c r="B131" s="151">
        <v>9</v>
      </c>
      <c r="C131" s="2"/>
      <c r="D131" s="4" t="s">
        <v>677</v>
      </c>
      <c r="E131" s="151">
        <v>9</v>
      </c>
      <c r="F131" s="17"/>
      <c r="G131" s="61" t="s">
        <v>867</v>
      </c>
      <c r="H131" s="1">
        <f>ROUND(SUM(H132:H147)/COUNT(H132:H147), 2)</f>
        <v>8.67</v>
      </c>
      <c r="I131" s="2"/>
      <c r="J131" s="4" t="s">
        <v>663</v>
      </c>
      <c r="K131" s="151">
        <v>6.5</v>
      </c>
      <c r="L131" s="2"/>
      <c r="M131" s="4" t="s">
        <v>695</v>
      </c>
      <c r="N131" s="151">
        <v>10.5</v>
      </c>
      <c r="O131" s="17"/>
      <c r="R131" s="244">
        <v>129</v>
      </c>
      <c r="S131" s="232" t="s">
        <v>2263</v>
      </c>
      <c r="T131" s="233" t="s">
        <v>2264</v>
      </c>
      <c r="U131" s="233">
        <v>8.5399999999999991</v>
      </c>
      <c r="V131" s="239">
        <v>8.41</v>
      </c>
      <c r="W131" s="233">
        <v>8.25</v>
      </c>
      <c r="X131" s="233">
        <v>0.81</v>
      </c>
      <c r="Y131" s="233">
        <v>2</v>
      </c>
      <c r="Z131" s="233">
        <v>14</v>
      </c>
      <c r="AA131" s="233">
        <v>0</v>
      </c>
      <c r="AB131" s="232" t="s">
        <v>2266</v>
      </c>
      <c r="AC131" s="233">
        <v>1991</v>
      </c>
      <c r="AD131" s="233" t="s">
        <v>1919</v>
      </c>
      <c r="AE131" s="234" t="s">
        <v>2284</v>
      </c>
      <c r="AF131"/>
      <c r="AG131"/>
      <c r="AH131" s="235" t="s">
        <v>1111</v>
      </c>
      <c r="AI131" s="344" t="s">
        <v>1112</v>
      </c>
    </row>
    <row r="132" spans="1:35" ht="16" customHeight="1" thickBot="1" x14ac:dyDescent="0.25">
      <c r="A132" s="6" t="s">
        <v>646</v>
      </c>
      <c r="B132" s="151">
        <v>7.5</v>
      </c>
      <c r="C132" s="2"/>
      <c r="D132" s="4" t="s">
        <v>678</v>
      </c>
      <c r="E132" s="151">
        <v>10</v>
      </c>
      <c r="F132" s="2"/>
      <c r="G132" s="11" t="s">
        <v>701</v>
      </c>
      <c r="H132" s="150"/>
      <c r="I132" s="2"/>
      <c r="J132" s="4" t="s">
        <v>664</v>
      </c>
      <c r="K132" s="151">
        <v>7</v>
      </c>
      <c r="L132" s="2"/>
      <c r="M132" s="4" t="s">
        <v>696</v>
      </c>
      <c r="N132" s="151">
        <v>8.5</v>
      </c>
      <c r="O132" s="17"/>
      <c r="R132" s="244">
        <v>130</v>
      </c>
      <c r="S132" s="235" t="s">
        <v>372</v>
      </c>
      <c r="T132" s="236" t="s">
        <v>373</v>
      </c>
      <c r="U132" s="236">
        <v>8.4600000000000009</v>
      </c>
      <c r="V132" s="302">
        <v>8.39</v>
      </c>
      <c r="W132" s="236">
        <v>8.5</v>
      </c>
      <c r="X132" s="236">
        <v>0.84</v>
      </c>
      <c r="Y132" s="236">
        <v>2</v>
      </c>
      <c r="Z132" s="236">
        <v>13</v>
      </c>
      <c r="AA132" s="236">
        <v>0</v>
      </c>
      <c r="AB132" s="235" t="s">
        <v>780</v>
      </c>
      <c r="AC132" s="236">
        <v>2018</v>
      </c>
      <c r="AD132" s="236" t="s">
        <v>1922</v>
      </c>
      <c r="AE132" s="237" t="s">
        <v>2191</v>
      </c>
      <c r="AF132"/>
      <c r="AG132"/>
      <c r="AH132" s="232" t="s">
        <v>764</v>
      </c>
      <c r="AI132" s="345" t="s">
        <v>1779</v>
      </c>
    </row>
    <row r="133" spans="1:35" ht="16" customHeight="1" thickBot="1" x14ac:dyDescent="0.25">
      <c r="A133" s="51"/>
      <c r="B133" s="14"/>
      <c r="C133" s="2"/>
      <c r="D133" s="4" t="s">
        <v>679</v>
      </c>
      <c r="E133" s="151">
        <v>8</v>
      </c>
      <c r="F133" s="2"/>
      <c r="G133" s="4" t="s">
        <v>702</v>
      </c>
      <c r="H133" s="151">
        <v>8</v>
      </c>
      <c r="I133" s="2"/>
      <c r="J133" s="4" t="s">
        <v>665</v>
      </c>
      <c r="K133" s="151">
        <v>7</v>
      </c>
      <c r="L133" s="2"/>
      <c r="M133" s="4" t="s">
        <v>697</v>
      </c>
      <c r="N133" s="151">
        <v>7.5</v>
      </c>
      <c r="O133" s="17"/>
      <c r="R133" s="244">
        <v>131</v>
      </c>
      <c r="S133" s="232" t="s">
        <v>1268</v>
      </c>
      <c r="T133" s="233" t="s">
        <v>1258</v>
      </c>
      <c r="U133" s="233">
        <v>8.4499999999999993</v>
      </c>
      <c r="V133" s="251">
        <v>8.3800000000000008</v>
      </c>
      <c r="W133" s="233">
        <v>8.5</v>
      </c>
      <c r="X133" s="233">
        <v>0.78</v>
      </c>
      <c r="Y133" s="233">
        <v>1</v>
      </c>
      <c r="Z133" s="233">
        <v>11</v>
      </c>
      <c r="AA133" s="233">
        <v>0</v>
      </c>
      <c r="AB133" s="232" t="s">
        <v>1269</v>
      </c>
      <c r="AC133" s="233">
        <v>2024</v>
      </c>
      <c r="AD133" s="233" t="s">
        <v>1941</v>
      </c>
      <c r="AE133" s="234" t="s">
        <v>2159</v>
      </c>
      <c r="AF133"/>
      <c r="AG133"/>
      <c r="AH133" s="235" t="s">
        <v>1281</v>
      </c>
      <c r="AI133" s="344" t="s">
        <v>1282</v>
      </c>
    </row>
    <row r="134" spans="1:35" ht="16" customHeight="1" thickBot="1" x14ac:dyDescent="0.25">
      <c r="A134" s="89" t="s">
        <v>895</v>
      </c>
      <c r="B134" s="1">
        <f>ROUND(SUM(B135:B143)/COUNT(B135:B143), 2)</f>
        <v>8.67</v>
      </c>
      <c r="C134" s="2"/>
      <c r="D134" s="4" t="s">
        <v>680</v>
      </c>
      <c r="E134" s="151">
        <v>8.5</v>
      </c>
      <c r="F134" s="2"/>
      <c r="G134" s="4" t="s">
        <v>703</v>
      </c>
      <c r="H134" s="151">
        <v>8</v>
      </c>
      <c r="I134" s="2"/>
      <c r="J134" s="7" t="s">
        <v>666</v>
      </c>
      <c r="K134" s="152">
        <v>7</v>
      </c>
      <c r="L134" s="2"/>
      <c r="M134" s="4" t="s">
        <v>698</v>
      </c>
      <c r="N134" s="151">
        <v>9</v>
      </c>
      <c r="O134" s="17"/>
      <c r="R134" s="244">
        <v>132</v>
      </c>
      <c r="S134" s="235" t="s">
        <v>2023</v>
      </c>
      <c r="T134" s="236" t="s">
        <v>2024</v>
      </c>
      <c r="U134" s="236">
        <v>8.43</v>
      </c>
      <c r="V134" s="251">
        <v>8.3800000000000008</v>
      </c>
      <c r="W134" s="236">
        <v>8.5</v>
      </c>
      <c r="X134" s="236">
        <v>0.49</v>
      </c>
      <c r="Y134" s="236">
        <v>0</v>
      </c>
      <c r="Z134" s="236">
        <v>8</v>
      </c>
      <c r="AA134" s="236">
        <v>1</v>
      </c>
      <c r="AB134" s="235" t="s">
        <v>2025</v>
      </c>
      <c r="AC134" s="236">
        <v>2026</v>
      </c>
      <c r="AD134" s="236" t="s">
        <v>1933</v>
      </c>
      <c r="AE134" s="237" t="s">
        <v>2131</v>
      </c>
      <c r="AF134"/>
      <c r="AG134"/>
      <c r="AH134" s="232" t="s">
        <v>1283</v>
      </c>
      <c r="AI134" s="345" t="s">
        <v>1282</v>
      </c>
    </row>
    <row r="135" spans="1:35" ht="16" customHeight="1" thickBot="1" x14ac:dyDescent="0.25">
      <c r="A135" s="11" t="s">
        <v>718</v>
      </c>
      <c r="B135" s="150">
        <v>9</v>
      </c>
      <c r="C135" s="2"/>
      <c r="D135" s="4" t="s">
        <v>681</v>
      </c>
      <c r="E135" s="151">
        <v>10</v>
      </c>
      <c r="F135" s="2"/>
      <c r="G135" s="4" t="s">
        <v>704</v>
      </c>
      <c r="H135" s="151">
        <v>10</v>
      </c>
      <c r="I135" s="2"/>
      <c r="J135" s="16"/>
      <c r="K135" s="16"/>
      <c r="L135" s="2"/>
      <c r="M135" s="7" t="s">
        <v>699</v>
      </c>
      <c r="N135" s="152">
        <v>9</v>
      </c>
      <c r="O135" s="17"/>
      <c r="R135" s="244">
        <v>133</v>
      </c>
      <c r="S135" s="232" t="s">
        <v>1657</v>
      </c>
      <c r="T135" s="233" t="s">
        <v>1658</v>
      </c>
      <c r="U135" s="233">
        <v>8.4</v>
      </c>
      <c r="V135" s="309">
        <v>8.3699999999999992</v>
      </c>
      <c r="W135" s="233">
        <v>8.5</v>
      </c>
      <c r="X135" s="233">
        <v>0.37</v>
      </c>
      <c r="Y135" s="233">
        <v>0</v>
      </c>
      <c r="Z135" s="233">
        <v>5</v>
      </c>
      <c r="AA135" s="233">
        <v>0</v>
      </c>
      <c r="AB135" s="232" t="s">
        <v>1659</v>
      </c>
      <c r="AC135" s="233">
        <v>2026</v>
      </c>
      <c r="AD135" s="233" t="s">
        <v>1913</v>
      </c>
      <c r="AE135" s="234" t="s">
        <v>2143</v>
      </c>
      <c r="AF135"/>
      <c r="AG135"/>
      <c r="AH135" s="235" t="s">
        <v>1583</v>
      </c>
      <c r="AI135" s="344" t="s">
        <v>1584</v>
      </c>
    </row>
    <row r="136" spans="1:35" ht="16" customHeight="1" thickBot="1" x14ac:dyDescent="0.25">
      <c r="A136" s="4" t="s">
        <v>719</v>
      </c>
      <c r="B136" s="151">
        <v>9</v>
      </c>
      <c r="C136" s="2"/>
      <c r="D136" s="4" t="s">
        <v>682</v>
      </c>
      <c r="E136" s="151">
        <v>8</v>
      </c>
      <c r="F136" s="2"/>
      <c r="G136" s="4" t="s">
        <v>705</v>
      </c>
      <c r="H136" s="151">
        <v>9</v>
      </c>
      <c r="I136" s="17"/>
      <c r="J136" s="147" t="s">
        <v>1801</v>
      </c>
      <c r="K136" s="12">
        <f>ROUND(SUM(K137:K147)/COUNT(K137:K147), 2)</f>
        <v>8.91</v>
      </c>
      <c r="L136" s="2"/>
      <c r="M136" s="16"/>
      <c r="N136" s="16"/>
      <c r="O136" s="17"/>
      <c r="R136" s="244">
        <v>134</v>
      </c>
      <c r="S136" s="235" t="s">
        <v>349</v>
      </c>
      <c r="T136" s="236" t="s">
        <v>350</v>
      </c>
      <c r="U136" s="236">
        <v>8.42</v>
      </c>
      <c r="V136" s="283">
        <v>8.34</v>
      </c>
      <c r="W136" s="236">
        <v>8.5</v>
      </c>
      <c r="X136" s="236">
        <v>0.91</v>
      </c>
      <c r="Y136" s="236">
        <v>1</v>
      </c>
      <c r="Z136" s="236">
        <v>13</v>
      </c>
      <c r="AA136" s="236">
        <v>1</v>
      </c>
      <c r="AB136" s="235" t="s">
        <v>765</v>
      </c>
      <c r="AC136" s="236">
        <v>2000</v>
      </c>
      <c r="AD136" s="236" t="s">
        <v>1936</v>
      </c>
      <c r="AE136" s="237" t="s">
        <v>2194</v>
      </c>
      <c r="AF136"/>
      <c r="AG136"/>
      <c r="AH136" s="232" t="s">
        <v>2025</v>
      </c>
      <c r="AI136" s="345" t="s">
        <v>2036</v>
      </c>
    </row>
    <row r="137" spans="1:35" ht="16" customHeight="1" thickBot="1" x14ac:dyDescent="0.25">
      <c r="A137" s="4" t="s">
        <v>720</v>
      </c>
      <c r="B137" s="151">
        <v>8.5</v>
      </c>
      <c r="C137" s="2"/>
      <c r="D137" s="4" t="s">
        <v>683</v>
      </c>
      <c r="E137" s="151">
        <v>8</v>
      </c>
      <c r="F137" s="2"/>
      <c r="G137" s="4" t="s">
        <v>706</v>
      </c>
      <c r="H137" s="151">
        <v>8.5</v>
      </c>
      <c r="I137" s="17"/>
      <c r="J137" s="11" t="s">
        <v>294</v>
      </c>
      <c r="K137" s="150">
        <v>10</v>
      </c>
      <c r="L137" s="17"/>
      <c r="M137" s="60" t="s">
        <v>866</v>
      </c>
      <c r="N137" s="12">
        <f>ROUND(SUM(N138:N142)/COUNT(N138:N142), 2)</f>
        <v>9.4</v>
      </c>
      <c r="O137" s="17"/>
      <c r="R137" s="244">
        <v>135</v>
      </c>
      <c r="S137" s="232" t="s">
        <v>1522</v>
      </c>
      <c r="T137" s="233" t="s">
        <v>1577</v>
      </c>
      <c r="U137" s="233">
        <v>8.44</v>
      </c>
      <c r="V137" s="283">
        <v>8.34</v>
      </c>
      <c r="W137" s="233">
        <v>8.5</v>
      </c>
      <c r="X137" s="233">
        <v>1.28</v>
      </c>
      <c r="Y137" s="233">
        <v>2</v>
      </c>
      <c r="Z137" s="233">
        <v>10</v>
      </c>
      <c r="AA137" s="233">
        <v>1</v>
      </c>
      <c r="AB137" s="232" t="s">
        <v>1582</v>
      </c>
      <c r="AC137" s="233">
        <v>2016</v>
      </c>
      <c r="AD137" s="233" t="s">
        <v>1938</v>
      </c>
      <c r="AE137" s="234" t="s">
        <v>2146</v>
      </c>
      <c r="AF137"/>
      <c r="AG137"/>
      <c r="AH137" s="235" t="s">
        <v>1087</v>
      </c>
      <c r="AI137" s="344" t="s">
        <v>2889</v>
      </c>
    </row>
    <row r="138" spans="1:35" ht="16" customHeight="1" x14ac:dyDescent="0.2">
      <c r="A138" s="4" t="s">
        <v>721</v>
      </c>
      <c r="B138" s="151">
        <v>9</v>
      </c>
      <c r="C138" s="2"/>
      <c r="D138" s="4" t="s">
        <v>684</v>
      </c>
      <c r="E138" s="151">
        <v>7</v>
      </c>
      <c r="F138" s="2"/>
      <c r="G138" s="4" t="s">
        <v>707</v>
      </c>
      <c r="H138" s="151">
        <v>10.5</v>
      </c>
      <c r="I138" s="17"/>
      <c r="J138" s="4" t="s">
        <v>729</v>
      </c>
      <c r="K138" s="151">
        <v>10</v>
      </c>
      <c r="L138" s="17"/>
      <c r="M138" s="11" t="s">
        <v>741</v>
      </c>
      <c r="N138" s="150">
        <v>8.5</v>
      </c>
      <c r="O138" s="17"/>
      <c r="R138" s="244">
        <v>136</v>
      </c>
      <c r="S138" s="235" t="s">
        <v>2057</v>
      </c>
      <c r="T138" s="236" t="s">
        <v>2043</v>
      </c>
      <c r="U138" s="236">
        <v>8.3800000000000008</v>
      </c>
      <c r="V138" s="330">
        <v>8.33</v>
      </c>
      <c r="W138" s="236">
        <v>8.5</v>
      </c>
      <c r="X138" s="236">
        <v>0.78</v>
      </c>
      <c r="Y138" s="236">
        <v>2</v>
      </c>
      <c r="Z138" s="236">
        <v>19</v>
      </c>
      <c r="AA138" s="236">
        <v>2</v>
      </c>
      <c r="AB138" s="235" t="s">
        <v>2059</v>
      </c>
      <c r="AC138" s="236">
        <v>1994</v>
      </c>
      <c r="AD138" s="236" t="s">
        <v>1900</v>
      </c>
      <c r="AE138" s="237" t="s">
        <v>2130</v>
      </c>
      <c r="AF138"/>
      <c r="AG138"/>
      <c r="AH138" s="232" t="s">
        <v>2093</v>
      </c>
      <c r="AI138" s="345" t="s">
        <v>1114</v>
      </c>
    </row>
    <row r="139" spans="1:35" ht="16" customHeight="1" x14ac:dyDescent="0.2">
      <c r="A139" s="4" t="s">
        <v>722</v>
      </c>
      <c r="B139" s="151">
        <v>10</v>
      </c>
      <c r="C139" s="2"/>
      <c r="D139" s="4" t="s">
        <v>685</v>
      </c>
      <c r="E139" s="151">
        <v>6.5</v>
      </c>
      <c r="F139" s="2"/>
      <c r="G139" s="4" t="s">
        <v>708</v>
      </c>
      <c r="H139" s="151">
        <v>8</v>
      </c>
      <c r="I139" s="17"/>
      <c r="J139" s="4" t="s">
        <v>730</v>
      </c>
      <c r="K139" s="151">
        <v>8.5</v>
      </c>
      <c r="L139" s="17"/>
      <c r="M139" s="4" t="s">
        <v>742</v>
      </c>
      <c r="N139" s="151">
        <v>10.5</v>
      </c>
      <c r="O139" s="17"/>
      <c r="R139" s="244">
        <v>137</v>
      </c>
      <c r="S139" s="232" t="s">
        <v>1150</v>
      </c>
      <c r="T139" s="233" t="s">
        <v>1151</v>
      </c>
      <c r="U139" s="233">
        <v>8.4600000000000009</v>
      </c>
      <c r="V139" s="315">
        <v>8.27</v>
      </c>
      <c r="W139" s="233">
        <v>8</v>
      </c>
      <c r="X139" s="233">
        <v>1.1299999999999999</v>
      </c>
      <c r="Y139" s="233">
        <v>3</v>
      </c>
      <c r="Z139" s="233">
        <v>13</v>
      </c>
      <c r="AA139" s="233">
        <v>1</v>
      </c>
      <c r="AB139" s="232" t="s">
        <v>1152</v>
      </c>
      <c r="AC139" s="233">
        <v>1993</v>
      </c>
      <c r="AD139" s="233" t="s">
        <v>1935</v>
      </c>
      <c r="AE139" s="234" t="s">
        <v>2161</v>
      </c>
      <c r="AF139"/>
      <c r="AG139"/>
      <c r="AH139" s="235" t="s">
        <v>1115</v>
      </c>
      <c r="AI139" s="344" t="s">
        <v>1114</v>
      </c>
    </row>
    <row r="140" spans="1:35" ht="16" customHeight="1" x14ac:dyDescent="0.2">
      <c r="A140" s="4" t="s">
        <v>723</v>
      </c>
      <c r="B140" s="151">
        <v>8</v>
      </c>
      <c r="C140" s="2"/>
      <c r="D140" s="4" t="s">
        <v>686</v>
      </c>
      <c r="E140" s="151">
        <v>7</v>
      </c>
      <c r="F140" s="2"/>
      <c r="G140" s="4" t="s">
        <v>709</v>
      </c>
      <c r="H140" s="151">
        <v>8</v>
      </c>
      <c r="I140" s="17"/>
      <c r="J140" s="4" t="s">
        <v>731</v>
      </c>
      <c r="K140" s="151">
        <v>10.5</v>
      </c>
      <c r="L140" s="17"/>
      <c r="M140" s="4" t="s">
        <v>743</v>
      </c>
      <c r="N140" s="151">
        <v>10</v>
      </c>
      <c r="O140" s="17"/>
      <c r="R140" s="244">
        <v>138</v>
      </c>
      <c r="S140" s="235" t="s">
        <v>334</v>
      </c>
      <c r="T140" s="236" t="s">
        <v>1830</v>
      </c>
      <c r="U140" s="236">
        <v>8.2899999999999991</v>
      </c>
      <c r="V140" s="315">
        <v>8.27</v>
      </c>
      <c r="W140" s="236">
        <v>8.5</v>
      </c>
      <c r="X140" s="236">
        <v>0.45</v>
      </c>
      <c r="Y140" s="236">
        <v>0</v>
      </c>
      <c r="Z140" s="236">
        <v>9</v>
      </c>
      <c r="AA140" s="236">
        <v>2</v>
      </c>
      <c r="AB140" s="235" t="s">
        <v>776</v>
      </c>
      <c r="AC140" s="236">
        <v>1998</v>
      </c>
      <c r="AD140" s="236" t="s">
        <v>1935</v>
      </c>
      <c r="AE140" s="237" t="s">
        <v>2135</v>
      </c>
      <c r="AF140"/>
      <c r="AG140"/>
      <c r="AH140" s="232" t="s">
        <v>1120</v>
      </c>
      <c r="AI140" s="345" t="s">
        <v>1674</v>
      </c>
    </row>
    <row r="141" spans="1:35" ht="16" customHeight="1" x14ac:dyDescent="0.2">
      <c r="A141" s="4" t="s">
        <v>724</v>
      </c>
      <c r="B141" s="151">
        <v>8.5</v>
      </c>
      <c r="C141" s="2"/>
      <c r="D141" s="4" t="s">
        <v>687</v>
      </c>
      <c r="E141" s="151">
        <v>7.5</v>
      </c>
      <c r="F141" s="2"/>
      <c r="G141" s="4" t="s">
        <v>710</v>
      </c>
      <c r="H141" s="151">
        <v>10.5</v>
      </c>
      <c r="I141" s="17"/>
      <c r="J141" s="4" t="s">
        <v>732</v>
      </c>
      <c r="K141" s="151">
        <v>9</v>
      </c>
      <c r="L141" s="17"/>
      <c r="M141" s="4" t="s">
        <v>744</v>
      </c>
      <c r="N141" s="151">
        <v>9.5</v>
      </c>
      <c r="O141" s="17"/>
      <c r="R141" s="244">
        <v>139</v>
      </c>
      <c r="S141" s="232" t="s">
        <v>347</v>
      </c>
      <c r="T141" s="233" t="s">
        <v>162</v>
      </c>
      <c r="U141" s="233">
        <v>8.3800000000000008</v>
      </c>
      <c r="V141" s="246">
        <v>8.25</v>
      </c>
      <c r="W141" s="233">
        <v>8.25</v>
      </c>
      <c r="X141" s="233">
        <v>1.06</v>
      </c>
      <c r="Y141" s="233">
        <v>2</v>
      </c>
      <c r="Z141" s="233">
        <v>12</v>
      </c>
      <c r="AA141" s="233">
        <v>0</v>
      </c>
      <c r="AB141" s="232" t="s">
        <v>821</v>
      </c>
      <c r="AC141" s="233">
        <v>1992</v>
      </c>
      <c r="AD141" s="233" t="s">
        <v>1932</v>
      </c>
      <c r="AE141" s="234" t="s">
        <v>2127</v>
      </c>
      <c r="AF141"/>
      <c r="AG141"/>
      <c r="AH141" s="235" t="s">
        <v>772</v>
      </c>
      <c r="AI141" s="344" t="s">
        <v>2579</v>
      </c>
    </row>
    <row r="142" spans="1:35" ht="16" customHeight="1" thickBot="1" x14ac:dyDescent="0.25">
      <c r="A142" s="4" t="s">
        <v>725</v>
      </c>
      <c r="B142" s="151">
        <v>8</v>
      </c>
      <c r="C142" s="2"/>
      <c r="D142" s="4" t="s">
        <v>688</v>
      </c>
      <c r="E142" s="151">
        <v>7</v>
      </c>
      <c r="F142" s="2"/>
      <c r="G142" s="4" t="s">
        <v>711</v>
      </c>
      <c r="H142" s="151">
        <v>8</v>
      </c>
      <c r="I142" s="17"/>
      <c r="J142" s="4" t="s">
        <v>733</v>
      </c>
      <c r="K142" s="151">
        <v>8.5</v>
      </c>
      <c r="L142" s="17"/>
      <c r="M142" s="7" t="s">
        <v>745</v>
      </c>
      <c r="N142" s="152">
        <v>8.5</v>
      </c>
      <c r="O142" s="17"/>
      <c r="R142" s="244">
        <v>140</v>
      </c>
      <c r="S142" s="235" t="s">
        <v>334</v>
      </c>
      <c r="T142" s="236" t="s">
        <v>1702</v>
      </c>
      <c r="U142" s="236">
        <v>8.4</v>
      </c>
      <c r="V142" s="246">
        <v>8.25</v>
      </c>
      <c r="W142" s="236">
        <v>8</v>
      </c>
      <c r="X142" s="236">
        <v>0.86</v>
      </c>
      <c r="Y142" s="236">
        <v>1</v>
      </c>
      <c r="Z142" s="236">
        <v>5</v>
      </c>
      <c r="AA142" s="236">
        <v>0</v>
      </c>
      <c r="AB142" s="235" t="s">
        <v>774</v>
      </c>
      <c r="AC142" s="236">
        <v>1996</v>
      </c>
      <c r="AD142" s="236" t="s">
        <v>1927</v>
      </c>
      <c r="AE142" s="237" t="s">
        <v>2140</v>
      </c>
      <c r="AF142"/>
      <c r="AG142"/>
      <c r="AH142" s="232" t="s">
        <v>780</v>
      </c>
      <c r="AI142" s="345" t="s">
        <v>1118</v>
      </c>
    </row>
    <row r="143" spans="1:35" ht="16" customHeight="1" thickBot="1" x14ac:dyDescent="0.25">
      <c r="A143" s="7" t="s">
        <v>726</v>
      </c>
      <c r="B143" s="152">
        <v>8</v>
      </c>
      <c r="C143" s="2"/>
      <c r="D143" s="4" t="s">
        <v>689</v>
      </c>
      <c r="E143" s="151">
        <v>9</v>
      </c>
      <c r="F143" s="2"/>
      <c r="G143" s="4" t="s">
        <v>712</v>
      </c>
      <c r="H143" s="151">
        <v>7</v>
      </c>
      <c r="I143" s="17"/>
      <c r="J143" s="4" t="s">
        <v>734</v>
      </c>
      <c r="K143" s="151">
        <v>8</v>
      </c>
      <c r="L143" s="2"/>
      <c r="M143" s="16"/>
      <c r="N143" s="16"/>
      <c r="O143" s="17"/>
      <c r="R143" s="244">
        <v>141</v>
      </c>
      <c r="S143" s="232" t="s">
        <v>717</v>
      </c>
      <c r="T143" s="233" t="s">
        <v>717</v>
      </c>
      <c r="U143" s="233">
        <v>8.24</v>
      </c>
      <c r="V143" s="285">
        <v>8.23</v>
      </c>
      <c r="W143" s="233">
        <v>8</v>
      </c>
      <c r="X143" s="233">
        <v>1.1299999999999999</v>
      </c>
      <c r="Y143" s="233">
        <v>3</v>
      </c>
      <c r="Z143" s="233">
        <v>17</v>
      </c>
      <c r="AA143" s="233">
        <v>0</v>
      </c>
      <c r="AB143" s="232" t="s">
        <v>2679</v>
      </c>
      <c r="AC143" s="233">
        <v>2001</v>
      </c>
      <c r="AD143" s="233" t="s">
        <v>1955</v>
      </c>
      <c r="AE143" s="234" t="s">
        <v>2680</v>
      </c>
      <c r="AF143"/>
      <c r="AG143"/>
      <c r="AH143" s="235" t="s">
        <v>1897</v>
      </c>
      <c r="AI143" s="344" t="s">
        <v>1898</v>
      </c>
    </row>
    <row r="144" spans="1:35" ht="16" customHeight="1" thickBot="1" x14ac:dyDescent="0.25">
      <c r="A144" s="16"/>
      <c r="B144" s="16"/>
      <c r="C144" s="2"/>
      <c r="D144" s="7" t="s">
        <v>690</v>
      </c>
      <c r="E144" s="152"/>
      <c r="F144" s="2"/>
      <c r="G144" s="4" t="s">
        <v>713</v>
      </c>
      <c r="H144" s="151">
        <v>10</v>
      </c>
      <c r="I144" s="17"/>
      <c r="J144" s="4" t="s">
        <v>735</v>
      </c>
      <c r="K144" s="151">
        <v>8.5</v>
      </c>
      <c r="L144" s="17"/>
      <c r="M144" s="54" t="s">
        <v>785</v>
      </c>
      <c r="N144" s="12">
        <f>ROUND(SUM(N145:N150)/COUNT(N145:N150), 2)</f>
        <v>8.67</v>
      </c>
      <c r="O144" s="17"/>
      <c r="R144" s="244">
        <v>142</v>
      </c>
      <c r="S144" s="235" t="s">
        <v>326</v>
      </c>
      <c r="T144" s="236" t="s">
        <v>312</v>
      </c>
      <c r="U144" s="236">
        <v>8.35</v>
      </c>
      <c r="V144" s="336">
        <v>8.2200000000000006</v>
      </c>
      <c r="W144" s="236">
        <v>8.25</v>
      </c>
      <c r="X144" s="236">
        <v>1.32</v>
      </c>
      <c r="Y144" s="236">
        <v>3</v>
      </c>
      <c r="Z144" s="236">
        <v>10</v>
      </c>
      <c r="AA144" s="236">
        <v>0</v>
      </c>
      <c r="AB144" s="235" t="s">
        <v>772</v>
      </c>
      <c r="AC144" s="236">
        <v>1993</v>
      </c>
      <c r="AD144" s="236" t="s">
        <v>1928</v>
      </c>
      <c r="AE144" s="237" t="s">
        <v>2191</v>
      </c>
      <c r="AF144"/>
      <c r="AG144"/>
      <c r="AH144" s="232" t="s">
        <v>1303</v>
      </c>
      <c r="AI144" s="345" t="s">
        <v>1304</v>
      </c>
    </row>
    <row r="145" spans="1:35" ht="16" customHeight="1" thickBot="1" x14ac:dyDescent="0.25">
      <c r="A145" s="59" t="s">
        <v>865</v>
      </c>
      <c r="B145" s="12">
        <f>ROUND(SUM(B146:B160)/COUNT(B146:B160), 2)</f>
        <v>8.33</v>
      </c>
      <c r="C145" s="2"/>
      <c r="D145" s="14"/>
      <c r="E145" s="16"/>
      <c r="F145" s="2"/>
      <c r="G145" s="4" t="s">
        <v>714</v>
      </c>
      <c r="H145" s="151">
        <v>8.5</v>
      </c>
      <c r="I145" s="17"/>
      <c r="J145" s="4" t="s">
        <v>736</v>
      </c>
      <c r="K145" s="151">
        <v>8</v>
      </c>
      <c r="L145" s="2"/>
      <c r="M145" s="11" t="s">
        <v>746</v>
      </c>
      <c r="N145" s="150">
        <v>10</v>
      </c>
      <c r="O145" s="17"/>
      <c r="R145" s="244">
        <v>143</v>
      </c>
      <c r="S145" s="232" t="s">
        <v>348</v>
      </c>
      <c r="T145" s="233" t="s">
        <v>305</v>
      </c>
      <c r="U145" s="233">
        <v>8.35</v>
      </c>
      <c r="V145" s="293">
        <v>8.1999999999999993</v>
      </c>
      <c r="W145" s="233">
        <v>8</v>
      </c>
      <c r="X145" s="233">
        <v>0.78</v>
      </c>
      <c r="Y145" s="233">
        <v>1</v>
      </c>
      <c r="Z145" s="233">
        <v>10</v>
      </c>
      <c r="AA145" s="233">
        <v>0</v>
      </c>
      <c r="AB145" s="232" t="s">
        <v>823</v>
      </c>
      <c r="AC145" s="233">
        <v>1979</v>
      </c>
      <c r="AD145" s="233" t="s">
        <v>1931</v>
      </c>
      <c r="AE145" s="234" t="s">
        <v>2191</v>
      </c>
      <c r="AF145"/>
      <c r="AG145"/>
      <c r="AH145" s="235" t="s">
        <v>1568</v>
      </c>
      <c r="AI145" s="344" t="s">
        <v>1569</v>
      </c>
    </row>
    <row r="146" spans="1:35" ht="16" customHeight="1" thickBot="1" x14ac:dyDescent="0.25">
      <c r="A146" s="11" t="s">
        <v>786</v>
      </c>
      <c r="B146" s="150">
        <v>8</v>
      </c>
      <c r="C146" s="17"/>
      <c r="D146" s="55" t="s">
        <v>815</v>
      </c>
      <c r="E146" s="12">
        <f>ROUND(SUM(E147:E159)/COUNT(E147:E159), 2)</f>
        <v>8.82</v>
      </c>
      <c r="F146" s="2"/>
      <c r="G146" s="4" t="s">
        <v>715</v>
      </c>
      <c r="H146" s="151">
        <v>8</v>
      </c>
      <c r="I146" s="17"/>
      <c r="J146" s="4" t="s">
        <v>737</v>
      </c>
      <c r="K146" s="151">
        <v>8</v>
      </c>
      <c r="L146" s="2"/>
      <c r="M146" s="4" t="s">
        <v>747</v>
      </c>
      <c r="N146" s="151">
        <v>8</v>
      </c>
      <c r="O146" s="17"/>
      <c r="R146" s="244">
        <v>144</v>
      </c>
      <c r="S146" s="235" t="s">
        <v>353</v>
      </c>
      <c r="T146" s="236" t="s">
        <v>354</v>
      </c>
      <c r="U146" s="236">
        <v>8.33</v>
      </c>
      <c r="V146" s="295">
        <v>8.17</v>
      </c>
      <c r="W146" s="236">
        <v>8</v>
      </c>
      <c r="X146" s="236">
        <v>0.94</v>
      </c>
      <c r="Y146" s="236">
        <v>1</v>
      </c>
      <c r="Z146" s="236">
        <v>9</v>
      </c>
      <c r="AA146" s="236">
        <v>0</v>
      </c>
      <c r="AB146" s="235" t="s">
        <v>761</v>
      </c>
      <c r="AC146" s="236">
        <v>1993</v>
      </c>
      <c r="AD146" s="236" t="s">
        <v>1926</v>
      </c>
      <c r="AE146" s="237" t="s">
        <v>2192</v>
      </c>
      <c r="AF146"/>
      <c r="AG146"/>
      <c r="AH146" s="232" t="s">
        <v>1570</v>
      </c>
      <c r="AI146" s="345" t="s">
        <v>1569</v>
      </c>
    </row>
    <row r="147" spans="1:35" ht="16" customHeight="1" thickBot="1" x14ac:dyDescent="0.25">
      <c r="A147" s="4" t="s">
        <v>787</v>
      </c>
      <c r="B147" s="151">
        <v>9</v>
      </c>
      <c r="C147" s="17"/>
      <c r="D147" s="11" t="s">
        <v>803</v>
      </c>
      <c r="E147" s="150">
        <v>9</v>
      </c>
      <c r="F147" s="2"/>
      <c r="G147" s="7" t="s">
        <v>716</v>
      </c>
      <c r="H147" s="152">
        <v>8</v>
      </c>
      <c r="I147" s="17"/>
      <c r="J147" s="7" t="s">
        <v>738</v>
      </c>
      <c r="K147" s="152">
        <v>9</v>
      </c>
      <c r="L147" s="2"/>
      <c r="M147" s="4" t="s">
        <v>748</v>
      </c>
      <c r="N147" s="151">
        <v>9</v>
      </c>
      <c r="O147" s="17"/>
      <c r="R147" s="244">
        <v>145</v>
      </c>
      <c r="S147" s="232" t="s">
        <v>573</v>
      </c>
      <c r="T147" s="233" t="s">
        <v>574</v>
      </c>
      <c r="U147" s="233">
        <v>8.31</v>
      </c>
      <c r="V147" s="295">
        <v>8.16</v>
      </c>
      <c r="W147" s="233">
        <v>8</v>
      </c>
      <c r="X147" s="233">
        <v>0.89</v>
      </c>
      <c r="Y147" s="233">
        <v>2</v>
      </c>
      <c r="Z147" s="233">
        <v>14</v>
      </c>
      <c r="AA147" s="233">
        <v>1</v>
      </c>
      <c r="AB147" s="232" t="s">
        <v>764</v>
      </c>
      <c r="AC147" s="233">
        <v>2016</v>
      </c>
      <c r="AD147" s="233" t="s">
        <v>1922</v>
      </c>
      <c r="AE147" s="234" t="s">
        <v>2184</v>
      </c>
      <c r="AF147"/>
      <c r="AG147"/>
      <c r="AH147" s="235" t="s">
        <v>1100</v>
      </c>
      <c r="AI147" s="344" t="s">
        <v>2890</v>
      </c>
    </row>
    <row r="148" spans="1:35" ht="16" customHeight="1" thickBot="1" x14ac:dyDescent="0.25">
      <c r="A148" s="4" t="s">
        <v>788</v>
      </c>
      <c r="B148" s="151">
        <v>10</v>
      </c>
      <c r="C148" s="17"/>
      <c r="D148" s="4" t="s">
        <v>804</v>
      </c>
      <c r="E148" s="151">
        <v>8.5</v>
      </c>
      <c r="F148" s="2"/>
      <c r="G148" s="16"/>
      <c r="H148" s="16"/>
      <c r="I148" s="2"/>
      <c r="J148" s="16"/>
      <c r="K148" s="16"/>
      <c r="L148" s="2"/>
      <c r="M148" s="4" t="s">
        <v>749</v>
      </c>
      <c r="N148" s="151">
        <v>8</v>
      </c>
      <c r="O148" s="17"/>
      <c r="R148" s="244">
        <v>146</v>
      </c>
      <c r="S148" s="235" t="s">
        <v>801</v>
      </c>
      <c r="T148" s="236" t="s">
        <v>802</v>
      </c>
      <c r="U148" s="236">
        <v>8.33</v>
      </c>
      <c r="V148" s="295">
        <v>8.16</v>
      </c>
      <c r="W148" s="236">
        <v>8</v>
      </c>
      <c r="X148" s="236">
        <v>1.1599999999999999</v>
      </c>
      <c r="Y148" s="236">
        <v>3</v>
      </c>
      <c r="Z148" s="236">
        <v>15</v>
      </c>
      <c r="AA148" s="236">
        <v>0</v>
      </c>
      <c r="AB148" s="235" t="s">
        <v>822</v>
      </c>
      <c r="AC148" s="236">
        <v>2003</v>
      </c>
      <c r="AD148" s="236" t="s">
        <v>1942</v>
      </c>
      <c r="AE148" s="237" t="s">
        <v>2173</v>
      </c>
      <c r="AF148"/>
      <c r="AG148"/>
      <c r="AH148" s="232" t="s">
        <v>1119</v>
      </c>
      <c r="AI148" s="345" t="s">
        <v>1964</v>
      </c>
    </row>
    <row r="149" spans="1:35" ht="16" customHeight="1" thickBot="1" x14ac:dyDescent="0.25">
      <c r="A149" s="4" t="s">
        <v>789</v>
      </c>
      <c r="B149" s="151">
        <v>8</v>
      </c>
      <c r="C149" s="17"/>
      <c r="D149" s="4" t="s">
        <v>805</v>
      </c>
      <c r="E149" s="151">
        <v>10</v>
      </c>
      <c r="F149" s="17"/>
      <c r="G149" s="58" t="s">
        <v>864</v>
      </c>
      <c r="H149" s="12">
        <f>ROUND(SUM(H150:H163)/COUNT(H150:H163), 2)</f>
        <v>8.7100000000000009</v>
      </c>
      <c r="I149" s="17"/>
      <c r="J149" s="56" t="s">
        <v>840</v>
      </c>
      <c r="K149" s="12">
        <f>ROUND(SUM(K150:K163)/COUNT(K150:K163), 2)</f>
        <v>8.5</v>
      </c>
      <c r="L149" s="2"/>
      <c r="M149" s="4" t="s">
        <v>750</v>
      </c>
      <c r="N149" s="151">
        <v>8</v>
      </c>
      <c r="O149" s="17"/>
      <c r="R149" s="244">
        <v>147</v>
      </c>
      <c r="S149" s="232" t="s">
        <v>1818</v>
      </c>
      <c r="T149" s="233" t="s">
        <v>1818</v>
      </c>
      <c r="U149" s="233">
        <v>8.2899999999999991</v>
      </c>
      <c r="V149" s="295">
        <v>8.16</v>
      </c>
      <c r="W149" s="233">
        <v>8</v>
      </c>
      <c r="X149" s="233">
        <v>0.52</v>
      </c>
      <c r="Y149" s="233">
        <v>0</v>
      </c>
      <c r="Z149" s="233">
        <v>7</v>
      </c>
      <c r="AA149" s="233">
        <v>0</v>
      </c>
      <c r="AB149" s="232" t="s">
        <v>1819</v>
      </c>
      <c r="AC149" s="233">
        <v>2018</v>
      </c>
      <c r="AD149" s="233" t="s">
        <v>1943</v>
      </c>
      <c r="AE149" s="234" t="s">
        <v>2136</v>
      </c>
      <c r="AF149"/>
      <c r="AG149"/>
      <c r="AH149" s="235" t="s">
        <v>1197</v>
      </c>
      <c r="AI149" s="344" t="s">
        <v>1208</v>
      </c>
    </row>
    <row r="150" spans="1:35" ht="16" customHeight="1" thickBot="1" x14ac:dyDescent="0.25">
      <c r="A150" s="4" t="s">
        <v>790</v>
      </c>
      <c r="B150" s="151">
        <v>7</v>
      </c>
      <c r="C150" s="17"/>
      <c r="D150" s="4" t="s">
        <v>806</v>
      </c>
      <c r="E150" s="151"/>
      <c r="F150" s="2"/>
      <c r="G150" s="11" t="s">
        <v>824</v>
      </c>
      <c r="H150" s="150">
        <v>10</v>
      </c>
      <c r="I150" s="17"/>
      <c r="J150" s="11" t="s">
        <v>841</v>
      </c>
      <c r="K150" s="150">
        <v>10</v>
      </c>
      <c r="L150" s="2"/>
      <c r="M150" s="7" t="s">
        <v>751</v>
      </c>
      <c r="N150" s="152">
        <v>9</v>
      </c>
      <c r="O150" s="17"/>
      <c r="R150" s="244">
        <v>148</v>
      </c>
      <c r="S150" s="235" t="s">
        <v>2776</v>
      </c>
      <c r="T150" s="236" t="s">
        <v>2777</v>
      </c>
      <c r="U150" s="236">
        <v>8.31</v>
      </c>
      <c r="V150" s="295">
        <v>8.16</v>
      </c>
      <c r="W150" s="236">
        <v>8</v>
      </c>
      <c r="X150" s="236">
        <v>0.93</v>
      </c>
      <c r="Y150" s="236">
        <v>1</v>
      </c>
      <c r="Z150" s="236">
        <v>8</v>
      </c>
      <c r="AA150" s="236">
        <v>0</v>
      </c>
      <c r="AB150" s="235" t="s">
        <v>1076</v>
      </c>
      <c r="AC150" s="236">
        <v>2016</v>
      </c>
      <c r="AD150" s="236" t="s">
        <v>1907</v>
      </c>
      <c r="AE150" s="237" t="s">
        <v>2778</v>
      </c>
      <c r="AF150"/>
      <c r="AG150"/>
      <c r="AH150" s="232" t="s">
        <v>1121</v>
      </c>
      <c r="AI150" s="345" t="s">
        <v>1122</v>
      </c>
    </row>
    <row r="151" spans="1:35" ht="16" customHeight="1" thickBot="1" x14ac:dyDescent="0.25">
      <c r="A151" s="4" t="s">
        <v>791</v>
      </c>
      <c r="B151" s="151">
        <v>9.5</v>
      </c>
      <c r="C151" s="17"/>
      <c r="D151" s="4" t="s">
        <v>807</v>
      </c>
      <c r="E151" s="151">
        <v>9</v>
      </c>
      <c r="F151" s="2"/>
      <c r="G151" s="4" t="s">
        <v>825</v>
      </c>
      <c r="H151" s="151">
        <v>9</v>
      </c>
      <c r="I151" s="17"/>
      <c r="J151" s="4" t="s">
        <v>842</v>
      </c>
      <c r="K151" s="151">
        <v>9</v>
      </c>
      <c r="L151" s="2"/>
      <c r="M151" s="16"/>
      <c r="N151" s="16"/>
      <c r="O151" s="17"/>
      <c r="R151" s="244">
        <v>149</v>
      </c>
      <c r="S151" s="232" t="s">
        <v>2406</v>
      </c>
      <c r="T151" s="233" t="s">
        <v>2407</v>
      </c>
      <c r="U151" s="233">
        <v>8.1999999999999993</v>
      </c>
      <c r="V151" s="299">
        <v>8.1300000000000008</v>
      </c>
      <c r="W151" s="233">
        <v>8</v>
      </c>
      <c r="X151" s="233">
        <v>0.24</v>
      </c>
      <c r="Y151" s="233">
        <v>0</v>
      </c>
      <c r="Z151" s="233">
        <v>5</v>
      </c>
      <c r="AA151" s="233">
        <v>0</v>
      </c>
      <c r="AB151" s="232" t="s">
        <v>1087</v>
      </c>
      <c r="AC151" s="233">
        <v>2026</v>
      </c>
      <c r="AD151" s="233" t="s">
        <v>1944</v>
      </c>
      <c r="AE151" s="234" t="s">
        <v>2409</v>
      </c>
      <c r="AF151"/>
      <c r="AG151"/>
      <c r="AH151" s="235" t="s">
        <v>1123</v>
      </c>
      <c r="AI151" s="344" t="s">
        <v>1122</v>
      </c>
    </row>
    <row r="152" spans="1:35" ht="16" customHeight="1" thickBot="1" x14ac:dyDescent="0.25">
      <c r="A152" s="4" t="s">
        <v>792</v>
      </c>
      <c r="B152" s="151">
        <v>8.5</v>
      </c>
      <c r="C152" s="17"/>
      <c r="D152" s="4" t="s">
        <v>808</v>
      </c>
      <c r="E152" s="151">
        <v>7.5</v>
      </c>
      <c r="F152" s="2"/>
      <c r="G152" s="4" t="s">
        <v>826</v>
      </c>
      <c r="H152" s="151">
        <v>8.5</v>
      </c>
      <c r="I152" s="17"/>
      <c r="J152" s="4" t="s">
        <v>843</v>
      </c>
      <c r="K152" s="151">
        <v>9</v>
      </c>
      <c r="L152" s="17"/>
      <c r="M152" s="57" t="s">
        <v>857</v>
      </c>
      <c r="N152" s="12">
        <f>ROUND(SUM(N153:N159)/COUNT(N153:N159), 2)</f>
        <v>8.7899999999999991</v>
      </c>
      <c r="O152" s="17"/>
      <c r="R152" s="244">
        <v>150</v>
      </c>
      <c r="S152" s="235" t="s">
        <v>327</v>
      </c>
      <c r="T152" s="236" t="s">
        <v>613</v>
      </c>
      <c r="U152" s="236">
        <v>8.0500000000000007</v>
      </c>
      <c r="V152" s="322">
        <v>8.11</v>
      </c>
      <c r="W152" s="236">
        <v>8.25</v>
      </c>
      <c r="X152" s="236">
        <v>1.19</v>
      </c>
      <c r="Y152" s="236">
        <v>1</v>
      </c>
      <c r="Z152" s="236">
        <v>11</v>
      </c>
      <c r="AA152" s="236">
        <v>1</v>
      </c>
      <c r="AB152" s="235" t="s">
        <v>753</v>
      </c>
      <c r="AC152" s="236">
        <v>2001</v>
      </c>
      <c r="AD152" s="236" t="s">
        <v>1938</v>
      </c>
      <c r="AE152" s="237" t="s">
        <v>2183</v>
      </c>
      <c r="AF152"/>
      <c r="AG152"/>
      <c r="AH152" s="232" t="s">
        <v>781</v>
      </c>
      <c r="AI152" s="345" t="s">
        <v>1124</v>
      </c>
    </row>
    <row r="153" spans="1:35" ht="16" customHeight="1" x14ac:dyDescent="0.2">
      <c r="A153" s="4" t="s">
        <v>793</v>
      </c>
      <c r="B153" s="151">
        <v>8</v>
      </c>
      <c r="C153" s="17"/>
      <c r="D153" s="4" t="s">
        <v>809</v>
      </c>
      <c r="E153" s="151">
        <v>8</v>
      </c>
      <c r="F153" s="2"/>
      <c r="G153" s="4" t="s">
        <v>827</v>
      </c>
      <c r="H153" s="151">
        <v>10.5</v>
      </c>
      <c r="I153" s="17"/>
      <c r="J153" s="4" t="s">
        <v>844</v>
      </c>
      <c r="K153" s="151">
        <v>8.5</v>
      </c>
      <c r="L153" s="17"/>
      <c r="M153" s="11" t="s">
        <v>858</v>
      </c>
      <c r="N153" s="150">
        <v>9.5</v>
      </c>
      <c r="O153" s="17"/>
      <c r="R153" s="244">
        <v>151</v>
      </c>
      <c r="S153" s="232" t="s">
        <v>465</v>
      </c>
      <c r="T153" s="233" t="s">
        <v>466</v>
      </c>
      <c r="U153" s="233">
        <v>8.18</v>
      </c>
      <c r="V153" s="332">
        <v>8.06</v>
      </c>
      <c r="W153" s="233">
        <v>8</v>
      </c>
      <c r="X153" s="233">
        <v>0.89</v>
      </c>
      <c r="Y153" s="233">
        <v>2</v>
      </c>
      <c r="Z153" s="233">
        <v>19</v>
      </c>
      <c r="AA153" s="233">
        <v>0</v>
      </c>
      <c r="AB153" s="232" t="s">
        <v>779</v>
      </c>
      <c r="AC153" s="233">
        <v>2023</v>
      </c>
      <c r="AD153" s="233" t="s">
        <v>1921</v>
      </c>
      <c r="AE153" s="234" t="s">
        <v>2187</v>
      </c>
      <c r="AF153"/>
      <c r="AG153"/>
      <c r="AH153"/>
      <c r="AI153"/>
    </row>
    <row r="154" spans="1:35" ht="16" customHeight="1" x14ac:dyDescent="0.2">
      <c r="A154" s="4" t="s">
        <v>794</v>
      </c>
      <c r="B154" s="151">
        <v>7.5</v>
      </c>
      <c r="C154" s="17"/>
      <c r="D154" s="4" t="s">
        <v>810</v>
      </c>
      <c r="E154" s="151">
        <v>10</v>
      </c>
      <c r="F154" s="2"/>
      <c r="G154" s="4" t="s">
        <v>828</v>
      </c>
      <c r="H154" s="151">
        <v>8</v>
      </c>
      <c r="I154" s="17"/>
      <c r="J154" s="4" t="s">
        <v>845</v>
      </c>
      <c r="K154" s="151">
        <v>8</v>
      </c>
      <c r="L154" s="17"/>
      <c r="M154" s="4" t="s">
        <v>859</v>
      </c>
      <c r="N154" s="151">
        <v>8</v>
      </c>
      <c r="O154" s="17"/>
      <c r="R154" s="244">
        <v>152</v>
      </c>
      <c r="S154" s="235" t="s">
        <v>339</v>
      </c>
      <c r="T154" s="236" t="s">
        <v>1867</v>
      </c>
      <c r="U154" s="236">
        <v>8.18</v>
      </c>
      <c r="V154" s="332">
        <v>8.06</v>
      </c>
      <c r="W154" s="236">
        <v>8</v>
      </c>
      <c r="X154" s="236">
        <v>0.86</v>
      </c>
      <c r="Y154" s="236">
        <v>1</v>
      </c>
      <c r="Z154" s="236">
        <v>11</v>
      </c>
      <c r="AA154" s="236">
        <v>0</v>
      </c>
      <c r="AB154" s="235" t="s">
        <v>1877</v>
      </c>
      <c r="AC154" s="236">
        <v>2001</v>
      </c>
      <c r="AD154" s="236" t="s">
        <v>1899</v>
      </c>
      <c r="AE154" s="237" t="s">
        <v>2133</v>
      </c>
      <c r="AF154"/>
      <c r="AG154"/>
      <c r="AH154" s="343" t="s">
        <v>1965</v>
      </c>
      <c r="AI154" s="343"/>
    </row>
    <row r="155" spans="1:35" ht="16" customHeight="1" x14ac:dyDescent="0.2">
      <c r="A155" s="4" t="s">
        <v>795</v>
      </c>
      <c r="B155" s="151">
        <v>8</v>
      </c>
      <c r="C155" s="17"/>
      <c r="D155" s="4" t="s">
        <v>118</v>
      </c>
      <c r="E155" s="151">
        <v>10</v>
      </c>
      <c r="F155" s="2"/>
      <c r="G155" s="4" t="s">
        <v>54</v>
      </c>
      <c r="H155" s="151">
        <v>8</v>
      </c>
      <c r="I155" s="17"/>
      <c r="J155" s="4" t="s">
        <v>846</v>
      </c>
      <c r="K155" s="151">
        <v>8</v>
      </c>
      <c r="L155" s="17"/>
      <c r="M155" s="4" t="s">
        <v>860</v>
      </c>
      <c r="N155" s="151">
        <v>9.5</v>
      </c>
      <c r="O155" s="17"/>
      <c r="R155" s="244">
        <v>153</v>
      </c>
      <c r="S155" s="232" t="s">
        <v>334</v>
      </c>
      <c r="T155" s="233" t="s">
        <v>2476</v>
      </c>
      <c r="U155" s="233">
        <v>8.11</v>
      </c>
      <c r="V155" s="316">
        <v>8.0299999999999994</v>
      </c>
      <c r="W155" s="233">
        <v>8</v>
      </c>
      <c r="X155" s="233">
        <v>0.46</v>
      </c>
      <c r="Y155" s="233">
        <v>0</v>
      </c>
      <c r="Z155" s="233">
        <v>11</v>
      </c>
      <c r="AA155" s="233">
        <v>2</v>
      </c>
      <c r="AB155" s="232" t="s">
        <v>1076</v>
      </c>
      <c r="AC155" s="233">
        <v>2016</v>
      </c>
      <c r="AD155" s="233" t="s">
        <v>1934</v>
      </c>
      <c r="AE155" s="234" t="s">
        <v>2506</v>
      </c>
      <c r="AF155"/>
      <c r="AG155"/>
      <c r="AH155" s="235" t="s">
        <v>1966</v>
      </c>
      <c r="AI155" s="344" t="s">
        <v>2885</v>
      </c>
    </row>
    <row r="156" spans="1:35" ht="16" customHeight="1" x14ac:dyDescent="0.2">
      <c r="A156" s="4" t="s">
        <v>796</v>
      </c>
      <c r="B156" s="151">
        <v>10</v>
      </c>
      <c r="C156" s="17"/>
      <c r="D156" s="4" t="s">
        <v>811</v>
      </c>
      <c r="E156" s="151">
        <v>8</v>
      </c>
      <c r="F156" s="2"/>
      <c r="G156" s="4" t="s">
        <v>829</v>
      </c>
      <c r="H156" s="151">
        <v>8</v>
      </c>
      <c r="I156" s="17"/>
      <c r="J156" s="4" t="s">
        <v>847</v>
      </c>
      <c r="K156" s="151">
        <v>7.5</v>
      </c>
      <c r="L156" s="17"/>
      <c r="M156" s="4" t="s">
        <v>861</v>
      </c>
      <c r="N156" s="151">
        <v>8.5</v>
      </c>
      <c r="O156" s="17"/>
      <c r="R156" s="244">
        <v>154</v>
      </c>
      <c r="S156" s="235" t="s">
        <v>717</v>
      </c>
      <c r="T156" s="236" t="s">
        <v>1286</v>
      </c>
      <c r="U156" s="236">
        <v>8.11</v>
      </c>
      <c r="V156" s="286">
        <v>8</v>
      </c>
      <c r="W156" s="236">
        <v>8</v>
      </c>
      <c r="X156" s="236">
        <v>0.71</v>
      </c>
      <c r="Y156" s="236">
        <v>0</v>
      </c>
      <c r="Z156" s="236">
        <v>15</v>
      </c>
      <c r="AA156" s="236">
        <v>1</v>
      </c>
      <c r="AB156" s="235" t="s">
        <v>1302</v>
      </c>
      <c r="AC156" s="236">
        <v>2026</v>
      </c>
      <c r="AD156" s="236" t="s">
        <v>1918</v>
      </c>
      <c r="AE156" s="237" t="s">
        <v>2158</v>
      </c>
      <c r="AF156"/>
      <c r="AG156"/>
      <c r="AH156" s="232" t="s">
        <v>1967</v>
      </c>
      <c r="AI156" s="345">
        <v>1967</v>
      </c>
    </row>
    <row r="157" spans="1:35" ht="16" customHeight="1" x14ac:dyDescent="0.2">
      <c r="A157" s="4" t="s">
        <v>797</v>
      </c>
      <c r="B157" s="151">
        <v>6</v>
      </c>
      <c r="C157" s="17"/>
      <c r="D157" s="4" t="s">
        <v>812</v>
      </c>
      <c r="E157" s="151">
        <v>9</v>
      </c>
      <c r="F157" s="2"/>
      <c r="G157" s="4" t="s">
        <v>830</v>
      </c>
      <c r="H157" s="151">
        <v>9</v>
      </c>
      <c r="I157" s="17"/>
      <c r="J157" s="4" t="s">
        <v>848</v>
      </c>
      <c r="K157" s="151">
        <v>7</v>
      </c>
      <c r="L157" s="17"/>
      <c r="M157" s="4" t="s">
        <v>896</v>
      </c>
      <c r="N157" s="151">
        <v>10.5</v>
      </c>
      <c r="O157" s="17"/>
      <c r="R157" s="244">
        <v>155</v>
      </c>
      <c r="S157" s="232" t="s">
        <v>385</v>
      </c>
      <c r="T157" s="233" t="s">
        <v>378</v>
      </c>
      <c r="U157" s="233">
        <v>8</v>
      </c>
      <c r="V157" s="325">
        <v>7.98</v>
      </c>
      <c r="W157" s="233">
        <v>8.25</v>
      </c>
      <c r="X157" s="233">
        <v>0.56000000000000005</v>
      </c>
      <c r="Y157" s="233">
        <v>0</v>
      </c>
      <c r="Z157" s="233">
        <v>9</v>
      </c>
      <c r="AA157" s="233">
        <v>1</v>
      </c>
      <c r="AB157" s="232" t="s">
        <v>756</v>
      </c>
      <c r="AC157" s="233">
        <v>2005</v>
      </c>
      <c r="AD157" s="233" t="s">
        <v>1933</v>
      </c>
      <c r="AE157" s="234" t="s">
        <v>2191</v>
      </c>
      <c r="AF157"/>
      <c r="AG157"/>
      <c r="AH157" s="235" t="s">
        <v>1968</v>
      </c>
      <c r="AI157" s="344">
        <v>2026</v>
      </c>
    </row>
    <row r="158" spans="1:35" ht="16" customHeight="1" x14ac:dyDescent="0.2">
      <c r="A158" s="4" t="s">
        <v>798</v>
      </c>
      <c r="B158" s="151">
        <v>7</v>
      </c>
      <c r="C158" s="17"/>
      <c r="D158" s="4" t="s">
        <v>813</v>
      </c>
      <c r="E158" s="151">
        <v>8</v>
      </c>
      <c r="F158" s="2"/>
      <c r="G158" s="4" t="s">
        <v>831</v>
      </c>
      <c r="H158" s="151">
        <v>9</v>
      </c>
      <c r="I158" s="17"/>
      <c r="J158" s="4" t="s">
        <v>849</v>
      </c>
      <c r="K158" s="151">
        <v>10.5</v>
      </c>
      <c r="L158" s="17"/>
      <c r="M158" s="4" t="s">
        <v>862</v>
      </c>
      <c r="N158" s="151">
        <v>8</v>
      </c>
      <c r="O158" s="17"/>
      <c r="R158" s="244">
        <v>156</v>
      </c>
      <c r="S158" s="235" t="s">
        <v>337</v>
      </c>
      <c r="T158" s="236" t="s">
        <v>691</v>
      </c>
      <c r="U158" s="236">
        <v>8.07</v>
      </c>
      <c r="V158" s="268">
        <v>7.95</v>
      </c>
      <c r="W158" s="236">
        <v>8</v>
      </c>
      <c r="X158" s="236">
        <v>1.07</v>
      </c>
      <c r="Y158" s="236">
        <v>2</v>
      </c>
      <c r="Z158" s="236">
        <v>16</v>
      </c>
      <c r="AA158" s="236">
        <v>2</v>
      </c>
      <c r="AB158" s="235" t="s">
        <v>758</v>
      </c>
      <c r="AC158" s="236">
        <v>1997</v>
      </c>
      <c r="AD158" s="236" t="s">
        <v>1927</v>
      </c>
      <c r="AE158" s="237" t="s">
        <v>2179</v>
      </c>
      <c r="AF158"/>
      <c r="AG158"/>
      <c r="AH158" s="232" t="s">
        <v>1969</v>
      </c>
      <c r="AI158" s="345" t="s">
        <v>2765</v>
      </c>
    </row>
    <row r="159" spans="1:35" ht="16" customHeight="1" thickBot="1" x14ac:dyDescent="0.25">
      <c r="A159" s="4" t="s">
        <v>799</v>
      </c>
      <c r="B159" s="151">
        <v>10</v>
      </c>
      <c r="C159" s="2"/>
      <c r="D159" s="7" t="s">
        <v>814</v>
      </c>
      <c r="E159" s="152"/>
      <c r="F159" s="2"/>
      <c r="G159" s="4" t="s">
        <v>832</v>
      </c>
      <c r="H159" s="151">
        <v>8.5</v>
      </c>
      <c r="I159" s="17"/>
      <c r="J159" s="4" t="s">
        <v>850</v>
      </c>
      <c r="K159" s="151"/>
      <c r="L159" s="17"/>
      <c r="M159" s="7" t="s">
        <v>863</v>
      </c>
      <c r="N159" s="152">
        <v>7.5</v>
      </c>
      <c r="O159" s="17"/>
      <c r="R159" s="244">
        <v>157</v>
      </c>
      <c r="S159" s="232" t="s">
        <v>1409</v>
      </c>
      <c r="T159" s="233" t="s">
        <v>1410</v>
      </c>
      <c r="U159" s="233">
        <v>8.0500000000000007</v>
      </c>
      <c r="V159" s="268">
        <v>7.95</v>
      </c>
      <c r="W159" s="233">
        <v>8</v>
      </c>
      <c r="X159" s="233">
        <v>0.72</v>
      </c>
      <c r="Y159" s="233">
        <v>0</v>
      </c>
      <c r="Z159" s="233">
        <v>10</v>
      </c>
      <c r="AA159" s="233">
        <v>0</v>
      </c>
      <c r="AB159" s="232" t="s">
        <v>752</v>
      </c>
      <c r="AC159" s="233">
        <v>2026</v>
      </c>
      <c r="AD159" s="233" t="s">
        <v>1933</v>
      </c>
      <c r="AE159" s="234" t="s">
        <v>2153</v>
      </c>
      <c r="AF159"/>
      <c r="AG159"/>
      <c r="AH159" s="235" t="s">
        <v>1970</v>
      </c>
      <c r="AI159" s="344" t="s">
        <v>2759</v>
      </c>
    </row>
    <row r="160" spans="1:35" ht="16" customHeight="1" thickBot="1" x14ac:dyDescent="0.25">
      <c r="A160" s="7" t="s">
        <v>800</v>
      </c>
      <c r="B160" s="152">
        <v>8.5</v>
      </c>
      <c r="C160" s="2"/>
      <c r="D160" s="14"/>
      <c r="E160" s="16"/>
      <c r="F160" s="2"/>
      <c r="G160" s="4" t="s">
        <v>833</v>
      </c>
      <c r="H160" s="151">
        <v>8</v>
      </c>
      <c r="I160" s="17"/>
      <c r="J160" s="4" t="s">
        <v>851</v>
      </c>
      <c r="K160" s="151">
        <v>8.5</v>
      </c>
      <c r="L160" s="2"/>
      <c r="M160" s="16"/>
      <c r="N160" s="16"/>
      <c r="O160" s="17"/>
      <c r="R160" s="244">
        <v>158</v>
      </c>
      <c r="S160" s="235" t="s">
        <v>334</v>
      </c>
      <c r="T160" s="236" t="s">
        <v>1756</v>
      </c>
      <c r="U160" s="236">
        <v>8.06</v>
      </c>
      <c r="V160" s="268">
        <v>7.95</v>
      </c>
      <c r="W160" s="236">
        <v>8</v>
      </c>
      <c r="X160" s="236">
        <v>0.81</v>
      </c>
      <c r="Y160" s="236">
        <v>0</v>
      </c>
      <c r="Z160" s="236">
        <v>8</v>
      </c>
      <c r="AA160" s="236">
        <v>0</v>
      </c>
      <c r="AB160" s="235" t="s">
        <v>1076</v>
      </c>
      <c r="AC160" s="236">
        <v>2014</v>
      </c>
      <c r="AD160" s="236" t="s">
        <v>1942</v>
      </c>
      <c r="AE160" s="237" t="s">
        <v>2138</v>
      </c>
      <c r="AF160"/>
      <c r="AG160"/>
      <c r="AH160"/>
      <c r="AI160"/>
    </row>
    <row r="161" spans="1:35" ht="16" customHeight="1" thickBot="1" x14ac:dyDescent="0.25">
      <c r="A161" s="16"/>
      <c r="B161" s="16"/>
      <c r="C161" s="17"/>
      <c r="D161" s="90" t="s">
        <v>898</v>
      </c>
      <c r="E161" s="12">
        <f>ROUND(SUM(E162:E170)/COUNT(E162:E170), 2)</f>
        <v>9.06</v>
      </c>
      <c r="F161" s="2"/>
      <c r="G161" s="4" t="s">
        <v>834</v>
      </c>
      <c r="H161" s="151">
        <v>8.5</v>
      </c>
      <c r="I161" s="17"/>
      <c r="J161" s="4" t="s">
        <v>852</v>
      </c>
      <c r="K161" s="151">
        <v>8</v>
      </c>
      <c r="L161" s="17"/>
      <c r="M161" s="91" t="s">
        <v>911</v>
      </c>
      <c r="N161" s="12">
        <f>ROUND(SUM(N162:N180)/COUNT(N162:N180), 2)</f>
        <v>8.5500000000000007</v>
      </c>
      <c r="O161" s="17"/>
      <c r="R161" s="244">
        <v>159</v>
      </c>
      <c r="S161" s="232" t="s">
        <v>2316</v>
      </c>
      <c r="T161" s="233" t="s">
        <v>2317</v>
      </c>
      <c r="U161" s="233">
        <v>8</v>
      </c>
      <c r="V161" s="257">
        <v>7.94</v>
      </c>
      <c r="W161" s="233">
        <v>8</v>
      </c>
      <c r="X161" s="233">
        <v>0.45</v>
      </c>
      <c r="Y161" s="233">
        <v>0</v>
      </c>
      <c r="Z161" s="233">
        <v>10</v>
      </c>
      <c r="AA161" s="233">
        <v>0</v>
      </c>
      <c r="AB161" s="232" t="s">
        <v>1087</v>
      </c>
      <c r="AC161" s="233">
        <v>2025</v>
      </c>
      <c r="AD161" s="233" t="s">
        <v>1936</v>
      </c>
      <c r="AE161" s="234" t="s">
        <v>2288</v>
      </c>
      <c r="AF161"/>
      <c r="AG161"/>
      <c r="AH161" s="343" t="s">
        <v>1971</v>
      </c>
      <c r="AI161" s="343"/>
    </row>
    <row r="162" spans="1:35" ht="16" customHeight="1" thickBot="1" x14ac:dyDescent="0.25">
      <c r="A162" s="92" t="s">
        <v>933</v>
      </c>
      <c r="B162" s="12">
        <f>ROUND(SUM(B163:B170)/COUNT(B163:B170), 2)</f>
        <v>7.88</v>
      </c>
      <c r="C162" s="2"/>
      <c r="D162" s="11" t="s">
        <v>899</v>
      </c>
      <c r="E162" s="150">
        <v>10</v>
      </c>
      <c r="F162" s="2"/>
      <c r="G162" s="4" t="s">
        <v>835</v>
      </c>
      <c r="H162" s="151">
        <v>8</v>
      </c>
      <c r="I162" s="17"/>
      <c r="J162" s="4" t="s">
        <v>853</v>
      </c>
      <c r="K162" s="151">
        <v>7.5</v>
      </c>
      <c r="L162" s="2"/>
      <c r="M162" s="11" t="s">
        <v>912</v>
      </c>
      <c r="N162" s="150">
        <v>10</v>
      </c>
      <c r="O162" s="17"/>
      <c r="R162" s="244">
        <v>160</v>
      </c>
      <c r="S162" s="235" t="s">
        <v>337</v>
      </c>
      <c r="T162" s="236" t="s">
        <v>1556</v>
      </c>
      <c r="U162" s="236">
        <v>8</v>
      </c>
      <c r="V162" s="269">
        <v>7.79</v>
      </c>
      <c r="W162" s="236">
        <v>7.5</v>
      </c>
      <c r="X162" s="236">
        <v>0.88</v>
      </c>
      <c r="Y162" s="236">
        <v>0</v>
      </c>
      <c r="Z162" s="236">
        <v>10</v>
      </c>
      <c r="AA162" s="236">
        <v>1</v>
      </c>
      <c r="AB162" s="235" t="s">
        <v>1567</v>
      </c>
      <c r="AC162" s="236">
        <v>2005</v>
      </c>
      <c r="AD162" s="236" t="s">
        <v>1925</v>
      </c>
      <c r="AE162" s="237" t="s">
        <v>2147</v>
      </c>
      <c r="AF162"/>
      <c r="AG162"/>
      <c r="AH162" s="232" t="s">
        <v>1972</v>
      </c>
      <c r="AI162" s="345" t="s">
        <v>2529</v>
      </c>
    </row>
    <row r="163" spans="1:35" ht="16" customHeight="1" thickBot="1" x14ac:dyDescent="0.25">
      <c r="A163" s="11" t="s">
        <v>934</v>
      </c>
      <c r="B163" s="150">
        <v>9</v>
      </c>
      <c r="C163" s="2"/>
      <c r="D163" s="4" t="s">
        <v>900</v>
      </c>
      <c r="E163" s="151">
        <v>10</v>
      </c>
      <c r="F163" s="2"/>
      <c r="G163" s="7" t="s">
        <v>836</v>
      </c>
      <c r="H163" s="152">
        <v>9</v>
      </c>
      <c r="I163" s="17"/>
      <c r="J163" s="7" t="s">
        <v>854</v>
      </c>
      <c r="K163" s="152">
        <v>9</v>
      </c>
      <c r="L163" s="2"/>
      <c r="M163" s="4" t="s">
        <v>913</v>
      </c>
      <c r="N163" s="151">
        <v>9</v>
      </c>
      <c r="O163" s="17"/>
      <c r="R163" s="244">
        <v>161</v>
      </c>
      <c r="S163" s="232" t="s">
        <v>327</v>
      </c>
      <c r="T163" s="233" t="s">
        <v>942</v>
      </c>
      <c r="U163" s="233">
        <v>7.88</v>
      </c>
      <c r="V163" s="323">
        <v>7.74</v>
      </c>
      <c r="W163" s="233">
        <v>7.75</v>
      </c>
      <c r="X163" s="233">
        <v>0.86</v>
      </c>
      <c r="Y163" s="233">
        <v>0</v>
      </c>
      <c r="Z163" s="233">
        <v>8</v>
      </c>
      <c r="AA163" s="233">
        <v>0</v>
      </c>
      <c r="AB163" s="232" t="s">
        <v>943</v>
      </c>
      <c r="AC163" s="233">
        <v>2011</v>
      </c>
      <c r="AD163" s="233" t="s">
        <v>1936</v>
      </c>
      <c r="AE163" s="234" t="s">
        <v>2168</v>
      </c>
      <c r="AF163"/>
      <c r="AG163"/>
      <c r="AH163" s="235" t="s">
        <v>1973</v>
      </c>
      <c r="AI163" s="344" t="s">
        <v>2821</v>
      </c>
    </row>
    <row r="164" spans="1:35" ht="16" customHeight="1" thickBot="1" x14ac:dyDescent="0.25">
      <c r="A164" s="4" t="s">
        <v>935</v>
      </c>
      <c r="B164" s="151">
        <v>7</v>
      </c>
      <c r="C164" s="2"/>
      <c r="D164" s="4" t="s">
        <v>901</v>
      </c>
      <c r="E164" s="151">
        <v>8.5</v>
      </c>
      <c r="F164" s="2"/>
      <c r="G164" s="16"/>
      <c r="H164" s="16"/>
      <c r="I164" s="2"/>
      <c r="J164" s="16"/>
      <c r="K164" s="16"/>
      <c r="L164" s="2"/>
      <c r="M164" s="4" t="s">
        <v>914</v>
      </c>
      <c r="N164" s="151">
        <v>9</v>
      </c>
      <c r="O164" s="17"/>
      <c r="R164" s="244">
        <v>162</v>
      </c>
      <c r="S164" s="235" t="s">
        <v>647</v>
      </c>
      <c r="T164" s="236" t="s">
        <v>648</v>
      </c>
      <c r="U164" s="236">
        <v>7.72</v>
      </c>
      <c r="V164" s="277">
        <v>7.7</v>
      </c>
      <c r="W164" s="236">
        <v>8</v>
      </c>
      <c r="X164" s="236">
        <v>0.57999999999999996</v>
      </c>
      <c r="Y164" s="236">
        <v>0</v>
      </c>
      <c r="Z164" s="236">
        <v>18</v>
      </c>
      <c r="AA164" s="236">
        <v>0</v>
      </c>
      <c r="AB164" s="235" t="s">
        <v>780</v>
      </c>
      <c r="AC164" s="236">
        <v>2026</v>
      </c>
      <c r="AD164" s="236" t="s">
        <v>1924</v>
      </c>
      <c r="AE164" s="237" t="s">
        <v>2181</v>
      </c>
      <c r="AF164"/>
      <c r="AG164"/>
      <c r="AH164" s="232" t="s">
        <v>1974</v>
      </c>
      <c r="AI164" s="345" t="s">
        <v>2813</v>
      </c>
    </row>
    <row r="165" spans="1:35" ht="16" customHeight="1" thickBot="1" x14ac:dyDescent="0.25">
      <c r="A165" s="4" t="s">
        <v>936</v>
      </c>
      <c r="B165" s="151">
        <v>7.5</v>
      </c>
      <c r="C165" s="2"/>
      <c r="D165" s="4" t="s">
        <v>902</v>
      </c>
      <c r="E165" s="151">
        <v>8.5</v>
      </c>
      <c r="F165" s="17"/>
      <c r="G165" s="93" t="s">
        <v>945</v>
      </c>
      <c r="H165" s="12">
        <f>ROUND(SUM(H166:H175)/COUNT(H166:H175), 2)</f>
        <v>8.67</v>
      </c>
      <c r="I165" s="17"/>
      <c r="J165" s="210" t="s">
        <v>958</v>
      </c>
      <c r="K165" s="12">
        <f>ROUND(SUM(K166:K173)/COUNT(K166:K173), 2)</f>
        <v>9</v>
      </c>
      <c r="L165" s="2"/>
      <c r="M165" s="4" t="s">
        <v>915</v>
      </c>
      <c r="N165" s="151">
        <v>10</v>
      </c>
      <c r="O165" s="17"/>
      <c r="R165" s="244">
        <v>163</v>
      </c>
      <c r="S165" s="232" t="s">
        <v>495</v>
      </c>
      <c r="T165" s="233" t="s">
        <v>496</v>
      </c>
      <c r="U165" s="233">
        <v>7.67</v>
      </c>
      <c r="V165" s="270">
        <v>7.66</v>
      </c>
      <c r="W165" s="233">
        <v>8</v>
      </c>
      <c r="X165" s="233">
        <v>0.59</v>
      </c>
      <c r="Y165" s="233">
        <v>0</v>
      </c>
      <c r="Z165" s="233">
        <v>12</v>
      </c>
      <c r="AA165" s="233">
        <v>0</v>
      </c>
      <c r="AB165" s="232" t="s">
        <v>766</v>
      </c>
      <c r="AC165" s="233">
        <v>2021</v>
      </c>
      <c r="AD165" s="233" t="s">
        <v>1939</v>
      </c>
      <c r="AE165" s="234" t="s">
        <v>2186</v>
      </c>
      <c r="AF165"/>
      <c r="AG165"/>
      <c r="AH165" s="235" t="s">
        <v>1975</v>
      </c>
      <c r="AI165" s="344" t="s">
        <v>2814</v>
      </c>
    </row>
    <row r="166" spans="1:35" ht="16" customHeight="1" x14ac:dyDescent="0.2">
      <c r="A166" s="4" t="s">
        <v>937</v>
      </c>
      <c r="B166" s="151">
        <v>6.5</v>
      </c>
      <c r="C166" s="2"/>
      <c r="D166" s="4" t="s">
        <v>903</v>
      </c>
      <c r="E166" s="151"/>
      <c r="F166" s="2"/>
      <c r="G166" s="11" t="s">
        <v>946</v>
      </c>
      <c r="H166" s="150"/>
      <c r="I166" s="17"/>
      <c r="J166" s="11" t="s">
        <v>959</v>
      </c>
      <c r="K166" s="150">
        <v>10.5</v>
      </c>
      <c r="L166" s="2"/>
      <c r="M166" s="4" t="s">
        <v>916</v>
      </c>
      <c r="N166" s="151">
        <v>8.5</v>
      </c>
      <c r="O166" s="17"/>
      <c r="R166" s="244">
        <v>164</v>
      </c>
      <c r="S166" s="235" t="s">
        <v>338</v>
      </c>
      <c r="T166" s="236" t="s">
        <v>338</v>
      </c>
      <c r="U166" s="236">
        <v>7.77</v>
      </c>
      <c r="V166" s="304">
        <v>7.64</v>
      </c>
      <c r="W166" s="236">
        <v>7.5</v>
      </c>
      <c r="X166" s="236">
        <v>0.62</v>
      </c>
      <c r="Y166" s="236">
        <v>0</v>
      </c>
      <c r="Z166" s="236">
        <v>11</v>
      </c>
      <c r="AA166" s="236">
        <v>0</v>
      </c>
      <c r="AB166" s="235" t="s">
        <v>775</v>
      </c>
      <c r="AC166" s="236">
        <v>2026</v>
      </c>
      <c r="AD166" s="236" t="s">
        <v>1910</v>
      </c>
      <c r="AE166" s="237" t="s">
        <v>2188</v>
      </c>
      <c r="AF166"/>
      <c r="AG166"/>
      <c r="AH166" s="232" t="s">
        <v>1976</v>
      </c>
      <c r="AI166" s="345" t="s">
        <v>2766</v>
      </c>
    </row>
    <row r="167" spans="1:35" ht="16" customHeight="1" x14ac:dyDescent="0.2">
      <c r="A167" s="4" t="s">
        <v>938</v>
      </c>
      <c r="B167" s="151">
        <v>9</v>
      </c>
      <c r="C167" s="2"/>
      <c r="D167" s="4" t="s">
        <v>904</v>
      </c>
      <c r="E167" s="151">
        <v>10.5</v>
      </c>
      <c r="F167" s="2"/>
      <c r="G167" s="4" t="s">
        <v>947</v>
      </c>
      <c r="H167" s="151">
        <v>10</v>
      </c>
      <c r="I167" s="17"/>
      <c r="J167" s="4" t="s">
        <v>960</v>
      </c>
      <c r="K167" s="151">
        <v>10</v>
      </c>
      <c r="L167" s="2"/>
      <c r="M167" s="4" t="s">
        <v>917</v>
      </c>
      <c r="N167" s="151">
        <v>9.5</v>
      </c>
      <c r="O167" s="17"/>
      <c r="R167" s="244">
        <v>165</v>
      </c>
      <c r="S167" s="232" t="s">
        <v>1194</v>
      </c>
      <c r="T167" s="233" t="s">
        <v>1195</v>
      </c>
      <c r="U167" s="233">
        <v>7.71</v>
      </c>
      <c r="V167" s="273">
        <v>7.61</v>
      </c>
      <c r="W167" s="233">
        <v>7.5</v>
      </c>
      <c r="X167" s="233">
        <v>0.45</v>
      </c>
      <c r="Y167" s="233">
        <v>0</v>
      </c>
      <c r="Z167" s="233">
        <v>8</v>
      </c>
      <c r="AA167" s="233">
        <v>1</v>
      </c>
      <c r="AB167" s="232" t="s">
        <v>1197</v>
      </c>
      <c r="AC167" s="233">
        <v>2020</v>
      </c>
      <c r="AD167" s="233" t="s">
        <v>1944</v>
      </c>
      <c r="AE167" s="234" t="s">
        <v>2160</v>
      </c>
      <c r="AF167"/>
      <c r="AG167"/>
      <c r="AH167" s="235" t="s">
        <v>1977</v>
      </c>
      <c r="AI167" s="344" t="s">
        <v>2859</v>
      </c>
    </row>
    <row r="168" spans="1:35" ht="16" customHeight="1" x14ac:dyDescent="0.2">
      <c r="A168" s="4" t="s">
        <v>939</v>
      </c>
      <c r="B168" s="151">
        <v>8.5</v>
      </c>
      <c r="C168" s="2"/>
      <c r="D168" s="4" t="s">
        <v>905</v>
      </c>
      <c r="E168" s="151">
        <v>8</v>
      </c>
      <c r="F168" s="2"/>
      <c r="G168" s="4" t="s">
        <v>948</v>
      </c>
      <c r="H168" s="151">
        <v>8.5</v>
      </c>
      <c r="I168" s="17"/>
      <c r="J168" s="4" t="s">
        <v>961</v>
      </c>
      <c r="K168" s="151">
        <v>8.5</v>
      </c>
      <c r="L168" s="2"/>
      <c r="M168" s="4" t="s">
        <v>918</v>
      </c>
      <c r="N168" s="151">
        <v>8</v>
      </c>
      <c r="O168" s="17"/>
      <c r="R168" s="244">
        <v>166</v>
      </c>
      <c r="S168" s="235" t="s">
        <v>327</v>
      </c>
      <c r="T168" s="236" t="s">
        <v>981</v>
      </c>
      <c r="U168" s="236">
        <v>7.5</v>
      </c>
      <c r="V168" s="324">
        <v>7.4</v>
      </c>
      <c r="W168" s="236">
        <v>7.5</v>
      </c>
      <c r="X168" s="236">
        <v>0.76</v>
      </c>
      <c r="Y168" s="236">
        <v>0</v>
      </c>
      <c r="Z168" s="236">
        <v>12</v>
      </c>
      <c r="AA168" s="236">
        <v>0</v>
      </c>
      <c r="AB168" s="235" t="s">
        <v>773</v>
      </c>
      <c r="AC168" s="236">
        <v>1993</v>
      </c>
      <c r="AD168" s="236" t="s">
        <v>1902</v>
      </c>
      <c r="AE168" s="237" t="s">
        <v>2166</v>
      </c>
      <c r="AF168"/>
      <c r="AG168"/>
      <c r="AH168" s="232" t="s">
        <v>1978</v>
      </c>
      <c r="AI168" s="345" t="s">
        <v>2703</v>
      </c>
    </row>
    <row r="169" spans="1:35" ht="16" customHeight="1" x14ac:dyDescent="0.2">
      <c r="A169" s="4" t="s">
        <v>940</v>
      </c>
      <c r="B169" s="151">
        <v>7.5</v>
      </c>
      <c r="C169" s="2"/>
      <c r="D169" s="4" t="s">
        <v>906</v>
      </c>
      <c r="E169" s="151">
        <v>8</v>
      </c>
      <c r="F169" s="2"/>
      <c r="G169" s="4" t="s">
        <v>949</v>
      </c>
      <c r="H169" s="151">
        <v>8.5</v>
      </c>
      <c r="I169" s="17"/>
      <c r="J169" s="4" t="s">
        <v>962</v>
      </c>
      <c r="K169" s="151">
        <v>8</v>
      </c>
      <c r="L169" s="2"/>
      <c r="M169" s="4" t="s">
        <v>919</v>
      </c>
      <c r="N169" s="151">
        <v>9</v>
      </c>
      <c r="O169" s="17"/>
      <c r="R169" s="244">
        <v>167</v>
      </c>
      <c r="S169" s="232" t="s">
        <v>816</v>
      </c>
      <c r="T169" s="233" t="s">
        <v>1886</v>
      </c>
      <c r="U169" s="233">
        <v>7.31</v>
      </c>
      <c r="V169" s="294">
        <v>7.2</v>
      </c>
      <c r="W169" s="233">
        <v>7.25</v>
      </c>
      <c r="X169" s="233">
        <v>0.73</v>
      </c>
      <c r="Y169" s="233">
        <v>0</v>
      </c>
      <c r="Z169" s="233">
        <v>18</v>
      </c>
      <c r="AA169" s="233">
        <v>0</v>
      </c>
      <c r="AB169" s="232" t="s">
        <v>1119</v>
      </c>
      <c r="AC169" s="233">
        <v>2026</v>
      </c>
      <c r="AD169" s="233" t="s">
        <v>1902</v>
      </c>
      <c r="AE169" s="234" t="s">
        <v>2133</v>
      </c>
      <c r="AF169"/>
      <c r="AG169"/>
      <c r="AH169"/>
      <c r="AI169"/>
    </row>
    <row r="170" spans="1:35" ht="16" customHeight="1" thickBot="1" x14ac:dyDescent="0.25">
      <c r="A170" s="7" t="s">
        <v>941</v>
      </c>
      <c r="B170" s="152">
        <v>8</v>
      </c>
      <c r="C170" s="2"/>
      <c r="D170" s="7" t="s">
        <v>907</v>
      </c>
      <c r="E170" s="152">
        <v>9</v>
      </c>
      <c r="F170" s="2"/>
      <c r="G170" s="4" t="s">
        <v>950</v>
      </c>
      <c r="H170" s="151">
        <v>9.5</v>
      </c>
      <c r="I170" s="17"/>
      <c r="J170" s="4" t="s">
        <v>963</v>
      </c>
      <c r="K170" s="151">
        <v>8.5</v>
      </c>
      <c r="L170" s="2"/>
      <c r="M170" s="4" t="s">
        <v>920</v>
      </c>
      <c r="N170" s="151">
        <v>8</v>
      </c>
      <c r="O170" s="17"/>
      <c r="R170" s="244">
        <v>168</v>
      </c>
      <c r="S170" s="235" t="s">
        <v>417</v>
      </c>
      <c r="T170" s="236" t="s">
        <v>418</v>
      </c>
      <c r="U170" s="236">
        <v>7.29</v>
      </c>
      <c r="V170" s="288">
        <v>7.16</v>
      </c>
      <c r="W170" s="236">
        <v>7</v>
      </c>
      <c r="X170" s="236">
        <v>0.52</v>
      </c>
      <c r="Y170" s="236">
        <v>0</v>
      </c>
      <c r="Z170" s="236">
        <v>7</v>
      </c>
      <c r="AA170" s="236">
        <v>0</v>
      </c>
      <c r="AB170" s="235" t="s">
        <v>781</v>
      </c>
      <c r="AC170" s="236">
        <v>2021</v>
      </c>
      <c r="AD170" s="236" t="s">
        <v>1945</v>
      </c>
      <c r="AE170" s="237" t="s">
        <v>2189</v>
      </c>
      <c r="AF170"/>
      <c r="AG170"/>
      <c r="AH170" s="343" t="s">
        <v>1979</v>
      </c>
      <c r="AI170" s="343"/>
    </row>
    <row r="171" spans="1:35" ht="16" customHeight="1" thickBot="1" x14ac:dyDescent="0.25">
      <c r="A171" s="16"/>
      <c r="B171" s="16"/>
      <c r="C171" s="2"/>
      <c r="D171" s="14"/>
      <c r="E171" s="16"/>
      <c r="F171" s="2"/>
      <c r="G171" s="4" t="s">
        <v>951</v>
      </c>
      <c r="H171" s="151">
        <v>8</v>
      </c>
      <c r="I171" s="17"/>
      <c r="J171" s="4" t="s">
        <v>964</v>
      </c>
      <c r="K171" s="151">
        <v>8</v>
      </c>
      <c r="L171" s="2"/>
      <c r="M171" s="4" t="s">
        <v>921</v>
      </c>
      <c r="N171" s="151">
        <v>8</v>
      </c>
      <c r="O171" s="17"/>
      <c r="R171" s="244">
        <v>169</v>
      </c>
      <c r="S171" s="232" t="s">
        <v>2501</v>
      </c>
      <c r="T171" s="233" t="s">
        <v>2502</v>
      </c>
      <c r="U171" s="233">
        <v>7.17</v>
      </c>
      <c r="V171" s="249">
        <v>7.04</v>
      </c>
      <c r="W171" s="233">
        <v>7</v>
      </c>
      <c r="X171" s="233">
        <v>0.72</v>
      </c>
      <c r="Y171" s="233">
        <v>0</v>
      </c>
      <c r="Z171" s="233">
        <v>12</v>
      </c>
      <c r="AA171" s="233">
        <v>0</v>
      </c>
      <c r="AB171" s="232" t="s">
        <v>2507</v>
      </c>
      <c r="AC171" s="233">
        <v>2013</v>
      </c>
      <c r="AD171" s="233" t="s">
        <v>1907</v>
      </c>
      <c r="AE171" s="234" t="s">
        <v>2506</v>
      </c>
      <c r="AF171"/>
      <c r="AG171"/>
      <c r="AH171" s="235" t="s">
        <v>1980</v>
      </c>
      <c r="AI171" s="344" t="s">
        <v>2885</v>
      </c>
    </row>
    <row r="172" spans="1:35" ht="16" customHeight="1" thickBot="1" x14ac:dyDescent="0.25">
      <c r="A172" s="96" t="s">
        <v>982</v>
      </c>
      <c r="B172" s="12">
        <f>ROUND(SUM(B173:B183)/COUNT(B173:B183), 2)</f>
        <v>8.73</v>
      </c>
      <c r="C172" s="17"/>
      <c r="D172" s="94" t="s">
        <v>968</v>
      </c>
      <c r="E172" s="12">
        <f>ROUND(SUM(E173:E184)/COUNT(E173:E184), 2)</f>
        <v>7.5</v>
      </c>
      <c r="F172" s="2"/>
      <c r="G172" s="4" t="s">
        <v>952</v>
      </c>
      <c r="H172" s="151">
        <v>8.5</v>
      </c>
      <c r="I172" s="17"/>
      <c r="J172" s="4" t="s">
        <v>965</v>
      </c>
      <c r="K172" s="151">
        <v>9</v>
      </c>
      <c r="L172" s="2"/>
      <c r="M172" s="4" t="s">
        <v>922</v>
      </c>
      <c r="N172" s="151">
        <v>7.5</v>
      </c>
      <c r="O172" s="17"/>
      <c r="R172" s="244">
        <v>170</v>
      </c>
      <c r="S172" s="235" t="s">
        <v>668</v>
      </c>
      <c r="T172" s="236" t="s">
        <v>669</v>
      </c>
      <c r="U172" s="236">
        <v>7.06</v>
      </c>
      <c r="V172" s="290">
        <v>6.99</v>
      </c>
      <c r="W172" s="236">
        <v>7</v>
      </c>
      <c r="X172" s="236">
        <v>0.44</v>
      </c>
      <c r="Y172" s="236">
        <v>0</v>
      </c>
      <c r="Z172" s="236">
        <v>10</v>
      </c>
      <c r="AA172" s="236">
        <v>1</v>
      </c>
      <c r="AB172" s="235" t="s">
        <v>774</v>
      </c>
      <c r="AC172" s="236">
        <v>2026</v>
      </c>
      <c r="AD172" s="236" t="s">
        <v>1946</v>
      </c>
      <c r="AE172" s="237" t="s">
        <v>2180</v>
      </c>
      <c r="AF172"/>
      <c r="AG172"/>
      <c r="AH172" s="232" t="s">
        <v>1981</v>
      </c>
      <c r="AI172" s="345" t="s">
        <v>1909</v>
      </c>
    </row>
    <row r="173" spans="1:35" ht="16" customHeight="1" thickBot="1" x14ac:dyDescent="0.25">
      <c r="A173" s="11" t="s">
        <v>983</v>
      </c>
      <c r="B173" s="150">
        <v>9</v>
      </c>
      <c r="C173" s="34"/>
      <c r="D173" s="95" t="s">
        <v>969</v>
      </c>
      <c r="E173" s="150">
        <v>8</v>
      </c>
      <c r="F173" s="2"/>
      <c r="G173" s="4" t="s">
        <v>953</v>
      </c>
      <c r="H173" s="151">
        <v>9</v>
      </c>
      <c r="I173" s="17"/>
      <c r="J173" s="7" t="s">
        <v>966</v>
      </c>
      <c r="K173" s="152">
        <v>9.5</v>
      </c>
      <c r="L173" s="2"/>
      <c r="M173" s="4" t="s">
        <v>923</v>
      </c>
      <c r="N173" s="151">
        <v>8.5</v>
      </c>
      <c r="O173" s="17"/>
      <c r="R173" s="244">
        <v>171</v>
      </c>
      <c r="S173" s="232" t="s">
        <v>335</v>
      </c>
      <c r="T173" s="233" t="s">
        <v>1790</v>
      </c>
      <c r="U173" s="233">
        <v>3.68</v>
      </c>
      <c r="V173" s="250">
        <v>3.37</v>
      </c>
      <c r="W173" s="233">
        <v>3</v>
      </c>
      <c r="X173" s="233">
        <v>1.37</v>
      </c>
      <c r="Y173" s="233">
        <v>0</v>
      </c>
      <c r="Z173" s="233">
        <v>11</v>
      </c>
      <c r="AA173" s="233">
        <v>0</v>
      </c>
      <c r="AB173" s="232" t="s">
        <v>772</v>
      </c>
      <c r="AC173" s="233">
        <v>2003</v>
      </c>
      <c r="AD173" s="233" t="s">
        <v>1903</v>
      </c>
      <c r="AE173" s="234" t="s">
        <v>2137</v>
      </c>
      <c r="AF173"/>
      <c r="AG173"/>
      <c r="AH173" s="235" t="s">
        <v>1982</v>
      </c>
      <c r="AI173" s="344" t="s">
        <v>2109</v>
      </c>
    </row>
    <row r="174" spans="1:35" ht="16" customHeight="1" thickBot="1" x14ac:dyDescent="0.25">
      <c r="A174" s="4" t="s">
        <v>984</v>
      </c>
      <c r="B174" s="151">
        <v>10</v>
      </c>
      <c r="C174" s="2"/>
      <c r="D174" s="4" t="s">
        <v>970</v>
      </c>
      <c r="E174" s="151">
        <v>9</v>
      </c>
      <c r="F174" s="2"/>
      <c r="G174" s="4" t="s">
        <v>954</v>
      </c>
      <c r="H174" s="151">
        <v>8.5</v>
      </c>
      <c r="I174" s="2"/>
      <c r="J174" s="14"/>
      <c r="K174" s="14"/>
      <c r="L174" s="2"/>
      <c r="M174" s="4" t="s">
        <v>924</v>
      </c>
      <c r="N174" s="151">
        <v>8.5</v>
      </c>
      <c r="O174" s="17"/>
      <c r="R174" s="244">
        <v>172</v>
      </c>
      <c r="S174" s="235" t="s">
        <v>2634</v>
      </c>
      <c r="T174" s="236" t="s">
        <v>2635</v>
      </c>
      <c r="U174" s="236">
        <v>2.5</v>
      </c>
      <c r="V174" s="250">
        <v>2.39</v>
      </c>
      <c r="W174" s="236">
        <v>2.75</v>
      </c>
      <c r="X174" s="236">
        <v>1.3</v>
      </c>
      <c r="Y174" s="236">
        <v>0</v>
      </c>
      <c r="Z174" s="236">
        <v>10</v>
      </c>
      <c r="AA174" s="236">
        <v>0</v>
      </c>
      <c r="AB174" s="235" t="s">
        <v>1100</v>
      </c>
      <c r="AC174" s="236">
        <v>2025</v>
      </c>
      <c r="AD174" s="236" t="s">
        <v>2641</v>
      </c>
      <c r="AE174" s="237" t="s">
        <v>2640</v>
      </c>
      <c r="AF174"/>
      <c r="AG174"/>
      <c r="AH174" s="232" t="s">
        <v>1983</v>
      </c>
      <c r="AI174" s="345" t="s">
        <v>1984</v>
      </c>
    </row>
    <row r="175" spans="1:35" ht="16" customHeight="1" thickBot="1" x14ac:dyDescent="0.25">
      <c r="A175" s="4" t="s">
        <v>985</v>
      </c>
      <c r="B175" s="151">
        <v>9</v>
      </c>
      <c r="C175" s="2"/>
      <c r="D175" s="4" t="s">
        <v>971</v>
      </c>
      <c r="E175" s="151">
        <v>7.5</v>
      </c>
      <c r="F175" s="2"/>
      <c r="G175" s="7" t="s">
        <v>955</v>
      </c>
      <c r="H175" s="152">
        <v>7.5</v>
      </c>
      <c r="I175" s="17"/>
      <c r="J175" s="101" t="s">
        <v>1004</v>
      </c>
      <c r="K175" s="12">
        <f>ROUND(SUM(K176:K180)/COUNT(K176:K180), 2)</f>
        <v>9.3000000000000007</v>
      </c>
      <c r="L175" s="2"/>
      <c r="M175" s="4" t="s">
        <v>925</v>
      </c>
      <c r="N175" s="151">
        <v>9</v>
      </c>
      <c r="O175" s="17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</row>
    <row r="176" spans="1:35" ht="16" customHeight="1" thickBot="1" x14ac:dyDescent="0.3">
      <c r="A176" s="4" t="s">
        <v>986</v>
      </c>
      <c r="B176" s="151">
        <v>9.5</v>
      </c>
      <c r="C176" s="2"/>
      <c r="D176" s="4" t="s">
        <v>972</v>
      </c>
      <c r="E176" s="151">
        <v>8.5</v>
      </c>
      <c r="F176" s="2"/>
      <c r="G176" s="16"/>
      <c r="H176" s="16"/>
      <c r="I176" s="2"/>
      <c r="J176" s="11" t="s">
        <v>1005</v>
      </c>
      <c r="K176" s="150">
        <v>9</v>
      </c>
      <c r="L176" s="2"/>
      <c r="M176" s="4" t="s">
        <v>926</v>
      </c>
      <c r="N176" s="151">
        <v>7.5</v>
      </c>
      <c r="O176" s="17"/>
      <c r="R176" s="367" t="s">
        <v>1336</v>
      </c>
      <c r="S176" s="367"/>
      <c r="T176" s="367"/>
      <c r="U176" s="367"/>
      <c r="V176" s="367"/>
      <c r="W176" s="367"/>
      <c r="X176" s="367"/>
      <c r="Y176" s="367"/>
      <c r="Z176" s="367"/>
      <c r="AA176" s="367"/>
      <c r="AB176" s="367"/>
      <c r="AC176" s="367"/>
      <c r="AD176" s="367"/>
      <c r="AE176" s="367"/>
      <c r="AF176"/>
      <c r="AG176"/>
      <c r="AH176" s="343" t="s">
        <v>1985</v>
      </c>
      <c r="AI176" s="343"/>
    </row>
    <row r="177" spans="1:35" ht="16" customHeight="1" thickBot="1" x14ac:dyDescent="0.25">
      <c r="A177" s="4" t="s">
        <v>987</v>
      </c>
      <c r="B177" s="151">
        <v>10.5</v>
      </c>
      <c r="C177" s="2"/>
      <c r="D177" s="4" t="s">
        <v>973</v>
      </c>
      <c r="E177" s="151">
        <v>7.5</v>
      </c>
      <c r="F177" s="17"/>
      <c r="G177" s="155" t="s">
        <v>1254</v>
      </c>
      <c r="H177" s="12">
        <f>ROUND(SUM(H178:H189)/COUNT(H178:H189), 2)</f>
        <v>8.5500000000000007</v>
      </c>
      <c r="I177" s="2"/>
      <c r="J177" s="4" t="s">
        <v>1006</v>
      </c>
      <c r="K177" s="151">
        <v>10</v>
      </c>
      <c r="L177" s="2"/>
      <c r="M177" s="4" t="s">
        <v>927</v>
      </c>
      <c r="N177" s="151">
        <v>7</v>
      </c>
      <c r="O177" s="17"/>
      <c r="R177" s="231" t="s">
        <v>352</v>
      </c>
      <c r="S177" s="231" t="s">
        <v>319</v>
      </c>
      <c r="T177" s="231" t="s">
        <v>515</v>
      </c>
      <c r="U177" s="231" t="s">
        <v>321</v>
      </c>
      <c r="V177" s="231" t="s">
        <v>2013</v>
      </c>
      <c r="W177" s="231" t="s">
        <v>513</v>
      </c>
      <c r="X177" s="231" t="s">
        <v>322</v>
      </c>
      <c r="Y177" s="231" t="s">
        <v>323</v>
      </c>
      <c r="Z177" s="231" t="s">
        <v>324</v>
      </c>
      <c r="AA177" s="231" t="s">
        <v>325</v>
      </c>
      <c r="AB177" s="231" t="s">
        <v>910</v>
      </c>
      <c r="AC177" s="231" t="s">
        <v>1947</v>
      </c>
      <c r="AD177" s="231" t="s">
        <v>1948</v>
      </c>
      <c r="AE177" s="231" t="s">
        <v>2124</v>
      </c>
      <c r="AF177"/>
      <c r="AG177"/>
      <c r="AH177" s="235" t="s">
        <v>1986</v>
      </c>
      <c r="AI177" s="344"/>
    </row>
    <row r="178" spans="1:35" ht="16" customHeight="1" x14ac:dyDescent="0.2">
      <c r="A178" s="4" t="s">
        <v>988</v>
      </c>
      <c r="B178" s="151">
        <v>8</v>
      </c>
      <c r="C178" s="2"/>
      <c r="D178" s="4" t="s">
        <v>974</v>
      </c>
      <c r="E178" s="151">
        <v>7.5</v>
      </c>
      <c r="F178" s="2"/>
      <c r="G178" s="11" t="s">
        <v>1010</v>
      </c>
      <c r="H178" s="150"/>
      <c r="I178" s="2"/>
      <c r="J178" s="4" t="s">
        <v>1007</v>
      </c>
      <c r="K178" s="151">
        <v>9</v>
      </c>
      <c r="L178" s="2"/>
      <c r="M178" s="4" t="s">
        <v>928</v>
      </c>
      <c r="N178" s="151">
        <v>7.5</v>
      </c>
      <c r="O178" s="17"/>
      <c r="R178" s="238">
        <v>1</v>
      </c>
      <c r="S178" s="232" t="s">
        <v>332</v>
      </c>
      <c r="T178" s="233">
        <v>4</v>
      </c>
      <c r="U178" s="233">
        <v>9.48</v>
      </c>
      <c r="V178" s="335">
        <v>9.73</v>
      </c>
      <c r="W178" s="233">
        <v>9.56</v>
      </c>
      <c r="X178" s="233">
        <v>0.76</v>
      </c>
      <c r="Y178" s="233">
        <v>13</v>
      </c>
      <c r="Z178" s="233">
        <v>26</v>
      </c>
      <c r="AA178" s="233">
        <v>1</v>
      </c>
      <c r="AB178" s="232" t="s">
        <v>1030</v>
      </c>
      <c r="AC178" s="233" t="s">
        <v>1949</v>
      </c>
      <c r="AD178" s="233" t="s">
        <v>1938</v>
      </c>
      <c r="AE178" s="234" t="s">
        <v>2196</v>
      </c>
      <c r="AF178"/>
      <c r="AG178"/>
      <c r="AH178" s="232" t="s">
        <v>1035</v>
      </c>
      <c r="AI178" s="345" t="s">
        <v>2791</v>
      </c>
    </row>
    <row r="179" spans="1:35" ht="16" customHeight="1" x14ac:dyDescent="0.2">
      <c r="A179" s="4" t="s">
        <v>989</v>
      </c>
      <c r="B179" s="151">
        <v>7.5</v>
      </c>
      <c r="C179" s="2"/>
      <c r="D179" s="4" t="s">
        <v>975</v>
      </c>
      <c r="E179" s="151">
        <v>6.5</v>
      </c>
      <c r="F179" s="2"/>
      <c r="G179" s="4" t="s">
        <v>1011</v>
      </c>
      <c r="H179" s="151">
        <v>8.5</v>
      </c>
      <c r="I179" s="2"/>
      <c r="J179" s="4" t="s">
        <v>1008</v>
      </c>
      <c r="K179" s="151">
        <v>8</v>
      </c>
      <c r="L179" s="2"/>
      <c r="M179" s="4" t="s">
        <v>929</v>
      </c>
      <c r="N179" s="151">
        <v>7.5</v>
      </c>
      <c r="O179" s="17"/>
      <c r="R179" s="240">
        <v>2</v>
      </c>
      <c r="S179" s="235" t="s">
        <v>326</v>
      </c>
      <c r="T179" s="236">
        <v>6</v>
      </c>
      <c r="U179" s="236">
        <v>9.35</v>
      </c>
      <c r="V179" s="364">
        <v>9.64</v>
      </c>
      <c r="W179" s="236">
        <v>9.6300000000000008</v>
      </c>
      <c r="X179" s="236">
        <v>0.92</v>
      </c>
      <c r="Y179" s="236">
        <v>25</v>
      </c>
      <c r="Z179" s="236">
        <v>66</v>
      </c>
      <c r="AA179" s="236">
        <v>16</v>
      </c>
      <c r="AB179" s="235" t="s">
        <v>2439</v>
      </c>
      <c r="AC179" s="236" t="s">
        <v>1950</v>
      </c>
      <c r="AD179" s="236" t="s">
        <v>1900</v>
      </c>
      <c r="AE179" s="237" t="s">
        <v>2196</v>
      </c>
      <c r="AF179"/>
      <c r="AG179"/>
      <c r="AH179" s="235" t="s">
        <v>1987</v>
      </c>
      <c r="AI179" s="344" t="s">
        <v>2815</v>
      </c>
    </row>
    <row r="180" spans="1:35" ht="16" customHeight="1" thickBot="1" x14ac:dyDescent="0.25">
      <c r="A180" s="4" t="s">
        <v>990</v>
      </c>
      <c r="B180" s="151">
        <v>9</v>
      </c>
      <c r="C180" s="2"/>
      <c r="D180" s="4" t="s">
        <v>976</v>
      </c>
      <c r="E180" s="151">
        <v>7.5</v>
      </c>
      <c r="F180" s="2"/>
      <c r="G180" s="4" t="s">
        <v>1012</v>
      </c>
      <c r="H180" s="151">
        <v>9</v>
      </c>
      <c r="I180" s="2"/>
      <c r="J180" s="7" t="s">
        <v>1009</v>
      </c>
      <c r="K180" s="152">
        <v>10.5</v>
      </c>
      <c r="L180" s="2"/>
      <c r="M180" s="7" t="s">
        <v>930</v>
      </c>
      <c r="N180" s="152">
        <v>10.5</v>
      </c>
      <c r="O180" s="17"/>
      <c r="R180" s="242">
        <v>3</v>
      </c>
      <c r="S180" s="232" t="s">
        <v>2696</v>
      </c>
      <c r="T180" s="233">
        <v>2</v>
      </c>
      <c r="U180" s="233">
        <v>9.36</v>
      </c>
      <c r="V180" s="300">
        <v>9.5299999999999994</v>
      </c>
      <c r="W180" s="233">
        <v>9.5</v>
      </c>
      <c r="X180" s="233">
        <v>0.45</v>
      </c>
      <c r="Y180" s="233">
        <v>2</v>
      </c>
      <c r="Z180" s="233">
        <v>7</v>
      </c>
      <c r="AA180" s="233">
        <v>0</v>
      </c>
      <c r="AB180" s="232" t="s">
        <v>1098</v>
      </c>
      <c r="AC180" s="233" t="s">
        <v>2714</v>
      </c>
      <c r="AD180" s="233" t="s">
        <v>1903</v>
      </c>
      <c r="AE180" s="234" t="s">
        <v>2196</v>
      </c>
      <c r="AF180"/>
      <c r="AG180"/>
      <c r="AH180" s="232" t="s">
        <v>1038</v>
      </c>
      <c r="AI180" s="345" t="s">
        <v>2860</v>
      </c>
    </row>
    <row r="181" spans="1:35" ht="16" customHeight="1" thickBot="1" x14ac:dyDescent="0.25">
      <c r="A181" s="4" t="s">
        <v>991</v>
      </c>
      <c r="B181" s="151">
        <v>8</v>
      </c>
      <c r="C181" s="2"/>
      <c r="D181" s="4" t="s">
        <v>977</v>
      </c>
      <c r="E181" s="151">
        <v>7</v>
      </c>
      <c r="F181" s="2"/>
      <c r="G181" s="4" t="s">
        <v>1013</v>
      </c>
      <c r="H181" s="151">
        <v>8</v>
      </c>
      <c r="I181" s="2"/>
      <c r="J181" s="16"/>
      <c r="K181" s="16"/>
      <c r="L181" s="2"/>
      <c r="M181" s="16"/>
      <c r="N181" s="16"/>
      <c r="O181" s="17"/>
      <c r="R181" s="244">
        <v>4</v>
      </c>
      <c r="S181" s="235" t="s">
        <v>331</v>
      </c>
      <c r="T181" s="236">
        <v>4</v>
      </c>
      <c r="U181" s="236">
        <v>9.06</v>
      </c>
      <c r="V181" s="338">
        <v>9.0500000000000007</v>
      </c>
      <c r="W181" s="236">
        <v>8.81</v>
      </c>
      <c r="X181" s="236">
        <v>0.7</v>
      </c>
      <c r="Y181" s="236">
        <v>5</v>
      </c>
      <c r="Z181" s="236">
        <v>23</v>
      </c>
      <c r="AA181" s="236">
        <v>0</v>
      </c>
      <c r="AB181" s="235" t="s">
        <v>2440</v>
      </c>
      <c r="AC181" s="236" t="s">
        <v>1951</v>
      </c>
      <c r="AD181" s="236" t="s">
        <v>1925</v>
      </c>
      <c r="AE181" s="237" t="s">
        <v>2196</v>
      </c>
      <c r="AF181"/>
      <c r="AG181"/>
      <c r="AH181" s="235" t="s">
        <v>1044</v>
      </c>
      <c r="AI181" s="344" t="s">
        <v>2891</v>
      </c>
    </row>
    <row r="182" spans="1:35" ht="16" customHeight="1" thickBot="1" x14ac:dyDescent="0.25">
      <c r="A182" s="4" t="s">
        <v>992</v>
      </c>
      <c r="B182" s="151">
        <v>8</v>
      </c>
      <c r="C182" s="2"/>
      <c r="D182" s="4" t="s">
        <v>978</v>
      </c>
      <c r="E182" s="151">
        <v>6.5</v>
      </c>
      <c r="F182" s="2"/>
      <c r="G182" s="4" t="s">
        <v>1014</v>
      </c>
      <c r="H182" s="151">
        <v>8.5</v>
      </c>
      <c r="I182" s="17"/>
      <c r="J182" s="102" t="s">
        <v>1029</v>
      </c>
      <c r="K182" s="12">
        <f>ROUND(SUM(K183:K187)/COUNT(K183:K187), 2)</f>
        <v>10</v>
      </c>
      <c r="L182" s="2"/>
      <c r="M182" s="97" t="s">
        <v>995</v>
      </c>
      <c r="N182" s="12">
        <f>ROUND(SUM(N183)/COUNT(N183), 2)</f>
        <v>10.5</v>
      </c>
      <c r="O182" s="17"/>
      <c r="R182" s="244">
        <v>5</v>
      </c>
      <c r="S182" s="232" t="s">
        <v>330</v>
      </c>
      <c r="T182" s="233">
        <v>2</v>
      </c>
      <c r="U182" s="233">
        <v>8.99</v>
      </c>
      <c r="V182" s="312">
        <v>9.0399999999999991</v>
      </c>
      <c r="W182" s="233">
        <v>8.75</v>
      </c>
      <c r="X182" s="233">
        <v>0.9</v>
      </c>
      <c r="Y182" s="233">
        <v>5</v>
      </c>
      <c r="Z182" s="233">
        <v>18</v>
      </c>
      <c r="AA182" s="233">
        <v>0</v>
      </c>
      <c r="AB182" s="232" t="s">
        <v>2441</v>
      </c>
      <c r="AC182" s="233" t="s">
        <v>2111</v>
      </c>
      <c r="AD182" s="233" t="s">
        <v>1938</v>
      </c>
      <c r="AE182" s="234" t="s">
        <v>2196</v>
      </c>
      <c r="AF182"/>
      <c r="AG182"/>
      <c r="AH182" s="232" t="s">
        <v>323</v>
      </c>
      <c r="AI182" s="345" t="s">
        <v>2892</v>
      </c>
    </row>
    <row r="183" spans="1:35" ht="16" customHeight="1" thickBot="1" x14ac:dyDescent="0.25">
      <c r="A183" s="7" t="s">
        <v>993</v>
      </c>
      <c r="B183" s="152">
        <v>7.5</v>
      </c>
      <c r="C183" s="2"/>
      <c r="D183" s="4" t="s">
        <v>979</v>
      </c>
      <c r="E183" s="151">
        <v>6.5</v>
      </c>
      <c r="F183" s="2"/>
      <c r="G183" s="4" t="s">
        <v>1015</v>
      </c>
      <c r="H183" s="151">
        <v>8</v>
      </c>
      <c r="I183" s="17"/>
      <c r="J183" s="11" t="s">
        <v>1024</v>
      </c>
      <c r="K183" s="150">
        <v>10.5</v>
      </c>
      <c r="L183" s="2"/>
      <c r="M183" s="156" t="s">
        <v>994</v>
      </c>
      <c r="N183" s="157">
        <v>10.5</v>
      </c>
      <c r="O183" s="17"/>
      <c r="R183" s="244">
        <v>6</v>
      </c>
      <c r="S183" s="235" t="s">
        <v>480</v>
      </c>
      <c r="T183" s="236">
        <v>4</v>
      </c>
      <c r="U183" s="236">
        <v>8.91</v>
      </c>
      <c r="V183" s="318">
        <v>8.9700000000000006</v>
      </c>
      <c r="W183" s="236">
        <v>8.75</v>
      </c>
      <c r="X183" s="236">
        <v>0.81</v>
      </c>
      <c r="Y183" s="236">
        <v>7</v>
      </c>
      <c r="Z183" s="236">
        <v>37</v>
      </c>
      <c r="AA183" s="236">
        <v>0</v>
      </c>
      <c r="AB183" s="235" t="s">
        <v>2542</v>
      </c>
      <c r="AC183" s="236" t="s">
        <v>2543</v>
      </c>
      <c r="AD183" s="236" t="s">
        <v>1917</v>
      </c>
      <c r="AE183" s="237" t="s">
        <v>2196</v>
      </c>
      <c r="AF183"/>
      <c r="AG183"/>
      <c r="AH183" s="235" t="s">
        <v>1988</v>
      </c>
      <c r="AI183" s="344" t="s">
        <v>2861</v>
      </c>
    </row>
    <row r="184" spans="1:35" ht="16" customHeight="1" thickBot="1" x14ac:dyDescent="0.25">
      <c r="A184" s="16"/>
      <c r="B184" s="16"/>
      <c r="C184" s="2"/>
      <c r="D184" s="7" t="s">
        <v>980</v>
      </c>
      <c r="E184" s="152">
        <v>8</v>
      </c>
      <c r="F184" s="2"/>
      <c r="G184" s="4" t="s">
        <v>1016</v>
      </c>
      <c r="H184" s="151">
        <v>7.5</v>
      </c>
      <c r="I184" s="17"/>
      <c r="J184" s="4" t="s">
        <v>1025</v>
      </c>
      <c r="K184" s="151">
        <v>9</v>
      </c>
      <c r="L184" s="2"/>
      <c r="M184" s="16"/>
      <c r="N184" s="16"/>
      <c r="O184" s="17"/>
      <c r="R184" s="244">
        <v>7</v>
      </c>
      <c r="S184" s="232" t="s">
        <v>1177</v>
      </c>
      <c r="T184" s="233">
        <v>2</v>
      </c>
      <c r="U184" s="233">
        <v>8.7200000000000006</v>
      </c>
      <c r="V184" s="256">
        <v>8.9</v>
      </c>
      <c r="W184" s="233">
        <v>8.5</v>
      </c>
      <c r="X184" s="233">
        <v>0.94</v>
      </c>
      <c r="Y184" s="233">
        <v>10</v>
      </c>
      <c r="Z184" s="233">
        <v>54</v>
      </c>
      <c r="AA184" s="233">
        <v>2</v>
      </c>
      <c r="AB184" s="232" t="s">
        <v>1554</v>
      </c>
      <c r="AC184" s="233" t="s">
        <v>2106</v>
      </c>
      <c r="AD184" s="233" t="s">
        <v>2107</v>
      </c>
      <c r="AE184" s="234" t="s">
        <v>2196</v>
      </c>
      <c r="AF184"/>
      <c r="AG184"/>
      <c r="AH184" s="232" t="s">
        <v>1989</v>
      </c>
      <c r="AI184" s="345" t="s">
        <v>2862</v>
      </c>
    </row>
    <row r="185" spans="1:35" ht="16" customHeight="1" thickBot="1" x14ac:dyDescent="0.25">
      <c r="A185" s="103" t="s">
        <v>1125</v>
      </c>
      <c r="B185" s="12">
        <f>ROUND(SUM(B186:B194)/COUNT(B186:B194), 2)</f>
        <v>9</v>
      </c>
      <c r="C185" s="2"/>
      <c r="D185" s="14"/>
      <c r="E185" s="16"/>
      <c r="F185" s="2"/>
      <c r="G185" s="4" t="s">
        <v>1017</v>
      </c>
      <c r="H185" s="151">
        <v>8</v>
      </c>
      <c r="I185" s="17"/>
      <c r="J185" s="4" t="s">
        <v>1026</v>
      </c>
      <c r="K185" s="151">
        <v>10</v>
      </c>
      <c r="L185" s="17"/>
      <c r="M185" s="129" t="s">
        <v>1524</v>
      </c>
      <c r="N185" s="12">
        <f>ROUND(SUM(N186:N209)/COUNT(N186:N209), 2)</f>
        <v>8.7200000000000006</v>
      </c>
      <c r="O185" s="17"/>
      <c r="R185" s="244">
        <v>8</v>
      </c>
      <c r="S185" s="235" t="s">
        <v>341</v>
      </c>
      <c r="T185" s="236">
        <v>2</v>
      </c>
      <c r="U185" s="236">
        <v>8.83</v>
      </c>
      <c r="V185" s="263">
        <v>8.85</v>
      </c>
      <c r="W185" s="236">
        <v>8.5</v>
      </c>
      <c r="X185" s="236">
        <v>0.88</v>
      </c>
      <c r="Y185" s="236">
        <v>4</v>
      </c>
      <c r="Z185" s="236">
        <v>18</v>
      </c>
      <c r="AA185" s="236">
        <v>0</v>
      </c>
      <c r="AB185" s="235" t="s">
        <v>2701</v>
      </c>
      <c r="AC185" s="236" t="s">
        <v>1953</v>
      </c>
      <c r="AD185" s="236" t="s">
        <v>1919</v>
      </c>
      <c r="AE185" s="237" t="s">
        <v>2196</v>
      </c>
      <c r="AF185"/>
      <c r="AG185"/>
      <c r="AH185"/>
      <c r="AI185"/>
    </row>
    <row r="186" spans="1:35" ht="16" customHeight="1" thickBot="1" x14ac:dyDescent="0.25">
      <c r="A186" s="11" t="s">
        <v>1126</v>
      </c>
      <c r="B186" s="150">
        <v>9.5</v>
      </c>
      <c r="C186" s="34"/>
      <c r="D186" s="104" t="s">
        <v>1136</v>
      </c>
      <c r="E186" s="12">
        <f>ROUND(SUM(E187:E199)/COUNT(E187:E199), 2)</f>
        <v>8.4600000000000009</v>
      </c>
      <c r="F186" s="2"/>
      <c r="G186" s="4" t="s">
        <v>1018</v>
      </c>
      <c r="H186" s="151">
        <v>9.5</v>
      </c>
      <c r="I186" s="17"/>
      <c r="J186" s="4" t="s">
        <v>1027</v>
      </c>
      <c r="K186" s="151">
        <v>10.5</v>
      </c>
      <c r="L186" s="2"/>
      <c r="M186" s="11" t="s">
        <v>1153</v>
      </c>
      <c r="N186" s="150">
        <v>8</v>
      </c>
      <c r="O186" s="17"/>
      <c r="R186" s="244">
        <v>9</v>
      </c>
      <c r="S186" s="232" t="s">
        <v>346</v>
      </c>
      <c r="T186" s="233">
        <v>2</v>
      </c>
      <c r="U186" s="233">
        <v>8.85</v>
      </c>
      <c r="V186" s="275">
        <v>8.84</v>
      </c>
      <c r="W186" s="233">
        <v>8.75</v>
      </c>
      <c r="X186" s="233">
        <v>0.73</v>
      </c>
      <c r="Y186" s="233">
        <v>4</v>
      </c>
      <c r="Z186" s="233">
        <v>25</v>
      </c>
      <c r="AA186" s="233">
        <v>0</v>
      </c>
      <c r="AB186" s="232" t="s">
        <v>1847</v>
      </c>
      <c r="AC186" s="233" t="s">
        <v>1952</v>
      </c>
      <c r="AD186" s="233" t="s">
        <v>1916</v>
      </c>
      <c r="AE186" s="234" t="s">
        <v>2196</v>
      </c>
      <c r="AF186"/>
      <c r="AG186"/>
      <c r="AH186" s="232" t="s">
        <v>1990</v>
      </c>
      <c r="AI186" s="345" t="s">
        <v>2893</v>
      </c>
    </row>
    <row r="187" spans="1:35" ht="16" customHeight="1" thickBot="1" x14ac:dyDescent="0.25">
      <c r="A187" s="4" t="s">
        <v>1127</v>
      </c>
      <c r="B187" s="151">
        <v>9</v>
      </c>
      <c r="C187" s="2"/>
      <c r="D187" s="11" t="s">
        <v>1137</v>
      </c>
      <c r="E187" s="150">
        <v>9</v>
      </c>
      <c r="F187" s="2"/>
      <c r="G187" s="4" t="s">
        <v>1019</v>
      </c>
      <c r="H187" s="151">
        <v>10</v>
      </c>
      <c r="I187" s="17"/>
      <c r="J187" s="7" t="s">
        <v>1028</v>
      </c>
      <c r="K187" s="152">
        <v>10</v>
      </c>
      <c r="L187" s="2"/>
      <c r="M187" s="4" t="s">
        <v>1154</v>
      </c>
      <c r="N187" s="151">
        <v>8.5</v>
      </c>
      <c r="O187" s="17"/>
      <c r="R187" s="244">
        <v>10</v>
      </c>
      <c r="S187" s="235" t="s">
        <v>2345</v>
      </c>
      <c r="T187" s="236">
        <v>2</v>
      </c>
      <c r="U187" s="236">
        <v>8.8000000000000007</v>
      </c>
      <c r="V187" s="275">
        <v>8.84</v>
      </c>
      <c r="W187" s="236">
        <v>8.6300000000000008</v>
      </c>
      <c r="X187" s="236">
        <v>0.74</v>
      </c>
      <c r="Y187" s="236">
        <v>3</v>
      </c>
      <c r="Z187" s="236">
        <v>30</v>
      </c>
      <c r="AA187" s="236">
        <v>2</v>
      </c>
      <c r="AB187" s="235" t="s">
        <v>2524</v>
      </c>
      <c r="AC187" s="236" t="s">
        <v>2526</v>
      </c>
      <c r="AD187" s="236" t="s">
        <v>1938</v>
      </c>
      <c r="AE187" s="237" t="s">
        <v>2196</v>
      </c>
      <c r="AF187"/>
      <c r="AG187"/>
      <c r="AH187" s="235" t="s">
        <v>1991</v>
      </c>
      <c r="AI187" s="344" t="s">
        <v>2792</v>
      </c>
    </row>
    <row r="188" spans="1:35" ht="16" customHeight="1" thickBot="1" x14ac:dyDescent="0.25">
      <c r="A188" s="4" t="s">
        <v>1128</v>
      </c>
      <c r="B188" s="151">
        <v>10</v>
      </c>
      <c r="C188" s="2"/>
      <c r="D188" s="4" t="s">
        <v>1138</v>
      </c>
      <c r="E188" s="151">
        <v>8</v>
      </c>
      <c r="F188" s="2"/>
      <c r="G188" s="4" t="s">
        <v>1020</v>
      </c>
      <c r="H188" s="151">
        <v>8.5</v>
      </c>
      <c r="I188" s="2"/>
      <c r="J188" s="16"/>
      <c r="K188" s="16"/>
      <c r="L188" s="2"/>
      <c r="M188" s="4" t="s">
        <v>1155</v>
      </c>
      <c r="N188" s="151">
        <v>10</v>
      </c>
      <c r="O188" s="17"/>
      <c r="R188" s="244">
        <v>11</v>
      </c>
      <c r="S188" s="232" t="s">
        <v>1605</v>
      </c>
      <c r="T188" s="233">
        <v>2</v>
      </c>
      <c r="U188" s="233">
        <v>8.91</v>
      </c>
      <c r="V188" s="339">
        <v>8.82</v>
      </c>
      <c r="W188" s="233">
        <v>8.75</v>
      </c>
      <c r="X188" s="233">
        <v>0.8</v>
      </c>
      <c r="Y188" s="233">
        <v>4</v>
      </c>
      <c r="Z188" s="233">
        <v>17</v>
      </c>
      <c r="AA188" s="233">
        <v>0</v>
      </c>
      <c r="AB188" s="232" t="s">
        <v>1608</v>
      </c>
      <c r="AC188" s="233" t="s">
        <v>2373</v>
      </c>
      <c r="AD188" s="233" t="s">
        <v>1925</v>
      </c>
      <c r="AE188" s="234" t="s">
        <v>2196</v>
      </c>
      <c r="AF188"/>
      <c r="AG188"/>
      <c r="AH188"/>
      <c r="AI188"/>
    </row>
    <row r="189" spans="1:35" ht="16" customHeight="1" thickBot="1" x14ac:dyDescent="0.25">
      <c r="A189" s="4" t="s">
        <v>1129</v>
      </c>
      <c r="B189" s="151">
        <v>10.5</v>
      </c>
      <c r="C189" s="2"/>
      <c r="D189" s="4" t="s">
        <v>1139</v>
      </c>
      <c r="E189" s="151">
        <v>10</v>
      </c>
      <c r="F189" s="2"/>
      <c r="G189" s="7" t="s">
        <v>1021</v>
      </c>
      <c r="H189" s="152">
        <v>8.5</v>
      </c>
      <c r="I189" s="17"/>
      <c r="J189" s="108" t="s">
        <v>1185</v>
      </c>
      <c r="K189" s="12">
        <f>ROUND(SUM(K190:K197)/COUNT(K190:K197), 2)</f>
        <v>7.71</v>
      </c>
      <c r="L189" s="2"/>
      <c r="M189" s="4" t="s">
        <v>1156</v>
      </c>
      <c r="N189" s="151"/>
      <c r="O189" s="17"/>
      <c r="R189" s="244">
        <v>12</v>
      </c>
      <c r="S189" s="235" t="s">
        <v>327</v>
      </c>
      <c r="T189" s="236">
        <v>9</v>
      </c>
      <c r="U189" s="236">
        <v>8.67</v>
      </c>
      <c r="V189" s="267">
        <v>8.7899999999999991</v>
      </c>
      <c r="W189" s="236">
        <v>8.69</v>
      </c>
      <c r="X189" s="236">
        <v>0.86</v>
      </c>
      <c r="Y189" s="236">
        <v>20</v>
      </c>
      <c r="Z189" s="236">
        <v>101</v>
      </c>
      <c r="AA189" s="236">
        <v>4</v>
      </c>
      <c r="AB189" s="235" t="s">
        <v>944</v>
      </c>
      <c r="AC189" s="236" t="s">
        <v>1956</v>
      </c>
      <c r="AD189" s="236" t="s">
        <v>1910</v>
      </c>
      <c r="AE189" s="237" t="s">
        <v>2196</v>
      </c>
      <c r="AF189"/>
      <c r="AG189"/>
      <c r="AH189"/>
      <c r="AI189"/>
    </row>
    <row r="190" spans="1:35" ht="16" customHeight="1" thickBot="1" x14ac:dyDescent="0.25">
      <c r="A190" s="4" t="s">
        <v>1130</v>
      </c>
      <c r="B190" s="151">
        <v>8</v>
      </c>
      <c r="C190" s="2"/>
      <c r="D190" s="4" t="s">
        <v>1140</v>
      </c>
      <c r="E190" s="151">
        <v>7.5</v>
      </c>
      <c r="F190" s="2"/>
      <c r="G190" s="16"/>
      <c r="H190" s="16"/>
      <c r="I190" s="2"/>
      <c r="J190" s="11" t="s">
        <v>1186</v>
      </c>
      <c r="K190" s="150"/>
      <c r="L190" s="2"/>
      <c r="M190" s="4" t="s">
        <v>1157</v>
      </c>
      <c r="N190" s="151">
        <v>10.5</v>
      </c>
      <c r="O190" s="17"/>
      <c r="R190" s="244">
        <v>13</v>
      </c>
      <c r="S190" s="232" t="s">
        <v>345</v>
      </c>
      <c r="T190" s="233">
        <v>3</v>
      </c>
      <c r="U190" s="233">
        <v>8.77</v>
      </c>
      <c r="V190" s="267">
        <v>8.7899999999999991</v>
      </c>
      <c r="W190" s="233">
        <v>8.67</v>
      </c>
      <c r="X190" s="233">
        <v>0.81</v>
      </c>
      <c r="Y190" s="233">
        <v>6</v>
      </c>
      <c r="Z190" s="233">
        <v>34</v>
      </c>
      <c r="AA190" s="233">
        <v>1</v>
      </c>
      <c r="AB190" s="232" t="s">
        <v>1646</v>
      </c>
      <c r="AC190" s="233" t="s">
        <v>1954</v>
      </c>
      <c r="AD190" s="233" t="s">
        <v>1929</v>
      </c>
      <c r="AE190" s="234" t="s">
        <v>2196</v>
      </c>
      <c r="AF190"/>
      <c r="AG190"/>
      <c r="AH190"/>
      <c r="AI190"/>
    </row>
    <row r="191" spans="1:35" ht="16" customHeight="1" thickBot="1" x14ac:dyDescent="0.25">
      <c r="A191" s="4" t="s">
        <v>1131</v>
      </c>
      <c r="B191" s="151">
        <v>8.5</v>
      </c>
      <c r="C191" s="2"/>
      <c r="D191" s="4" t="s">
        <v>1141</v>
      </c>
      <c r="E191" s="151">
        <v>7</v>
      </c>
      <c r="F191" s="17"/>
      <c r="G191" s="109" t="s">
        <v>1198</v>
      </c>
      <c r="H191" s="12">
        <f>ROUND(SUM(H192:H200)/COUNT(H192:H200), 2)</f>
        <v>8.83</v>
      </c>
      <c r="I191" s="2"/>
      <c r="J191" s="4" t="s">
        <v>1187</v>
      </c>
      <c r="K191" s="151">
        <v>7</v>
      </c>
      <c r="L191" s="2"/>
      <c r="M191" s="4" t="s">
        <v>1158</v>
      </c>
      <c r="N191" s="151">
        <v>10</v>
      </c>
      <c r="O191" s="17"/>
      <c r="R191" s="244">
        <v>14</v>
      </c>
      <c r="S191" s="235" t="s">
        <v>1695</v>
      </c>
      <c r="T191" s="236">
        <v>2</v>
      </c>
      <c r="U191" s="236">
        <v>8.81</v>
      </c>
      <c r="V191" s="289">
        <v>8.77</v>
      </c>
      <c r="W191" s="236">
        <v>8.5</v>
      </c>
      <c r="X191" s="236">
        <v>0.81</v>
      </c>
      <c r="Y191" s="236">
        <v>3</v>
      </c>
      <c r="Z191" s="236">
        <v>16</v>
      </c>
      <c r="AA191" s="236">
        <v>0</v>
      </c>
      <c r="AB191" s="235" t="s">
        <v>1355</v>
      </c>
      <c r="AC191" s="236" t="s">
        <v>2125</v>
      </c>
      <c r="AD191" s="236" t="s">
        <v>1902</v>
      </c>
      <c r="AE191" s="237" t="s">
        <v>2196</v>
      </c>
      <c r="AF191"/>
      <c r="AG191"/>
      <c r="AH191"/>
      <c r="AI191"/>
    </row>
    <row r="192" spans="1:35" ht="16" customHeight="1" x14ac:dyDescent="0.2">
      <c r="A192" s="4" t="s">
        <v>1132</v>
      </c>
      <c r="B192" s="151">
        <v>8</v>
      </c>
      <c r="C192" s="2"/>
      <c r="D192" s="4" t="s">
        <v>1142</v>
      </c>
      <c r="E192" s="151">
        <v>9.5</v>
      </c>
      <c r="F192" s="2"/>
      <c r="G192" s="11" t="s">
        <v>1199</v>
      </c>
      <c r="H192" s="150">
        <v>9</v>
      </c>
      <c r="I192" s="2"/>
      <c r="J192" s="4" t="s">
        <v>1188</v>
      </c>
      <c r="K192" s="151">
        <v>7.5</v>
      </c>
      <c r="L192" s="2"/>
      <c r="M192" s="4" t="s">
        <v>1159</v>
      </c>
      <c r="N192" s="151">
        <v>9</v>
      </c>
      <c r="O192" s="17"/>
      <c r="R192" s="244">
        <v>15</v>
      </c>
      <c r="S192" s="232" t="s">
        <v>1743</v>
      </c>
      <c r="T192" s="233">
        <v>2</v>
      </c>
      <c r="U192" s="233">
        <v>8.7100000000000009</v>
      </c>
      <c r="V192" s="292">
        <v>8.68</v>
      </c>
      <c r="W192" s="233">
        <v>8.5</v>
      </c>
      <c r="X192" s="233">
        <v>0.74</v>
      </c>
      <c r="Y192" s="233">
        <v>3</v>
      </c>
      <c r="Z192" s="233">
        <v>22</v>
      </c>
      <c r="AA192" s="233">
        <v>0</v>
      </c>
      <c r="AB192" s="232" t="s">
        <v>1094</v>
      </c>
      <c r="AC192" s="233">
        <v>1994</v>
      </c>
      <c r="AD192" s="233" t="s">
        <v>1924</v>
      </c>
      <c r="AE192" s="234" t="s">
        <v>2196</v>
      </c>
      <c r="AF192"/>
      <c r="AG192"/>
      <c r="AH192"/>
      <c r="AI192"/>
    </row>
    <row r="193" spans="1:35" ht="16" customHeight="1" x14ac:dyDescent="0.2">
      <c r="A193" s="4" t="s">
        <v>1133</v>
      </c>
      <c r="B193" s="151">
        <v>9.5</v>
      </c>
      <c r="C193" s="2"/>
      <c r="D193" s="4" t="s">
        <v>1143</v>
      </c>
      <c r="E193" s="151">
        <v>8</v>
      </c>
      <c r="F193" s="2"/>
      <c r="G193" s="4" t="s">
        <v>1200</v>
      </c>
      <c r="H193" s="151">
        <v>8.5</v>
      </c>
      <c r="I193" s="2"/>
      <c r="J193" s="4" t="s">
        <v>1189</v>
      </c>
      <c r="K193" s="151">
        <v>8</v>
      </c>
      <c r="L193" s="2"/>
      <c r="M193" s="4" t="s">
        <v>1160</v>
      </c>
      <c r="N193" s="151">
        <v>9</v>
      </c>
      <c r="O193" s="17"/>
      <c r="R193" s="244">
        <v>16</v>
      </c>
      <c r="S193" s="235" t="s">
        <v>1439</v>
      </c>
      <c r="T193" s="236">
        <v>2</v>
      </c>
      <c r="U193" s="236">
        <v>8.77</v>
      </c>
      <c r="V193" s="248">
        <v>8.67</v>
      </c>
      <c r="W193" s="236">
        <v>8.5</v>
      </c>
      <c r="X193" s="236">
        <v>0.62</v>
      </c>
      <c r="Y193" s="236">
        <v>2</v>
      </c>
      <c r="Z193" s="236">
        <v>17</v>
      </c>
      <c r="AA193" s="236">
        <v>1</v>
      </c>
      <c r="AB193" s="235" t="s">
        <v>2442</v>
      </c>
      <c r="AC193" s="236" t="s">
        <v>2265</v>
      </c>
      <c r="AD193" s="236" t="s">
        <v>1955</v>
      </c>
      <c r="AE193" s="237" t="s">
        <v>2196</v>
      </c>
      <c r="AF193"/>
      <c r="AG193"/>
      <c r="AH193"/>
      <c r="AI193"/>
    </row>
    <row r="194" spans="1:35" ht="16" customHeight="1" thickBot="1" x14ac:dyDescent="0.25">
      <c r="A194" s="7" t="s">
        <v>1134</v>
      </c>
      <c r="B194" s="152">
        <v>8</v>
      </c>
      <c r="C194" s="2"/>
      <c r="D194" s="4" t="s">
        <v>1144</v>
      </c>
      <c r="E194" s="151">
        <v>7.5</v>
      </c>
      <c r="F194" s="2"/>
      <c r="G194" s="4" t="s">
        <v>1201</v>
      </c>
      <c r="H194" s="151">
        <v>8.5</v>
      </c>
      <c r="I194" s="2"/>
      <c r="J194" s="4" t="s">
        <v>1190</v>
      </c>
      <c r="K194" s="151">
        <v>7.5</v>
      </c>
      <c r="L194" s="2"/>
      <c r="M194" s="4" t="s">
        <v>1161</v>
      </c>
      <c r="N194" s="151">
        <v>8.5</v>
      </c>
      <c r="O194" s="17"/>
      <c r="R194" s="244">
        <v>17</v>
      </c>
      <c r="S194" s="232" t="s">
        <v>1478</v>
      </c>
      <c r="T194" s="233">
        <v>3</v>
      </c>
      <c r="U194" s="233">
        <v>8.68</v>
      </c>
      <c r="V194" s="351">
        <v>8.66</v>
      </c>
      <c r="W194" s="233">
        <v>8.42</v>
      </c>
      <c r="X194" s="233">
        <v>0.9</v>
      </c>
      <c r="Y194" s="233">
        <v>6</v>
      </c>
      <c r="Z194" s="233">
        <v>33</v>
      </c>
      <c r="AA194" s="233">
        <v>0</v>
      </c>
      <c r="AB194" s="232" t="s">
        <v>2720</v>
      </c>
      <c r="AC194" s="233" t="s">
        <v>2721</v>
      </c>
      <c r="AD194" s="233" t="s">
        <v>1932</v>
      </c>
      <c r="AE194" s="234" t="s">
        <v>2196</v>
      </c>
      <c r="AF194"/>
      <c r="AG194"/>
      <c r="AH194"/>
      <c r="AI194"/>
    </row>
    <row r="195" spans="1:35" ht="16" customHeight="1" thickBot="1" x14ac:dyDescent="0.25">
      <c r="A195" s="16"/>
      <c r="B195" s="16"/>
      <c r="C195" s="2"/>
      <c r="D195" s="4" t="s">
        <v>1145</v>
      </c>
      <c r="E195" s="151">
        <v>10</v>
      </c>
      <c r="F195" s="2"/>
      <c r="G195" s="4" t="s">
        <v>1202</v>
      </c>
      <c r="H195" s="151">
        <v>10</v>
      </c>
      <c r="I195" s="2"/>
      <c r="J195" s="4" t="s">
        <v>1191</v>
      </c>
      <c r="K195" s="151">
        <v>8.5</v>
      </c>
      <c r="L195" s="2"/>
      <c r="M195" s="4" t="s">
        <v>1162</v>
      </c>
      <c r="N195" s="151">
        <v>8</v>
      </c>
      <c r="O195" s="17"/>
      <c r="R195" s="244">
        <v>18</v>
      </c>
      <c r="S195" s="235" t="s">
        <v>837</v>
      </c>
      <c r="T195" s="236">
        <v>2</v>
      </c>
      <c r="U195" s="236">
        <v>8.64</v>
      </c>
      <c r="V195" s="271">
        <v>8.6300000000000008</v>
      </c>
      <c r="W195" s="236">
        <v>8.5</v>
      </c>
      <c r="X195" s="236">
        <v>0.68</v>
      </c>
      <c r="Y195" s="236">
        <v>3</v>
      </c>
      <c r="Z195" s="236">
        <v>29</v>
      </c>
      <c r="AA195" s="236">
        <v>0</v>
      </c>
      <c r="AB195" s="235" t="s">
        <v>838</v>
      </c>
      <c r="AC195" s="236" t="s">
        <v>2301</v>
      </c>
      <c r="AD195" s="236" t="s">
        <v>1933</v>
      </c>
      <c r="AE195" s="237" t="s">
        <v>2196</v>
      </c>
      <c r="AF195"/>
      <c r="AG195"/>
      <c r="AH195"/>
      <c r="AI195"/>
    </row>
    <row r="196" spans="1:35" ht="16" customHeight="1" thickBot="1" x14ac:dyDescent="0.25">
      <c r="A196" s="112" t="s">
        <v>1223</v>
      </c>
      <c r="B196" s="12">
        <f>ROUND(SUM(B197:B211)/COUNT(B197:B211), 2)</f>
        <v>8.5299999999999994</v>
      </c>
      <c r="C196" s="2"/>
      <c r="D196" s="4" t="s">
        <v>1146</v>
      </c>
      <c r="E196" s="151">
        <v>8</v>
      </c>
      <c r="F196" s="2"/>
      <c r="G196" s="4" t="s">
        <v>1203</v>
      </c>
      <c r="H196" s="151">
        <v>8</v>
      </c>
      <c r="I196" s="2"/>
      <c r="J196" s="4" t="s">
        <v>1192</v>
      </c>
      <c r="K196" s="151">
        <v>8</v>
      </c>
      <c r="L196" s="2"/>
      <c r="M196" s="4" t="s">
        <v>1163</v>
      </c>
      <c r="N196" s="151">
        <v>10.5</v>
      </c>
      <c r="O196" s="17"/>
      <c r="R196" s="244">
        <v>19</v>
      </c>
      <c r="S196" s="232" t="s">
        <v>349</v>
      </c>
      <c r="T196" s="233">
        <v>2</v>
      </c>
      <c r="U196" s="233">
        <v>8.6300000000000008</v>
      </c>
      <c r="V196" s="308">
        <v>8.61</v>
      </c>
      <c r="W196" s="233">
        <v>8.6300000000000008</v>
      </c>
      <c r="X196" s="233">
        <v>0.98</v>
      </c>
      <c r="Y196" s="233">
        <v>4</v>
      </c>
      <c r="Z196" s="233">
        <v>26</v>
      </c>
      <c r="AA196" s="233">
        <v>2</v>
      </c>
      <c r="AB196" s="232" t="s">
        <v>765</v>
      </c>
      <c r="AC196" s="233" t="s">
        <v>2426</v>
      </c>
      <c r="AD196" s="233" t="s">
        <v>1936</v>
      </c>
      <c r="AE196" s="234" t="s">
        <v>2196</v>
      </c>
      <c r="AF196"/>
      <c r="AG196"/>
      <c r="AH196"/>
      <c r="AI196"/>
    </row>
    <row r="197" spans="1:35" ht="16" customHeight="1" thickBot="1" x14ac:dyDescent="0.25">
      <c r="A197" s="158">
        <v>360</v>
      </c>
      <c r="B197" s="150">
        <v>10</v>
      </c>
      <c r="C197" s="2"/>
      <c r="D197" s="4" t="s">
        <v>1147</v>
      </c>
      <c r="E197" s="151">
        <v>7</v>
      </c>
      <c r="F197" s="2"/>
      <c r="G197" s="4" t="s">
        <v>1204</v>
      </c>
      <c r="H197" s="151">
        <v>10.5</v>
      </c>
      <c r="I197" s="2"/>
      <c r="J197" s="7" t="s">
        <v>1193</v>
      </c>
      <c r="K197" s="152">
        <v>7.5</v>
      </c>
      <c r="L197" s="2"/>
      <c r="M197" s="4" t="s">
        <v>1164</v>
      </c>
      <c r="N197" s="151">
        <v>8.5</v>
      </c>
      <c r="O197" s="17"/>
      <c r="R197" s="244">
        <v>20</v>
      </c>
      <c r="S197" s="235" t="s">
        <v>1522</v>
      </c>
      <c r="T197" s="236">
        <v>2</v>
      </c>
      <c r="U197" s="236">
        <v>8.6300000000000008</v>
      </c>
      <c r="V197" s="340">
        <v>8.59</v>
      </c>
      <c r="W197" s="236">
        <v>8.5</v>
      </c>
      <c r="X197" s="236">
        <v>1.05</v>
      </c>
      <c r="Y197" s="236">
        <v>4</v>
      </c>
      <c r="Z197" s="236">
        <v>22</v>
      </c>
      <c r="AA197" s="236">
        <v>2</v>
      </c>
      <c r="AB197" s="235" t="s">
        <v>2443</v>
      </c>
      <c r="AC197" s="236" t="s">
        <v>1957</v>
      </c>
      <c r="AD197" s="236" t="s">
        <v>1942</v>
      </c>
      <c r="AE197" s="237" t="s">
        <v>2196</v>
      </c>
      <c r="AF197"/>
      <c r="AG197"/>
      <c r="AH197"/>
      <c r="AI197"/>
    </row>
    <row r="198" spans="1:35" ht="16" customHeight="1" thickBot="1" x14ac:dyDescent="0.25">
      <c r="A198" s="4" t="s">
        <v>1210</v>
      </c>
      <c r="B198" s="151">
        <v>8.5</v>
      </c>
      <c r="C198" s="2"/>
      <c r="D198" s="4" t="s">
        <v>1148</v>
      </c>
      <c r="E198" s="151"/>
      <c r="F198" s="2"/>
      <c r="G198" s="4" t="s">
        <v>1205</v>
      </c>
      <c r="H198" s="151">
        <v>8</v>
      </c>
      <c r="I198" s="2"/>
      <c r="J198" s="16"/>
      <c r="K198" s="16"/>
      <c r="L198" s="2"/>
      <c r="M198" s="4" t="s">
        <v>1165</v>
      </c>
      <c r="N198" s="151">
        <v>9</v>
      </c>
      <c r="O198" s="17"/>
      <c r="R198" s="244">
        <v>21</v>
      </c>
      <c r="S198" s="232" t="s">
        <v>337</v>
      </c>
      <c r="T198" s="233">
        <v>5</v>
      </c>
      <c r="U198" s="233">
        <v>8.58</v>
      </c>
      <c r="V198" s="264">
        <v>8.56</v>
      </c>
      <c r="W198" s="233">
        <v>8.4</v>
      </c>
      <c r="X198" s="233">
        <v>0.9</v>
      </c>
      <c r="Y198" s="233">
        <v>11</v>
      </c>
      <c r="Z198" s="233">
        <v>66</v>
      </c>
      <c r="AA198" s="233">
        <v>4</v>
      </c>
      <c r="AB198" s="232" t="s">
        <v>2594</v>
      </c>
      <c r="AC198" s="233" t="s">
        <v>1961</v>
      </c>
      <c r="AD198" s="233" t="s">
        <v>1928</v>
      </c>
      <c r="AE198" s="234" t="s">
        <v>2196</v>
      </c>
      <c r="AF198"/>
      <c r="AG198"/>
      <c r="AH198"/>
      <c r="AI198"/>
    </row>
    <row r="199" spans="1:35" ht="16" customHeight="1" thickBot="1" x14ac:dyDescent="0.25">
      <c r="A199" s="4" t="s">
        <v>1211</v>
      </c>
      <c r="B199" s="151">
        <v>8.5</v>
      </c>
      <c r="C199" s="2"/>
      <c r="D199" s="7" t="s">
        <v>1149</v>
      </c>
      <c r="E199" s="152">
        <v>10</v>
      </c>
      <c r="F199" s="2"/>
      <c r="G199" s="4" t="s">
        <v>1206</v>
      </c>
      <c r="H199" s="151">
        <v>8.5</v>
      </c>
      <c r="I199" s="17"/>
      <c r="J199" s="110" t="s">
        <v>1230</v>
      </c>
      <c r="K199" s="12">
        <f>ROUND(SUM(K200:K206)/COUNT(K200:K206), 2)</f>
        <v>8.75</v>
      </c>
      <c r="L199" s="2"/>
      <c r="M199" s="4" t="s">
        <v>1166</v>
      </c>
      <c r="N199" s="151">
        <v>8</v>
      </c>
      <c r="O199" s="17"/>
      <c r="R199" s="244">
        <v>22</v>
      </c>
      <c r="S199" s="235" t="s">
        <v>334</v>
      </c>
      <c r="T199" s="236">
        <v>11</v>
      </c>
      <c r="U199" s="236">
        <v>8.59</v>
      </c>
      <c r="V199" s="274">
        <v>8.5500000000000007</v>
      </c>
      <c r="W199" s="236">
        <v>8.4499999999999993</v>
      </c>
      <c r="X199" s="236">
        <v>0.73</v>
      </c>
      <c r="Y199" s="236">
        <v>9</v>
      </c>
      <c r="Z199" s="236">
        <v>84</v>
      </c>
      <c r="AA199" s="236">
        <v>5</v>
      </c>
      <c r="AB199" s="235" t="s">
        <v>2011</v>
      </c>
      <c r="AC199" s="236" t="s">
        <v>2012</v>
      </c>
      <c r="AD199" s="236" t="s">
        <v>1939</v>
      </c>
      <c r="AE199" s="237" t="s">
        <v>2196</v>
      </c>
      <c r="AF199"/>
      <c r="AG199"/>
      <c r="AH199"/>
      <c r="AI199"/>
    </row>
    <row r="200" spans="1:35" ht="16" customHeight="1" thickBot="1" x14ac:dyDescent="0.25">
      <c r="A200" s="4" t="s">
        <v>1212</v>
      </c>
      <c r="B200" s="151">
        <v>7.5</v>
      </c>
      <c r="C200" s="2"/>
      <c r="D200" s="14"/>
      <c r="E200" s="16"/>
      <c r="F200" s="2"/>
      <c r="G200" s="7" t="s">
        <v>1207</v>
      </c>
      <c r="H200" s="152">
        <v>8.5</v>
      </c>
      <c r="I200" s="2"/>
      <c r="J200" s="11" t="s">
        <v>1231</v>
      </c>
      <c r="K200" s="150">
        <v>10</v>
      </c>
      <c r="L200" s="2"/>
      <c r="M200" s="4" t="s">
        <v>1167</v>
      </c>
      <c r="N200" s="151">
        <v>9</v>
      </c>
      <c r="O200" s="17"/>
      <c r="R200" s="244">
        <v>23</v>
      </c>
      <c r="S200" s="232" t="s">
        <v>717</v>
      </c>
      <c r="T200" s="233">
        <v>4</v>
      </c>
      <c r="U200" s="233">
        <v>8.48</v>
      </c>
      <c r="V200" s="278">
        <v>8.4700000000000006</v>
      </c>
      <c r="W200" s="233">
        <v>8.1300000000000008</v>
      </c>
      <c r="X200" s="233">
        <v>0.91</v>
      </c>
      <c r="Y200" s="233">
        <v>9</v>
      </c>
      <c r="Z200" s="233">
        <v>63</v>
      </c>
      <c r="AA200" s="233">
        <v>4</v>
      </c>
      <c r="AB200" s="232" t="s">
        <v>2689</v>
      </c>
      <c r="AC200" s="233" t="s">
        <v>2690</v>
      </c>
      <c r="AD200" s="233" t="s">
        <v>1917</v>
      </c>
      <c r="AE200" s="234" t="s">
        <v>2196</v>
      </c>
      <c r="AF200"/>
      <c r="AG200"/>
      <c r="AH200"/>
      <c r="AI200"/>
    </row>
    <row r="201" spans="1:35" ht="16" customHeight="1" thickBot="1" x14ac:dyDescent="0.25">
      <c r="A201" s="4" t="s">
        <v>1213</v>
      </c>
      <c r="B201" s="151">
        <v>8</v>
      </c>
      <c r="C201" s="17"/>
      <c r="D201" s="111" t="s">
        <v>1253</v>
      </c>
      <c r="E201" s="12">
        <f>ROUND(SUM(E202:E211)/COUNT(E202:E211), 2)</f>
        <v>9.36</v>
      </c>
      <c r="F201" s="2"/>
      <c r="G201" s="16"/>
      <c r="H201" s="16"/>
      <c r="I201" s="2"/>
      <c r="J201" s="4" t="s">
        <v>1232</v>
      </c>
      <c r="K201" s="151">
        <v>8</v>
      </c>
      <c r="L201" s="2"/>
      <c r="M201" s="4" t="s">
        <v>1168</v>
      </c>
      <c r="N201" s="151">
        <v>6</v>
      </c>
      <c r="O201" s="17"/>
      <c r="R201" s="244">
        <v>24</v>
      </c>
      <c r="S201" s="235" t="s">
        <v>339</v>
      </c>
      <c r="T201" s="236">
        <v>2</v>
      </c>
      <c r="U201" s="236">
        <v>8.5399999999999991</v>
      </c>
      <c r="V201" s="278">
        <v>8.4700000000000006</v>
      </c>
      <c r="W201" s="236">
        <v>8.5</v>
      </c>
      <c r="X201" s="236">
        <v>0.78</v>
      </c>
      <c r="Y201" s="236">
        <v>3</v>
      </c>
      <c r="Z201" s="236">
        <v>20</v>
      </c>
      <c r="AA201" s="236">
        <v>0</v>
      </c>
      <c r="AB201" s="235" t="s">
        <v>2444</v>
      </c>
      <c r="AC201" s="236" t="s">
        <v>1958</v>
      </c>
      <c r="AD201" s="236" t="s">
        <v>1915</v>
      </c>
      <c r="AE201" s="237" t="s">
        <v>2196</v>
      </c>
      <c r="AF201"/>
      <c r="AG201"/>
      <c r="AH201"/>
      <c r="AI201"/>
    </row>
    <row r="202" spans="1:35" ht="16" customHeight="1" thickBot="1" x14ac:dyDescent="0.25">
      <c r="A202" s="4" t="s">
        <v>1214</v>
      </c>
      <c r="B202" s="151">
        <v>10</v>
      </c>
      <c r="C202" s="17"/>
      <c r="D202" s="11" t="s">
        <v>1243</v>
      </c>
      <c r="E202" s="150">
        <v>9</v>
      </c>
      <c r="F202" s="17"/>
      <c r="G202" s="113" t="s">
        <v>1256</v>
      </c>
      <c r="H202" s="12">
        <f>ROUND(SUM(H203:H213)/COUNT(H203:H213), 2)</f>
        <v>8.4499999999999993</v>
      </c>
      <c r="I202" s="2"/>
      <c r="J202" s="4" t="s">
        <v>1233</v>
      </c>
      <c r="K202" s="151">
        <v>9.5</v>
      </c>
      <c r="L202" s="2"/>
      <c r="M202" s="4" t="s">
        <v>1169</v>
      </c>
      <c r="N202" s="151">
        <v>7</v>
      </c>
      <c r="O202" s="17"/>
      <c r="R202" s="244">
        <v>25</v>
      </c>
      <c r="S202" s="232" t="s">
        <v>1150</v>
      </c>
      <c r="T202" s="233">
        <v>2</v>
      </c>
      <c r="U202" s="233">
        <v>8.52</v>
      </c>
      <c r="V202" s="259">
        <v>8.4499999999999993</v>
      </c>
      <c r="W202" s="233">
        <v>8.25</v>
      </c>
      <c r="X202" s="233">
        <v>0.96</v>
      </c>
      <c r="Y202" s="233">
        <v>6</v>
      </c>
      <c r="Z202" s="233">
        <v>41</v>
      </c>
      <c r="AA202" s="233">
        <v>2</v>
      </c>
      <c r="AB202" s="232" t="s">
        <v>1745</v>
      </c>
      <c r="AC202" s="233" t="s">
        <v>1959</v>
      </c>
      <c r="AD202" s="233" t="s">
        <v>1960</v>
      </c>
      <c r="AE202" s="234" t="s">
        <v>2196</v>
      </c>
      <c r="AF202"/>
      <c r="AG202"/>
      <c r="AH202"/>
      <c r="AI202"/>
    </row>
    <row r="203" spans="1:35" ht="16" customHeight="1" x14ac:dyDescent="0.2">
      <c r="A203" s="4" t="s">
        <v>1215</v>
      </c>
      <c r="B203" s="151">
        <v>8</v>
      </c>
      <c r="C203" s="17"/>
      <c r="D203" s="4" t="s">
        <v>1244</v>
      </c>
      <c r="E203" s="151">
        <v>10.5</v>
      </c>
      <c r="F203" s="2"/>
      <c r="G203" s="11" t="s">
        <v>1257</v>
      </c>
      <c r="H203" s="150">
        <v>8.5</v>
      </c>
      <c r="I203" s="2"/>
      <c r="J203" s="4" t="s">
        <v>1234</v>
      </c>
      <c r="K203" s="151">
        <v>8</v>
      </c>
      <c r="L203" s="2"/>
      <c r="M203" s="4" t="s">
        <v>1170</v>
      </c>
      <c r="N203" s="151">
        <v>10</v>
      </c>
      <c r="O203" s="17"/>
      <c r="R203" s="244">
        <v>26</v>
      </c>
      <c r="S203" s="235" t="s">
        <v>338</v>
      </c>
      <c r="T203" s="236">
        <v>2</v>
      </c>
      <c r="U203" s="236">
        <v>8.39</v>
      </c>
      <c r="V203" s="309">
        <v>8.3699999999999992</v>
      </c>
      <c r="W203" s="236">
        <v>8.25</v>
      </c>
      <c r="X203" s="236">
        <v>0.72</v>
      </c>
      <c r="Y203" s="236">
        <v>2</v>
      </c>
      <c r="Z203" s="236">
        <v>20</v>
      </c>
      <c r="AA203" s="236">
        <v>0</v>
      </c>
      <c r="AB203" s="235" t="s">
        <v>775</v>
      </c>
      <c r="AC203" s="236" t="s">
        <v>1962</v>
      </c>
      <c r="AD203" s="236" t="s">
        <v>1901</v>
      </c>
      <c r="AE203" s="237" t="s">
        <v>2196</v>
      </c>
      <c r="AF203"/>
      <c r="AG203"/>
      <c r="AH203"/>
      <c r="AI203"/>
    </row>
    <row r="204" spans="1:35" ht="16" customHeight="1" x14ac:dyDescent="0.2">
      <c r="A204" s="4" t="s">
        <v>1216</v>
      </c>
      <c r="B204" s="151">
        <v>8.5</v>
      </c>
      <c r="C204" s="17"/>
      <c r="D204" s="4" t="s">
        <v>1245</v>
      </c>
      <c r="E204" s="151"/>
      <c r="F204" s="2"/>
      <c r="G204" s="4" t="s">
        <v>1258</v>
      </c>
      <c r="H204" s="151">
        <v>8.5</v>
      </c>
      <c r="I204" s="2"/>
      <c r="J204" s="4" t="s">
        <v>1235</v>
      </c>
      <c r="K204" s="151">
        <v>9</v>
      </c>
      <c r="L204" s="2"/>
      <c r="M204" s="4" t="s">
        <v>1171</v>
      </c>
      <c r="N204" s="151">
        <v>9</v>
      </c>
      <c r="O204" s="17"/>
      <c r="R204" s="244">
        <v>27</v>
      </c>
      <c r="S204" s="232" t="s">
        <v>335</v>
      </c>
      <c r="T204" s="233">
        <v>6</v>
      </c>
      <c r="U204" s="233">
        <v>8.0399999999999991</v>
      </c>
      <c r="V204" s="341">
        <v>8.0500000000000007</v>
      </c>
      <c r="W204" s="233">
        <v>7.88</v>
      </c>
      <c r="X204" s="233">
        <v>1.02</v>
      </c>
      <c r="Y204" s="233">
        <v>13</v>
      </c>
      <c r="Z204" s="233">
        <v>58</v>
      </c>
      <c r="AA204" s="233">
        <v>0</v>
      </c>
      <c r="AB204" s="232" t="s">
        <v>2445</v>
      </c>
      <c r="AC204" s="233" t="s">
        <v>2304</v>
      </c>
      <c r="AD204" s="233" t="s">
        <v>1917</v>
      </c>
      <c r="AE204" s="234" t="s">
        <v>2196</v>
      </c>
      <c r="AF204"/>
      <c r="AG204"/>
      <c r="AH204"/>
      <c r="AI204"/>
    </row>
    <row r="205" spans="1:35" ht="16" customHeight="1" x14ac:dyDescent="0.2">
      <c r="A205" s="4" t="s">
        <v>1217</v>
      </c>
      <c r="B205" s="151">
        <v>7.5</v>
      </c>
      <c r="C205" s="17"/>
      <c r="D205" s="4" t="s">
        <v>1246</v>
      </c>
      <c r="E205" s="151">
        <v>10</v>
      </c>
      <c r="F205" s="2"/>
      <c r="G205" s="4" t="s">
        <v>1259</v>
      </c>
      <c r="H205" s="151">
        <v>9</v>
      </c>
      <c r="I205" s="2"/>
      <c r="J205" s="4" t="s">
        <v>1236</v>
      </c>
      <c r="K205" s="151"/>
      <c r="L205" s="2"/>
      <c r="M205" s="4" t="s">
        <v>1172</v>
      </c>
      <c r="N205" s="151">
        <v>8.5</v>
      </c>
      <c r="O205" s="17"/>
      <c r="R205" s="244">
        <v>28</v>
      </c>
      <c r="S205" s="235" t="s">
        <v>816</v>
      </c>
      <c r="T205" s="236">
        <v>2</v>
      </c>
      <c r="U205" s="236">
        <v>8.07</v>
      </c>
      <c r="V205" s="342">
        <v>7.99</v>
      </c>
      <c r="W205" s="236">
        <v>8.1300000000000008</v>
      </c>
      <c r="X205" s="236">
        <v>0.8</v>
      </c>
      <c r="Y205" s="236">
        <v>3</v>
      </c>
      <c r="Z205" s="236">
        <v>31</v>
      </c>
      <c r="AA205" s="236">
        <v>2</v>
      </c>
      <c r="AB205" s="235" t="s">
        <v>2446</v>
      </c>
      <c r="AC205" s="236" t="s">
        <v>1963</v>
      </c>
      <c r="AD205" s="236" t="s">
        <v>1942</v>
      </c>
      <c r="AE205" s="237" t="s">
        <v>2196</v>
      </c>
      <c r="AF205"/>
      <c r="AG205"/>
      <c r="AH205"/>
      <c r="AI205"/>
    </row>
    <row r="206" spans="1:35" ht="16" customHeight="1" thickBot="1" x14ac:dyDescent="0.25">
      <c r="A206" s="4" t="s">
        <v>1218</v>
      </c>
      <c r="B206" s="151">
        <v>8.5</v>
      </c>
      <c r="C206" s="17"/>
      <c r="D206" s="4" t="s">
        <v>1247</v>
      </c>
      <c r="E206" s="151"/>
      <c r="F206" s="2"/>
      <c r="G206" s="4" t="s">
        <v>1260</v>
      </c>
      <c r="H206" s="151">
        <v>10</v>
      </c>
      <c r="I206" s="2"/>
      <c r="J206" s="7" t="s">
        <v>1237</v>
      </c>
      <c r="K206" s="152">
        <v>8</v>
      </c>
      <c r="L206" s="2"/>
      <c r="M206" s="4" t="s">
        <v>1173</v>
      </c>
      <c r="N206" s="151">
        <v>8.5</v>
      </c>
      <c r="O206" s="17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</row>
    <row r="207" spans="1:35" ht="16" customHeight="1" thickBot="1" x14ac:dyDescent="0.3">
      <c r="A207" s="4" t="s">
        <v>1219</v>
      </c>
      <c r="B207" s="151">
        <v>10</v>
      </c>
      <c r="C207" s="17"/>
      <c r="D207" s="4" t="s">
        <v>1248</v>
      </c>
      <c r="E207" s="151">
        <v>10</v>
      </c>
      <c r="F207" s="2"/>
      <c r="G207" s="4" t="s">
        <v>1261</v>
      </c>
      <c r="H207" s="151">
        <v>9</v>
      </c>
      <c r="I207" s="2"/>
      <c r="J207" s="16"/>
      <c r="K207" s="16"/>
      <c r="L207" s="2"/>
      <c r="M207" s="4" t="s">
        <v>1174</v>
      </c>
      <c r="N207" s="151">
        <v>8.5</v>
      </c>
      <c r="O207" s="17"/>
      <c r="R207" s="367" t="s">
        <v>2818</v>
      </c>
      <c r="S207" s="367"/>
      <c r="T207" s="367"/>
      <c r="U207" s="367"/>
      <c r="V207" s="367"/>
      <c r="W207"/>
      <c r="X207"/>
      <c r="Y207"/>
      <c r="Z207"/>
      <c r="AA207"/>
      <c r="AB207"/>
      <c r="AC207"/>
      <c r="AD207"/>
      <c r="AE207"/>
      <c r="AF207"/>
      <c r="AG207"/>
      <c r="AH207"/>
      <c r="AI207"/>
    </row>
    <row r="208" spans="1:35" ht="16" customHeight="1" thickBot="1" x14ac:dyDescent="0.25">
      <c r="A208" s="4" t="s">
        <v>1220</v>
      </c>
      <c r="B208" s="151">
        <v>9</v>
      </c>
      <c r="C208" s="17"/>
      <c r="D208" s="4" t="s">
        <v>1249</v>
      </c>
      <c r="E208" s="151">
        <v>8</v>
      </c>
      <c r="F208" s="2"/>
      <c r="G208" s="4" t="s">
        <v>1262</v>
      </c>
      <c r="H208" s="151">
        <v>8.5</v>
      </c>
      <c r="I208" s="17"/>
      <c r="J208" s="117" t="s">
        <v>1341</v>
      </c>
      <c r="K208" s="12">
        <f>ROUND(SUM(K209:K217)/COUNT(K209:K217), 2)</f>
        <v>8.67</v>
      </c>
      <c r="L208" s="2"/>
      <c r="M208" s="4" t="s">
        <v>1175</v>
      </c>
      <c r="N208" s="151">
        <v>8</v>
      </c>
      <c r="O208" s="17"/>
      <c r="R208" s="231" t="s">
        <v>352</v>
      </c>
      <c r="S208" s="231" t="s">
        <v>319</v>
      </c>
      <c r="T208" s="231" t="s">
        <v>320</v>
      </c>
      <c r="U208" s="231" t="s">
        <v>321</v>
      </c>
      <c r="V208" s="231" t="s">
        <v>1002</v>
      </c>
      <c r="W208"/>
      <c r="X208"/>
      <c r="Y208"/>
      <c r="Z208"/>
      <c r="AA208"/>
      <c r="AB208"/>
      <c r="AC208"/>
      <c r="AD208"/>
      <c r="AE208"/>
      <c r="AF208"/>
      <c r="AG208"/>
      <c r="AH208"/>
      <c r="AI208"/>
    </row>
    <row r="209" spans="1:35" ht="16" customHeight="1" thickBot="1" x14ac:dyDescent="0.25">
      <c r="A209" s="4" t="s">
        <v>1221</v>
      </c>
      <c r="B209" s="151">
        <v>8.5</v>
      </c>
      <c r="C209" s="17"/>
      <c r="D209" s="4" t="s">
        <v>1250</v>
      </c>
      <c r="E209" s="151">
        <v>8</v>
      </c>
      <c r="F209" s="2"/>
      <c r="G209" s="4" t="s">
        <v>1263</v>
      </c>
      <c r="H209" s="151">
        <v>9</v>
      </c>
      <c r="I209" s="2"/>
      <c r="J209" s="11" t="s">
        <v>1270</v>
      </c>
      <c r="K209" s="150">
        <v>9</v>
      </c>
      <c r="L209" s="2"/>
      <c r="M209" s="7" t="s">
        <v>1176</v>
      </c>
      <c r="N209" s="152">
        <v>8.5</v>
      </c>
      <c r="O209" s="17"/>
      <c r="R209" s="238">
        <v>1</v>
      </c>
      <c r="S209" s="232" t="s">
        <v>996</v>
      </c>
      <c r="T209" s="232" t="s">
        <v>994</v>
      </c>
      <c r="U209" s="233">
        <v>10.5</v>
      </c>
      <c r="V209" s="281">
        <v>10.85</v>
      </c>
      <c r="W209"/>
      <c r="X209"/>
      <c r="Y209"/>
      <c r="Z209"/>
      <c r="AA209"/>
      <c r="AB209"/>
      <c r="AC209"/>
      <c r="AD209"/>
      <c r="AE209"/>
      <c r="AF209"/>
      <c r="AG209"/>
      <c r="AH209"/>
      <c r="AI209"/>
    </row>
    <row r="210" spans="1:35" ht="16" customHeight="1" thickBot="1" x14ac:dyDescent="0.25">
      <c r="A210" s="4" t="s">
        <v>1222</v>
      </c>
      <c r="B210" s="151">
        <v>6.5</v>
      </c>
      <c r="C210" s="17"/>
      <c r="D210" s="4" t="s">
        <v>1251</v>
      </c>
      <c r="E210" s="151">
        <v>10</v>
      </c>
      <c r="F210" s="2"/>
      <c r="G210" s="4" t="s">
        <v>1264</v>
      </c>
      <c r="H210" s="151">
        <v>8</v>
      </c>
      <c r="I210" s="2"/>
      <c r="J210" s="4" t="s">
        <v>1271</v>
      </c>
      <c r="K210" s="151">
        <v>8</v>
      </c>
      <c r="L210" s="2"/>
      <c r="M210" s="16"/>
      <c r="N210" s="16"/>
      <c r="O210" s="17"/>
      <c r="R210" s="240">
        <v>2</v>
      </c>
      <c r="S210" s="235" t="s">
        <v>326</v>
      </c>
      <c r="T210" s="235" t="s">
        <v>7</v>
      </c>
      <c r="U210" s="236">
        <v>9.89</v>
      </c>
      <c r="V210" s="281">
        <v>10.52</v>
      </c>
      <c r="W210"/>
      <c r="X210"/>
      <c r="Y210"/>
      <c r="Z210"/>
      <c r="AA210"/>
      <c r="AB210"/>
      <c r="AC210"/>
      <c r="AD210"/>
      <c r="AE210"/>
      <c r="AF210"/>
      <c r="AG210"/>
      <c r="AH210"/>
      <c r="AI210"/>
    </row>
    <row r="211" spans="1:35" ht="16" customHeight="1" thickBot="1" x14ac:dyDescent="0.25">
      <c r="A211" s="159">
        <v>365</v>
      </c>
      <c r="B211" s="152">
        <v>9</v>
      </c>
      <c r="C211" s="2"/>
      <c r="D211" s="7" t="s">
        <v>1252</v>
      </c>
      <c r="E211" s="152"/>
      <c r="F211" s="2"/>
      <c r="G211" s="4" t="s">
        <v>1265</v>
      </c>
      <c r="H211" s="151">
        <v>7.5</v>
      </c>
      <c r="I211" s="2"/>
      <c r="J211" s="4" t="s">
        <v>1272</v>
      </c>
      <c r="K211" s="151">
        <v>10.5</v>
      </c>
      <c r="L211" s="17"/>
      <c r="M211" s="114" t="s">
        <v>1301</v>
      </c>
      <c r="N211" s="12">
        <f>ROUND(SUM(N212:N226)/COUNT(N212:N226), 2)</f>
        <v>8.11</v>
      </c>
      <c r="O211" s="17"/>
      <c r="R211" s="242">
        <v>3</v>
      </c>
      <c r="S211" s="232" t="s">
        <v>332</v>
      </c>
      <c r="T211" s="232" t="s">
        <v>1027</v>
      </c>
      <c r="U211" s="233">
        <v>10</v>
      </c>
      <c r="V211" s="281">
        <v>10.39</v>
      </c>
      <c r="W211"/>
      <c r="X211"/>
      <c r="Y211"/>
      <c r="Z211"/>
      <c r="AA211"/>
      <c r="AB211"/>
      <c r="AC211"/>
      <c r="AD211"/>
      <c r="AE211"/>
      <c r="AF211"/>
      <c r="AG211"/>
      <c r="AH211"/>
      <c r="AI211"/>
    </row>
    <row r="212" spans="1:35" ht="16" customHeight="1" thickBot="1" x14ac:dyDescent="0.25">
      <c r="A212" s="16"/>
      <c r="B212" s="16"/>
      <c r="C212" s="2"/>
      <c r="D212" s="16"/>
      <c r="E212" s="16"/>
      <c r="F212" s="2"/>
      <c r="G212" s="4" t="s">
        <v>1266</v>
      </c>
      <c r="H212" s="151">
        <v>8</v>
      </c>
      <c r="I212" s="2"/>
      <c r="J212" s="4" t="s">
        <v>1273</v>
      </c>
      <c r="K212" s="151">
        <v>7.5</v>
      </c>
      <c r="L212" s="2"/>
      <c r="M212" s="11" t="s">
        <v>1286</v>
      </c>
      <c r="N212" s="150">
        <v>8</v>
      </c>
      <c r="O212" s="17"/>
      <c r="R212" s="244">
        <v>4</v>
      </c>
      <c r="S212" s="235" t="s">
        <v>327</v>
      </c>
      <c r="T212" s="235" t="s">
        <v>328</v>
      </c>
      <c r="U212" s="236">
        <v>9.6999999999999993</v>
      </c>
      <c r="V212" s="281">
        <v>10.37</v>
      </c>
      <c r="W212"/>
      <c r="X212"/>
      <c r="Y212"/>
      <c r="Z212"/>
      <c r="AA212"/>
      <c r="AB212"/>
      <c r="AC212"/>
      <c r="AD212"/>
      <c r="AE212"/>
      <c r="AF212"/>
      <c r="AG212"/>
      <c r="AH212"/>
      <c r="AI212"/>
    </row>
    <row r="213" spans="1:35" ht="16" customHeight="1" thickBot="1" x14ac:dyDescent="0.25">
      <c r="A213" s="116" t="s">
        <v>1320</v>
      </c>
      <c r="B213" s="12">
        <f>ROUND(SUM(B214:B224)/COUNT(B214:B224), 2)</f>
        <v>9</v>
      </c>
      <c r="C213" s="2"/>
      <c r="D213" s="115" t="s">
        <v>1305</v>
      </c>
      <c r="E213" s="12">
        <f>ROUND(SUM(E214:E227)/COUNT(E214:E227), 2)</f>
        <v>8.77</v>
      </c>
      <c r="F213" s="2"/>
      <c r="G213" s="7" t="s">
        <v>1267</v>
      </c>
      <c r="H213" s="152">
        <v>7</v>
      </c>
      <c r="I213" s="2"/>
      <c r="J213" s="4" t="s">
        <v>1274</v>
      </c>
      <c r="K213" s="151">
        <v>9</v>
      </c>
      <c r="L213" s="2"/>
      <c r="M213" s="4" t="s">
        <v>1287</v>
      </c>
      <c r="N213" s="151">
        <v>7.5</v>
      </c>
      <c r="O213" s="17"/>
      <c r="R213" s="244">
        <v>5</v>
      </c>
      <c r="S213" s="232" t="s">
        <v>2696</v>
      </c>
      <c r="T213" s="232" t="s">
        <v>674</v>
      </c>
      <c r="U213" s="233">
        <v>9.8800000000000008</v>
      </c>
      <c r="V213" s="281">
        <v>10.220000000000001</v>
      </c>
      <c r="W213"/>
      <c r="X213"/>
      <c r="Y213"/>
      <c r="Z213"/>
      <c r="AA213"/>
      <c r="AB213"/>
      <c r="AC213"/>
      <c r="AD213"/>
      <c r="AE213"/>
      <c r="AF213"/>
      <c r="AG213"/>
      <c r="AH213"/>
      <c r="AI213"/>
    </row>
    <row r="214" spans="1:35" ht="16" customHeight="1" thickBot="1" x14ac:dyDescent="0.25">
      <c r="A214" s="11" t="s">
        <v>1321</v>
      </c>
      <c r="B214" s="150">
        <v>8.5</v>
      </c>
      <c r="C214" s="2"/>
      <c r="D214" s="11" t="s">
        <v>1306</v>
      </c>
      <c r="E214" s="150">
        <v>9</v>
      </c>
      <c r="F214" s="2"/>
      <c r="G214" s="16"/>
      <c r="H214" s="16"/>
      <c r="I214" s="2"/>
      <c r="J214" s="4" t="s">
        <v>1275</v>
      </c>
      <c r="K214" s="151">
        <v>7</v>
      </c>
      <c r="L214" s="2"/>
      <c r="M214" s="4" t="s">
        <v>1288</v>
      </c>
      <c r="N214" s="151">
        <v>9</v>
      </c>
      <c r="O214" s="17"/>
      <c r="R214" s="244">
        <v>6</v>
      </c>
      <c r="S214" s="235" t="s">
        <v>330</v>
      </c>
      <c r="T214" s="235" t="s">
        <v>269</v>
      </c>
      <c r="U214" s="236">
        <v>9.3800000000000008</v>
      </c>
      <c r="V214" s="300">
        <v>9.5299999999999994</v>
      </c>
      <c r="W214"/>
      <c r="X214"/>
      <c r="Y214"/>
      <c r="Z214"/>
      <c r="AA214"/>
      <c r="AB214"/>
      <c r="AC214"/>
      <c r="AD214"/>
      <c r="AE214"/>
      <c r="AF214"/>
      <c r="AG214"/>
      <c r="AH214"/>
      <c r="AI214"/>
    </row>
    <row r="215" spans="1:35" ht="16" customHeight="1" thickBot="1" x14ac:dyDescent="0.25">
      <c r="A215" s="4" t="s">
        <v>1322</v>
      </c>
      <c r="B215" s="151">
        <v>10</v>
      </c>
      <c r="C215" s="2"/>
      <c r="D215" s="4" t="s">
        <v>1307</v>
      </c>
      <c r="E215" s="151">
        <v>10</v>
      </c>
      <c r="F215" s="17"/>
      <c r="G215" s="122" t="s">
        <v>1342</v>
      </c>
      <c r="H215" s="12">
        <f>ROUND(SUM(H216:H227)/COUNT(H216:H227), 2)</f>
        <v>8.4600000000000009</v>
      </c>
      <c r="I215" s="2"/>
      <c r="J215" s="4" t="s">
        <v>1276</v>
      </c>
      <c r="K215" s="151">
        <v>8</v>
      </c>
      <c r="L215" s="2"/>
      <c r="M215" s="4" t="s">
        <v>1289</v>
      </c>
      <c r="N215" s="151"/>
      <c r="O215" s="17"/>
      <c r="R215" s="244">
        <v>7</v>
      </c>
      <c r="S215" s="232" t="s">
        <v>331</v>
      </c>
      <c r="T215" s="232" t="s">
        <v>1181</v>
      </c>
      <c r="U215" s="233">
        <v>9.4</v>
      </c>
      <c r="V215" s="296">
        <v>9.4600000000000009</v>
      </c>
      <c r="W215"/>
      <c r="X215"/>
      <c r="Y215"/>
      <c r="Z215"/>
      <c r="AA215"/>
      <c r="AB215"/>
      <c r="AC215"/>
      <c r="AD215"/>
      <c r="AE215"/>
      <c r="AF215"/>
      <c r="AG215"/>
      <c r="AH215"/>
      <c r="AI215"/>
    </row>
    <row r="216" spans="1:35" ht="16" customHeight="1" x14ac:dyDescent="0.2">
      <c r="A216" s="4" t="s">
        <v>1323</v>
      </c>
      <c r="B216" s="151">
        <v>10</v>
      </c>
      <c r="C216" s="2"/>
      <c r="D216" s="4" t="s">
        <v>1308</v>
      </c>
      <c r="E216" s="151">
        <v>9.5</v>
      </c>
      <c r="F216" s="2"/>
      <c r="G216" s="11" t="s">
        <v>1343</v>
      </c>
      <c r="H216" s="150">
        <v>10</v>
      </c>
      <c r="I216" s="2"/>
      <c r="J216" s="4" t="s">
        <v>1277</v>
      </c>
      <c r="K216" s="151">
        <v>9</v>
      </c>
      <c r="L216" s="2"/>
      <c r="M216" s="4" t="s">
        <v>1290</v>
      </c>
      <c r="N216" s="151">
        <v>9</v>
      </c>
      <c r="O216" s="17"/>
      <c r="R216" s="244">
        <v>8</v>
      </c>
      <c r="S216" s="235" t="s">
        <v>2035</v>
      </c>
      <c r="T216" s="235" t="s">
        <v>2028</v>
      </c>
      <c r="U216" s="236">
        <v>9.31</v>
      </c>
      <c r="V216" s="253">
        <v>9.43</v>
      </c>
      <c r="W216"/>
      <c r="X216"/>
      <c r="Y216"/>
      <c r="Z216"/>
      <c r="AA216"/>
      <c r="AB216"/>
      <c r="AC216"/>
      <c r="AD216"/>
      <c r="AE216"/>
      <c r="AF216"/>
      <c r="AG216"/>
      <c r="AH216"/>
      <c r="AI216"/>
    </row>
    <row r="217" spans="1:35" ht="16" customHeight="1" thickBot="1" x14ac:dyDescent="0.25">
      <c r="A217" s="4" t="s">
        <v>1324</v>
      </c>
      <c r="B217" s="151">
        <v>9</v>
      </c>
      <c r="C217" s="2"/>
      <c r="D217" s="4" t="s">
        <v>1309</v>
      </c>
      <c r="E217" s="151">
        <v>10</v>
      </c>
      <c r="F217" s="2"/>
      <c r="G217" s="4" t="s">
        <v>1344</v>
      </c>
      <c r="H217" s="151">
        <v>9</v>
      </c>
      <c r="I217" s="2"/>
      <c r="J217" s="7" t="s">
        <v>1278</v>
      </c>
      <c r="K217" s="152">
        <v>10</v>
      </c>
      <c r="L217" s="2"/>
      <c r="M217" s="4" t="s">
        <v>1291</v>
      </c>
      <c r="N217" s="151">
        <v>7.5</v>
      </c>
      <c r="O217" s="17"/>
      <c r="R217" s="244">
        <v>9</v>
      </c>
      <c r="S217" s="232" t="s">
        <v>2487</v>
      </c>
      <c r="T217" s="232" t="s">
        <v>2471</v>
      </c>
      <c r="U217" s="233">
        <v>9.33</v>
      </c>
      <c r="V217" s="337">
        <v>9.3800000000000008</v>
      </c>
      <c r="W217"/>
      <c r="X217"/>
      <c r="Y217"/>
      <c r="Z217"/>
      <c r="AA217"/>
      <c r="AB217"/>
      <c r="AC217"/>
      <c r="AD217"/>
      <c r="AE217"/>
      <c r="AF217"/>
      <c r="AG217"/>
      <c r="AH217"/>
      <c r="AI217"/>
    </row>
    <row r="218" spans="1:35" ht="16" customHeight="1" thickBot="1" x14ac:dyDescent="0.25">
      <c r="A218" s="4" t="s">
        <v>1325</v>
      </c>
      <c r="B218" s="151">
        <v>9</v>
      </c>
      <c r="C218" s="2"/>
      <c r="D218" s="4" t="s">
        <v>1310</v>
      </c>
      <c r="E218" s="151">
        <v>8.5</v>
      </c>
      <c r="F218" s="2"/>
      <c r="G218" s="4" t="s">
        <v>1345</v>
      </c>
      <c r="H218" s="151">
        <v>8.5</v>
      </c>
      <c r="I218" s="2"/>
      <c r="J218" s="16"/>
      <c r="K218" s="16"/>
      <c r="L218" s="2"/>
      <c r="M218" s="4" t="s">
        <v>1292</v>
      </c>
      <c r="N218" s="151">
        <v>9</v>
      </c>
      <c r="O218" s="17"/>
      <c r="R218" s="244">
        <v>10</v>
      </c>
      <c r="S218" s="235" t="s">
        <v>335</v>
      </c>
      <c r="T218" s="235" t="s">
        <v>56</v>
      </c>
      <c r="U218" s="236">
        <v>9.25</v>
      </c>
      <c r="V218" s="305">
        <v>9.3699999999999992</v>
      </c>
      <c r="W218"/>
      <c r="X218"/>
      <c r="Y218"/>
      <c r="Z218"/>
      <c r="AA218"/>
      <c r="AB218"/>
      <c r="AC218"/>
      <c r="AD218"/>
      <c r="AE218"/>
      <c r="AF218"/>
      <c r="AG218"/>
      <c r="AH218"/>
      <c r="AI218"/>
    </row>
    <row r="219" spans="1:35" ht="16" customHeight="1" thickBot="1" x14ac:dyDescent="0.25">
      <c r="A219" s="4" t="s">
        <v>1326</v>
      </c>
      <c r="B219" s="151">
        <v>8.5</v>
      </c>
      <c r="C219" s="2"/>
      <c r="D219" s="4" t="s">
        <v>1311</v>
      </c>
      <c r="E219" s="151"/>
      <c r="F219" s="2"/>
      <c r="G219" s="4" t="s">
        <v>1346</v>
      </c>
      <c r="H219" s="151">
        <v>10.5</v>
      </c>
      <c r="I219" s="17"/>
      <c r="J219" s="118" t="s">
        <v>1356</v>
      </c>
      <c r="K219" s="12">
        <f>ROUND(SUM(K220:K235)/COUNT(K220:K235), 2)</f>
        <v>8.82</v>
      </c>
      <c r="L219" s="2"/>
      <c r="M219" s="4" t="s">
        <v>1293</v>
      </c>
      <c r="N219" s="151">
        <v>9</v>
      </c>
      <c r="O219" s="17"/>
      <c r="R219" s="244">
        <v>11</v>
      </c>
      <c r="S219" s="232" t="s">
        <v>336</v>
      </c>
      <c r="T219" s="232" t="s">
        <v>188</v>
      </c>
      <c r="U219" s="233">
        <v>9.2100000000000009</v>
      </c>
      <c r="V219" s="287">
        <v>9.34</v>
      </c>
      <c r="W219"/>
      <c r="X219"/>
      <c r="Y219"/>
      <c r="Z219"/>
      <c r="AA219"/>
      <c r="AB219"/>
      <c r="AC219"/>
      <c r="AD219"/>
      <c r="AE219"/>
      <c r="AF219"/>
      <c r="AG219"/>
      <c r="AH219"/>
      <c r="AI219"/>
    </row>
    <row r="220" spans="1:35" ht="16" customHeight="1" x14ac:dyDescent="0.2">
      <c r="A220" s="4" t="s">
        <v>1327</v>
      </c>
      <c r="B220" s="151">
        <v>8</v>
      </c>
      <c r="C220" s="2"/>
      <c r="D220" s="4" t="s">
        <v>1312</v>
      </c>
      <c r="E220" s="151">
        <v>8</v>
      </c>
      <c r="F220" s="2"/>
      <c r="G220" s="4" t="s">
        <v>1347</v>
      </c>
      <c r="H220" s="151">
        <v>8.5</v>
      </c>
      <c r="I220" s="2"/>
      <c r="J220" s="11" t="s">
        <v>1357</v>
      </c>
      <c r="K220" s="150">
        <v>10</v>
      </c>
      <c r="L220" s="2"/>
      <c r="M220" s="4" t="s">
        <v>1294</v>
      </c>
      <c r="N220" s="151">
        <v>7.5</v>
      </c>
      <c r="O220" s="17"/>
      <c r="R220" s="244">
        <v>12</v>
      </c>
      <c r="S220" s="235" t="s">
        <v>334</v>
      </c>
      <c r="T220" s="235" t="s">
        <v>132</v>
      </c>
      <c r="U220" s="236">
        <v>9.2100000000000009</v>
      </c>
      <c r="V220" s="311">
        <v>9.2799999999999994</v>
      </c>
      <c r="W220"/>
      <c r="X220"/>
      <c r="Y220"/>
      <c r="Z220"/>
      <c r="AA220"/>
      <c r="AB220"/>
      <c r="AC220"/>
      <c r="AD220"/>
      <c r="AE220"/>
      <c r="AF220"/>
      <c r="AG220"/>
      <c r="AH220"/>
      <c r="AI220"/>
    </row>
    <row r="221" spans="1:35" ht="16" customHeight="1" x14ac:dyDescent="0.2">
      <c r="A221" s="4" t="s">
        <v>1328</v>
      </c>
      <c r="B221" s="151">
        <v>9.5</v>
      </c>
      <c r="C221" s="2"/>
      <c r="D221" s="4" t="s">
        <v>1313</v>
      </c>
      <c r="E221" s="151">
        <v>9.5</v>
      </c>
      <c r="F221" s="2"/>
      <c r="G221" s="4" t="s">
        <v>1348</v>
      </c>
      <c r="H221" s="151">
        <v>9</v>
      </c>
      <c r="I221" s="2"/>
      <c r="J221" s="4" t="s">
        <v>1358</v>
      </c>
      <c r="K221" s="151"/>
      <c r="L221" s="2"/>
      <c r="M221" s="4" t="s">
        <v>1295</v>
      </c>
      <c r="N221" s="151">
        <v>8</v>
      </c>
      <c r="O221" s="17"/>
      <c r="R221" s="244">
        <v>13</v>
      </c>
      <c r="S221" s="232" t="s">
        <v>444</v>
      </c>
      <c r="T221" s="232" t="s">
        <v>36</v>
      </c>
      <c r="U221" s="233">
        <v>9.15</v>
      </c>
      <c r="V221" s="319">
        <v>9.23</v>
      </c>
      <c r="W221"/>
      <c r="X221"/>
      <c r="Y221"/>
      <c r="Z221"/>
      <c r="AA221"/>
      <c r="AB221"/>
      <c r="AC221"/>
      <c r="AD221"/>
      <c r="AE221"/>
      <c r="AF221"/>
      <c r="AG221"/>
      <c r="AH221"/>
      <c r="AI221"/>
    </row>
    <row r="222" spans="1:35" ht="16" customHeight="1" x14ac:dyDescent="0.2">
      <c r="A222" s="4" t="s">
        <v>1329</v>
      </c>
      <c r="B222" s="151">
        <v>9</v>
      </c>
      <c r="C222" s="2"/>
      <c r="D222" s="4" t="s">
        <v>1314</v>
      </c>
      <c r="E222" s="151">
        <v>8</v>
      </c>
      <c r="F222" s="2"/>
      <c r="G222" s="4" t="s">
        <v>1349</v>
      </c>
      <c r="H222" s="151">
        <v>7.5</v>
      </c>
      <c r="I222" s="2"/>
      <c r="J222" s="4" t="s">
        <v>1359</v>
      </c>
      <c r="K222" s="151">
        <v>10.5</v>
      </c>
      <c r="L222" s="2"/>
      <c r="M222" s="4" t="s">
        <v>1296</v>
      </c>
      <c r="N222" s="151">
        <v>9</v>
      </c>
      <c r="O222" s="17"/>
      <c r="R222" s="244">
        <v>14</v>
      </c>
      <c r="S222" s="235" t="s">
        <v>480</v>
      </c>
      <c r="T222" s="235" t="s">
        <v>498</v>
      </c>
      <c r="U222" s="236">
        <v>9.17</v>
      </c>
      <c r="V222" s="319">
        <v>9.23</v>
      </c>
      <c r="W222"/>
      <c r="X222"/>
      <c r="Y222"/>
      <c r="Z222"/>
      <c r="AA222"/>
      <c r="AB222"/>
      <c r="AC222"/>
      <c r="AD222"/>
      <c r="AE222"/>
      <c r="AF222"/>
      <c r="AG222"/>
      <c r="AH222"/>
      <c r="AI222"/>
    </row>
    <row r="223" spans="1:35" ht="16" customHeight="1" x14ac:dyDescent="0.2">
      <c r="A223" s="4" t="s">
        <v>1330</v>
      </c>
      <c r="B223" s="151">
        <v>9</v>
      </c>
      <c r="C223" s="2"/>
      <c r="D223" s="4" t="s">
        <v>1315</v>
      </c>
      <c r="E223" s="151">
        <v>8</v>
      </c>
      <c r="F223" s="2"/>
      <c r="G223" s="4" t="s">
        <v>1350</v>
      </c>
      <c r="H223" s="151">
        <v>10.5</v>
      </c>
      <c r="I223" s="2"/>
      <c r="J223" s="4" t="s">
        <v>1360</v>
      </c>
      <c r="K223" s="151">
        <v>8.5</v>
      </c>
      <c r="L223" s="2"/>
      <c r="M223" s="4" t="s">
        <v>1297</v>
      </c>
      <c r="N223" s="151">
        <v>8</v>
      </c>
      <c r="O223" s="17"/>
      <c r="R223" s="244">
        <v>15</v>
      </c>
      <c r="S223" s="232" t="s">
        <v>908</v>
      </c>
      <c r="T223" s="232" t="s">
        <v>899</v>
      </c>
      <c r="U223" s="233">
        <v>9.06</v>
      </c>
      <c r="V223" s="266">
        <v>9.1</v>
      </c>
      <c r="W223"/>
      <c r="X223"/>
      <c r="Y223"/>
      <c r="Z223"/>
      <c r="AA223"/>
      <c r="AB223"/>
      <c r="AC223"/>
      <c r="AD223"/>
      <c r="AE223"/>
      <c r="AF223"/>
      <c r="AG223"/>
      <c r="AH223"/>
      <c r="AI223"/>
    </row>
    <row r="224" spans="1:35" ht="16" customHeight="1" thickBot="1" x14ac:dyDescent="0.25">
      <c r="A224" s="7" t="s">
        <v>1331</v>
      </c>
      <c r="B224" s="152">
        <v>8.5</v>
      </c>
      <c r="C224" s="2"/>
      <c r="D224" s="4" t="s">
        <v>1316</v>
      </c>
      <c r="E224" s="151">
        <v>8</v>
      </c>
      <c r="F224" s="2"/>
      <c r="G224" s="4" t="s">
        <v>1351</v>
      </c>
      <c r="H224" s="151">
        <v>7</v>
      </c>
      <c r="I224" s="2"/>
      <c r="J224" s="4" t="s">
        <v>1361</v>
      </c>
      <c r="K224" s="151">
        <v>9</v>
      </c>
      <c r="L224" s="2"/>
      <c r="M224" s="4" t="s">
        <v>1298</v>
      </c>
      <c r="N224" s="151">
        <v>7</v>
      </c>
      <c r="O224" s="17"/>
      <c r="R224" s="244">
        <v>16</v>
      </c>
      <c r="S224" s="235" t="s">
        <v>337</v>
      </c>
      <c r="T224" s="235" t="s">
        <v>159</v>
      </c>
      <c r="U224" s="236">
        <v>9</v>
      </c>
      <c r="V224" s="266">
        <v>9.09</v>
      </c>
      <c r="W224"/>
      <c r="X224"/>
      <c r="Y224"/>
      <c r="Z224"/>
      <c r="AA224"/>
      <c r="AB224"/>
      <c r="AC224"/>
      <c r="AD224"/>
      <c r="AE224"/>
      <c r="AF224"/>
      <c r="AG224"/>
      <c r="AH224"/>
      <c r="AI224"/>
    </row>
    <row r="225" spans="1:35" ht="16" customHeight="1" thickBot="1" x14ac:dyDescent="0.25">
      <c r="A225" s="51"/>
      <c r="B225" s="14"/>
      <c r="C225" s="17"/>
      <c r="D225" s="4" t="s">
        <v>1317</v>
      </c>
      <c r="E225" s="151">
        <v>8</v>
      </c>
      <c r="F225" s="2"/>
      <c r="G225" s="4" t="s">
        <v>1352</v>
      </c>
      <c r="H225" s="151">
        <v>7.5</v>
      </c>
      <c r="I225" s="2"/>
      <c r="J225" s="4" t="s">
        <v>1362</v>
      </c>
      <c r="K225" s="151">
        <v>8</v>
      </c>
      <c r="L225" s="2"/>
      <c r="M225" s="4" t="s">
        <v>1299</v>
      </c>
      <c r="N225" s="151">
        <v>7.5</v>
      </c>
      <c r="O225" s="17"/>
      <c r="R225" s="244">
        <v>17</v>
      </c>
      <c r="S225" s="232" t="s">
        <v>338</v>
      </c>
      <c r="T225" s="232" t="s">
        <v>259</v>
      </c>
      <c r="U225" s="233">
        <v>9</v>
      </c>
      <c r="V225" s="266">
        <v>9.09</v>
      </c>
      <c r="W225"/>
      <c r="X225"/>
      <c r="Y225"/>
      <c r="Z225"/>
      <c r="AA225"/>
      <c r="AB225"/>
      <c r="AC225"/>
      <c r="AD225"/>
      <c r="AE225"/>
      <c r="AF225"/>
      <c r="AG225"/>
      <c r="AH225"/>
      <c r="AI225"/>
    </row>
    <row r="226" spans="1:35" ht="16" customHeight="1" thickBot="1" x14ac:dyDescent="0.25">
      <c r="A226" s="123" t="s">
        <v>1376</v>
      </c>
      <c r="B226" s="12">
        <f>ROUND(SUM(B227:B233)/COUNT(B227:B233), 2)</f>
        <v>8.86</v>
      </c>
      <c r="C226" s="34"/>
      <c r="D226" s="3" t="s">
        <v>1318</v>
      </c>
      <c r="E226" s="151">
        <v>8.5</v>
      </c>
      <c r="F226" s="2"/>
      <c r="G226" s="4" t="s">
        <v>1353</v>
      </c>
      <c r="H226" s="151">
        <v>6.5</v>
      </c>
      <c r="I226" s="2"/>
      <c r="J226" s="4" t="s">
        <v>1363</v>
      </c>
      <c r="K226" s="151">
        <v>9.5</v>
      </c>
      <c r="L226" s="2"/>
      <c r="M226" s="7" t="s">
        <v>1300</v>
      </c>
      <c r="N226" s="152">
        <v>7.5</v>
      </c>
      <c r="O226" s="17"/>
      <c r="R226" s="244">
        <v>18</v>
      </c>
      <c r="S226" s="235" t="s">
        <v>1605</v>
      </c>
      <c r="T226" s="235" t="s">
        <v>2371</v>
      </c>
      <c r="U226" s="236">
        <v>9.07</v>
      </c>
      <c r="V226" s="327">
        <v>9.02</v>
      </c>
      <c r="W226"/>
      <c r="X226"/>
      <c r="Y226"/>
      <c r="Z226"/>
      <c r="AA226"/>
      <c r="AB226"/>
      <c r="AC226"/>
      <c r="AD226"/>
      <c r="AE226"/>
      <c r="AF226"/>
      <c r="AG226"/>
      <c r="AH226"/>
      <c r="AI226"/>
    </row>
    <row r="227" spans="1:35" ht="16" customHeight="1" thickBot="1" x14ac:dyDescent="0.25">
      <c r="A227" s="11" t="s">
        <v>1377</v>
      </c>
      <c r="B227" s="150">
        <v>10</v>
      </c>
      <c r="C227" s="2"/>
      <c r="D227" s="7" t="s">
        <v>1319</v>
      </c>
      <c r="E227" s="152">
        <v>9</v>
      </c>
      <c r="F227" s="2"/>
      <c r="G227" s="7" t="s">
        <v>1354</v>
      </c>
      <c r="H227" s="152">
        <v>7</v>
      </c>
      <c r="I227" s="2"/>
      <c r="J227" s="4" t="s">
        <v>1364</v>
      </c>
      <c r="K227" s="151"/>
      <c r="L227" s="2"/>
      <c r="M227" s="16"/>
      <c r="N227" s="16"/>
      <c r="O227" s="17"/>
      <c r="R227" s="244">
        <v>19</v>
      </c>
      <c r="S227" s="232" t="s">
        <v>2789</v>
      </c>
      <c r="T227" s="232" t="s">
        <v>2782</v>
      </c>
      <c r="U227" s="233">
        <v>9.06</v>
      </c>
      <c r="V227" s="327">
        <v>9.02</v>
      </c>
      <c r="W227"/>
      <c r="X227"/>
      <c r="Y227"/>
      <c r="Z227"/>
      <c r="AA227"/>
      <c r="AB227"/>
      <c r="AC227"/>
      <c r="AD227"/>
      <c r="AE227"/>
      <c r="AF227"/>
      <c r="AG227"/>
      <c r="AH227"/>
      <c r="AI227"/>
    </row>
    <row r="228" spans="1:35" ht="16" customHeight="1" thickBot="1" x14ac:dyDescent="0.25">
      <c r="A228" s="4" t="s">
        <v>1378</v>
      </c>
      <c r="B228" s="151">
        <v>9.5</v>
      </c>
      <c r="C228" s="2"/>
      <c r="D228" s="14"/>
      <c r="E228" s="16"/>
      <c r="F228" s="2"/>
      <c r="G228" s="16"/>
      <c r="H228" s="16"/>
      <c r="I228" s="2"/>
      <c r="J228" s="4" t="s">
        <v>1365</v>
      </c>
      <c r="K228" s="151">
        <v>8</v>
      </c>
      <c r="L228" s="17"/>
      <c r="M228" s="121" t="s">
        <v>1411</v>
      </c>
      <c r="N228" s="12">
        <f>ROUND(SUM(N229:N238)/COUNT(N229:N238), 2)</f>
        <v>8.0500000000000007</v>
      </c>
      <c r="O228" s="17"/>
      <c r="R228" s="244">
        <v>20</v>
      </c>
      <c r="S228" s="235" t="s">
        <v>1333</v>
      </c>
      <c r="T228" s="235" t="s">
        <v>1324</v>
      </c>
      <c r="U228" s="236">
        <v>9</v>
      </c>
      <c r="V228" s="369">
        <v>8.9600000000000009</v>
      </c>
      <c r="W228"/>
      <c r="X228"/>
      <c r="Y228"/>
      <c r="Z228"/>
      <c r="AA228"/>
      <c r="AB228"/>
      <c r="AC228"/>
      <c r="AD228"/>
      <c r="AE228"/>
      <c r="AF228"/>
      <c r="AG228"/>
      <c r="AH228"/>
      <c r="AI228"/>
    </row>
    <row r="229" spans="1:35" ht="16" customHeight="1" thickBot="1" x14ac:dyDescent="0.25">
      <c r="A229" s="4" t="s">
        <v>1379</v>
      </c>
      <c r="B229" s="151">
        <v>9</v>
      </c>
      <c r="C229" s="2"/>
      <c r="D229" s="119" t="s">
        <v>1387</v>
      </c>
      <c r="E229" s="12">
        <f>ROUND(SUM(E230:E235)/COUNT(E230:E235), 2)</f>
        <v>8.83</v>
      </c>
      <c r="F229" s="17"/>
      <c r="G229" s="120" t="s">
        <v>1412</v>
      </c>
      <c r="H229" s="12">
        <f>ROUND(SUM(H230:H244)/COUNT(H230:H244), 2)</f>
        <v>8.8800000000000008</v>
      </c>
      <c r="I229" s="2"/>
      <c r="J229" s="4" t="s">
        <v>1366</v>
      </c>
      <c r="K229" s="151">
        <v>8</v>
      </c>
      <c r="L229" s="2"/>
      <c r="M229" s="11" t="s">
        <v>1399</v>
      </c>
      <c r="N229" s="150">
        <v>8</v>
      </c>
      <c r="O229" s="17"/>
      <c r="R229" s="244">
        <v>21</v>
      </c>
      <c r="S229" s="232" t="s">
        <v>345</v>
      </c>
      <c r="T229" s="232" t="s">
        <v>1617</v>
      </c>
      <c r="U229" s="233">
        <v>8.94</v>
      </c>
      <c r="V229" s="262">
        <v>8.9499999999999993</v>
      </c>
      <c r="W229"/>
      <c r="X229"/>
      <c r="Y229"/>
      <c r="Z229"/>
      <c r="AA229"/>
      <c r="AB229"/>
      <c r="AC229"/>
      <c r="AD229"/>
      <c r="AE229"/>
      <c r="AF229"/>
      <c r="AG229"/>
      <c r="AH229"/>
      <c r="AI229"/>
    </row>
    <row r="230" spans="1:35" ht="16" customHeight="1" x14ac:dyDescent="0.2">
      <c r="A230" s="4" t="s">
        <v>1380</v>
      </c>
      <c r="B230" s="151">
        <v>8</v>
      </c>
      <c r="C230" s="2"/>
      <c r="D230" s="11" t="s">
        <v>1388</v>
      </c>
      <c r="E230" s="150">
        <v>8.5</v>
      </c>
      <c r="F230" s="2"/>
      <c r="G230" s="11" t="s">
        <v>1413</v>
      </c>
      <c r="H230" s="150"/>
      <c r="I230" s="2"/>
      <c r="J230" s="4" t="s">
        <v>1367</v>
      </c>
      <c r="K230" s="151">
        <v>10</v>
      </c>
      <c r="L230" s="2"/>
      <c r="M230" s="4" t="s">
        <v>1400</v>
      </c>
      <c r="N230" s="151">
        <v>8.5</v>
      </c>
      <c r="O230" s="17"/>
      <c r="R230" s="244">
        <v>22</v>
      </c>
      <c r="S230" s="235" t="s">
        <v>739</v>
      </c>
      <c r="T230" s="235" t="s">
        <v>740</v>
      </c>
      <c r="U230" s="236">
        <v>8.91</v>
      </c>
      <c r="V230" s="328">
        <v>8.93</v>
      </c>
      <c r="W230"/>
      <c r="X230"/>
      <c r="Y230"/>
      <c r="Z230"/>
      <c r="AA230"/>
      <c r="AB230"/>
      <c r="AC230"/>
      <c r="AD230"/>
      <c r="AE230"/>
      <c r="AF230"/>
      <c r="AG230"/>
      <c r="AH230"/>
      <c r="AI230"/>
    </row>
    <row r="231" spans="1:35" ht="16" customHeight="1" x14ac:dyDescent="0.2">
      <c r="A231" s="4" t="s">
        <v>1381</v>
      </c>
      <c r="B231" s="151">
        <v>9</v>
      </c>
      <c r="C231" s="2"/>
      <c r="D231" s="4" t="s">
        <v>1389</v>
      </c>
      <c r="E231" s="151">
        <v>8.5</v>
      </c>
      <c r="F231" s="2"/>
      <c r="G231" s="4" t="s">
        <v>1414</v>
      </c>
      <c r="H231" s="151">
        <v>8.5</v>
      </c>
      <c r="I231" s="2"/>
      <c r="J231" s="4" t="s">
        <v>1368</v>
      </c>
      <c r="K231" s="151">
        <v>7.5</v>
      </c>
      <c r="L231" s="2"/>
      <c r="M231" s="4" t="s">
        <v>1401</v>
      </c>
      <c r="N231" s="151">
        <v>9.5</v>
      </c>
      <c r="O231" s="17"/>
      <c r="R231" s="244">
        <v>23</v>
      </c>
      <c r="S231" s="232" t="s">
        <v>346</v>
      </c>
      <c r="T231" s="232" t="s">
        <v>1845</v>
      </c>
      <c r="U231" s="233">
        <v>8.9600000000000009</v>
      </c>
      <c r="V231" s="328">
        <v>8.93</v>
      </c>
      <c r="W231"/>
      <c r="X231"/>
      <c r="Y231"/>
      <c r="Z231"/>
      <c r="AA231"/>
      <c r="AB231"/>
      <c r="AC231"/>
      <c r="AD231"/>
      <c r="AE231"/>
      <c r="AF231"/>
      <c r="AG231"/>
      <c r="AH231"/>
      <c r="AI231"/>
    </row>
    <row r="232" spans="1:35" ht="16" customHeight="1" x14ac:dyDescent="0.2">
      <c r="A232" s="4" t="s">
        <v>1382</v>
      </c>
      <c r="B232" s="151">
        <v>8.5</v>
      </c>
      <c r="C232" s="2"/>
      <c r="D232" s="4" t="s">
        <v>1390</v>
      </c>
      <c r="E232" s="151">
        <v>8</v>
      </c>
      <c r="F232" s="2"/>
      <c r="G232" s="4" t="s">
        <v>1415</v>
      </c>
      <c r="H232" s="151">
        <v>9.5</v>
      </c>
      <c r="I232" s="2"/>
      <c r="J232" s="4" t="s">
        <v>1369</v>
      </c>
      <c r="K232" s="151">
        <v>9.5</v>
      </c>
      <c r="L232" s="2"/>
      <c r="M232" s="4" t="s">
        <v>1402</v>
      </c>
      <c r="N232" s="151">
        <v>8.5</v>
      </c>
      <c r="O232" s="17"/>
      <c r="R232" s="244">
        <v>24</v>
      </c>
      <c r="S232" s="235" t="s">
        <v>717</v>
      </c>
      <c r="T232" s="235" t="s">
        <v>1427</v>
      </c>
      <c r="U232" s="236">
        <v>8.8800000000000008</v>
      </c>
      <c r="V232" s="255">
        <v>8.89</v>
      </c>
      <c r="W232"/>
      <c r="X232"/>
      <c r="Y232"/>
      <c r="Z232"/>
      <c r="AA232"/>
      <c r="AB232"/>
      <c r="AC232"/>
      <c r="AD232"/>
      <c r="AE232"/>
      <c r="AF232"/>
      <c r="AG232"/>
      <c r="AH232"/>
      <c r="AI232"/>
    </row>
    <row r="233" spans="1:35" ht="16" customHeight="1" thickBot="1" x14ac:dyDescent="0.25">
      <c r="A233" s="7" t="s">
        <v>1383</v>
      </c>
      <c r="B233" s="152">
        <v>8</v>
      </c>
      <c r="C233" s="2"/>
      <c r="D233" s="4" t="s">
        <v>1391</v>
      </c>
      <c r="E233" s="151">
        <v>9</v>
      </c>
      <c r="F233" s="2"/>
      <c r="G233" s="4" t="s">
        <v>1416</v>
      </c>
      <c r="H233" s="151">
        <v>8.5</v>
      </c>
      <c r="I233" s="2"/>
      <c r="J233" s="4" t="s">
        <v>1370</v>
      </c>
      <c r="K233" s="151">
        <v>8</v>
      </c>
      <c r="L233" s="2"/>
      <c r="M233" s="4" t="s">
        <v>1403</v>
      </c>
      <c r="N233" s="151">
        <v>7</v>
      </c>
      <c r="O233" s="17"/>
      <c r="R233" s="244">
        <v>25</v>
      </c>
      <c r="S233" s="232" t="s">
        <v>1373</v>
      </c>
      <c r="T233" s="232" t="s">
        <v>1374</v>
      </c>
      <c r="U233" s="233">
        <v>8.82</v>
      </c>
      <c r="V233" s="258">
        <v>8.8800000000000008</v>
      </c>
      <c r="W233"/>
      <c r="X233"/>
      <c r="Y233"/>
      <c r="Z233"/>
      <c r="AA233"/>
      <c r="AB233"/>
      <c r="AC233"/>
      <c r="AD233"/>
      <c r="AE233"/>
      <c r="AF233"/>
      <c r="AG233"/>
      <c r="AH233"/>
      <c r="AI233"/>
    </row>
    <row r="234" spans="1:35" ht="16" customHeight="1" thickBot="1" x14ac:dyDescent="0.25">
      <c r="A234" s="16"/>
      <c r="B234" s="16"/>
      <c r="C234" s="2"/>
      <c r="D234" s="4" t="s">
        <v>1392</v>
      </c>
      <c r="E234" s="151">
        <v>9</v>
      </c>
      <c r="F234" s="2"/>
      <c r="G234" s="4" t="s">
        <v>1417</v>
      </c>
      <c r="H234" s="151">
        <v>10</v>
      </c>
      <c r="I234" s="2"/>
      <c r="J234" s="4" t="s">
        <v>1371</v>
      </c>
      <c r="K234" s="151">
        <v>9</v>
      </c>
      <c r="L234" s="2"/>
      <c r="M234" s="4" t="s">
        <v>1404</v>
      </c>
      <c r="N234" s="151">
        <v>8</v>
      </c>
      <c r="O234" s="17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</row>
    <row r="235" spans="1:35" ht="16" customHeight="1" thickBot="1" x14ac:dyDescent="0.3">
      <c r="A235" s="125" t="s">
        <v>1429</v>
      </c>
      <c r="B235" s="12">
        <f>ROUND(SUM(B236:B244)/COUNT(B236:B244), 2)</f>
        <v>8.83</v>
      </c>
      <c r="C235" s="2"/>
      <c r="D235" s="7" t="s">
        <v>1393</v>
      </c>
      <c r="E235" s="152">
        <v>10</v>
      </c>
      <c r="F235" s="2"/>
      <c r="G235" s="4" t="s">
        <v>1418</v>
      </c>
      <c r="H235" s="153">
        <v>10.5</v>
      </c>
      <c r="I235" s="2"/>
      <c r="J235" s="7" t="s">
        <v>1372</v>
      </c>
      <c r="K235" s="152">
        <v>8</v>
      </c>
      <c r="L235" s="2"/>
      <c r="M235" s="4" t="s">
        <v>1405</v>
      </c>
      <c r="N235" s="151">
        <v>8.5</v>
      </c>
      <c r="O235" s="17"/>
      <c r="R235" s="367" t="s">
        <v>2822</v>
      </c>
      <c r="S235" s="367"/>
      <c r="T235" s="367"/>
      <c r="U235" s="367"/>
      <c r="V235" s="367"/>
      <c r="W235"/>
      <c r="X235"/>
      <c r="Y235"/>
      <c r="Z235"/>
      <c r="AA235"/>
      <c r="AB235"/>
      <c r="AC235"/>
      <c r="AD235"/>
      <c r="AE235"/>
      <c r="AF235"/>
      <c r="AG235"/>
      <c r="AH235"/>
      <c r="AI235"/>
    </row>
    <row r="236" spans="1:35" ht="16" customHeight="1" thickBot="1" x14ac:dyDescent="0.25">
      <c r="A236" s="11" t="s">
        <v>1430</v>
      </c>
      <c r="B236" s="150">
        <v>9</v>
      </c>
      <c r="C236" s="2"/>
      <c r="D236" s="16"/>
      <c r="E236" s="16"/>
      <c r="F236" s="2"/>
      <c r="G236" s="4" t="s">
        <v>1419</v>
      </c>
      <c r="H236" s="151">
        <v>9</v>
      </c>
      <c r="I236" s="2"/>
      <c r="J236" s="16"/>
      <c r="K236" s="16"/>
      <c r="L236" s="2"/>
      <c r="M236" s="4" t="s">
        <v>1406</v>
      </c>
      <c r="N236" s="151">
        <v>7</v>
      </c>
      <c r="O236" s="17"/>
      <c r="R236" s="231" t="s">
        <v>352</v>
      </c>
      <c r="S236" s="231" t="s">
        <v>319</v>
      </c>
      <c r="T236" s="231" t="s">
        <v>320</v>
      </c>
      <c r="U236" s="231" t="s">
        <v>321</v>
      </c>
      <c r="V236" s="231" t="s">
        <v>1002</v>
      </c>
      <c r="W236"/>
      <c r="X236"/>
      <c r="Y236"/>
      <c r="Z236"/>
      <c r="AA236"/>
      <c r="AB236"/>
      <c r="AC236"/>
      <c r="AD236"/>
      <c r="AE236"/>
      <c r="AF236"/>
      <c r="AG236"/>
      <c r="AH236"/>
      <c r="AI236"/>
    </row>
    <row r="237" spans="1:35" ht="16" customHeight="1" thickBot="1" x14ac:dyDescent="0.25">
      <c r="A237" s="4" t="s">
        <v>1431</v>
      </c>
      <c r="B237" s="151">
        <v>10</v>
      </c>
      <c r="C237" s="2"/>
      <c r="D237" s="124" t="s">
        <v>1462</v>
      </c>
      <c r="E237" s="1">
        <f>ROUND(SUM(E238:E252)/COUNT(E238:E252), 2)</f>
        <v>8.8000000000000007</v>
      </c>
      <c r="F237" s="2"/>
      <c r="G237" s="4" t="s">
        <v>1420</v>
      </c>
      <c r="H237" s="151">
        <v>8.5</v>
      </c>
      <c r="I237" s="17"/>
      <c r="J237" s="126" t="s">
        <v>1464</v>
      </c>
      <c r="K237" s="12">
        <f>ROUND(SUM(K238:K250)/COUNT(K238:K250), 2)</f>
        <v>8.73</v>
      </c>
      <c r="L237" s="2"/>
      <c r="M237" s="4" t="s">
        <v>1407</v>
      </c>
      <c r="N237" s="151">
        <v>8</v>
      </c>
      <c r="O237" s="17"/>
      <c r="R237" s="238">
        <v>1</v>
      </c>
      <c r="S237" s="232" t="s">
        <v>996</v>
      </c>
      <c r="T237" s="232" t="s">
        <v>994</v>
      </c>
      <c r="U237" s="233">
        <v>10.5</v>
      </c>
      <c r="V237" s="281">
        <v>10.85</v>
      </c>
      <c r="W237"/>
      <c r="X237"/>
      <c r="Y237"/>
      <c r="Z237"/>
      <c r="AA237"/>
      <c r="AB237"/>
      <c r="AC237"/>
      <c r="AD237"/>
      <c r="AE237"/>
      <c r="AF237"/>
      <c r="AG237"/>
      <c r="AH237"/>
      <c r="AI237"/>
    </row>
    <row r="238" spans="1:35" ht="16" customHeight="1" thickBot="1" x14ac:dyDescent="0.25">
      <c r="A238" s="4" t="s">
        <v>1432</v>
      </c>
      <c r="B238" s="151">
        <v>8.5</v>
      </c>
      <c r="C238" s="2"/>
      <c r="D238" s="11" t="s">
        <v>1443</v>
      </c>
      <c r="E238" s="150">
        <v>8</v>
      </c>
      <c r="F238" s="2"/>
      <c r="G238" s="4" t="s">
        <v>1421</v>
      </c>
      <c r="H238" s="151">
        <v>8.5</v>
      </c>
      <c r="I238" s="2"/>
      <c r="J238" s="11" t="s">
        <v>1477</v>
      </c>
      <c r="K238" s="150">
        <v>10.5</v>
      </c>
      <c r="L238" s="2"/>
      <c r="M238" s="7" t="s">
        <v>1408</v>
      </c>
      <c r="N238" s="152">
        <v>7.5</v>
      </c>
      <c r="O238" s="17"/>
      <c r="R238" s="240">
        <v>2</v>
      </c>
      <c r="S238" s="235" t="s">
        <v>326</v>
      </c>
      <c r="T238" s="235" t="s">
        <v>7</v>
      </c>
      <c r="U238" s="236">
        <v>9.89</v>
      </c>
      <c r="V238" s="281">
        <v>10.52</v>
      </c>
      <c r="W238"/>
      <c r="X238"/>
      <c r="Y238"/>
      <c r="Z238"/>
      <c r="AA238"/>
      <c r="AB238"/>
      <c r="AC238"/>
      <c r="AD238"/>
      <c r="AE238"/>
      <c r="AF238"/>
      <c r="AG238"/>
      <c r="AH238"/>
      <c r="AI238"/>
    </row>
    <row r="239" spans="1:35" ht="16" customHeight="1" thickBot="1" x14ac:dyDescent="0.25">
      <c r="A239" s="4" t="s">
        <v>1433</v>
      </c>
      <c r="B239" s="151">
        <v>8.5</v>
      </c>
      <c r="C239" s="2"/>
      <c r="D239" s="4" t="s">
        <v>1444</v>
      </c>
      <c r="E239" s="151">
        <v>8.5</v>
      </c>
      <c r="F239" s="2"/>
      <c r="G239" s="4" t="s">
        <v>1422</v>
      </c>
      <c r="H239" s="151">
        <v>8</v>
      </c>
      <c r="I239" s="2"/>
      <c r="J239" s="4" t="s">
        <v>1465</v>
      </c>
      <c r="K239" s="151">
        <v>9.5</v>
      </c>
      <c r="L239" s="2"/>
      <c r="M239" s="16"/>
      <c r="N239" s="16"/>
      <c r="O239" s="17"/>
      <c r="R239" s="242">
        <v>3</v>
      </c>
      <c r="S239" s="232" t="s">
        <v>332</v>
      </c>
      <c r="T239" s="232" t="s">
        <v>1027</v>
      </c>
      <c r="U239" s="233">
        <v>10</v>
      </c>
      <c r="V239" s="281">
        <v>10.39</v>
      </c>
      <c r="W239"/>
      <c r="X239"/>
      <c r="Y239"/>
      <c r="Z239"/>
      <c r="AA239"/>
      <c r="AB239"/>
      <c r="AC239"/>
      <c r="AD239"/>
      <c r="AE239"/>
      <c r="AF239"/>
      <c r="AG239"/>
      <c r="AH239"/>
      <c r="AI239"/>
    </row>
    <row r="240" spans="1:35" ht="16" customHeight="1" thickBot="1" x14ac:dyDescent="0.25">
      <c r="A240" s="4" t="s">
        <v>1434</v>
      </c>
      <c r="B240" s="151">
        <v>9.5</v>
      </c>
      <c r="C240" s="2"/>
      <c r="D240" s="4" t="s">
        <v>1445</v>
      </c>
      <c r="E240" s="151">
        <v>9.5</v>
      </c>
      <c r="F240" s="2"/>
      <c r="G240" s="4" t="s">
        <v>1423</v>
      </c>
      <c r="H240" s="151"/>
      <c r="I240" s="2"/>
      <c r="J240" s="4" t="s">
        <v>1466</v>
      </c>
      <c r="K240" s="151">
        <v>9</v>
      </c>
      <c r="L240" s="2"/>
      <c r="M240" s="160" t="s">
        <v>1481</v>
      </c>
      <c r="N240" s="1">
        <f>ROUND(SUM(N241:N247)/COUNT(N241:N247), 2)</f>
        <v>8.93</v>
      </c>
      <c r="O240" s="17"/>
      <c r="R240" s="244">
        <v>4</v>
      </c>
      <c r="S240" s="235" t="s">
        <v>327</v>
      </c>
      <c r="T240" s="235" t="s">
        <v>328</v>
      </c>
      <c r="U240" s="236">
        <v>9.6999999999999993</v>
      </c>
      <c r="V240" s="281">
        <v>10.37</v>
      </c>
      <c r="W240"/>
      <c r="X240"/>
      <c r="Y240"/>
      <c r="Z240"/>
      <c r="AA240"/>
      <c r="AB240"/>
      <c r="AC240"/>
      <c r="AD240"/>
      <c r="AE240"/>
      <c r="AF240"/>
      <c r="AG240"/>
      <c r="AH240"/>
      <c r="AI240"/>
    </row>
    <row r="241" spans="1:35" ht="16" customHeight="1" x14ac:dyDescent="0.2">
      <c r="A241" s="4" t="s">
        <v>1435</v>
      </c>
      <c r="B241" s="151">
        <v>8</v>
      </c>
      <c r="C241" s="2"/>
      <c r="D241" s="4" t="s">
        <v>1446</v>
      </c>
      <c r="E241" s="151">
        <v>10</v>
      </c>
      <c r="F241" s="2"/>
      <c r="G241" s="4" t="s">
        <v>1424</v>
      </c>
      <c r="H241" s="151">
        <v>9.5</v>
      </c>
      <c r="I241" s="2"/>
      <c r="J241" s="4" t="s">
        <v>1467</v>
      </c>
      <c r="K241" s="151">
        <v>9.5</v>
      </c>
      <c r="L241" s="2"/>
      <c r="M241" s="11" t="s">
        <v>1482</v>
      </c>
      <c r="N241" s="150">
        <v>9.5</v>
      </c>
      <c r="O241" s="17"/>
      <c r="R241" s="244">
        <v>5</v>
      </c>
      <c r="S241" s="232" t="s">
        <v>2696</v>
      </c>
      <c r="T241" s="232" t="s">
        <v>674</v>
      </c>
      <c r="U241" s="233">
        <v>9.8800000000000008</v>
      </c>
      <c r="V241" s="281">
        <v>10.220000000000001</v>
      </c>
      <c r="W241"/>
      <c r="X241"/>
      <c r="Y241"/>
      <c r="Z241"/>
      <c r="AA241"/>
      <c r="AB241"/>
      <c r="AC241"/>
      <c r="AD241"/>
      <c r="AE241"/>
      <c r="AF241"/>
      <c r="AG241"/>
      <c r="AH241"/>
      <c r="AI241"/>
    </row>
    <row r="242" spans="1:35" ht="16" customHeight="1" x14ac:dyDescent="0.2">
      <c r="A242" s="4" t="s">
        <v>1436</v>
      </c>
      <c r="B242" s="151">
        <v>8.5</v>
      </c>
      <c r="C242" s="2"/>
      <c r="D242" s="4" t="s">
        <v>1447</v>
      </c>
      <c r="E242" s="151">
        <v>8.5</v>
      </c>
      <c r="F242" s="2"/>
      <c r="G242" s="4" t="s">
        <v>1425</v>
      </c>
      <c r="H242" s="151">
        <v>8</v>
      </c>
      <c r="I242" s="2"/>
      <c r="J242" s="4" t="s">
        <v>1468</v>
      </c>
      <c r="K242" s="151">
        <v>9</v>
      </c>
      <c r="L242" s="2"/>
      <c r="M242" s="4" t="s">
        <v>1483</v>
      </c>
      <c r="N242" s="151">
        <v>8</v>
      </c>
      <c r="O242" s="17"/>
      <c r="R242" s="244">
        <v>6</v>
      </c>
      <c r="S242" s="235" t="s">
        <v>332</v>
      </c>
      <c r="T242" s="235" t="s">
        <v>333</v>
      </c>
      <c r="U242" s="236">
        <v>9.61</v>
      </c>
      <c r="V242" s="281">
        <v>10</v>
      </c>
      <c r="W242"/>
      <c r="X242"/>
      <c r="Y242"/>
      <c r="Z242"/>
      <c r="AA242"/>
      <c r="AB242"/>
      <c r="AC242"/>
      <c r="AD242"/>
      <c r="AE242"/>
      <c r="AF242"/>
      <c r="AG242"/>
      <c r="AH242"/>
      <c r="AI242"/>
    </row>
    <row r="243" spans="1:35" ht="16" customHeight="1" x14ac:dyDescent="0.2">
      <c r="A243" s="4" t="s">
        <v>1437</v>
      </c>
      <c r="B243" s="151">
        <v>9</v>
      </c>
      <c r="C243" s="2"/>
      <c r="D243" s="4" t="s">
        <v>1448</v>
      </c>
      <c r="E243" s="151">
        <v>9.5</v>
      </c>
      <c r="F243" s="2"/>
      <c r="G243" s="4" t="s">
        <v>1426</v>
      </c>
      <c r="H243" s="151">
        <v>8.5</v>
      </c>
      <c r="I243" s="2"/>
      <c r="J243" s="4" t="s">
        <v>1469</v>
      </c>
      <c r="K243" s="151">
        <v>8</v>
      </c>
      <c r="L243" s="2"/>
      <c r="M243" s="4" t="s">
        <v>1484</v>
      </c>
      <c r="N243" s="151">
        <v>10</v>
      </c>
      <c r="O243" s="17"/>
      <c r="R243" s="244">
        <v>7</v>
      </c>
      <c r="S243" s="232" t="s">
        <v>326</v>
      </c>
      <c r="T243" s="232" t="s">
        <v>557</v>
      </c>
      <c r="U243" s="233">
        <v>9.61</v>
      </c>
      <c r="V243" s="334">
        <v>9.99</v>
      </c>
      <c r="W243"/>
      <c r="X243"/>
      <c r="Y243"/>
      <c r="Z243"/>
      <c r="AA243"/>
      <c r="AB243"/>
      <c r="AC243"/>
      <c r="AD243"/>
      <c r="AE243"/>
      <c r="AF243"/>
      <c r="AG243"/>
      <c r="AH243"/>
      <c r="AI243"/>
    </row>
    <row r="244" spans="1:35" ht="16" customHeight="1" thickBot="1" x14ac:dyDescent="0.25">
      <c r="A244" s="7" t="s">
        <v>1438</v>
      </c>
      <c r="B244" s="152">
        <v>8.5</v>
      </c>
      <c r="C244" s="2"/>
      <c r="D244" s="4" t="s">
        <v>1449</v>
      </c>
      <c r="E244" s="151">
        <v>9.5</v>
      </c>
      <c r="F244" s="2"/>
      <c r="G244" s="7" t="s">
        <v>1427</v>
      </c>
      <c r="H244" s="152">
        <v>8.5</v>
      </c>
      <c r="I244" s="2"/>
      <c r="J244" s="4" t="s">
        <v>1470</v>
      </c>
      <c r="K244" s="151">
        <v>9</v>
      </c>
      <c r="L244" s="2"/>
      <c r="M244" s="4" t="s">
        <v>1485</v>
      </c>
      <c r="N244" s="151">
        <v>8</v>
      </c>
      <c r="O244" s="17"/>
      <c r="R244" s="244">
        <v>8</v>
      </c>
      <c r="S244" s="235" t="s">
        <v>326</v>
      </c>
      <c r="T244" s="235" t="s">
        <v>158</v>
      </c>
      <c r="U244" s="236">
        <v>9.61</v>
      </c>
      <c r="V244" s="333">
        <v>9.9600000000000009</v>
      </c>
      <c r="W244"/>
      <c r="X244"/>
      <c r="Y244"/>
      <c r="Z244"/>
      <c r="AA244"/>
      <c r="AB244"/>
      <c r="AC244"/>
      <c r="AD244"/>
      <c r="AE244"/>
      <c r="AF244"/>
      <c r="AG244"/>
      <c r="AH244"/>
      <c r="AI244"/>
    </row>
    <row r="245" spans="1:35" ht="16" customHeight="1" thickBot="1" x14ac:dyDescent="0.25">
      <c r="A245" s="2"/>
      <c r="B245" s="2"/>
      <c r="C245" s="2"/>
      <c r="D245" s="4" t="s">
        <v>1450</v>
      </c>
      <c r="E245" s="151">
        <v>8</v>
      </c>
      <c r="F245" s="2"/>
      <c r="G245" s="16"/>
      <c r="H245" s="16"/>
      <c r="I245" s="2"/>
      <c r="J245" s="4" t="s">
        <v>1471</v>
      </c>
      <c r="K245" s="151">
        <v>8.5</v>
      </c>
      <c r="L245" s="2"/>
      <c r="M245" s="4" t="s">
        <v>1486</v>
      </c>
      <c r="N245" s="151">
        <v>9</v>
      </c>
      <c r="O245" s="17"/>
      <c r="R245" s="244">
        <v>9</v>
      </c>
      <c r="S245" s="232" t="s">
        <v>327</v>
      </c>
      <c r="T245" s="232" t="s">
        <v>329</v>
      </c>
      <c r="U245" s="233">
        <v>9.5500000000000007</v>
      </c>
      <c r="V245" s="320">
        <v>9.81</v>
      </c>
      <c r="W245"/>
      <c r="X245"/>
      <c r="Y245"/>
      <c r="Z245"/>
      <c r="AA245"/>
      <c r="AB245"/>
      <c r="AC245"/>
      <c r="AD245"/>
      <c r="AE245"/>
      <c r="AF245"/>
      <c r="AG245"/>
      <c r="AH245"/>
      <c r="AI245"/>
    </row>
    <row r="246" spans="1:35" ht="16" customHeight="1" thickBot="1" x14ac:dyDescent="0.25">
      <c r="A246" s="128" t="s">
        <v>1521</v>
      </c>
      <c r="B246" s="12">
        <f>ROUND(SUM(B247:B258)/COUNT(B247:B258), 2)</f>
        <v>8.82</v>
      </c>
      <c r="C246" s="2"/>
      <c r="D246" s="4" t="s">
        <v>1451</v>
      </c>
      <c r="E246" s="151">
        <v>8</v>
      </c>
      <c r="F246" s="2"/>
      <c r="G246" s="127" t="s">
        <v>1503</v>
      </c>
      <c r="H246" s="1">
        <f>ROUND(SUM(H247:H256)/COUNT(H247:H256), 2)</f>
        <v>8.75</v>
      </c>
      <c r="I246" s="2"/>
      <c r="J246" s="4" t="s">
        <v>1472</v>
      </c>
      <c r="K246" s="151">
        <v>8</v>
      </c>
      <c r="L246" s="2"/>
      <c r="M246" s="4" t="s">
        <v>1487</v>
      </c>
      <c r="N246" s="151">
        <v>8.5</v>
      </c>
      <c r="O246" s="17"/>
      <c r="R246" s="244">
        <v>10</v>
      </c>
      <c r="S246" s="235" t="s">
        <v>326</v>
      </c>
      <c r="T246" s="235" t="s">
        <v>1243</v>
      </c>
      <c r="U246" s="236">
        <v>9.36</v>
      </c>
      <c r="V246" s="365">
        <v>9.6</v>
      </c>
      <c r="W246"/>
      <c r="X246"/>
      <c r="Y246"/>
      <c r="Z246"/>
      <c r="AA246"/>
      <c r="AB246"/>
      <c r="AC246"/>
      <c r="AD246"/>
      <c r="AE246"/>
      <c r="AF246"/>
      <c r="AG246"/>
      <c r="AH246"/>
      <c r="AI246"/>
    </row>
    <row r="247" spans="1:35" ht="16" customHeight="1" thickBot="1" x14ac:dyDescent="0.25">
      <c r="A247" s="11" t="s">
        <v>1509</v>
      </c>
      <c r="B247" s="150">
        <v>9.5</v>
      </c>
      <c r="C247" s="2"/>
      <c r="D247" s="4" t="s">
        <v>1452</v>
      </c>
      <c r="E247" s="151">
        <v>8.5</v>
      </c>
      <c r="F247" s="2"/>
      <c r="G247" s="4" t="s">
        <v>1494</v>
      </c>
      <c r="H247" s="151">
        <v>10</v>
      </c>
      <c r="I247" s="2"/>
      <c r="J247" s="4" t="s">
        <v>1473</v>
      </c>
      <c r="K247" s="151">
        <v>8</v>
      </c>
      <c r="L247" s="2"/>
      <c r="M247" s="7" t="s">
        <v>1488</v>
      </c>
      <c r="N247" s="152">
        <v>9.5</v>
      </c>
      <c r="O247" s="17"/>
      <c r="R247" s="244">
        <v>11</v>
      </c>
      <c r="S247" s="232" t="s">
        <v>332</v>
      </c>
      <c r="T247" s="232" t="s">
        <v>767</v>
      </c>
      <c r="U247" s="233">
        <v>9.4</v>
      </c>
      <c r="V247" s="317">
        <v>9.5500000000000007</v>
      </c>
      <c r="W247"/>
      <c r="X247"/>
      <c r="Y247"/>
      <c r="Z247"/>
      <c r="AA247"/>
      <c r="AB247"/>
      <c r="AC247"/>
      <c r="AD247"/>
      <c r="AE247"/>
      <c r="AF247"/>
      <c r="AG247"/>
      <c r="AH247"/>
      <c r="AI247"/>
    </row>
    <row r="248" spans="1:35" ht="16" customHeight="1" thickBot="1" x14ac:dyDescent="0.25">
      <c r="A248" s="4" t="s">
        <v>1510</v>
      </c>
      <c r="B248" s="151">
        <v>8.5</v>
      </c>
      <c r="C248" s="2"/>
      <c r="D248" s="4" t="s">
        <v>1453</v>
      </c>
      <c r="E248" s="151">
        <v>10</v>
      </c>
      <c r="F248" s="2"/>
      <c r="G248" s="4" t="s">
        <v>1495</v>
      </c>
      <c r="H248" s="151">
        <v>9</v>
      </c>
      <c r="I248" s="2"/>
      <c r="J248" s="4" t="s">
        <v>1474</v>
      </c>
      <c r="K248" s="151">
        <v>8</v>
      </c>
      <c r="L248" s="2"/>
      <c r="M248" s="2"/>
      <c r="N248" s="2"/>
      <c r="O248" s="17"/>
      <c r="R248" s="244">
        <v>12</v>
      </c>
      <c r="S248" s="235" t="s">
        <v>330</v>
      </c>
      <c r="T248" s="235" t="s">
        <v>269</v>
      </c>
      <c r="U248" s="236">
        <v>9.3800000000000008</v>
      </c>
      <c r="V248" s="300">
        <v>9.5299999999999994</v>
      </c>
      <c r="W248"/>
      <c r="X248"/>
      <c r="Y248"/>
      <c r="Z248"/>
      <c r="AA248"/>
      <c r="AB248"/>
      <c r="AC248"/>
      <c r="AD248"/>
      <c r="AE248"/>
      <c r="AF248"/>
      <c r="AG248"/>
      <c r="AH248"/>
      <c r="AI248"/>
    </row>
    <row r="249" spans="1:35" ht="16" customHeight="1" thickBot="1" x14ac:dyDescent="0.25">
      <c r="A249" s="4" t="s">
        <v>1511</v>
      </c>
      <c r="B249" s="151">
        <v>8.5</v>
      </c>
      <c r="C249" s="2"/>
      <c r="D249" s="4" t="s">
        <v>1454</v>
      </c>
      <c r="E249" s="151">
        <v>8.5</v>
      </c>
      <c r="F249" s="2"/>
      <c r="G249" s="4" t="s">
        <v>15</v>
      </c>
      <c r="H249" s="151">
        <v>10</v>
      </c>
      <c r="I249" s="2"/>
      <c r="J249" s="4" t="s">
        <v>1475</v>
      </c>
      <c r="K249" s="151">
        <v>8.5</v>
      </c>
      <c r="L249" s="2"/>
      <c r="M249" s="161" t="s">
        <v>1526</v>
      </c>
      <c r="N249" s="12">
        <f>ROUND(SUM(N250:N275)/COUNT(N250:N275), 2)</f>
        <v>8.67</v>
      </c>
      <c r="O249" s="17"/>
      <c r="R249" s="244">
        <v>13</v>
      </c>
      <c r="S249" s="232" t="s">
        <v>326</v>
      </c>
      <c r="T249" s="232" t="s">
        <v>2569</v>
      </c>
      <c r="U249" s="233">
        <v>9.25</v>
      </c>
      <c r="V249" s="300">
        <v>9.5299999999999994</v>
      </c>
      <c r="W249"/>
      <c r="X249"/>
      <c r="Y249"/>
      <c r="Z249"/>
      <c r="AA249"/>
      <c r="AB249"/>
      <c r="AC249"/>
      <c r="AD249"/>
      <c r="AE249"/>
      <c r="AF249"/>
      <c r="AG249"/>
      <c r="AH249"/>
      <c r="AI249"/>
    </row>
    <row r="250" spans="1:35" ht="16" customHeight="1" thickBot="1" x14ac:dyDescent="0.25">
      <c r="A250" s="4" t="s">
        <v>1512</v>
      </c>
      <c r="B250" s="151"/>
      <c r="C250" s="2"/>
      <c r="D250" s="4" t="s">
        <v>1455</v>
      </c>
      <c r="E250" s="151">
        <v>9</v>
      </c>
      <c r="F250" s="2"/>
      <c r="G250" s="4" t="s">
        <v>1496</v>
      </c>
      <c r="H250" s="151">
        <v>9</v>
      </c>
      <c r="I250" s="2"/>
      <c r="J250" s="7" t="s">
        <v>1476</v>
      </c>
      <c r="K250" s="152">
        <v>8</v>
      </c>
      <c r="L250" s="2"/>
      <c r="M250" s="11" t="s">
        <v>1525</v>
      </c>
      <c r="N250" s="150">
        <v>10</v>
      </c>
      <c r="O250" s="17"/>
      <c r="R250" s="244">
        <v>14</v>
      </c>
      <c r="S250" s="235" t="s">
        <v>331</v>
      </c>
      <c r="T250" s="235" t="s">
        <v>1181</v>
      </c>
      <c r="U250" s="236">
        <v>9.4</v>
      </c>
      <c r="V250" s="296">
        <v>9.4600000000000009</v>
      </c>
      <c r="W250"/>
      <c r="X250"/>
      <c r="Y250"/>
      <c r="Z250"/>
      <c r="AA250"/>
      <c r="AB250"/>
      <c r="AC250"/>
      <c r="AD250"/>
      <c r="AE250"/>
      <c r="AF250"/>
      <c r="AG250"/>
      <c r="AH250"/>
      <c r="AI250"/>
    </row>
    <row r="251" spans="1:35" ht="16" customHeight="1" thickBot="1" x14ac:dyDescent="0.25">
      <c r="A251" s="4" t="s">
        <v>1513</v>
      </c>
      <c r="B251" s="151">
        <v>8</v>
      </c>
      <c r="C251" s="2"/>
      <c r="D251" s="4" t="s">
        <v>1456</v>
      </c>
      <c r="E251" s="151">
        <v>8.5</v>
      </c>
      <c r="F251" s="2"/>
      <c r="G251" s="4" t="s">
        <v>1497</v>
      </c>
      <c r="H251" s="151">
        <v>8.5</v>
      </c>
      <c r="I251" s="2"/>
      <c r="J251" s="2"/>
      <c r="K251" s="2"/>
      <c r="L251" s="2"/>
      <c r="M251" s="4" t="s">
        <v>1527</v>
      </c>
      <c r="N251" s="151">
        <v>9</v>
      </c>
      <c r="O251" s="17"/>
      <c r="R251" s="244">
        <v>15</v>
      </c>
      <c r="S251" s="232" t="s">
        <v>2035</v>
      </c>
      <c r="T251" s="232" t="s">
        <v>2028</v>
      </c>
      <c r="U251" s="233">
        <v>9.31</v>
      </c>
      <c r="V251" s="253">
        <v>9.43</v>
      </c>
      <c r="W251"/>
      <c r="X251"/>
      <c r="Y251"/>
      <c r="Z251"/>
      <c r="AA251"/>
      <c r="AB251"/>
      <c r="AC251"/>
      <c r="AD251"/>
      <c r="AE251"/>
      <c r="AF251"/>
      <c r="AG251"/>
      <c r="AH251"/>
      <c r="AI251"/>
    </row>
    <row r="252" spans="1:35" ht="16" customHeight="1" thickBot="1" x14ac:dyDescent="0.25">
      <c r="A252" s="4" t="s">
        <v>1514</v>
      </c>
      <c r="B252" s="151">
        <v>10</v>
      </c>
      <c r="C252" s="2"/>
      <c r="D252" s="7" t="s">
        <v>1457</v>
      </c>
      <c r="E252" s="152">
        <v>8</v>
      </c>
      <c r="F252" s="2"/>
      <c r="G252" s="4" t="s">
        <v>1498</v>
      </c>
      <c r="H252" s="151">
        <v>8</v>
      </c>
      <c r="I252" s="2"/>
      <c r="J252" s="130" t="s">
        <v>1566</v>
      </c>
      <c r="K252" s="1">
        <f>ROUND(SUM(K253:K262)/COUNT(K253:K262), 2)</f>
        <v>8</v>
      </c>
      <c r="L252" s="2"/>
      <c r="M252" s="4" t="s">
        <v>1528</v>
      </c>
      <c r="N252" s="151">
        <v>8.5</v>
      </c>
      <c r="O252" s="17"/>
      <c r="R252" s="244">
        <v>16</v>
      </c>
      <c r="S252" s="235" t="s">
        <v>2487</v>
      </c>
      <c r="T252" s="235" t="s">
        <v>2471</v>
      </c>
      <c r="U252" s="236">
        <v>9.33</v>
      </c>
      <c r="V252" s="337">
        <v>9.3800000000000008</v>
      </c>
      <c r="W252"/>
      <c r="X252"/>
      <c r="Y252"/>
      <c r="Z252"/>
      <c r="AA252"/>
      <c r="AB252"/>
      <c r="AC252"/>
      <c r="AD252"/>
      <c r="AE252"/>
      <c r="AF252"/>
      <c r="AG252"/>
      <c r="AH252"/>
      <c r="AI252"/>
    </row>
    <row r="253" spans="1:35" ht="16" customHeight="1" thickBot="1" x14ac:dyDescent="0.25">
      <c r="A253" s="4" t="s">
        <v>1515</v>
      </c>
      <c r="B253" s="151">
        <v>10.5</v>
      </c>
      <c r="C253" s="2"/>
      <c r="D253" s="2"/>
      <c r="E253" s="2"/>
      <c r="F253" s="2"/>
      <c r="G253" s="4" t="s">
        <v>1499</v>
      </c>
      <c r="H253" s="151">
        <v>9</v>
      </c>
      <c r="I253" s="2"/>
      <c r="J253" s="11" t="s">
        <v>1556</v>
      </c>
      <c r="K253" s="150">
        <v>8.5</v>
      </c>
      <c r="L253" s="2"/>
      <c r="M253" s="4" t="s">
        <v>1529</v>
      </c>
      <c r="N253" s="151">
        <v>8</v>
      </c>
      <c r="O253" s="17"/>
      <c r="R253" s="244">
        <v>17</v>
      </c>
      <c r="S253" s="232" t="s">
        <v>335</v>
      </c>
      <c r="T253" s="232" t="s">
        <v>56</v>
      </c>
      <c r="U253" s="233">
        <v>9.25</v>
      </c>
      <c r="V253" s="305">
        <v>9.3699999999999992</v>
      </c>
      <c r="W253"/>
      <c r="X253"/>
      <c r="Y253"/>
      <c r="Z253"/>
      <c r="AA253"/>
      <c r="AB253"/>
      <c r="AC253"/>
      <c r="AD253"/>
      <c r="AE253"/>
      <c r="AF253"/>
      <c r="AG253"/>
      <c r="AH253"/>
      <c r="AI253"/>
    </row>
    <row r="254" spans="1:35" ht="16" customHeight="1" thickBot="1" x14ac:dyDescent="0.25">
      <c r="A254" s="4" t="s">
        <v>1516</v>
      </c>
      <c r="B254" s="151">
        <v>9</v>
      </c>
      <c r="C254" s="2"/>
      <c r="D254" s="131" t="s">
        <v>1571</v>
      </c>
      <c r="E254" s="1">
        <f>ROUND(SUM(E255:E264)/COUNT(E255:E264), 2)</f>
        <v>8.44</v>
      </c>
      <c r="F254" s="2"/>
      <c r="G254" s="4" t="s">
        <v>1500</v>
      </c>
      <c r="H254" s="151">
        <v>8</v>
      </c>
      <c r="I254" s="2"/>
      <c r="J254" s="4" t="s">
        <v>1557</v>
      </c>
      <c r="K254" s="151">
        <v>7.5</v>
      </c>
      <c r="L254" s="2"/>
      <c r="M254" s="4" t="s">
        <v>1530</v>
      </c>
      <c r="N254" s="151">
        <v>10.5</v>
      </c>
      <c r="O254" s="17"/>
      <c r="R254" s="244">
        <v>18</v>
      </c>
      <c r="S254" s="235" t="s">
        <v>327</v>
      </c>
      <c r="T254" s="235" t="s">
        <v>285</v>
      </c>
      <c r="U254" s="236">
        <v>9.15</v>
      </c>
      <c r="V254" s="305">
        <v>9.3699999999999992</v>
      </c>
      <c r="W254"/>
      <c r="X254"/>
      <c r="Y254"/>
      <c r="Z254"/>
      <c r="AA254"/>
      <c r="AB254"/>
      <c r="AC254"/>
      <c r="AD254"/>
      <c r="AE254"/>
      <c r="AF254"/>
      <c r="AG254"/>
      <c r="AH254"/>
      <c r="AI254"/>
    </row>
    <row r="255" spans="1:35" ht="16" customHeight="1" x14ac:dyDescent="0.2">
      <c r="A255" s="4" t="s">
        <v>1517</v>
      </c>
      <c r="B255" s="151">
        <v>8</v>
      </c>
      <c r="C255" s="2"/>
      <c r="D255" s="11" t="s">
        <v>1572</v>
      </c>
      <c r="E255" s="150">
        <v>8.5</v>
      </c>
      <c r="F255" s="2"/>
      <c r="G255" s="4" t="s">
        <v>1501</v>
      </c>
      <c r="H255" s="151">
        <v>8</v>
      </c>
      <c r="I255" s="2"/>
      <c r="J255" s="4" t="s">
        <v>1558</v>
      </c>
      <c r="K255" s="151">
        <v>9.5</v>
      </c>
      <c r="L255" s="2"/>
      <c r="M255" s="4" t="s">
        <v>1531</v>
      </c>
      <c r="N255" s="151">
        <v>9.5</v>
      </c>
      <c r="O255" s="17"/>
      <c r="R255" s="244">
        <v>19</v>
      </c>
      <c r="S255" s="232" t="s">
        <v>331</v>
      </c>
      <c r="T255" s="232" t="s">
        <v>1005</v>
      </c>
      <c r="U255" s="233">
        <v>9.3000000000000007</v>
      </c>
      <c r="V255" s="297">
        <v>9.36</v>
      </c>
      <c r="W255"/>
      <c r="X255"/>
      <c r="Y255"/>
      <c r="Z255"/>
      <c r="AA255"/>
      <c r="AB255"/>
      <c r="AC255"/>
      <c r="AD255"/>
      <c r="AE255"/>
      <c r="AF255"/>
      <c r="AG255"/>
      <c r="AH255"/>
      <c r="AI255"/>
    </row>
    <row r="256" spans="1:35" ht="16" customHeight="1" thickBot="1" x14ac:dyDescent="0.25">
      <c r="A256" s="4" t="s">
        <v>1518</v>
      </c>
      <c r="B256" s="151">
        <v>8</v>
      </c>
      <c r="C256" s="2"/>
      <c r="D256" s="4" t="s">
        <v>1573</v>
      </c>
      <c r="E256" s="151">
        <v>10</v>
      </c>
      <c r="F256" s="2"/>
      <c r="G256" s="7" t="s">
        <v>1502</v>
      </c>
      <c r="H256" s="152">
        <v>8</v>
      </c>
      <c r="I256" s="2"/>
      <c r="J256" s="4" t="s">
        <v>1559</v>
      </c>
      <c r="K256" s="151">
        <v>7.5</v>
      </c>
      <c r="L256" s="2"/>
      <c r="M256" s="4" t="s">
        <v>9</v>
      </c>
      <c r="N256" s="151">
        <v>8</v>
      </c>
      <c r="O256" s="17"/>
      <c r="R256" s="244">
        <v>20</v>
      </c>
      <c r="S256" s="235" t="s">
        <v>336</v>
      </c>
      <c r="T256" s="235" t="s">
        <v>188</v>
      </c>
      <c r="U256" s="236">
        <v>9.2100000000000009</v>
      </c>
      <c r="V256" s="287">
        <v>9.34</v>
      </c>
      <c r="W256"/>
      <c r="X256"/>
      <c r="Y256"/>
      <c r="Z256"/>
      <c r="AA256"/>
      <c r="AB256"/>
      <c r="AC256"/>
      <c r="AD256"/>
      <c r="AE256"/>
      <c r="AF256"/>
      <c r="AG256"/>
      <c r="AH256"/>
      <c r="AI256"/>
    </row>
    <row r="257" spans="1:35" ht="16" customHeight="1" thickBot="1" x14ac:dyDescent="0.25">
      <c r="A257" s="4" t="s">
        <v>1519</v>
      </c>
      <c r="B257" s="151">
        <v>8.5</v>
      </c>
      <c r="C257" s="2"/>
      <c r="D257" s="4" t="s">
        <v>1574</v>
      </c>
      <c r="E257" s="151">
        <v>9.5</v>
      </c>
      <c r="F257" s="2"/>
      <c r="G257" s="2"/>
      <c r="H257" s="2"/>
      <c r="I257" s="2"/>
      <c r="J257" s="4" t="s">
        <v>1560</v>
      </c>
      <c r="K257" s="151">
        <v>9</v>
      </c>
      <c r="L257" s="2"/>
      <c r="M257" s="4" t="s">
        <v>1532</v>
      </c>
      <c r="N257" s="151">
        <v>10.5</v>
      </c>
      <c r="O257" s="17"/>
      <c r="R257" s="244">
        <v>21</v>
      </c>
      <c r="S257" s="232" t="s">
        <v>334</v>
      </c>
      <c r="T257" s="232" t="s">
        <v>132</v>
      </c>
      <c r="U257" s="233">
        <v>9.2100000000000009</v>
      </c>
      <c r="V257" s="311">
        <v>9.2799999999999994</v>
      </c>
      <c r="W257"/>
      <c r="X257"/>
      <c r="Y257"/>
      <c r="Z257"/>
      <c r="AA257"/>
      <c r="AB257"/>
      <c r="AC257"/>
      <c r="AD257"/>
      <c r="AE257"/>
      <c r="AF257"/>
      <c r="AG257"/>
      <c r="AH257"/>
      <c r="AI257"/>
    </row>
    <row r="258" spans="1:35" ht="16" customHeight="1" thickBot="1" x14ac:dyDescent="0.25">
      <c r="A258" s="7" t="s">
        <v>1520</v>
      </c>
      <c r="B258" s="152">
        <v>8.5</v>
      </c>
      <c r="C258" s="2"/>
      <c r="D258" s="4" t="s">
        <v>1575</v>
      </c>
      <c r="E258" s="151">
        <v>10</v>
      </c>
      <c r="F258" s="2"/>
      <c r="G258" s="132" t="s">
        <v>1585</v>
      </c>
      <c r="H258" s="12">
        <f>ROUND(SUM(H259:H263)/COUNT(H259:H263), 2)</f>
        <v>8.9</v>
      </c>
      <c r="I258" s="2"/>
      <c r="J258" s="4" t="s">
        <v>1561</v>
      </c>
      <c r="K258" s="151">
        <v>6.5</v>
      </c>
      <c r="L258" s="2"/>
      <c r="M258" s="4" t="s">
        <v>1533</v>
      </c>
      <c r="N258" s="151">
        <v>10.5</v>
      </c>
      <c r="O258" s="17"/>
      <c r="R258" s="244">
        <v>22</v>
      </c>
      <c r="S258" s="235" t="s">
        <v>444</v>
      </c>
      <c r="T258" s="235" t="s">
        <v>36</v>
      </c>
      <c r="U258" s="236">
        <v>9.15</v>
      </c>
      <c r="V258" s="319">
        <v>9.23</v>
      </c>
      <c r="W258"/>
      <c r="X258"/>
      <c r="Y258"/>
      <c r="Z258"/>
      <c r="AA258"/>
      <c r="AB258"/>
      <c r="AC258"/>
      <c r="AD258"/>
      <c r="AE258"/>
      <c r="AF258"/>
      <c r="AG258"/>
      <c r="AH258"/>
      <c r="AI258"/>
    </row>
    <row r="259" spans="1:35" ht="16" customHeight="1" thickBot="1" x14ac:dyDescent="0.25">
      <c r="A259" s="2"/>
      <c r="B259" s="2"/>
      <c r="C259" s="2"/>
      <c r="D259" s="4" t="s">
        <v>1576</v>
      </c>
      <c r="E259" s="151"/>
      <c r="F259" s="2"/>
      <c r="G259" s="11" t="s">
        <v>1586</v>
      </c>
      <c r="H259" s="150">
        <v>9</v>
      </c>
      <c r="I259" s="2"/>
      <c r="J259" s="4" t="s">
        <v>1562</v>
      </c>
      <c r="K259" s="151"/>
      <c r="L259" s="2"/>
      <c r="M259" s="4" t="s">
        <v>1534</v>
      </c>
      <c r="N259" s="151">
        <v>9</v>
      </c>
      <c r="O259" s="17"/>
      <c r="R259" s="244">
        <v>23</v>
      </c>
      <c r="S259" s="232" t="s">
        <v>480</v>
      </c>
      <c r="T259" s="232" t="s">
        <v>498</v>
      </c>
      <c r="U259" s="233">
        <v>9.17</v>
      </c>
      <c r="V259" s="319">
        <v>9.23</v>
      </c>
      <c r="W259"/>
      <c r="X259"/>
      <c r="Y259"/>
      <c r="Z259"/>
      <c r="AA259"/>
      <c r="AB259"/>
      <c r="AC259"/>
      <c r="AD259"/>
      <c r="AE259"/>
      <c r="AF259"/>
      <c r="AG259"/>
      <c r="AH259"/>
      <c r="AI259"/>
    </row>
    <row r="260" spans="1:35" ht="16" customHeight="1" thickBot="1" x14ac:dyDescent="0.25">
      <c r="A260" s="133" t="s">
        <v>1594</v>
      </c>
      <c r="B260" s="1">
        <f>ROUND(SUM(B261:B270)/COUNT(B261:B270), 2)</f>
        <v>8.75</v>
      </c>
      <c r="C260" s="2"/>
      <c r="D260" s="4" t="s">
        <v>1577</v>
      </c>
      <c r="E260" s="151">
        <v>8</v>
      </c>
      <c r="F260" s="2"/>
      <c r="G260" s="4" t="s">
        <v>1587</v>
      </c>
      <c r="H260" s="151">
        <v>8.5</v>
      </c>
      <c r="I260" s="2"/>
      <c r="J260" s="4" t="s">
        <v>1563</v>
      </c>
      <c r="K260" s="151">
        <v>7.5</v>
      </c>
      <c r="L260" s="2"/>
      <c r="M260" s="4" t="s">
        <v>1535</v>
      </c>
      <c r="N260" s="151">
        <v>8.5</v>
      </c>
      <c r="O260" s="17"/>
      <c r="R260" s="244">
        <v>24</v>
      </c>
      <c r="S260" s="235" t="s">
        <v>335</v>
      </c>
      <c r="T260" s="235" t="s">
        <v>693</v>
      </c>
      <c r="U260" s="236">
        <v>9.1300000000000008</v>
      </c>
      <c r="V260" s="306">
        <v>9.2100000000000009</v>
      </c>
      <c r="W260"/>
      <c r="X260"/>
      <c r="Y260"/>
      <c r="Z260"/>
      <c r="AA260"/>
      <c r="AB260"/>
      <c r="AC260"/>
      <c r="AD260"/>
      <c r="AE260"/>
      <c r="AF260"/>
      <c r="AG260"/>
      <c r="AH260"/>
      <c r="AI260"/>
    </row>
    <row r="261" spans="1:35" ht="16" customHeight="1" x14ac:dyDescent="0.2">
      <c r="A261" s="4" t="s">
        <v>1595</v>
      </c>
      <c r="B261" s="151">
        <v>8</v>
      </c>
      <c r="C261" s="2"/>
      <c r="D261" s="4" t="s">
        <v>1578</v>
      </c>
      <c r="E261" s="151">
        <v>9</v>
      </c>
      <c r="F261" s="2"/>
      <c r="G261" s="4" t="s">
        <v>1588</v>
      </c>
      <c r="H261" s="151">
        <v>9</v>
      </c>
      <c r="I261" s="2"/>
      <c r="J261" s="4" t="s">
        <v>1564</v>
      </c>
      <c r="K261" s="151">
        <v>8.5</v>
      </c>
      <c r="L261" s="2"/>
      <c r="M261" s="4" t="s">
        <v>1536</v>
      </c>
      <c r="N261" s="151">
        <v>8</v>
      </c>
      <c r="O261" s="17"/>
      <c r="R261" s="244">
        <v>25</v>
      </c>
      <c r="S261" s="232" t="s">
        <v>337</v>
      </c>
      <c r="T261" s="232" t="s">
        <v>2568</v>
      </c>
      <c r="U261" s="233">
        <v>9.08</v>
      </c>
      <c r="V261" s="265">
        <v>9.17</v>
      </c>
      <c r="W261"/>
      <c r="X261"/>
      <c r="Y261"/>
      <c r="Z261"/>
      <c r="AA261"/>
      <c r="AB261"/>
      <c r="AC261"/>
      <c r="AD261"/>
      <c r="AE261"/>
      <c r="AF261"/>
      <c r="AG261"/>
      <c r="AH261"/>
      <c r="AI261"/>
    </row>
    <row r="262" spans="1:35" ht="16" customHeight="1" thickBot="1" x14ac:dyDescent="0.25">
      <c r="A262" s="4" t="s">
        <v>1596</v>
      </c>
      <c r="B262" s="151">
        <v>9.5</v>
      </c>
      <c r="C262" s="2"/>
      <c r="D262" s="4" t="s">
        <v>1579</v>
      </c>
      <c r="E262" s="151">
        <v>8</v>
      </c>
      <c r="F262" s="2"/>
      <c r="G262" s="4" t="s">
        <v>1589</v>
      </c>
      <c r="H262" s="151">
        <v>8</v>
      </c>
      <c r="I262" s="2"/>
      <c r="J262" s="7" t="s">
        <v>1565</v>
      </c>
      <c r="K262" s="152">
        <v>7.5</v>
      </c>
      <c r="L262" s="2"/>
      <c r="M262" s="4" t="s">
        <v>1537</v>
      </c>
      <c r="N262" s="151">
        <v>8</v>
      </c>
      <c r="O262" s="17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</row>
    <row r="263" spans="1:35" ht="16" customHeight="1" thickBot="1" x14ac:dyDescent="0.25">
      <c r="A263" s="4" t="s">
        <v>1597</v>
      </c>
      <c r="B263" s="151">
        <v>10</v>
      </c>
      <c r="C263" s="2"/>
      <c r="D263" s="4" t="s">
        <v>1580</v>
      </c>
      <c r="E263" s="151">
        <v>7</v>
      </c>
      <c r="F263" s="2"/>
      <c r="G263" s="7" t="s">
        <v>1590</v>
      </c>
      <c r="H263" s="152">
        <v>10</v>
      </c>
      <c r="I263" s="2"/>
      <c r="J263" s="2"/>
      <c r="K263" s="2"/>
      <c r="L263" s="2"/>
      <c r="M263" s="4" t="s">
        <v>1538</v>
      </c>
      <c r="N263" s="151">
        <v>7.5</v>
      </c>
      <c r="O263" s="17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</row>
    <row r="264" spans="1:35" ht="16" customHeight="1" thickBot="1" x14ac:dyDescent="0.25">
      <c r="A264" s="4" t="s">
        <v>1598</v>
      </c>
      <c r="B264" s="151">
        <v>9.5</v>
      </c>
      <c r="C264" s="2"/>
      <c r="D264" s="7" t="s">
        <v>1581</v>
      </c>
      <c r="E264" s="152">
        <v>6</v>
      </c>
      <c r="F264" s="2"/>
      <c r="G264" s="2"/>
      <c r="H264" s="2"/>
      <c r="I264" s="2"/>
      <c r="J264" s="134" t="s">
        <v>1610</v>
      </c>
      <c r="K264" s="1">
        <f>ROUND(SUM(K265:K274)/COUNT(K265:K274), 2)</f>
        <v>8.94</v>
      </c>
      <c r="L264" s="2"/>
      <c r="M264" s="4" t="s">
        <v>1539</v>
      </c>
      <c r="N264" s="151">
        <v>8</v>
      </c>
      <c r="O264" s="17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</row>
    <row r="265" spans="1:35" ht="16" customHeight="1" thickBot="1" x14ac:dyDescent="0.25">
      <c r="A265" s="4" t="s">
        <v>1599</v>
      </c>
      <c r="B265" s="151">
        <v>8</v>
      </c>
      <c r="C265" s="2"/>
      <c r="D265" s="2"/>
      <c r="E265" s="2"/>
      <c r="F265" s="2"/>
      <c r="G265" s="136" t="s">
        <v>1644</v>
      </c>
      <c r="H265" s="12">
        <f>ROUND(SUM(H266:H274)/COUNT(H266:H274), 2)</f>
        <v>8.75</v>
      </c>
      <c r="I265" s="2"/>
      <c r="J265" s="11" t="s">
        <v>1611</v>
      </c>
      <c r="K265" s="150">
        <v>8</v>
      </c>
      <c r="L265" s="2"/>
      <c r="M265" s="4" t="s">
        <v>1540</v>
      </c>
      <c r="N265" s="151">
        <v>9</v>
      </c>
      <c r="O265" s="17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</row>
    <row r="266" spans="1:35" ht="16" customHeight="1" thickBot="1" x14ac:dyDescent="0.3">
      <c r="A266" s="4" t="s">
        <v>1600</v>
      </c>
      <c r="B266" s="151">
        <v>8.5</v>
      </c>
      <c r="C266" s="2"/>
      <c r="D266" s="135" t="s">
        <v>1621</v>
      </c>
      <c r="E266" s="12">
        <f>ROUND(SUM(E267:E276)/COUNT(E267:E276), 2)</f>
        <v>8.6</v>
      </c>
      <c r="F266" s="2"/>
      <c r="G266" s="11" t="s">
        <v>1635</v>
      </c>
      <c r="H266" s="150">
        <v>8.5</v>
      </c>
      <c r="I266" s="2"/>
      <c r="J266" s="4" t="s">
        <v>1612</v>
      </c>
      <c r="K266" s="151">
        <v>8.5</v>
      </c>
      <c r="L266" s="2"/>
      <c r="M266" s="4" t="s">
        <v>1541</v>
      </c>
      <c r="N266" s="151">
        <v>8</v>
      </c>
      <c r="O266" s="17"/>
      <c r="R266" s="367" t="s">
        <v>2845</v>
      </c>
      <c r="S266" s="367"/>
      <c r="T266" s="367"/>
      <c r="U266" s="367"/>
      <c r="V266" s="367"/>
      <c r="W266"/>
      <c r="X266"/>
      <c r="Y266"/>
      <c r="Z266"/>
      <c r="AA266"/>
      <c r="AB266"/>
      <c r="AC266"/>
      <c r="AD266"/>
      <c r="AE266"/>
      <c r="AF266"/>
      <c r="AG266"/>
      <c r="AH266"/>
      <c r="AI266"/>
    </row>
    <row r="267" spans="1:35" ht="16" customHeight="1" x14ac:dyDescent="0.2">
      <c r="A267" s="4" t="s">
        <v>1601</v>
      </c>
      <c r="B267" s="151">
        <v>8.5</v>
      </c>
      <c r="C267" s="2"/>
      <c r="D267" s="11" t="s">
        <v>1622</v>
      </c>
      <c r="E267" s="150">
        <v>9.5</v>
      </c>
      <c r="F267" s="2"/>
      <c r="G267" s="4" t="s">
        <v>1636</v>
      </c>
      <c r="H267" s="151">
        <v>10</v>
      </c>
      <c r="I267" s="2"/>
      <c r="J267" s="4" t="s">
        <v>1613</v>
      </c>
      <c r="K267" s="151">
        <v>8.5</v>
      </c>
      <c r="L267" s="2"/>
      <c r="M267" s="4" t="s">
        <v>1542</v>
      </c>
      <c r="N267" s="151">
        <v>7.5</v>
      </c>
      <c r="O267" s="17"/>
      <c r="R267" s="231" t="s">
        <v>352</v>
      </c>
      <c r="S267" s="231" t="s">
        <v>319</v>
      </c>
      <c r="T267" s="231" t="s">
        <v>320</v>
      </c>
      <c r="U267" s="231" t="s">
        <v>321</v>
      </c>
      <c r="V267" s="231" t="s">
        <v>1002</v>
      </c>
      <c r="W267"/>
      <c r="X267"/>
      <c r="Y267"/>
      <c r="Z267"/>
      <c r="AA267"/>
      <c r="AB267"/>
      <c r="AC267"/>
      <c r="AD267"/>
      <c r="AE267"/>
      <c r="AF267"/>
      <c r="AG267"/>
      <c r="AH267"/>
      <c r="AI267"/>
    </row>
    <row r="268" spans="1:35" ht="16" customHeight="1" x14ac:dyDescent="0.2">
      <c r="A268" s="4" t="s">
        <v>1602</v>
      </c>
      <c r="B268" s="151">
        <v>8</v>
      </c>
      <c r="C268" s="2"/>
      <c r="D268" s="4" t="s">
        <v>1623</v>
      </c>
      <c r="E268" s="151">
        <v>8.5</v>
      </c>
      <c r="F268" s="2"/>
      <c r="G268" s="4" t="s">
        <v>1643</v>
      </c>
      <c r="H268" s="151">
        <v>9</v>
      </c>
      <c r="I268" s="2"/>
      <c r="J268" s="4" t="s">
        <v>1614</v>
      </c>
      <c r="K268" s="151">
        <v>9</v>
      </c>
      <c r="L268" s="2"/>
      <c r="M268" s="4" t="s">
        <v>1543</v>
      </c>
      <c r="N268" s="151">
        <v>8</v>
      </c>
      <c r="O268" s="17"/>
      <c r="R268" s="238">
        <v>1</v>
      </c>
      <c r="S268" s="232" t="s">
        <v>326</v>
      </c>
      <c r="T268" s="232" t="s">
        <v>2823</v>
      </c>
      <c r="U268" s="233">
        <v>9.5399999999999991</v>
      </c>
      <c r="V268" s="366">
        <v>9.92</v>
      </c>
      <c r="W268"/>
      <c r="X268"/>
      <c r="Y268"/>
      <c r="Z268"/>
      <c r="AA268"/>
      <c r="AB268"/>
      <c r="AC268"/>
      <c r="AD268"/>
      <c r="AE268"/>
      <c r="AF268"/>
      <c r="AG268"/>
      <c r="AH268"/>
      <c r="AI268"/>
    </row>
    <row r="269" spans="1:35" ht="16" customHeight="1" x14ac:dyDescent="0.2">
      <c r="A269" s="4" t="s">
        <v>1603</v>
      </c>
      <c r="B269" s="151">
        <v>7.5</v>
      </c>
      <c r="C269" s="2"/>
      <c r="D269" s="4" t="s">
        <v>1624</v>
      </c>
      <c r="E269" s="151">
        <v>8.5</v>
      </c>
      <c r="F269" s="2"/>
      <c r="G269" s="4" t="s">
        <v>1637</v>
      </c>
      <c r="H269" s="151">
        <v>8.5</v>
      </c>
      <c r="I269" s="2"/>
      <c r="J269" s="4" t="s">
        <v>1615</v>
      </c>
      <c r="K269" s="151">
        <v>10</v>
      </c>
      <c r="L269" s="2"/>
      <c r="M269" s="4" t="s">
        <v>1544</v>
      </c>
      <c r="N269" s="151">
        <v>7.5</v>
      </c>
      <c r="O269" s="17"/>
      <c r="R269" s="240">
        <v>2</v>
      </c>
      <c r="S269" s="235" t="s">
        <v>334</v>
      </c>
      <c r="T269" s="235" t="s">
        <v>2824</v>
      </c>
      <c r="U269" s="236">
        <v>8.92</v>
      </c>
      <c r="V269" s="328">
        <v>8.93</v>
      </c>
      <c r="W269"/>
      <c r="X269"/>
      <c r="Y269"/>
      <c r="Z269"/>
      <c r="AA269"/>
      <c r="AB269"/>
      <c r="AC269"/>
      <c r="AD269"/>
      <c r="AE269"/>
      <c r="AF269"/>
      <c r="AG269"/>
      <c r="AH269"/>
      <c r="AI269"/>
    </row>
    <row r="270" spans="1:35" ht="16" customHeight="1" thickBot="1" x14ac:dyDescent="0.25">
      <c r="A270" s="7" t="s">
        <v>1604</v>
      </c>
      <c r="B270" s="152">
        <v>10</v>
      </c>
      <c r="C270" s="2"/>
      <c r="D270" s="4" t="s">
        <v>1625</v>
      </c>
      <c r="E270" s="151">
        <v>8</v>
      </c>
      <c r="F270" s="2"/>
      <c r="G270" s="4" t="s">
        <v>1638</v>
      </c>
      <c r="H270" s="151">
        <v>8.5</v>
      </c>
      <c r="I270" s="2"/>
      <c r="J270" s="4" t="s">
        <v>1616</v>
      </c>
      <c r="K270" s="151">
        <v>10.5</v>
      </c>
      <c r="L270" s="2"/>
      <c r="M270" s="4" t="s">
        <v>1545</v>
      </c>
      <c r="N270" s="151">
        <v>7.5</v>
      </c>
      <c r="O270" s="17"/>
      <c r="R270" s="242">
        <v>3</v>
      </c>
      <c r="S270" s="232" t="s">
        <v>480</v>
      </c>
      <c r="T270" s="232" t="s">
        <v>2825</v>
      </c>
      <c r="U270" s="233">
        <v>8.9700000000000006</v>
      </c>
      <c r="V270" s="361">
        <v>9.0299999999999994</v>
      </c>
      <c r="W270"/>
      <c r="X270"/>
      <c r="Y270"/>
      <c r="Z270"/>
      <c r="AA270"/>
      <c r="AB270"/>
      <c r="AC270"/>
      <c r="AD270"/>
      <c r="AE270"/>
      <c r="AF270"/>
      <c r="AG270"/>
      <c r="AH270"/>
      <c r="AI270"/>
    </row>
    <row r="271" spans="1:35" ht="16" customHeight="1" thickBot="1" x14ac:dyDescent="0.25">
      <c r="A271" s="2"/>
      <c r="B271" s="2"/>
      <c r="C271" s="2"/>
      <c r="D271" s="4" t="s">
        <v>1626</v>
      </c>
      <c r="E271" s="151">
        <v>7.5</v>
      </c>
      <c r="F271" s="2"/>
      <c r="G271" s="4" t="s">
        <v>1639</v>
      </c>
      <c r="H271" s="151"/>
      <c r="I271" s="2"/>
      <c r="J271" s="4" t="s">
        <v>1617</v>
      </c>
      <c r="K271" s="151"/>
      <c r="L271" s="2"/>
      <c r="M271" s="4" t="s">
        <v>1546</v>
      </c>
      <c r="N271" s="151">
        <v>7.5</v>
      </c>
      <c r="O271" s="17"/>
      <c r="R271" s="244">
        <v>4</v>
      </c>
      <c r="S271" s="235" t="s">
        <v>1522</v>
      </c>
      <c r="T271" s="235" t="s">
        <v>1523</v>
      </c>
      <c r="U271" s="236">
        <v>8.82</v>
      </c>
      <c r="V271" s="275">
        <v>8.84</v>
      </c>
      <c r="W271"/>
      <c r="X271"/>
      <c r="Y271"/>
      <c r="Z271"/>
      <c r="AA271"/>
      <c r="AB271"/>
      <c r="AC271"/>
      <c r="AD271"/>
      <c r="AE271"/>
      <c r="AF271"/>
      <c r="AG271"/>
      <c r="AH271"/>
      <c r="AI271"/>
    </row>
    <row r="272" spans="1:35" ht="16" customHeight="1" thickBot="1" x14ac:dyDescent="0.25">
      <c r="A272" s="137" t="s">
        <v>1651</v>
      </c>
      <c r="B272" s="12">
        <f>ROUND(SUM(B273:B277)/COUNT(B273:B277), 2)</f>
        <v>8.4</v>
      </c>
      <c r="C272" s="2"/>
      <c r="D272" s="4" t="s">
        <v>1627</v>
      </c>
      <c r="E272" s="151">
        <v>9.5</v>
      </c>
      <c r="F272" s="2"/>
      <c r="G272" s="4" t="s">
        <v>1640</v>
      </c>
      <c r="H272" s="151">
        <v>8.5</v>
      </c>
      <c r="I272" s="2"/>
      <c r="J272" s="4" t="s">
        <v>1618</v>
      </c>
      <c r="K272" s="151">
        <v>9</v>
      </c>
      <c r="L272" s="2"/>
      <c r="M272" s="4" t="s">
        <v>1547</v>
      </c>
      <c r="N272" s="151">
        <v>9</v>
      </c>
      <c r="O272" s="17"/>
      <c r="R272" s="244">
        <v>5</v>
      </c>
      <c r="S272" s="232" t="s">
        <v>1279</v>
      </c>
      <c r="T272" s="232" t="s">
        <v>1280</v>
      </c>
      <c r="U272" s="233">
        <v>8.67</v>
      </c>
      <c r="V272" s="267">
        <v>8.7899999999999991</v>
      </c>
      <c r="W272"/>
      <c r="X272"/>
      <c r="Y272"/>
      <c r="Z272"/>
      <c r="AA272"/>
      <c r="AB272"/>
      <c r="AC272"/>
      <c r="AD272"/>
      <c r="AE272"/>
      <c r="AF272"/>
      <c r="AG272"/>
      <c r="AH272"/>
      <c r="AI272"/>
    </row>
    <row r="273" spans="1:35" ht="16" customHeight="1" x14ac:dyDescent="0.2">
      <c r="A273" s="4" t="s">
        <v>1652</v>
      </c>
      <c r="B273" s="151">
        <v>8.5</v>
      </c>
      <c r="C273" s="2"/>
      <c r="D273" s="4" t="s">
        <v>1628</v>
      </c>
      <c r="E273" s="151">
        <v>10</v>
      </c>
      <c r="F273" s="2"/>
      <c r="G273" s="4" t="s">
        <v>1641</v>
      </c>
      <c r="H273" s="151">
        <v>9</v>
      </c>
      <c r="I273" s="2"/>
      <c r="J273" s="4" t="s">
        <v>1619</v>
      </c>
      <c r="K273" s="151">
        <v>8.5</v>
      </c>
      <c r="L273" s="2"/>
      <c r="M273" s="4" t="s">
        <v>1548</v>
      </c>
      <c r="N273" s="151">
        <v>10</v>
      </c>
      <c r="O273" s="17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</row>
    <row r="274" spans="1:35" ht="16" customHeight="1" thickBot="1" x14ac:dyDescent="0.3">
      <c r="A274" s="4" t="s">
        <v>1653</v>
      </c>
      <c r="B274" s="151">
        <v>9</v>
      </c>
      <c r="C274" s="2"/>
      <c r="D274" s="4" t="s">
        <v>1629</v>
      </c>
      <c r="E274" s="151">
        <v>8</v>
      </c>
      <c r="F274" s="2"/>
      <c r="G274" s="7" t="s">
        <v>1642</v>
      </c>
      <c r="H274" s="152">
        <v>8</v>
      </c>
      <c r="I274" s="2"/>
      <c r="J274" s="7" t="s">
        <v>1620</v>
      </c>
      <c r="K274" s="152">
        <v>8.5</v>
      </c>
      <c r="L274" s="2"/>
      <c r="M274" s="4" t="s">
        <v>1549</v>
      </c>
      <c r="N274" s="151">
        <v>9</v>
      </c>
      <c r="O274" s="17"/>
      <c r="R274" s="367" t="s">
        <v>2846</v>
      </c>
      <c r="S274" s="367"/>
      <c r="T274" s="367"/>
      <c r="U274" s="367"/>
      <c r="V274" s="367"/>
      <c r="W274"/>
      <c r="X274"/>
      <c r="Y274"/>
      <c r="Z274"/>
      <c r="AA274"/>
      <c r="AB274"/>
      <c r="AC274"/>
      <c r="AD274"/>
      <c r="AE274"/>
      <c r="AF274"/>
      <c r="AG274"/>
      <c r="AH274"/>
      <c r="AI274"/>
    </row>
    <row r="275" spans="1:35" ht="16" customHeight="1" thickBot="1" x14ac:dyDescent="0.25">
      <c r="A275" s="4" t="s">
        <v>1654</v>
      </c>
      <c r="B275" s="151">
        <v>8.5</v>
      </c>
      <c r="C275" s="2"/>
      <c r="D275" s="4" t="s">
        <v>1630</v>
      </c>
      <c r="E275" s="151">
        <v>7.5</v>
      </c>
      <c r="F275" s="2"/>
      <c r="G275" s="2"/>
      <c r="H275" s="2"/>
      <c r="I275" s="2"/>
      <c r="J275" s="2"/>
      <c r="K275" s="2"/>
      <c r="L275" s="2"/>
      <c r="M275" s="7" t="s">
        <v>1550</v>
      </c>
      <c r="N275" s="152">
        <v>9</v>
      </c>
      <c r="O275" s="17"/>
      <c r="R275" s="231" t="s">
        <v>352</v>
      </c>
      <c r="S275" s="231" t="s">
        <v>319</v>
      </c>
      <c r="T275" s="231" t="s">
        <v>320</v>
      </c>
      <c r="U275" s="231" t="s">
        <v>321</v>
      </c>
      <c r="V275" s="231" t="s">
        <v>1002</v>
      </c>
      <c r="W275"/>
      <c r="X275"/>
      <c r="Y275"/>
      <c r="Z275"/>
      <c r="AA275"/>
      <c r="AB275"/>
      <c r="AC275"/>
      <c r="AD275"/>
      <c r="AE275"/>
      <c r="AF275"/>
      <c r="AG275"/>
      <c r="AH275"/>
      <c r="AI275"/>
    </row>
    <row r="276" spans="1:35" ht="16" customHeight="1" thickBot="1" x14ac:dyDescent="0.25">
      <c r="A276" s="4" t="s">
        <v>1655</v>
      </c>
      <c r="B276" s="151">
        <v>8</v>
      </c>
      <c r="C276" s="2"/>
      <c r="D276" s="7" t="s">
        <v>1631</v>
      </c>
      <c r="E276" s="152">
        <v>9</v>
      </c>
      <c r="F276" s="2"/>
      <c r="G276" s="138" t="s">
        <v>1661</v>
      </c>
      <c r="H276" s="1">
        <f>ROUND(SUM(H277:H286)/COUNT(H277:H286), 2)</f>
        <v>8.85</v>
      </c>
      <c r="I276" s="2"/>
      <c r="J276" s="139" t="s">
        <v>1685</v>
      </c>
      <c r="K276" s="1">
        <f>ROUND(SUM(K277:K284)/COUNT(K277:K284), 2)</f>
        <v>8.7100000000000009</v>
      </c>
      <c r="L276" s="2"/>
      <c r="M276" s="2"/>
      <c r="N276" s="2"/>
      <c r="O276" s="17"/>
      <c r="R276" s="238">
        <v>1</v>
      </c>
      <c r="S276" s="232" t="s">
        <v>332</v>
      </c>
      <c r="T276" s="232" t="s">
        <v>2826</v>
      </c>
      <c r="U276" s="233">
        <v>9.48</v>
      </c>
      <c r="V276" s="335">
        <v>9.73</v>
      </c>
      <c r="W276"/>
      <c r="X276"/>
      <c r="Y276"/>
      <c r="Z276"/>
      <c r="AA276"/>
      <c r="AB276"/>
      <c r="AC276"/>
      <c r="AD276"/>
      <c r="AE276"/>
      <c r="AF276"/>
      <c r="AG276"/>
      <c r="AH276"/>
      <c r="AI276"/>
    </row>
    <row r="277" spans="1:35" ht="16" customHeight="1" thickBot="1" x14ac:dyDescent="0.25">
      <c r="A277" s="7" t="s">
        <v>1656</v>
      </c>
      <c r="B277" s="152">
        <v>8</v>
      </c>
      <c r="C277" s="2"/>
      <c r="D277" s="2"/>
      <c r="E277" s="2"/>
      <c r="F277" s="2"/>
      <c r="G277" s="11" t="s">
        <v>1662</v>
      </c>
      <c r="H277" s="150">
        <v>9.5</v>
      </c>
      <c r="I277" s="2"/>
      <c r="J277" s="11" t="s">
        <v>1675</v>
      </c>
      <c r="K277" s="150">
        <v>8.5</v>
      </c>
      <c r="L277" s="2"/>
      <c r="M277" s="141" t="s">
        <v>1696</v>
      </c>
      <c r="N277" s="1">
        <f>ROUND(SUM(N278:N282)/COUNT(N278:N282), 2)</f>
        <v>8.4</v>
      </c>
      <c r="O277" s="17"/>
      <c r="R277" s="240">
        <v>2</v>
      </c>
      <c r="S277" s="235" t="s">
        <v>331</v>
      </c>
      <c r="T277" s="235" t="s">
        <v>2827</v>
      </c>
      <c r="U277" s="236">
        <v>9.35</v>
      </c>
      <c r="V277" s="358">
        <v>9.41</v>
      </c>
      <c r="W277"/>
      <c r="X277"/>
      <c r="Y277"/>
      <c r="Z277"/>
      <c r="AA277"/>
      <c r="AB277"/>
      <c r="AC277"/>
      <c r="AD277"/>
      <c r="AE277"/>
      <c r="AF277"/>
      <c r="AG277"/>
      <c r="AH277"/>
      <c r="AI277"/>
    </row>
    <row r="278" spans="1:35" ht="16" customHeight="1" thickBot="1" x14ac:dyDescent="0.25">
      <c r="A278" s="2"/>
      <c r="B278" s="2"/>
      <c r="C278" s="2"/>
      <c r="D278" s="140" t="s">
        <v>1686</v>
      </c>
      <c r="E278" s="12">
        <f>ROUND(SUM(E279:E286)/COUNT(E279:E286), 2)</f>
        <v>8.81</v>
      </c>
      <c r="F278" s="2"/>
      <c r="G278" s="4" t="s">
        <v>1663</v>
      </c>
      <c r="H278" s="151">
        <v>9</v>
      </c>
      <c r="I278" s="2"/>
      <c r="J278" s="4" t="s">
        <v>1676</v>
      </c>
      <c r="K278" s="151">
        <v>9</v>
      </c>
      <c r="L278" s="2"/>
      <c r="M278" s="4" t="s">
        <v>1697</v>
      </c>
      <c r="N278" s="151">
        <v>8</v>
      </c>
      <c r="O278" s="17"/>
      <c r="R278" s="242">
        <v>3</v>
      </c>
      <c r="S278" s="232" t="s">
        <v>2487</v>
      </c>
      <c r="T278" s="232" t="s">
        <v>2471</v>
      </c>
      <c r="U278" s="233">
        <v>9.33</v>
      </c>
      <c r="V278" s="337">
        <v>9.3800000000000008</v>
      </c>
      <c r="W278"/>
      <c r="X278"/>
      <c r="Y278"/>
      <c r="Z278"/>
      <c r="AA278"/>
      <c r="AB278"/>
      <c r="AC278"/>
      <c r="AD278"/>
      <c r="AE278"/>
      <c r="AF278"/>
      <c r="AG278"/>
      <c r="AH278"/>
      <c r="AI278"/>
    </row>
    <row r="279" spans="1:35" ht="16" customHeight="1" thickBot="1" x14ac:dyDescent="0.25">
      <c r="A279" s="142" t="s">
        <v>1703</v>
      </c>
      <c r="B279" s="12">
        <f>ROUND(SUM(B280:B307)/COUNT(B280:B307), 2)</f>
        <v>8.57</v>
      </c>
      <c r="C279" s="2"/>
      <c r="D279" s="11" t="s">
        <v>1687</v>
      </c>
      <c r="E279" s="150">
        <v>8</v>
      </c>
      <c r="F279" s="2"/>
      <c r="G279" s="4" t="s">
        <v>1664</v>
      </c>
      <c r="H279" s="151">
        <v>10</v>
      </c>
      <c r="I279" s="2"/>
      <c r="J279" s="4" t="s">
        <v>1677</v>
      </c>
      <c r="K279" s="151"/>
      <c r="L279" s="2"/>
      <c r="M279" s="4" t="s">
        <v>1698</v>
      </c>
      <c r="N279" s="151">
        <v>7.5</v>
      </c>
      <c r="O279" s="17"/>
      <c r="R279" s="244">
        <v>4</v>
      </c>
      <c r="S279" s="235" t="s">
        <v>444</v>
      </c>
      <c r="T279" s="235" t="s">
        <v>36</v>
      </c>
      <c r="U279" s="236">
        <v>9.15</v>
      </c>
      <c r="V279" s="319">
        <v>9.23</v>
      </c>
      <c r="W279"/>
      <c r="X279"/>
      <c r="Y279"/>
      <c r="Z279"/>
      <c r="AA279"/>
      <c r="AB279"/>
      <c r="AC279"/>
      <c r="AD279"/>
      <c r="AE279"/>
      <c r="AF279"/>
      <c r="AG279"/>
      <c r="AH279"/>
      <c r="AI279"/>
    </row>
    <row r="280" spans="1:35" ht="16" customHeight="1" x14ac:dyDescent="0.2">
      <c r="A280" s="11" t="s">
        <v>1704</v>
      </c>
      <c r="B280" s="150"/>
      <c r="C280" s="2"/>
      <c r="D280" s="4" t="s">
        <v>1688</v>
      </c>
      <c r="E280" s="151">
        <v>8.5</v>
      </c>
      <c r="F280" s="2"/>
      <c r="G280" s="4" t="s">
        <v>1665</v>
      </c>
      <c r="H280" s="151">
        <v>8.5</v>
      </c>
      <c r="I280" s="2"/>
      <c r="J280" s="4" t="s">
        <v>1678</v>
      </c>
      <c r="K280" s="151">
        <v>8.5</v>
      </c>
      <c r="L280" s="2"/>
      <c r="M280" s="4" t="s">
        <v>1699</v>
      </c>
      <c r="N280" s="151">
        <v>8</v>
      </c>
      <c r="O280" s="17"/>
      <c r="R280" s="244">
        <v>5</v>
      </c>
      <c r="S280" s="232" t="s">
        <v>480</v>
      </c>
      <c r="T280" s="232" t="s">
        <v>2828</v>
      </c>
      <c r="U280" s="233">
        <v>9.06</v>
      </c>
      <c r="V280" s="362">
        <v>9.14</v>
      </c>
      <c r="W280"/>
      <c r="X280"/>
      <c r="Y280"/>
      <c r="Z280"/>
      <c r="AA280"/>
      <c r="AB280"/>
      <c r="AC280"/>
      <c r="AD280"/>
      <c r="AE280"/>
      <c r="AF280"/>
      <c r="AG280"/>
      <c r="AH280"/>
      <c r="AI280"/>
    </row>
    <row r="281" spans="1:35" ht="16" customHeight="1" x14ac:dyDescent="0.2">
      <c r="A281" s="4" t="s">
        <v>1705</v>
      </c>
      <c r="B281" s="151">
        <v>10</v>
      </c>
      <c r="C281" s="2"/>
      <c r="D281" s="4" t="s">
        <v>1689</v>
      </c>
      <c r="E281" s="151">
        <v>8</v>
      </c>
      <c r="F281" s="2"/>
      <c r="G281" s="4" t="s">
        <v>1666</v>
      </c>
      <c r="H281" s="151">
        <v>8</v>
      </c>
      <c r="I281" s="2"/>
      <c r="J281" s="4" t="s">
        <v>1679</v>
      </c>
      <c r="K281" s="151">
        <v>10</v>
      </c>
      <c r="L281" s="2"/>
      <c r="M281" s="4" t="s">
        <v>1700</v>
      </c>
      <c r="N281" s="151">
        <v>8.5</v>
      </c>
      <c r="O281" s="17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</row>
    <row r="282" spans="1:35" ht="16" customHeight="1" thickBot="1" x14ac:dyDescent="0.3">
      <c r="A282" s="4" t="s">
        <v>1706</v>
      </c>
      <c r="B282" s="151">
        <v>8</v>
      </c>
      <c r="C282" s="2"/>
      <c r="D282" s="4" t="s">
        <v>1690</v>
      </c>
      <c r="E282" s="151">
        <v>8.5</v>
      </c>
      <c r="F282" s="2"/>
      <c r="G282" s="4" t="s">
        <v>1667</v>
      </c>
      <c r="H282" s="151">
        <v>8.5</v>
      </c>
      <c r="I282" s="2"/>
      <c r="J282" s="4" t="s">
        <v>1680</v>
      </c>
      <c r="K282" s="151">
        <v>8</v>
      </c>
      <c r="L282" s="2"/>
      <c r="M282" s="7" t="s">
        <v>1701</v>
      </c>
      <c r="N282" s="152">
        <v>10</v>
      </c>
      <c r="O282" s="17"/>
      <c r="R282" s="367" t="s">
        <v>2847</v>
      </c>
      <c r="S282" s="367"/>
      <c r="T282" s="367"/>
      <c r="U282" s="367"/>
      <c r="V282" s="367"/>
      <c r="W282"/>
      <c r="X282"/>
      <c r="Y282"/>
      <c r="Z282"/>
      <c r="AA282"/>
      <c r="AB282"/>
      <c r="AC282"/>
      <c r="AD282"/>
      <c r="AE282"/>
      <c r="AF282"/>
      <c r="AG282"/>
      <c r="AH282"/>
      <c r="AI282"/>
    </row>
    <row r="283" spans="1:35" ht="16" customHeight="1" thickBot="1" x14ac:dyDescent="0.25">
      <c r="A283" s="4" t="s">
        <v>1707</v>
      </c>
      <c r="B283" s="151">
        <v>9.5</v>
      </c>
      <c r="C283" s="2"/>
      <c r="D283" s="4" t="s">
        <v>1691</v>
      </c>
      <c r="E283" s="151">
        <v>10</v>
      </c>
      <c r="F283" s="2"/>
      <c r="G283" s="4" t="s">
        <v>1668</v>
      </c>
      <c r="H283" s="151">
        <v>8.5</v>
      </c>
      <c r="I283" s="2"/>
      <c r="J283" s="4" t="s">
        <v>1681</v>
      </c>
      <c r="K283" s="151">
        <v>9</v>
      </c>
      <c r="L283" s="2"/>
      <c r="M283" s="2"/>
      <c r="N283" s="2"/>
      <c r="O283" s="17"/>
      <c r="R283" s="231" t="s">
        <v>352</v>
      </c>
      <c r="S283" s="231" t="s">
        <v>319</v>
      </c>
      <c r="T283" s="231" t="s">
        <v>320</v>
      </c>
      <c r="U283" s="231" t="s">
        <v>321</v>
      </c>
      <c r="V283" s="231" t="s">
        <v>1002</v>
      </c>
      <c r="W283"/>
      <c r="X283"/>
      <c r="Y283"/>
      <c r="Z283"/>
      <c r="AA283"/>
      <c r="AB283"/>
      <c r="AC283"/>
      <c r="AD283"/>
      <c r="AE283"/>
      <c r="AF283"/>
      <c r="AG283"/>
      <c r="AH283"/>
      <c r="AI283"/>
    </row>
    <row r="284" spans="1:35" ht="16" customHeight="1" thickBot="1" x14ac:dyDescent="0.25">
      <c r="A284" s="4" t="s">
        <v>1708</v>
      </c>
      <c r="B284" s="151">
        <v>8</v>
      </c>
      <c r="C284" s="2"/>
      <c r="D284" s="4" t="s">
        <v>1692</v>
      </c>
      <c r="E284" s="151">
        <v>9.5</v>
      </c>
      <c r="F284" s="2"/>
      <c r="G284" s="4" t="s">
        <v>1669</v>
      </c>
      <c r="H284" s="151">
        <v>9</v>
      </c>
      <c r="I284" s="2"/>
      <c r="J284" s="7" t="s">
        <v>1682</v>
      </c>
      <c r="K284" s="152">
        <v>8</v>
      </c>
      <c r="L284" s="2"/>
      <c r="M284" s="149" t="s">
        <v>1732</v>
      </c>
      <c r="N284" s="143">
        <f>ROUND(SUM(N285:N295)/COUNT(N285:N295), 2)</f>
        <v>8.91</v>
      </c>
      <c r="O284" s="17"/>
      <c r="R284" s="238">
        <v>1</v>
      </c>
      <c r="S284" s="232" t="s">
        <v>332</v>
      </c>
      <c r="T284" s="232" t="s">
        <v>1027</v>
      </c>
      <c r="U284" s="233">
        <v>10</v>
      </c>
      <c r="V284" s="281">
        <v>10.39</v>
      </c>
      <c r="W284"/>
      <c r="X284"/>
      <c r="Y284"/>
      <c r="Z284"/>
      <c r="AA284"/>
      <c r="AB284"/>
      <c r="AC284"/>
      <c r="AD284"/>
      <c r="AE284"/>
      <c r="AF284"/>
      <c r="AG284"/>
      <c r="AH284"/>
      <c r="AI284"/>
    </row>
    <row r="285" spans="1:35" ht="16" customHeight="1" thickBot="1" x14ac:dyDescent="0.25">
      <c r="A285" s="4" t="s">
        <v>1709</v>
      </c>
      <c r="B285" s="151">
        <v>10</v>
      </c>
      <c r="C285" s="2"/>
      <c r="D285" s="4" t="s">
        <v>1693</v>
      </c>
      <c r="E285" s="151">
        <v>8</v>
      </c>
      <c r="F285" s="2"/>
      <c r="G285" s="4" t="s">
        <v>1670</v>
      </c>
      <c r="H285" s="151">
        <v>8.5</v>
      </c>
      <c r="I285" s="2"/>
      <c r="J285" s="2"/>
      <c r="K285" s="2"/>
      <c r="L285" s="2"/>
      <c r="M285" s="11" t="s">
        <v>1733</v>
      </c>
      <c r="N285" s="150">
        <v>9</v>
      </c>
      <c r="O285" s="17"/>
      <c r="R285" s="240">
        <v>2</v>
      </c>
      <c r="S285" s="235" t="s">
        <v>327</v>
      </c>
      <c r="T285" s="235" t="s">
        <v>2829</v>
      </c>
      <c r="U285" s="236">
        <v>9.4700000000000006</v>
      </c>
      <c r="V285" s="359">
        <v>9.85</v>
      </c>
      <c r="W285"/>
      <c r="X285"/>
      <c r="Y285"/>
      <c r="Z285"/>
      <c r="AA285"/>
      <c r="AB285"/>
      <c r="AC285"/>
      <c r="AD285"/>
      <c r="AE285"/>
      <c r="AF285"/>
      <c r="AG285"/>
      <c r="AH285"/>
      <c r="AI285"/>
    </row>
    <row r="286" spans="1:35" ht="16" customHeight="1" thickBot="1" x14ac:dyDescent="0.25">
      <c r="A286" s="4" t="s">
        <v>1710</v>
      </c>
      <c r="B286" s="151">
        <v>9</v>
      </c>
      <c r="C286" s="2"/>
      <c r="D286" s="7" t="s">
        <v>1694</v>
      </c>
      <c r="E286" s="152">
        <v>10</v>
      </c>
      <c r="F286" s="2"/>
      <c r="G286" s="7" t="s">
        <v>1671</v>
      </c>
      <c r="H286" s="152">
        <v>9</v>
      </c>
      <c r="I286" s="2"/>
      <c r="J286" s="144" t="s">
        <v>1755</v>
      </c>
      <c r="K286" s="1">
        <f>ROUND(SUM(K287:K294)/COUNT(K287:K294), 2)</f>
        <v>8.06</v>
      </c>
      <c r="L286" s="2"/>
      <c r="M286" s="4" t="s">
        <v>1734</v>
      </c>
      <c r="N286" s="151">
        <v>9.5</v>
      </c>
      <c r="O286" s="17"/>
      <c r="R286" s="242">
        <v>3</v>
      </c>
      <c r="S286" s="232" t="s">
        <v>331</v>
      </c>
      <c r="T286" s="232" t="s">
        <v>2827</v>
      </c>
      <c r="U286" s="233">
        <v>9.35</v>
      </c>
      <c r="V286" s="358">
        <v>9.41</v>
      </c>
      <c r="W286"/>
      <c r="X286"/>
      <c r="Y286"/>
      <c r="Z286"/>
      <c r="AA286"/>
      <c r="AB286"/>
      <c r="AC286"/>
      <c r="AD286"/>
      <c r="AE286"/>
      <c r="AF286"/>
      <c r="AG286"/>
      <c r="AH286"/>
      <c r="AI286"/>
    </row>
    <row r="287" spans="1:35" ht="16" customHeight="1" thickBot="1" x14ac:dyDescent="0.25">
      <c r="A287" s="4" t="s">
        <v>1711</v>
      </c>
      <c r="B287" s="151">
        <v>8.5</v>
      </c>
      <c r="C287" s="2"/>
      <c r="D287" s="2"/>
      <c r="E287" s="2"/>
      <c r="F287" s="2"/>
      <c r="G287" s="2"/>
      <c r="H287" s="2"/>
      <c r="I287" s="2"/>
      <c r="J287" s="4" t="s">
        <v>1747</v>
      </c>
      <c r="K287" s="151">
        <v>9</v>
      </c>
      <c r="L287" s="2"/>
      <c r="M287" s="4" t="s">
        <v>1735</v>
      </c>
      <c r="N287" s="151">
        <v>9</v>
      </c>
      <c r="O287" s="17"/>
      <c r="R287" s="244">
        <v>4</v>
      </c>
      <c r="S287" s="235" t="s">
        <v>444</v>
      </c>
      <c r="T287" s="235" t="s">
        <v>36</v>
      </c>
      <c r="U287" s="236">
        <v>9.15</v>
      </c>
      <c r="V287" s="319">
        <v>9.23</v>
      </c>
      <c r="W287"/>
      <c r="X287"/>
      <c r="Y287"/>
      <c r="Z287"/>
      <c r="AA287"/>
      <c r="AB287"/>
      <c r="AC287"/>
      <c r="AD287"/>
      <c r="AE287"/>
      <c r="AF287"/>
      <c r="AG287"/>
      <c r="AH287"/>
      <c r="AI287"/>
    </row>
    <row r="288" spans="1:35" ht="16" customHeight="1" thickBot="1" x14ac:dyDescent="0.25">
      <c r="A288" s="4" t="s">
        <v>1712</v>
      </c>
      <c r="B288" s="151">
        <v>7.5</v>
      </c>
      <c r="C288" s="2"/>
      <c r="D288" s="145" t="s">
        <v>1757</v>
      </c>
      <c r="E288" s="12">
        <f>ROUND(SUM(E289:E297)/COUNT(E289:E297), 2)</f>
        <v>8.5</v>
      </c>
      <c r="F288" s="2"/>
      <c r="G288" s="148" t="s">
        <v>1769</v>
      </c>
      <c r="H288" s="12">
        <f>ROUND(SUM(H289:H294)/COUNT(H289:H294), 2)</f>
        <v>8.83</v>
      </c>
      <c r="I288" s="2"/>
      <c r="J288" s="4" t="s">
        <v>1748</v>
      </c>
      <c r="K288" s="151">
        <v>9</v>
      </c>
      <c r="L288" s="2"/>
      <c r="M288" s="4" t="s">
        <v>1736</v>
      </c>
      <c r="N288" s="151">
        <v>8.5</v>
      </c>
      <c r="O288" s="17"/>
      <c r="R288" s="244">
        <v>5</v>
      </c>
      <c r="S288" s="232" t="s">
        <v>1333</v>
      </c>
      <c r="T288" s="232" t="s">
        <v>1324</v>
      </c>
      <c r="U288" s="233">
        <v>9</v>
      </c>
      <c r="V288" s="369">
        <v>8.9600000000000009</v>
      </c>
      <c r="W288"/>
      <c r="X288"/>
      <c r="Y288"/>
      <c r="Z288"/>
      <c r="AA288"/>
      <c r="AB288"/>
      <c r="AC288"/>
      <c r="AD288"/>
      <c r="AE288"/>
      <c r="AF288"/>
      <c r="AG288"/>
      <c r="AH288"/>
      <c r="AI288"/>
    </row>
    <row r="289" spans="1:35" ht="16" customHeight="1" x14ac:dyDescent="0.2">
      <c r="A289" s="4" t="s">
        <v>1713</v>
      </c>
      <c r="B289" s="151">
        <v>8.5</v>
      </c>
      <c r="C289" s="2"/>
      <c r="D289" s="11" t="s">
        <v>1758</v>
      </c>
      <c r="E289" s="150">
        <v>8</v>
      </c>
      <c r="F289" s="2"/>
      <c r="G289" s="11" t="s">
        <v>1770</v>
      </c>
      <c r="H289" s="150">
        <v>9</v>
      </c>
      <c r="I289" s="2"/>
      <c r="J289" s="4" t="s">
        <v>1749</v>
      </c>
      <c r="K289" s="151">
        <v>8</v>
      </c>
      <c r="L289" s="2"/>
      <c r="M289" s="4" t="s">
        <v>1737</v>
      </c>
      <c r="N289" s="151">
        <v>8.5</v>
      </c>
      <c r="O289" s="17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</row>
    <row r="290" spans="1:35" ht="16" customHeight="1" x14ac:dyDescent="0.25">
      <c r="A290" s="4" t="s">
        <v>1714</v>
      </c>
      <c r="B290" s="151">
        <v>8.5</v>
      </c>
      <c r="C290" s="2"/>
      <c r="D290" s="4" t="s">
        <v>1759</v>
      </c>
      <c r="E290" s="151">
        <v>9</v>
      </c>
      <c r="F290" s="2"/>
      <c r="G290" s="4" t="s">
        <v>1771</v>
      </c>
      <c r="H290" s="151">
        <v>8.5</v>
      </c>
      <c r="I290" s="2"/>
      <c r="J290" s="4" t="s">
        <v>1750</v>
      </c>
      <c r="K290" s="151">
        <v>7</v>
      </c>
      <c r="L290" s="2"/>
      <c r="M290" s="4" t="s">
        <v>1738</v>
      </c>
      <c r="N290" s="151">
        <v>9</v>
      </c>
      <c r="O290" s="17"/>
      <c r="R290" s="367" t="s">
        <v>2848</v>
      </c>
      <c r="S290" s="367"/>
      <c r="T290" s="367"/>
      <c r="U290" s="367"/>
      <c r="V290" s="367"/>
      <c r="W290"/>
      <c r="X290"/>
      <c r="Y290"/>
      <c r="Z290"/>
      <c r="AA290"/>
      <c r="AB290"/>
      <c r="AC290"/>
      <c r="AD290"/>
      <c r="AE290"/>
      <c r="AF290"/>
      <c r="AG290"/>
      <c r="AH290"/>
      <c r="AI290"/>
    </row>
    <row r="291" spans="1:35" ht="16" customHeight="1" x14ac:dyDescent="0.2">
      <c r="A291" s="4" t="s">
        <v>1715</v>
      </c>
      <c r="B291" s="151">
        <v>8</v>
      </c>
      <c r="C291" s="2"/>
      <c r="D291" s="4" t="s">
        <v>1760</v>
      </c>
      <c r="E291" s="151">
        <v>8.5</v>
      </c>
      <c r="F291" s="2"/>
      <c r="G291" s="4" t="s">
        <v>1772</v>
      </c>
      <c r="H291" s="151">
        <v>8</v>
      </c>
      <c r="I291" s="2"/>
      <c r="J291" s="4" t="s">
        <v>1751</v>
      </c>
      <c r="K291" s="151">
        <v>7.5</v>
      </c>
      <c r="L291" s="2"/>
      <c r="M291" s="4" t="s">
        <v>565</v>
      </c>
      <c r="N291" s="151">
        <v>8</v>
      </c>
      <c r="O291" s="17"/>
      <c r="R291" s="231" t="s">
        <v>352</v>
      </c>
      <c r="S291" s="231" t="s">
        <v>319</v>
      </c>
      <c r="T291" s="231" t="s">
        <v>320</v>
      </c>
      <c r="U291" s="231" t="s">
        <v>321</v>
      </c>
      <c r="V291" s="231" t="s">
        <v>1002</v>
      </c>
      <c r="W291"/>
      <c r="X291"/>
      <c r="Y291"/>
      <c r="Z291"/>
      <c r="AA291"/>
      <c r="AB291"/>
      <c r="AC291"/>
      <c r="AD291"/>
      <c r="AE291"/>
      <c r="AF291"/>
      <c r="AG291"/>
      <c r="AH291"/>
      <c r="AI291"/>
    </row>
    <row r="292" spans="1:35" ht="16" customHeight="1" x14ac:dyDescent="0.2">
      <c r="A292" s="4" t="s">
        <v>1716</v>
      </c>
      <c r="B292" s="151">
        <v>9</v>
      </c>
      <c r="C292" s="2"/>
      <c r="D292" s="4" t="s">
        <v>1761</v>
      </c>
      <c r="E292" s="151">
        <v>8.5</v>
      </c>
      <c r="F292" s="2"/>
      <c r="G292" s="4" t="s">
        <v>1773</v>
      </c>
      <c r="H292" s="151">
        <v>9</v>
      </c>
      <c r="I292" s="2"/>
      <c r="J292" s="4" t="s">
        <v>1752</v>
      </c>
      <c r="K292" s="151">
        <v>8</v>
      </c>
      <c r="L292" s="2"/>
      <c r="M292" s="4" t="s">
        <v>1739</v>
      </c>
      <c r="N292" s="151">
        <v>10</v>
      </c>
      <c r="O292" s="17"/>
      <c r="R292" s="238">
        <v>1</v>
      </c>
      <c r="S292" s="232" t="s">
        <v>327</v>
      </c>
      <c r="T292" s="232" t="s">
        <v>2830</v>
      </c>
      <c r="U292" s="233">
        <v>9.25</v>
      </c>
      <c r="V292" s="363">
        <v>9.49</v>
      </c>
      <c r="W292"/>
      <c r="X292"/>
      <c r="Y292"/>
      <c r="Z292"/>
      <c r="AA292"/>
      <c r="AB292"/>
      <c r="AC292"/>
      <c r="AD292"/>
      <c r="AE292"/>
      <c r="AF292"/>
      <c r="AG292"/>
      <c r="AH292"/>
      <c r="AI292"/>
    </row>
    <row r="293" spans="1:35" ht="16" customHeight="1" x14ac:dyDescent="0.2">
      <c r="A293" s="4" t="s">
        <v>1717</v>
      </c>
      <c r="B293" s="151">
        <v>8.5</v>
      </c>
      <c r="C293" s="2"/>
      <c r="D293" s="4" t="s">
        <v>1762</v>
      </c>
      <c r="E293" s="151">
        <v>9</v>
      </c>
      <c r="F293" s="2"/>
      <c r="G293" s="4" t="s">
        <v>1774</v>
      </c>
      <c r="H293" s="151">
        <v>8.5</v>
      </c>
      <c r="I293" s="2"/>
      <c r="J293" s="4" t="s">
        <v>1753</v>
      </c>
      <c r="K293" s="151">
        <v>7</v>
      </c>
      <c r="L293" s="2"/>
      <c r="M293" s="4" t="s">
        <v>1740</v>
      </c>
      <c r="N293" s="151">
        <v>8</v>
      </c>
      <c r="O293" s="17"/>
      <c r="R293" s="240">
        <v>2</v>
      </c>
      <c r="S293" s="235" t="s">
        <v>717</v>
      </c>
      <c r="T293" s="235" t="s">
        <v>1427</v>
      </c>
      <c r="U293" s="236">
        <v>8.8800000000000008</v>
      </c>
      <c r="V293" s="255">
        <v>8.89</v>
      </c>
      <c r="W293"/>
      <c r="X293"/>
      <c r="Y293"/>
      <c r="Z293"/>
      <c r="AA293"/>
      <c r="AB293"/>
      <c r="AC293"/>
      <c r="AD293"/>
      <c r="AE293"/>
      <c r="AF293"/>
      <c r="AG293"/>
      <c r="AH293"/>
      <c r="AI293"/>
    </row>
    <row r="294" spans="1:35" ht="16" customHeight="1" thickBot="1" x14ac:dyDescent="0.25">
      <c r="A294" s="4" t="s">
        <v>1718</v>
      </c>
      <c r="B294" s="151">
        <v>8</v>
      </c>
      <c r="C294" s="2"/>
      <c r="D294" s="4" t="s">
        <v>1763</v>
      </c>
      <c r="E294" s="151">
        <v>8</v>
      </c>
      <c r="F294" s="2"/>
      <c r="G294" s="7" t="s">
        <v>1775</v>
      </c>
      <c r="H294" s="152">
        <v>10</v>
      </c>
      <c r="I294" s="2"/>
      <c r="J294" s="7" t="s">
        <v>1754</v>
      </c>
      <c r="K294" s="152">
        <v>9</v>
      </c>
      <c r="L294" s="2"/>
      <c r="M294" s="4" t="s">
        <v>1741</v>
      </c>
      <c r="N294" s="151">
        <v>8.5</v>
      </c>
      <c r="O294" s="17"/>
      <c r="R294" s="242">
        <v>3</v>
      </c>
      <c r="S294" s="232" t="s">
        <v>2592</v>
      </c>
      <c r="T294" s="232" t="s">
        <v>2593</v>
      </c>
      <c r="U294" s="233">
        <v>8.86</v>
      </c>
      <c r="V294" s="258">
        <v>8.8800000000000008</v>
      </c>
      <c r="W294"/>
      <c r="X294"/>
      <c r="Y294"/>
      <c r="Z294"/>
      <c r="AA294"/>
      <c r="AB294"/>
      <c r="AC294"/>
      <c r="AD294"/>
      <c r="AE294"/>
      <c r="AF294"/>
      <c r="AG294"/>
      <c r="AH294"/>
      <c r="AI294"/>
    </row>
    <row r="295" spans="1:35" ht="16" customHeight="1" thickBot="1" x14ac:dyDescent="0.25">
      <c r="A295" s="4" t="s">
        <v>1719</v>
      </c>
      <c r="B295" s="151">
        <v>8</v>
      </c>
      <c r="C295" s="2"/>
      <c r="D295" s="4" t="s">
        <v>1764</v>
      </c>
      <c r="E295" s="151">
        <v>9</v>
      </c>
      <c r="F295" s="2"/>
      <c r="G295" s="2"/>
      <c r="H295" s="2"/>
      <c r="I295" s="2"/>
      <c r="J295" s="2"/>
      <c r="K295" s="2"/>
      <c r="L295" s="2"/>
      <c r="M295" s="7" t="s">
        <v>1742</v>
      </c>
      <c r="N295" s="152">
        <v>10</v>
      </c>
      <c r="O295" s="17"/>
      <c r="R295" s="244">
        <v>4</v>
      </c>
      <c r="S295" s="235" t="s">
        <v>2422</v>
      </c>
      <c r="T295" s="235" t="s">
        <v>2412</v>
      </c>
      <c r="U295" s="236">
        <v>8.86</v>
      </c>
      <c r="V295" s="291">
        <v>8.74</v>
      </c>
      <c r="W295"/>
      <c r="X295"/>
      <c r="Y295"/>
      <c r="Z295"/>
      <c r="AA295"/>
      <c r="AB295"/>
      <c r="AC295"/>
      <c r="AD295"/>
      <c r="AE295"/>
      <c r="AF295"/>
      <c r="AG295"/>
      <c r="AH295"/>
      <c r="AI295"/>
    </row>
    <row r="296" spans="1:35" ht="16" customHeight="1" thickBot="1" x14ac:dyDescent="0.25">
      <c r="A296" s="4" t="s">
        <v>1720</v>
      </c>
      <c r="B296" s="151">
        <v>9</v>
      </c>
      <c r="C296" s="2"/>
      <c r="D296" s="4" t="s">
        <v>1765</v>
      </c>
      <c r="E296" s="151">
        <v>8.5</v>
      </c>
      <c r="F296" s="2"/>
      <c r="G296" s="146" t="s">
        <v>1788</v>
      </c>
      <c r="H296" s="12">
        <f>ROUND(SUM(H297:H307)/COUNT(H297:H307), 2)</f>
        <v>3.68</v>
      </c>
      <c r="I296" s="2"/>
      <c r="J296" s="163" t="s">
        <v>1802</v>
      </c>
      <c r="K296" s="12">
        <f>ROUND(SUM(K297:K302)/COUNT(K297:K302), 2)</f>
        <v>8.92</v>
      </c>
      <c r="L296" s="2"/>
      <c r="M296" s="2"/>
      <c r="N296" s="2"/>
      <c r="O296" s="17"/>
      <c r="R296" s="244">
        <v>5</v>
      </c>
      <c r="S296" s="232" t="s">
        <v>1334</v>
      </c>
      <c r="T296" s="232" t="s">
        <v>1335</v>
      </c>
      <c r="U296" s="233">
        <v>8.77</v>
      </c>
      <c r="V296" s="280">
        <v>8.65</v>
      </c>
      <c r="W296"/>
      <c r="X296"/>
      <c r="Y296"/>
      <c r="Z296"/>
      <c r="AA296"/>
      <c r="AB296"/>
      <c r="AC296"/>
      <c r="AD296"/>
      <c r="AE296"/>
      <c r="AF296"/>
      <c r="AG296"/>
      <c r="AH296"/>
      <c r="AI296"/>
    </row>
    <row r="297" spans="1:35" ht="16" customHeight="1" thickBot="1" x14ac:dyDescent="0.25">
      <c r="A297" s="4" t="s">
        <v>1721</v>
      </c>
      <c r="B297" s="151">
        <v>8</v>
      </c>
      <c r="C297" s="2"/>
      <c r="D297" s="7" t="s">
        <v>1766</v>
      </c>
      <c r="E297" s="152">
        <v>8</v>
      </c>
      <c r="F297" s="2"/>
      <c r="G297" s="11" t="s">
        <v>1789</v>
      </c>
      <c r="H297" s="150">
        <v>6.5</v>
      </c>
      <c r="I297" s="2"/>
      <c r="J297" s="11" t="s">
        <v>1803</v>
      </c>
      <c r="K297" s="150">
        <v>9</v>
      </c>
      <c r="L297" s="2"/>
      <c r="M297" s="164" t="s">
        <v>1817</v>
      </c>
      <c r="N297" s="12">
        <f>ROUND(SUM(N298:N304)/COUNT(N298:N304), 2)</f>
        <v>8.2899999999999991</v>
      </c>
      <c r="O297" s="17"/>
      <c r="R297"/>
      <c r="S297"/>
      <c r="T297"/>
      <c r="U297"/>
      <c r="V297"/>
      <c r="W297"/>
      <c r="X297"/>
      <c r="Y297"/>
      <c r="Z297"/>
      <c r="AA297"/>
      <c r="AB297"/>
      <c r="AC297"/>
      <c r="AD297"/>
      <c r="AE297"/>
      <c r="AF297"/>
      <c r="AG297"/>
      <c r="AH297"/>
      <c r="AI297"/>
    </row>
    <row r="298" spans="1:35" ht="16" customHeight="1" thickBot="1" x14ac:dyDescent="0.3">
      <c r="A298" s="162">
        <v>1979</v>
      </c>
      <c r="B298" s="151">
        <v>10.5</v>
      </c>
      <c r="C298" s="2"/>
      <c r="D298" s="2"/>
      <c r="E298" s="2"/>
      <c r="F298" s="2"/>
      <c r="G298" s="4" t="s">
        <v>1790</v>
      </c>
      <c r="H298" s="151">
        <v>5</v>
      </c>
      <c r="I298" s="2"/>
      <c r="J298" s="4" t="s">
        <v>1804</v>
      </c>
      <c r="K298" s="151">
        <v>8.5</v>
      </c>
      <c r="L298" s="2"/>
      <c r="M298" s="11" t="s">
        <v>1810</v>
      </c>
      <c r="N298" s="150">
        <v>8</v>
      </c>
      <c r="O298" s="17"/>
      <c r="R298" s="367" t="s">
        <v>2875</v>
      </c>
      <c r="S298" s="367"/>
      <c r="T298" s="367"/>
      <c r="U298" s="367"/>
      <c r="V298" s="367"/>
      <c r="W298"/>
      <c r="X298"/>
      <c r="Y298"/>
      <c r="Z298"/>
      <c r="AA298"/>
      <c r="AB298"/>
      <c r="AC298"/>
      <c r="AD298"/>
      <c r="AE298"/>
      <c r="AF298"/>
      <c r="AG298"/>
      <c r="AH298"/>
      <c r="AI298"/>
    </row>
    <row r="299" spans="1:35" ht="16" customHeight="1" thickBot="1" x14ac:dyDescent="0.25">
      <c r="A299" s="4" t="s">
        <v>1722</v>
      </c>
      <c r="B299" s="151">
        <v>7</v>
      </c>
      <c r="C299" s="2"/>
      <c r="D299" s="165" t="s">
        <v>1820</v>
      </c>
      <c r="E299" s="12">
        <f>ROUND(SUM(E300:E309)/COUNT(E300:E309), 2)</f>
        <v>8.2899999999999991</v>
      </c>
      <c r="F299" s="2"/>
      <c r="G299" s="4" t="s">
        <v>1791</v>
      </c>
      <c r="H299" s="151">
        <v>5.5</v>
      </c>
      <c r="I299" s="2"/>
      <c r="J299" s="4" t="s">
        <v>1805</v>
      </c>
      <c r="K299" s="151">
        <v>9</v>
      </c>
      <c r="L299" s="2"/>
      <c r="M299" s="4" t="s">
        <v>1811</v>
      </c>
      <c r="N299" s="151">
        <v>7.5</v>
      </c>
      <c r="O299" s="17"/>
      <c r="R299" s="231" t="s">
        <v>352</v>
      </c>
      <c r="S299" s="231" t="s">
        <v>319</v>
      </c>
      <c r="T299" s="231" t="s">
        <v>320</v>
      </c>
      <c r="U299" s="231" t="s">
        <v>321</v>
      </c>
      <c r="V299" s="231" t="s">
        <v>1002</v>
      </c>
      <c r="W299"/>
      <c r="X299"/>
      <c r="Y299"/>
      <c r="Z299"/>
      <c r="AA299"/>
      <c r="AB299"/>
      <c r="AC299"/>
      <c r="AD299"/>
      <c r="AE299"/>
      <c r="AF299"/>
      <c r="AG299"/>
      <c r="AH299"/>
      <c r="AI299"/>
    </row>
    <row r="300" spans="1:35" ht="16" customHeight="1" x14ac:dyDescent="0.2">
      <c r="A300" s="4" t="s">
        <v>1723</v>
      </c>
      <c r="B300" s="151">
        <v>8.5</v>
      </c>
      <c r="C300" s="2"/>
      <c r="D300" s="11" t="s">
        <v>1821</v>
      </c>
      <c r="E300" s="150"/>
      <c r="F300" s="2"/>
      <c r="G300" s="4" t="s">
        <v>1792</v>
      </c>
      <c r="H300" s="151">
        <v>4</v>
      </c>
      <c r="I300" s="2"/>
      <c r="J300" s="4" t="s">
        <v>1806</v>
      </c>
      <c r="K300" s="151">
        <v>8.5</v>
      </c>
      <c r="L300" s="2"/>
      <c r="M300" s="4" t="s">
        <v>1812</v>
      </c>
      <c r="N300" s="151">
        <v>9</v>
      </c>
      <c r="O300" s="17"/>
      <c r="R300" s="238">
        <v>1</v>
      </c>
      <c r="S300" s="232" t="s">
        <v>1605</v>
      </c>
      <c r="T300" s="232" t="s">
        <v>2832</v>
      </c>
      <c r="U300" s="233">
        <v>8.91</v>
      </c>
      <c r="V300" s="339">
        <v>8.82</v>
      </c>
      <c r="W300"/>
      <c r="X300"/>
      <c r="Y300"/>
      <c r="Z300"/>
      <c r="AA300"/>
      <c r="AB300"/>
      <c r="AC300"/>
      <c r="AD300"/>
      <c r="AE300"/>
      <c r="AF300"/>
      <c r="AG300"/>
      <c r="AH300"/>
      <c r="AI300"/>
    </row>
    <row r="301" spans="1:35" ht="16" customHeight="1" x14ac:dyDescent="0.2">
      <c r="A301" s="4" t="s">
        <v>1724</v>
      </c>
      <c r="B301" s="151">
        <v>8.5</v>
      </c>
      <c r="C301" s="2"/>
      <c r="D301" s="4" t="s">
        <v>1822</v>
      </c>
      <c r="E301" s="151">
        <v>8.5</v>
      </c>
      <c r="F301" s="2"/>
      <c r="G301" s="4" t="s">
        <v>1793</v>
      </c>
      <c r="H301" s="151">
        <v>3</v>
      </c>
      <c r="I301" s="2"/>
      <c r="J301" s="4" t="s">
        <v>1807</v>
      </c>
      <c r="K301" s="151">
        <v>8</v>
      </c>
      <c r="L301" s="2"/>
      <c r="M301" s="4" t="s">
        <v>1813</v>
      </c>
      <c r="N301" s="151">
        <v>8</v>
      </c>
      <c r="O301" s="17"/>
      <c r="R301" s="240">
        <v>2</v>
      </c>
      <c r="S301" s="235" t="s">
        <v>345</v>
      </c>
      <c r="T301" s="235" t="s">
        <v>2833</v>
      </c>
      <c r="U301" s="236">
        <v>8.8000000000000007</v>
      </c>
      <c r="V301" s="284">
        <v>8.75</v>
      </c>
      <c r="W301"/>
      <c r="X301"/>
      <c r="Y301"/>
      <c r="Z301"/>
      <c r="AA301"/>
      <c r="AB301"/>
      <c r="AC301"/>
      <c r="AD301"/>
      <c r="AE301"/>
      <c r="AF301"/>
      <c r="AG301"/>
      <c r="AH301"/>
      <c r="AI301"/>
    </row>
    <row r="302" spans="1:35" ht="16" customHeight="1" thickBot="1" x14ac:dyDescent="0.25">
      <c r="A302" s="4" t="s">
        <v>1725</v>
      </c>
      <c r="B302" s="151">
        <v>7.5</v>
      </c>
      <c r="C302" s="2"/>
      <c r="D302" s="4" t="s">
        <v>1823</v>
      </c>
      <c r="E302" s="151">
        <v>9</v>
      </c>
      <c r="F302" s="2"/>
      <c r="G302" s="4" t="s">
        <v>1794</v>
      </c>
      <c r="H302" s="151">
        <v>3</v>
      </c>
      <c r="I302" s="2"/>
      <c r="J302" s="7" t="s">
        <v>1808</v>
      </c>
      <c r="K302" s="152">
        <v>10.5</v>
      </c>
      <c r="L302" s="2"/>
      <c r="M302" s="4" t="s">
        <v>1814</v>
      </c>
      <c r="N302" s="151">
        <v>8.5</v>
      </c>
      <c r="O302" s="17"/>
      <c r="R302" s="242">
        <v>3</v>
      </c>
      <c r="S302" s="232" t="s">
        <v>2345</v>
      </c>
      <c r="T302" s="232" t="s">
        <v>2834</v>
      </c>
      <c r="U302" s="233">
        <v>8.8000000000000007</v>
      </c>
      <c r="V302" s="275">
        <v>8.84</v>
      </c>
      <c r="W302"/>
      <c r="X302"/>
      <c r="Y302"/>
      <c r="Z302"/>
      <c r="AA302"/>
      <c r="AB302"/>
      <c r="AC302"/>
      <c r="AD302"/>
      <c r="AE302"/>
      <c r="AF302"/>
      <c r="AG302"/>
      <c r="AH302"/>
      <c r="AI302"/>
    </row>
    <row r="303" spans="1:35" ht="16" customHeight="1" thickBot="1" x14ac:dyDescent="0.25">
      <c r="A303" s="4" t="s">
        <v>1726</v>
      </c>
      <c r="B303" s="151">
        <v>8.5</v>
      </c>
      <c r="C303" s="2"/>
      <c r="D303" s="4" t="s">
        <v>1824</v>
      </c>
      <c r="E303" s="151"/>
      <c r="F303" s="2"/>
      <c r="G303" s="4" t="s">
        <v>1795</v>
      </c>
      <c r="H303" s="151">
        <v>3</v>
      </c>
      <c r="I303" s="2"/>
      <c r="J303" s="2"/>
      <c r="K303" s="2"/>
      <c r="L303" s="2"/>
      <c r="M303" s="4" t="s">
        <v>1815</v>
      </c>
      <c r="N303" s="151">
        <v>8</v>
      </c>
      <c r="O303" s="17"/>
      <c r="R303" s="244">
        <v>4</v>
      </c>
      <c r="S303" s="235" t="s">
        <v>344</v>
      </c>
      <c r="T303" s="235" t="s">
        <v>161</v>
      </c>
      <c r="U303" s="236">
        <v>8.67</v>
      </c>
      <c r="V303" s="254">
        <v>8.57</v>
      </c>
      <c r="W303"/>
      <c r="X303"/>
      <c r="Y303"/>
      <c r="Z303"/>
      <c r="AA303"/>
      <c r="AB303"/>
      <c r="AC303"/>
      <c r="AD303"/>
      <c r="AE303"/>
      <c r="AF303"/>
      <c r="AG303"/>
      <c r="AH303"/>
      <c r="AI303"/>
    </row>
    <row r="304" spans="1:35" ht="16" customHeight="1" thickBot="1" x14ac:dyDescent="0.25">
      <c r="A304" s="4" t="s">
        <v>1727</v>
      </c>
      <c r="B304" s="151">
        <v>9</v>
      </c>
      <c r="C304" s="2"/>
      <c r="D304" s="4" t="s">
        <v>1825</v>
      </c>
      <c r="E304" s="151">
        <v>7.5</v>
      </c>
      <c r="F304" s="2"/>
      <c r="G304" s="4" t="s">
        <v>1796</v>
      </c>
      <c r="H304" s="151">
        <v>3.5</v>
      </c>
      <c r="I304" s="2"/>
      <c r="J304" s="166" t="s">
        <v>1844</v>
      </c>
      <c r="K304" s="12">
        <f>ROUND(SUM(K305:K316)/COUNT(K305:K316), 2)</f>
        <v>8.9600000000000009</v>
      </c>
      <c r="L304" s="2"/>
      <c r="M304" s="7" t="s">
        <v>1816</v>
      </c>
      <c r="N304" s="152">
        <v>9</v>
      </c>
      <c r="O304" s="17"/>
      <c r="R304" s="244">
        <v>5</v>
      </c>
      <c r="S304" s="232" t="s">
        <v>2501</v>
      </c>
      <c r="T304" s="232" t="s">
        <v>2502</v>
      </c>
      <c r="U304" s="233">
        <v>7.17</v>
      </c>
      <c r="V304" s="249">
        <v>7.04</v>
      </c>
      <c r="W304"/>
      <c r="X304"/>
      <c r="Y304"/>
      <c r="Z304"/>
      <c r="AA304"/>
      <c r="AB304"/>
      <c r="AC304"/>
      <c r="AD304"/>
      <c r="AE304"/>
      <c r="AF304"/>
      <c r="AG304"/>
      <c r="AH304"/>
      <c r="AI304"/>
    </row>
    <row r="305" spans="1:35" ht="16" customHeight="1" thickBot="1" x14ac:dyDescent="0.25">
      <c r="A305" s="4" t="s">
        <v>1728</v>
      </c>
      <c r="B305" s="151">
        <v>8.5</v>
      </c>
      <c r="C305" s="2"/>
      <c r="D305" s="4" t="s">
        <v>1826</v>
      </c>
      <c r="E305" s="151">
        <v>8.5</v>
      </c>
      <c r="F305" s="2"/>
      <c r="G305" s="4" t="s">
        <v>1797</v>
      </c>
      <c r="H305" s="151">
        <v>3</v>
      </c>
      <c r="I305" s="2"/>
      <c r="J305" s="11" t="s">
        <v>1832</v>
      </c>
      <c r="K305" s="150">
        <v>8.5</v>
      </c>
      <c r="L305" s="2"/>
      <c r="M305" s="2"/>
      <c r="N305" s="2"/>
      <c r="O305" s="17"/>
      <c r="R305"/>
      <c r="S305"/>
      <c r="T305"/>
      <c r="U305"/>
      <c r="V305"/>
      <c r="W305"/>
      <c r="X305"/>
      <c r="Y305"/>
      <c r="Z305"/>
      <c r="AA305"/>
      <c r="AB305"/>
      <c r="AC305"/>
      <c r="AD305"/>
      <c r="AE305"/>
      <c r="AF305"/>
      <c r="AG305"/>
      <c r="AH305"/>
      <c r="AI305"/>
    </row>
    <row r="306" spans="1:35" ht="16" customHeight="1" thickBot="1" x14ac:dyDescent="0.3">
      <c r="A306" s="4" t="s">
        <v>1729</v>
      </c>
      <c r="B306" s="151">
        <v>9</v>
      </c>
      <c r="C306" s="2"/>
      <c r="D306" s="4" t="s">
        <v>1827</v>
      </c>
      <c r="E306" s="151">
        <v>8</v>
      </c>
      <c r="F306" s="2"/>
      <c r="G306" s="4" t="s">
        <v>1798</v>
      </c>
      <c r="H306" s="151">
        <v>2</v>
      </c>
      <c r="I306" s="2"/>
      <c r="J306" s="4" t="s">
        <v>1833</v>
      </c>
      <c r="K306" s="151">
        <v>10</v>
      </c>
      <c r="L306" s="2"/>
      <c r="M306" s="167" t="s">
        <v>1849</v>
      </c>
      <c r="N306" s="12">
        <f>ROUND(SUM(N307:N316)/COUNT(N307:N316), 2)</f>
        <v>8.6</v>
      </c>
      <c r="O306" s="17"/>
      <c r="R306" s="367" t="s">
        <v>2849</v>
      </c>
      <c r="S306" s="367"/>
      <c r="T306" s="367"/>
      <c r="U306" s="367"/>
      <c r="V306" s="367"/>
      <c r="W306"/>
      <c r="X306"/>
      <c r="Y306"/>
      <c r="Z306"/>
      <c r="AA306"/>
      <c r="AB306"/>
      <c r="AC306"/>
      <c r="AD306"/>
      <c r="AE306"/>
      <c r="AF306"/>
      <c r="AG306"/>
      <c r="AH306"/>
      <c r="AI306"/>
    </row>
    <row r="307" spans="1:35" ht="16" customHeight="1" thickBot="1" x14ac:dyDescent="0.25">
      <c r="A307" s="7" t="s">
        <v>1730</v>
      </c>
      <c r="B307" s="152">
        <v>8.5</v>
      </c>
      <c r="C307" s="2"/>
      <c r="D307" s="4" t="s">
        <v>1828</v>
      </c>
      <c r="E307" s="151">
        <v>8</v>
      </c>
      <c r="F307" s="2"/>
      <c r="G307" s="7" t="s">
        <v>1799</v>
      </c>
      <c r="H307" s="152">
        <v>2</v>
      </c>
      <c r="I307" s="2"/>
      <c r="J307" s="4" t="s">
        <v>1834</v>
      </c>
      <c r="K307" s="151">
        <v>9</v>
      </c>
      <c r="L307" s="2"/>
      <c r="M307" s="11" t="s">
        <v>1850</v>
      </c>
      <c r="N307" s="150">
        <v>8</v>
      </c>
      <c r="O307" s="17"/>
      <c r="R307" s="231" t="s">
        <v>352</v>
      </c>
      <c r="S307" s="231" t="s">
        <v>319</v>
      </c>
      <c r="T307" s="231" t="s">
        <v>320</v>
      </c>
      <c r="U307" s="231" t="s">
        <v>321</v>
      </c>
      <c r="V307" s="231" t="s">
        <v>1002</v>
      </c>
      <c r="W307"/>
      <c r="X307"/>
      <c r="Y307"/>
      <c r="Z307"/>
      <c r="AA307"/>
      <c r="AB307"/>
      <c r="AC307"/>
      <c r="AD307"/>
      <c r="AE307"/>
      <c r="AF307"/>
      <c r="AG307"/>
      <c r="AH307"/>
      <c r="AI307"/>
    </row>
    <row r="308" spans="1:35" ht="16" customHeight="1" thickBot="1" x14ac:dyDescent="0.25">
      <c r="A308" s="2"/>
      <c r="B308" s="2"/>
      <c r="C308" s="2"/>
      <c r="D308" s="7" t="s">
        <v>1829</v>
      </c>
      <c r="E308" s="152">
        <v>8.5</v>
      </c>
      <c r="F308" s="2"/>
      <c r="G308" s="2"/>
      <c r="H308" s="2"/>
      <c r="I308" s="2"/>
      <c r="J308" s="4" t="s">
        <v>1835</v>
      </c>
      <c r="K308" s="151">
        <v>9</v>
      </c>
      <c r="L308" s="2"/>
      <c r="M308" s="4" t="s">
        <v>1851</v>
      </c>
      <c r="N308" s="151">
        <v>9</v>
      </c>
      <c r="O308" s="17"/>
      <c r="R308" s="238">
        <v>1</v>
      </c>
      <c r="S308" s="232" t="s">
        <v>334</v>
      </c>
      <c r="T308" s="232" t="s">
        <v>2831</v>
      </c>
      <c r="U308" s="233">
        <v>8.81</v>
      </c>
      <c r="V308" s="339">
        <v>8.82</v>
      </c>
      <c r="W308"/>
      <c r="X308"/>
      <c r="Y308"/>
      <c r="Z308"/>
      <c r="AA308"/>
      <c r="AB308"/>
      <c r="AC308"/>
      <c r="AD308"/>
      <c r="AE308"/>
      <c r="AF308"/>
      <c r="AG308"/>
      <c r="AH308"/>
      <c r="AI308"/>
    </row>
    <row r="309" spans="1:35" ht="16" customHeight="1" thickBot="1" x14ac:dyDescent="0.25">
      <c r="A309" s="168" t="s">
        <v>1866</v>
      </c>
      <c r="B309" s="12">
        <f>ROUND(SUM(B310:B320)/COUNT(B310:B320), 2)</f>
        <v>8.18</v>
      </c>
      <c r="C309" s="2"/>
      <c r="D309" s="2"/>
      <c r="E309" s="2"/>
      <c r="F309" s="2"/>
      <c r="G309" s="169" t="s">
        <v>1896</v>
      </c>
      <c r="H309" s="12">
        <f>ROUND(SUM(H310:H327)/COUNT(H310:H327), 2)</f>
        <v>7.31</v>
      </c>
      <c r="I309" s="2"/>
      <c r="J309" s="4" t="s">
        <v>1836</v>
      </c>
      <c r="K309" s="151">
        <v>9</v>
      </c>
      <c r="L309" s="2"/>
      <c r="M309" s="4" t="s">
        <v>1852</v>
      </c>
      <c r="N309" s="151">
        <v>9</v>
      </c>
      <c r="O309" s="17"/>
      <c r="R309" s="240">
        <v>2</v>
      </c>
      <c r="S309" s="235" t="s">
        <v>1522</v>
      </c>
      <c r="T309" s="235" t="s">
        <v>1523</v>
      </c>
      <c r="U309" s="236">
        <v>8.82</v>
      </c>
      <c r="V309" s="275">
        <v>8.84</v>
      </c>
      <c r="W309"/>
      <c r="X309"/>
      <c r="Y309"/>
      <c r="Z309"/>
      <c r="AA309"/>
      <c r="AB309"/>
      <c r="AC309"/>
      <c r="AD309"/>
      <c r="AE309"/>
      <c r="AF309"/>
      <c r="AG309"/>
      <c r="AH309"/>
      <c r="AI309"/>
    </row>
    <row r="310" spans="1:35" ht="16" customHeight="1" thickBot="1" x14ac:dyDescent="0.25">
      <c r="A310" s="11" t="s">
        <v>1867</v>
      </c>
      <c r="B310" s="150">
        <v>7.5</v>
      </c>
      <c r="C310" s="2"/>
      <c r="D310" s="170" t="s">
        <v>1992</v>
      </c>
      <c r="E310" s="12">
        <f>ROUND(SUM(E311:E318)/COUNT(E311:E318), 2)</f>
        <v>8.5</v>
      </c>
      <c r="F310" s="2"/>
      <c r="G310" s="11" t="s">
        <v>1878</v>
      </c>
      <c r="H310" s="150">
        <v>8.5</v>
      </c>
      <c r="I310" s="2"/>
      <c r="J310" s="4" t="s">
        <v>1837</v>
      </c>
      <c r="K310" s="151">
        <v>10</v>
      </c>
      <c r="L310" s="2"/>
      <c r="M310" s="4" t="s">
        <v>1853</v>
      </c>
      <c r="N310" s="151">
        <v>10</v>
      </c>
      <c r="O310" s="17"/>
      <c r="R310" s="242">
        <v>3</v>
      </c>
      <c r="S310" s="232" t="s">
        <v>768</v>
      </c>
      <c r="T310" s="232" t="s">
        <v>769</v>
      </c>
      <c r="U310" s="233">
        <v>8.67</v>
      </c>
      <c r="V310" s="254">
        <v>8.57</v>
      </c>
      <c r="W310"/>
      <c r="X310"/>
      <c r="Y310"/>
      <c r="Z310"/>
      <c r="AA310"/>
      <c r="AB310"/>
      <c r="AC310"/>
      <c r="AD310"/>
      <c r="AE310"/>
      <c r="AF310"/>
      <c r="AG310"/>
      <c r="AH310"/>
      <c r="AI310"/>
    </row>
    <row r="311" spans="1:35" ht="16" customHeight="1" x14ac:dyDescent="0.2">
      <c r="A311" s="4" t="s">
        <v>1868</v>
      </c>
      <c r="B311" s="151">
        <v>8.5</v>
      </c>
      <c r="C311" s="2"/>
      <c r="D311" s="11" t="s">
        <v>1993</v>
      </c>
      <c r="E311" s="150">
        <v>8.5</v>
      </c>
      <c r="F311" s="2"/>
      <c r="G311" s="4" t="s">
        <v>1879</v>
      </c>
      <c r="H311" s="151">
        <v>7.5</v>
      </c>
      <c r="I311" s="2"/>
      <c r="J311" s="4" t="s">
        <v>1838</v>
      </c>
      <c r="K311" s="151">
        <v>8</v>
      </c>
      <c r="L311" s="2"/>
      <c r="M311" s="4" t="s">
        <v>1854</v>
      </c>
      <c r="N311" s="151">
        <v>8.5</v>
      </c>
      <c r="O311" s="17"/>
      <c r="R311"/>
      <c r="S311"/>
      <c r="T311"/>
      <c r="U311"/>
      <c r="V311"/>
      <c r="W311"/>
      <c r="X311"/>
      <c r="Y311"/>
      <c r="Z311"/>
      <c r="AA311"/>
      <c r="AB311"/>
      <c r="AC311"/>
      <c r="AD311"/>
      <c r="AE311"/>
      <c r="AF311"/>
      <c r="AG311"/>
      <c r="AH311"/>
      <c r="AI311"/>
    </row>
    <row r="312" spans="1:35" ht="16" customHeight="1" x14ac:dyDescent="0.2">
      <c r="A312" s="4" t="s">
        <v>1143</v>
      </c>
      <c r="B312" s="151">
        <v>8</v>
      </c>
      <c r="C312" s="2"/>
      <c r="D312" s="4" t="s">
        <v>1994</v>
      </c>
      <c r="E312" s="151">
        <v>8.5</v>
      </c>
      <c r="F312" s="2"/>
      <c r="G312" s="4" t="s">
        <v>1880</v>
      </c>
      <c r="H312" s="151">
        <v>8.5</v>
      </c>
      <c r="I312" s="2"/>
      <c r="J312" s="4" t="s">
        <v>1839</v>
      </c>
      <c r="K312" s="151">
        <v>8.5</v>
      </c>
      <c r="L312" s="2"/>
      <c r="M312" s="4" t="s">
        <v>1855</v>
      </c>
      <c r="N312" s="151">
        <v>8.5</v>
      </c>
      <c r="O312" s="17"/>
      <c r="R312"/>
      <c r="S312"/>
      <c r="T312"/>
      <c r="U312"/>
      <c r="V312"/>
      <c r="W312"/>
      <c r="X312"/>
      <c r="Y312"/>
      <c r="Z312"/>
      <c r="AA312"/>
      <c r="AB312"/>
      <c r="AC312"/>
      <c r="AD312"/>
      <c r="AE312"/>
      <c r="AF312"/>
      <c r="AG312"/>
      <c r="AH312"/>
      <c r="AI312"/>
    </row>
    <row r="313" spans="1:35" ht="16" customHeight="1" x14ac:dyDescent="0.2">
      <c r="A313" s="4" t="s">
        <v>1869</v>
      </c>
      <c r="B313" s="151">
        <v>8</v>
      </c>
      <c r="C313" s="2"/>
      <c r="D313" s="4" t="s">
        <v>1995</v>
      </c>
      <c r="E313" s="151">
        <v>9</v>
      </c>
      <c r="F313" s="2"/>
      <c r="G313" s="4" t="s">
        <v>1881</v>
      </c>
      <c r="H313" s="151">
        <v>8.5</v>
      </c>
      <c r="I313" s="2"/>
      <c r="J313" s="4" t="s">
        <v>1840</v>
      </c>
      <c r="K313" s="151">
        <v>8.5</v>
      </c>
      <c r="L313" s="2"/>
      <c r="M313" s="4" t="s">
        <v>1856</v>
      </c>
      <c r="N313" s="151">
        <v>8</v>
      </c>
      <c r="O313" s="17"/>
      <c r="R313"/>
      <c r="S313"/>
      <c r="T313"/>
      <c r="U313"/>
      <c r="V313"/>
      <c r="W313"/>
      <c r="X313"/>
      <c r="Y313"/>
      <c r="Z313"/>
      <c r="AA313"/>
      <c r="AB313"/>
      <c r="AC313"/>
      <c r="AD313"/>
      <c r="AE313"/>
      <c r="AF313"/>
      <c r="AG313"/>
      <c r="AH313"/>
      <c r="AI313"/>
    </row>
    <row r="314" spans="1:35" ht="16" customHeight="1" x14ac:dyDescent="0.25">
      <c r="A314" s="4" t="s">
        <v>1870</v>
      </c>
      <c r="B314" s="151">
        <v>9.5</v>
      </c>
      <c r="C314" s="2"/>
      <c r="D314" s="4" t="s">
        <v>1996</v>
      </c>
      <c r="E314" s="151">
        <v>9</v>
      </c>
      <c r="F314" s="2"/>
      <c r="G314" s="4" t="s">
        <v>1882</v>
      </c>
      <c r="H314" s="151">
        <v>7.5</v>
      </c>
      <c r="I314" s="2"/>
      <c r="J314" s="4" t="s">
        <v>1841</v>
      </c>
      <c r="K314" s="151">
        <v>9</v>
      </c>
      <c r="L314" s="2"/>
      <c r="M314" s="4" t="s">
        <v>1857</v>
      </c>
      <c r="N314" s="151">
        <v>8.5</v>
      </c>
      <c r="O314" s="17"/>
      <c r="R314" s="367" t="s">
        <v>2850</v>
      </c>
      <c r="S314" s="367"/>
      <c r="T314" s="367"/>
      <c r="U314" s="367"/>
      <c r="V314" s="367"/>
      <c r="W314"/>
      <c r="X314"/>
      <c r="Y314"/>
      <c r="Z314"/>
      <c r="AA314"/>
      <c r="AB314"/>
      <c r="AC314"/>
      <c r="AD314"/>
      <c r="AE314"/>
      <c r="AF314"/>
      <c r="AG314"/>
      <c r="AH314"/>
      <c r="AI314"/>
    </row>
    <row r="315" spans="1:35" ht="16" customHeight="1" x14ac:dyDescent="0.2">
      <c r="A315" s="4" t="s">
        <v>1871</v>
      </c>
      <c r="B315" s="151">
        <v>7</v>
      </c>
      <c r="C315" s="2"/>
      <c r="D315" s="4" t="s">
        <v>1997</v>
      </c>
      <c r="E315" s="151">
        <v>8</v>
      </c>
      <c r="F315" s="2"/>
      <c r="G315" s="4" t="s">
        <v>1883</v>
      </c>
      <c r="H315" s="151">
        <v>7</v>
      </c>
      <c r="I315" s="2"/>
      <c r="J315" s="4" t="s">
        <v>1842</v>
      </c>
      <c r="K315" s="151">
        <v>9.5</v>
      </c>
      <c r="L315" s="2"/>
      <c r="M315" s="4" t="s">
        <v>1858</v>
      </c>
      <c r="N315" s="151">
        <v>7.5</v>
      </c>
      <c r="O315" s="17"/>
      <c r="R315" s="231" t="s">
        <v>352</v>
      </c>
      <c r="S315" s="231" t="s">
        <v>319</v>
      </c>
      <c r="T315" s="231" t="s">
        <v>320</v>
      </c>
      <c r="U315" s="231" t="s">
        <v>321</v>
      </c>
      <c r="V315" s="231" t="s">
        <v>1002</v>
      </c>
      <c r="W315"/>
      <c r="X315"/>
      <c r="Y315"/>
      <c r="Z315"/>
      <c r="AA315"/>
      <c r="AB315"/>
      <c r="AC315"/>
      <c r="AD315"/>
      <c r="AE315"/>
      <c r="AF315"/>
      <c r="AG315"/>
      <c r="AH315"/>
      <c r="AI315"/>
    </row>
    <row r="316" spans="1:35" ht="16" customHeight="1" thickBot="1" x14ac:dyDescent="0.25">
      <c r="A316" s="4" t="s">
        <v>1872</v>
      </c>
      <c r="B316" s="151">
        <v>10</v>
      </c>
      <c r="C316" s="2"/>
      <c r="D316" s="4" t="s">
        <v>1998</v>
      </c>
      <c r="E316" s="151">
        <v>8</v>
      </c>
      <c r="F316" s="2"/>
      <c r="G316" s="4" t="s">
        <v>1884</v>
      </c>
      <c r="H316" s="151">
        <v>7</v>
      </c>
      <c r="I316" s="2"/>
      <c r="J316" s="7" t="s">
        <v>1843</v>
      </c>
      <c r="K316" s="152">
        <v>8.5</v>
      </c>
      <c r="L316" s="2"/>
      <c r="M316" s="7" t="s">
        <v>1859</v>
      </c>
      <c r="N316" s="152">
        <v>9</v>
      </c>
      <c r="O316" s="17"/>
      <c r="R316" s="238">
        <v>1</v>
      </c>
      <c r="S316" s="232" t="s">
        <v>1333</v>
      </c>
      <c r="T316" s="232" t="s">
        <v>1324</v>
      </c>
      <c r="U316" s="233">
        <v>9</v>
      </c>
      <c r="V316" s="369">
        <v>8.9600000000000009</v>
      </c>
      <c r="W316"/>
      <c r="X316"/>
      <c r="Y316"/>
      <c r="Z316"/>
      <c r="AA316"/>
      <c r="AB316"/>
      <c r="AC316"/>
      <c r="AD316"/>
      <c r="AE316"/>
      <c r="AF316"/>
      <c r="AG316"/>
      <c r="AH316"/>
      <c r="AI316"/>
    </row>
    <row r="317" spans="1:35" ht="16" customHeight="1" thickBot="1" x14ac:dyDescent="0.25">
      <c r="A317" s="4" t="s">
        <v>1873</v>
      </c>
      <c r="B317" s="151">
        <v>8.5</v>
      </c>
      <c r="C317" s="2"/>
      <c r="D317" s="4" t="s">
        <v>1999</v>
      </c>
      <c r="E317" s="151">
        <v>8.5</v>
      </c>
      <c r="F317" s="2"/>
      <c r="G317" s="4" t="s">
        <v>1885</v>
      </c>
      <c r="H317" s="151">
        <v>7.5</v>
      </c>
      <c r="I317" s="2"/>
      <c r="J317" s="2"/>
      <c r="K317" s="2"/>
      <c r="L317" s="2"/>
      <c r="M317" s="2"/>
      <c r="N317" s="2"/>
      <c r="O317" s="17"/>
      <c r="R317" s="240">
        <v>2</v>
      </c>
      <c r="S317" s="235" t="s">
        <v>739</v>
      </c>
      <c r="T317" s="235" t="s">
        <v>740</v>
      </c>
      <c r="U317" s="236">
        <v>8.91</v>
      </c>
      <c r="V317" s="328">
        <v>8.93</v>
      </c>
      <c r="W317"/>
      <c r="X317"/>
      <c r="Y317"/>
      <c r="Z317"/>
      <c r="AA317"/>
      <c r="AB317"/>
      <c r="AC317"/>
      <c r="AD317"/>
      <c r="AE317"/>
      <c r="AF317"/>
      <c r="AG317"/>
      <c r="AH317"/>
      <c r="AI317"/>
    </row>
    <row r="318" spans="1:35" ht="16" customHeight="1" thickBot="1" x14ac:dyDescent="0.25">
      <c r="A318" s="4" t="s">
        <v>1874</v>
      </c>
      <c r="B318" s="151">
        <v>7.5</v>
      </c>
      <c r="C318" s="2"/>
      <c r="D318" s="7" t="s">
        <v>2000</v>
      </c>
      <c r="E318" s="152">
        <v>8.5</v>
      </c>
      <c r="F318" s="2"/>
      <c r="G318" s="4" t="s">
        <v>1886</v>
      </c>
      <c r="H318" s="151">
        <v>7</v>
      </c>
      <c r="I318" s="2"/>
      <c r="J318" s="172" t="s">
        <v>2014</v>
      </c>
      <c r="K318" s="12">
        <f>ROUND(SUM(K319:K326)/COUNT(K319:K326), 2)</f>
        <v>8.43</v>
      </c>
      <c r="L318" s="2"/>
      <c r="M318" s="173" t="s">
        <v>2026</v>
      </c>
      <c r="N318" s="12">
        <f>ROUND(SUM(N319:N326)/COUNT(N319:N326), 2)</f>
        <v>9.31</v>
      </c>
      <c r="O318" s="17"/>
      <c r="R318" s="242">
        <v>3</v>
      </c>
      <c r="S318" s="232" t="s">
        <v>1489</v>
      </c>
      <c r="T318" s="232" t="s">
        <v>1490</v>
      </c>
      <c r="U318" s="233">
        <v>8.93</v>
      </c>
      <c r="V318" s="258">
        <v>8.8800000000000008</v>
      </c>
      <c r="W318"/>
      <c r="X318"/>
      <c r="Y318"/>
      <c r="Z318"/>
      <c r="AA318"/>
      <c r="AB318"/>
      <c r="AC318"/>
      <c r="AD318"/>
      <c r="AE318"/>
      <c r="AF318"/>
      <c r="AG318"/>
      <c r="AH318"/>
      <c r="AI318"/>
    </row>
    <row r="319" spans="1:35" ht="16" customHeight="1" thickBot="1" x14ac:dyDescent="0.25">
      <c r="A319" s="4" t="s">
        <v>1875</v>
      </c>
      <c r="B319" s="151">
        <v>7.5</v>
      </c>
      <c r="C319" s="2"/>
      <c r="D319" s="2"/>
      <c r="E319" s="2"/>
      <c r="F319" s="2"/>
      <c r="G319" s="4" t="s">
        <v>1887</v>
      </c>
      <c r="H319" s="151">
        <v>7</v>
      </c>
      <c r="I319" s="2"/>
      <c r="J319" s="11" t="s">
        <v>2015</v>
      </c>
      <c r="K319" s="150"/>
      <c r="L319" s="2"/>
      <c r="M319" s="11" t="s">
        <v>2027</v>
      </c>
      <c r="N319" s="150">
        <v>10</v>
      </c>
      <c r="O319" s="17"/>
      <c r="R319" s="244">
        <v>4</v>
      </c>
      <c r="S319" s="235" t="s">
        <v>339</v>
      </c>
      <c r="T319" s="235" t="s">
        <v>2835</v>
      </c>
      <c r="U319" s="236">
        <v>8.5399999999999991</v>
      </c>
      <c r="V319" s="278">
        <v>8.4700000000000006</v>
      </c>
      <c r="W319"/>
      <c r="X319"/>
      <c r="Y319"/>
      <c r="Z319"/>
      <c r="AA319"/>
      <c r="AB319"/>
      <c r="AC319"/>
      <c r="AD319"/>
      <c r="AE319"/>
      <c r="AF319"/>
      <c r="AG319"/>
      <c r="AH319"/>
      <c r="AI319"/>
    </row>
    <row r="320" spans="1:35" ht="16" customHeight="1" thickBot="1" x14ac:dyDescent="0.25">
      <c r="A320" s="7" t="s">
        <v>1876</v>
      </c>
      <c r="B320" s="152">
        <v>8</v>
      </c>
      <c r="C320" s="2"/>
      <c r="D320" s="171" t="s">
        <v>2002</v>
      </c>
      <c r="E320" s="12">
        <f>ROUND(SUM(E321:E326)/COUNT(E321:E326), 2)</f>
        <v>8.67</v>
      </c>
      <c r="F320" s="2"/>
      <c r="G320" s="4" t="s">
        <v>1888</v>
      </c>
      <c r="H320" s="151">
        <v>7.5</v>
      </c>
      <c r="I320" s="2"/>
      <c r="J320" s="4" t="s">
        <v>2016</v>
      </c>
      <c r="K320" s="151">
        <v>8.5</v>
      </c>
      <c r="L320" s="2"/>
      <c r="M320" s="4" t="s">
        <v>2028</v>
      </c>
      <c r="N320" s="151">
        <v>10.5</v>
      </c>
      <c r="O320" s="17"/>
      <c r="R320" s="244">
        <v>5</v>
      </c>
      <c r="S320" s="232" t="s">
        <v>2406</v>
      </c>
      <c r="T320" s="232" t="s">
        <v>2407</v>
      </c>
      <c r="U320" s="233">
        <v>8.1999999999999993</v>
      </c>
      <c r="V320" s="299">
        <v>8.1300000000000008</v>
      </c>
      <c r="W320"/>
      <c r="X320"/>
      <c r="Y320"/>
      <c r="Z320"/>
      <c r="AA320"/>
      <c r="AB320"/>
      <c r="AC320"/>
      <c r="AD320"/>
      <c r="AE320"/>
      <c r="AF320"/>
      <c r="AG320"/>
      <c r="AH320"/>
      <c r="AI320"/>
    </row>
    <row r="321" spans="1:35" ht="16" customHeight="1" thickBot="1" x14ac:dyDescent="0.25">
      <c r="A321" s="2"/>
      <c r="B321" s="2"/>
      <c r="C321" s="2"/>
      <c r="D321" s="11" t="s">
        <v>2003</v>
      </c>
      <c r="E321" s="150">
        <v>8.5</v>
      </c>
      <c r="F321" s="2"/>
      <c r="G321" s="4" t="s">
        <v>1889</v>
      </c>
      <c r="H321" s="151">
        <v>6</v>
      </c>
      <c r="I321" s="2"/>
      <c r="J321" s="4" t="s">
        <v>2017</v>
      </c>
      <c r="K321" s="151">
        <v>9</v>
      </c>
      <c r="L321" s="2"/>
      <c r="M321" s="4" t="s">
        <v>2029</v>
      </c>
      <c r="N321" s="151">
        <v>9.5</v>
      </c>
      <c r="O321" s="17"/>
      <c r="R321"/>
      <c r="S321"/>
      <c r="T321"/>
      <c r="U321"/>
      <c r="V321"/>
      <c r="W321"/>
      <c r="X321"/>
      <c r="Y321"/>
      <c r="Z321"/>
      <c r="AA321"/>
      <c r="AB321"/>
      <c r="AC321"/>
      <c r="AD321"/>
      <c r="AE321"/>
      <c r="AF321"/>
      <c r="AG321"/>
      <c r="AH321"/>
      <c r="AI321"/>
    </row>
    <row r="322" spans="1:35" ht="16" customHeight="1" thickBot="1" x14ac:dyDescent="0.3">
      <c r="A322" s="174" t="s">
        <v>2038</v>
      </c>
      <c r="B322" s="12">
        <f>ROUND(SUM(B323:B341)/COUNT(B323:B341), 2)</f>
        <v>8.3800000000000008</v>
      </c>
      <c r="C322" s="2"/>
      <c r="D322" s="4" t="s">
        <v>2004</v>
      </c>
      <c r="E322" s="151">
        <v>9</v>
      </c>
      <c r="F322" s="2"/>
      <c r="G322" s="4" t="s">
        <v>1890</v>
      </c>
      <c r="H322" s="151">
        <v>7</v>
      </c>
      <c r="I322" s="2"/>
      <c r="J322" s="4" t="s">
        <v>2018</v>
      </c>
      <c r="K322" s="151">
        <v>8.5</v>
      </c>
      <c r="L322" s="2"/>
      <c r="M322" s="4" t="s">
        <v>2030</v>
      </c>
      <c r="N322" s="151">
        <v>10</v>
      </c>
      <c r="O322" s="17"/>
      <c r="R322" s="367" t="s">
        <v>2851</v>
      </c>
      <c r="S322" s="367"/>
      <c r="T322" s="367"/>
      <c r="U322" s="367"/>
      <c r="V322" s="367"/>
      <c r="W322"/>
      <c r="X322"/>
      <c r="Y322"/>
      <c r="Z322"/>
      <c r="AA322"/>
      <c r="AB322"/>
      <c r="AC322"/>
      <c r="AD322"/>
      <c r="AE322"/>
      <c r="AF322"/>
      <c r="AG322"/>
      <c r="AH322"/>
      <c r="AI322"/>
    </row>
    <row r="323" spans="1:35" ht="16" customHeight="1" x14ac:dyDescent="0.2">
      <c r="A323" s="11" t="s">
        <v>1413</v>
      </c>
      <c r="B323" s="150"/>
      <c r="C323" s="2"/>
      <c r="D323" s="4" t="s">
        <v>2005</v>
      </c>
      <c r="E323" s="151">
        <v>8.5</v>
      </c>
      <c r="F323" s="2"/>
      <c r="G323" s="4" t="s">
        <v>1891</v>
      </c>
      <c r="H323" s="151">
        <v>8</v>
      </c>
      <c r="I323" s="2"/>
      <c r="J323" s="4" t="s">
        <v>2019</v>
      </c>
      <c r="K323" s="151">
        <v>8.5</v>
      </c>
      <c r="L323" s="2"/>
      <c r="M323" s="4" t="s">
        <v>2031</v>
      </c>
      <c r="N323" s="151">
        <v>9</v>
      </c>
      <c r="O323" s="17"/>
      <c r="R323" s="231" t="s">
        <v>352</v>
      </c>
      <c r="S323" s="231" t="s">
        <v>319</v>
      </c>
      <c r="T323" s="231" t="s">
        <v>320</v>
      </c>
      <c r="U323" s="231" t="s">
        <v>321</v>
      </c>
      <c r="V323" s="231" t="s">
        <v>1002</v>
      </c>
      <c r="W323"/>
      <c r="X323"/>
      <c r="Y323"/>
      <c r="Z323"/>
      <c r="AA323"/>
      <c r="AB323"/>
      <c r="AC323"/>
      <c r="AD323"/>
      <c r="AE323"/>
      <c r="AF323"/>
      <c r="AG323"/>
      <c r="AH323"/>
      <c r="AI323"/>
    </row>
    <row r="324" spans="1:35" ht="16" customHeight="1" x14ac:dyDescent="0.2">
      <c r="A324" s="4" t="s">
        <v>2039</v>
      </c>
      <c r="B324" s="151">
        <v>8</v>
      </c>
      <c r="C324" s="2"/>
      <c r="D324" s="4" t="s">
        <v>2006</v>
      </c>
      <c r="E324" s="151">
        <v>7.5</v>
      </c>
      <c r="F324" s="2"/>
      <c r="G324" s="4" t="s">
        <v>1892</v>
      </c>
      <c r="H324" s="151">
        <v>7.5</v>
      </c>
      <c r="I324" s="2"/>
      <c r="J324" s="4" t="s">
        <v>2020</v>
      </c>
      <c r="K324" s="151">
        <v>7.5</v>
      </c>
      <c r="L324" s="2"/>
      <c r="M324" s="4" t="s">
        <v>2032</v>
      </c>
      <c r="N324" s="151">
        <v>8.5</v>
      </c>
      <c r="O324" s="17"/>
      <c r="R324" s="238">
        <v>1</v>
      </c>
      <c r="S324" s="232" t="s">
        <v>996</v>
      </c>
      <c r="T324" s="232" t="s">
        <v>994</v>
      </c>
      <c r="U324" s="233">
        <v>10.5</v>
      </c>
      <c r="V324" s="281">
        <v>10.85</v>
      </c>
      <c r="W324"/>
      <c r="X324"/>
      <c r="Y324"/>
      <c r="Z324"/>
      <c r="AA324"/>
      <c r="AB324"/>
      <c r="AC324"/>
      <c r="AD324"/>
      <c r="AE324"/>
      <c r="AF324"/>
      <c r="AG324"/>
      <c r="AH324"/>
      <c r="AI324"/>
    </row>
    <row r="325" spans="1:35" ht="16" customHeight="1" x14ac:dyDescent="0.2">
      <c r="A325" s="4" t="s">
        <v>2040</v>
      </c>
      <c r="B325" s="151">
        <v>8</v>
      </c>
      <c r="C325" s="2"/>
      <c r="D325" s="4" t="s">
        <v>2007</v>
      </c>
      <c r="E325" s="151">
        <v>9</v>
      </c>
      <c r="F325" s="2"/>
      <c r="G325" s="4" t="s">
        <v>1893</v>
      </c>
      <c r="H325" s="151">
        <v>7</v>
      </c>
      <c r="I325" s="2"/>
      <c r="J325" s="4" t="s">
        <v>2021</v>
      </c>
      <c r="K325" s="151">
        <v>8</v>
      </c>
      <c r="L325" s="2"/>
      <c r="M325" s="4" t="s">
        <v>2033</v>
      </c>
      <c r="N325" s="151">
        <v>8.5</v>
      </c>
      <c r="O325" s="17"/>
      <c r="R325" s="240">
        <v>2</v>
      </c>
      <c r="S325" s="235" t="s">
        <v>346</v>
      </c>
      <c r="T325" s="235" t="s">
        <v>2836</v>
      </c>
      <c r="U325" s="236">
        <v>8.85</v>
      </c>
      <c r="V325" s="275">
        <v>8.84</v>
      </c>
      <c r="W325"/>
      <c r="X325"/>
      <c r="Y325"/>
      <c r="Z325"/>
      <c r="AA325"/>
      <c r="AB325"/>
      <c r="AC325"/>
      <c r="AD325"/>
      <c r="AE325"/>
      <c r="AF325"/>
      <c r="AG325"/>
      <c r="AH325"/>
      <c r="AI325"/>
    </row>
    <row r="326" spans="1:35" ht="16" customHeight="1" thickBot="1" x14ac:dyDescent="0.25">
      <c r="A326" s="4" t="s">
        <v>2041</v>
      </c>
      <c r="B326" s="151">
        <v>8.5</v>
      </c>
      <c r="C326" s="2"/>
      <c r="D326" s="7" t="s">
        <v>2008</v>
      </c>
      <c r="E326" s="152">
        <v>9.5</v>
      </c>
      <c r="F326" s="2"/>
      <c r="G326" s="4" t="s">
        <v>1894</v>
      </c>
      <c r="H326" s="151">
        <v>6</v>
      </c>
      <c r="I326" s="2"/>
      <c r="J326" s="7" t="s">
        <v>2022</v>
      </c>
      <c r="K326" s="152">
        <v>9</v>
      </c>
      <c r="L326" s="2"/>
      <c r="M326" s="7" t="s">
        <v>2034</v>
      </c>
      <c r="N326" s="152">
        <v>8.5</v>
      </c>
      <c r="O326" s="17"/>
      <c r="R326" s="242">
        <v>3</v>
      </c>
      <c r="S326" s="232" t="s">
        <v>1489</v>
      </c>
      <c r="T326" s="232" t="s">
        <v>1490</v>
      </c>
      <c r="U326" s="233">
        <v>8.93</v>
      </c>
      <c r="V326" s="258">
        <v>8.8800000000000008</v>
      </c>
      <c r="W326"/>
      <c r="X326"/>
      <c r="Y326"/>
      <c r="Z326"/>
      <c r="AA326"/>
      <c r="AB326"/>
      <c r="AC326"/>
      <c r="AD326"/>
      <c r="AE326"/>
      <c r="AF326"/>
      <c r="AG326"/>
      <c r="AH326"/>
      <c r="AI326"/>
    </row>
    <row r="327" spans="1:35" ht="16" customHeight="1" thickBot="1" x14ac:dyDescent="0.25">
      <c r="A327" s="4" t="s">
        <v>2042</v>
      </c>
      <c r="B327" s="151">
        <v>8</v>
      </c>
      <c r="C327" s="2"/>
      <c r="D327" s="2"/>
      <c r="E327" s="2"/>
      <c r="F327" s="2"/>
      <c r="G327" s="7" t="s">
        <v>1895</v>
      </c>
      <c r="H327" s="152">
        <v>6.5</v>
      </c>
      <c r="I327" s="2"/>
      <c r="J327" s="2"/>
      <c r="K327" s="2"/>
      <c r="L327" s="2"/>
      <c r="M327" s="2"/>
      <c r="N327" s="2"/>
      <c r="O327" s="17"/>
      <c r="R327" s="244">
        <v>4</v>
      </c>
      <c r="S327" s="235" t="s">
        <v>396</v>
      </c>
      <c r="T327" s="235" t="s">
        <v>390</v>
      </c>
      <c r="U327" s="236">
        <v>8.8000000000000007</v>
      </c>
      <c r="V327" s="261">
        <v>8.81</v>
      </c>
      <c r="W327"/>
      <c r="X327"/>
      <c r="Y327"/>
      <c r="Z327"/>
      <c r="AA327"/>
      <c r="AB327"/>
      <c r="AC327"/>
      <c r="AD327"/>
      <c r="AE327"/>
      <c r="AF327"/>
      <c r="AG327"/>
      <c r="AH327"/>
      <c r="AI327"/>
    </row>
    <row r="328" spans="1:35" ht="16" customHeight="1" thickBot="1" x14ac:dyDescent="0.25">
      <c r="A328" s="4" t="s">
        <v>2043</v>
      </c>
      <c r="B328" s="151">
        <v>9</v>
      </c>
      <c r="C328" s="2"/>
      <c r="D328" s="176" t="s">
        <v>2061</v>
      </c>
      <c r="E328" s="12">
        <f>ROUND(SUM(E329:E358)/COUNT(E329:E358), 2)</f>
        <v>8.7200000000000006</v>
      </c>
      <c r="F328" s="2"/>
      <c r="G328" s="2"/>
      <c r="H328" s="2"/>
      <c r="I328" s="2"/>
      <c r="J328" s="178" t="s">
        <v>2198</v>
      </c>
      <c r="K328" s="12">
        <f>ROUND(SUM(K329:K338)/COUNT(K329:K338), 2)</f>
        <v>8.6</v>
      </c>
      <c r="L328" s="2"/>
      <c r="M328" s="177" t="s">
        <v>2114</v>
      </c>
      <c r="N328" s="12">
        <f>ROUND(SUM(N329:N336)/COUNT(N329:N336), 2)</f>
        <v>8.81</v>
      </c>
      <c r="O328" s="17"/>
      <c r="R328" s="244">
        <v>5</v>
      </c>
      <c r="S328" s="232" t="s">
        <v>956</v>
      </c>
      <c r="T328" s="232" t="s">
        <v>954</v>
      </c>
      <c r="U328" s="233">
        <v>8.67</v>
      </c>
      <c r="V328" s="264">
        <v>8.56</v>
      </c>
      <c r="W328"/>
      <c r="X328"/>
      <c r="Y328"/>
      <c r="Z328"/>
      <c r="AA328"/>
      <c r="AB328"/>
      <c r="AC328"/>
      <c r="AD328"/>
      <c r="AE328"/>
      <c r="AF328"/>
      <c r="AG328"/>
      <c r="AH328"/>
      <c r="AI328"/>
    </row>
    <row r="329" spans="1:35" ht="16" customHeight="1" thickBot="1" x14ac:dyDescent="0.25">
      <c r="A329" s="4" t="s">
        <v>2044</v>
      </c>
      <c r="B329" s="151">
        <v>8.5</v>
      </c>
      <c r="C329" s="2"/>
      <c r="D329" s="11" t="s">
        <v>2062</v>
      </c>
      <c r="E329" s="150">
        <v>8.5</v>
      </c>
      <c r="F329" s="2"/>
      <c r="G329" s="179" t="s">
        <v>2197</v>
      </c>
      <c r="H329" s="12">
        <f>ROUND(SUM(H330:H337)/COUNT(H330:H337), 2)</f>
        <v>8.75</v>
      </c>
      <c r="I329" s="2"/>
      <c r="J329" s="11" t="s">
        <v>2095</v>
      </c>
      <c r="K329" s="150">
        <v>10.5</v>
      </c>
      <c r="L329" s="2"/>
      <c r="M329" s="11" t="s">
        <v>111</v>
      </c>
      <c r="N329" s="150">
        <v>9</v>
      </c>
      <c r="O329" s="17"/>
      <c r="R329"/>
      <c r="S329"/>
      <c r="T329"/>
      <c r="U329"/>
      <c r="V329"/>
      <c r="W329"/>
      <c r="X329"/>
      <c r="Y329"/>
      <c r="Z329"/>
      <c r="AA329"/>
      <c r="AB329"/>
      <c r="AC329"/>
      <c r="AD329"/>
      <c r="AE329"/>
      <c r="AF329"/>
      <c r="AG329"/>
      <c r="AH329"/>
      <c r="AI329"/>
    </row>
    <row r="330" spans="1:35" ht="16" customHeight="1" x14ac:dyDescent="0.25">
      <c r="A330" s="4" t="s">
        <v>2045</v>
      </c>
      <c r="B330" s="151"/>
      <c r="C330" s="2"/>
      <c r="D330" s="4" t="s">
        <v>2063</v>
      </c>
      <c r="E330" s="151">
        <v>10.5</v>
      </c>
      <c r="F330" s="2"/>
      <c r="G330" s="11" t="s">
        <v>2199</v>
      </c>
      <c r="H330" s="150">
        <v>9.5</v>
      </c>
      <c r="I330" s="2"/>
      <c r="J330" s="4" t="s">
        <v>2096</v>
      </c>
      <c r="K330" s="151">
        <v>8</v>
      </c>
      <c r="L330" s="2"/>
      <c r="M330" s="4" t="s">
        <v>2115</v>
      </c>
      <c r="N330" s="151">
        <v>8.5</v>
      </c>
      <c r="O330" s="17"/>
      <c r="R330" s="367" t="s">
        <v>2852</v>
      </c>
      <c r="S330" s="367"/>
      <c r="T330" s="367"/>
      <c r="U330" s="367"/>
      <c r="V330" s="367"/>
      <c r="W330"/>
      <c r="X330"/>
      <c r="Y330"/>
      <c r="Z330"/>
      <c r="AA330"/>
      <c r="AB330"/>
      <c r="AC330"/>
      <c r="AD330"/>
      <c r="AE330"/>
      <c r="AF330"/>
      <c r="AG330"/>
      <c r="AH330"/>
      <c r="AI330"/>
    </row>
    <row r="331" spans="1:35" ht="16" customHeight="1" x14ac:dyDescent="0.2">
      <c r="A331" s="4" t="s">
        <v>2046</v>
      </c>
      <c r="B331" s="151">
        <v>8.5</v>
      </c>
      <c r="C331" s="2"/>
      <c r="D331" s="4" t="s">
        <v>2064</v>
      </c>
      <c r="E331" s="151">
        <v>9.5</v>
      </c>
      <c r="F331" s="2"/>
      <c r="G331" s="4" t="s">
        <v>2200</v>
      </c>
      <c r="H331" s="151">
        <v>8.5</v>
      </c>
      <c r="I331" s="2"/>
      <c r="J331" s="4" t="s">
        <v>2097</v>
      </c>
      <c r="K331" s="151">
        <v>7.5</v>
      </c>
      <c r="L331" s="2"/>
      <c r="M331" s="4" t="s">
        <v>2116</v>
      </c>
      <c r="N331" s="151">
        <v>9.5</v>
      </c>
      <c r="O331" s="17"/>
      <c r="R331" s="231" t="s">
        <v>352</v>
      </c>
      <c r="S331" s="231" t="s">
        <v>319</v>
      </c>
      <c r="T331" s="231" t="s">
        <v>320</v>
      </c>
      <c r="U331" s="231" t="s">
        <v>321</v>
      </c>
      <c r="V331" s="231" t="s">
        <v>1002</v>
      </c>
      <c r="W331"/>
      <c r="X331"/>
      <c r="Y331"/>
      <c r="Z331"/>
      <c r="AA331"/>
      <c r="AB331"/>
      <c r="AC331"/>
      <c r="AD331"/>
      <c r="AE331"/>
      <c r="AF331"/>
      <c r="AG331"/>
      <c r="AH331"/>
      <c r="AI331"/>
    </row>
    <row r="332" spans="1:35" ht="16" customHeight="1" x14ac:dyDescent="0.2">
      <c r="A332" s="4" t="s">
        <v>2047</v>
      </c>
      <c r="B332" s="151">
        <v>10</v>
      </c>
      <c r="C332" s="2"/>
      <c r="D332" s="4" t="s">
        <v>2065</v>
      </c>
      <c r="E332" s="151">
        <v>9</v>
      </c>
      <c r="F332" s="2"/>
      <c r="G332" s="4" t="s">
        <v>2201</v>
      </c>
      <c r="H332" s="151">
        <v>8.5</v>
      </c>
      <c r="I332" s="2"/>
      <c r="J332" s="4" t="s">
        <v>2098</v>
      </c>
      <c r="K332" s="151">
        <v>9.5</v>
      </c>
      <c r="L332" s="2"/>
      <c r="M332" s="4" t="s">
        <v>2117</v>
      </c>
      <c r="N332" s="151">
        <v>10.5</v>
      </c>
      <c r="O332" s="17"/>
      <c r="R332" s="238">
        <v>1</v>
      </c>
      <c r="S332" s="232" t="s">
        <v>326</v>
      </c>
      <c r="T332" s="232" t="s">
        <v>2837</v>
      </c>
      <c r="U332" s="233">
        <v>9.34</v>
      </c>
      <c r="V332" s="364">
        <v>9.64</v>
      </c>
      <c r="W332"/>
      <c r="X332"/>
      <c r="Y332"/>
      <c r="Z332"/>
      <c r="AA332"/>
      <c r="AB332"/>
      <c r="AC332"/>
      <c r="AD332"/>
      <c r="AE332"/>
      <c r="AF332"/>
      <c r="AG332"/>
      <c r="AH332"/>
      <c r="AI332"/>
    </row>
    <row r="333" spans="1:35" ht="16" customHeight="1" x14ac:dyDescent="0.2">
      <c r="A333" s="4" t="s">
        <v>2048</v>
      </c>
      <c r="B333" s="151">
        <v>8.5</v>
      </c>
      <c r="C333" s="2"/>
      <c r="D333" s="4" t="s">
        <v>2066</v>
      </c>
      <c r="E333" s="151">
        <v>8.5</v>
      </c>
      <c r="F333" s="2"/>
      <c r="G333" s="4" t="s">
        <v>2202</v>
      </c>
      <c r="H333" s="151">
        <v>8</v>
      </c>
      <c r="I333" s="2"/>
      <c r="J333" s="4" t="s">
        <v>2099</v>
      </c>
      <c r="K333" s="151">
        <v>7.5</v>
      </c>
      <c r="L333" s="2"/>
      <c r="M333" s="4" t="s">
        <v>2118</v>
      </c>
      <c r="N333" s="151">
        <v>8.5</v>
      </c>
      <c r="O333" s="17"/>
      <c r="R333" s="240">
        <v>2</v>
      </c>
      <c r="S333" s="235" t="s">
        <v>1409</v>
      </c>
      <c r="T333" s="235" t="s">
        <v>1410</v>
      </c>
      <c r="U333" s="236">
        <v>8.0500000000000007</v>
      </c>
      <c r="V333" s="268">
        <v>7.95</v>
      </c>
      <c r="W333"/>
      <c r="X333"/>
      <c r="Y333"/>
      <c r="Z333"/>
      <c r="AA333"/>
      <c r="AB333"/>
      <c r="AC333"/>
      <c r="AD333"/>
      <c r="AE333"/>
      <c r="AF333"/>
      <c r="AG333"/>
      <c r="AH333"/>
      <c r="AI333"/>
    </row>
    <row r="334" spans="1:35" ht="16" customHeight="1" x14ac:dyDescent="0.2">
      <c r="A334" s="4" t="s">
        <v>2049</v>
      </c>
      <c r="B334" s="151">
        <v>7.5</v>
      </c>
      <c r="C334" s="2"/>
      <c r="D334" s="4" t="s">
        <v>2067</v>
      </c>
      <c r="E334" s="151">
        <v>9</v>
      </c>
      <c r="F334" s="2"/>
      <c r="G334" s="4" t="s">
        <v>2203</v>
      </c>
      <c r="H334" s="151">
        <v>9</v>
      </c>
      <c r="I334" s="2"/>
      <c r="J334" s="4" t="s">
        <v>2100</v>
      </c>
      <c r="K334" s="151">
        <v>8</v>
      </c>
      <c r="L334" s="2"/>
      <c r="M334" s="4" t="s">
        <v>2119</v>
      </c>
      <c r="N334" s="151">
        <v>8</v>
      </c>
      <c r="O334" s="17"/>
      <c r="R334" s="242">
        <v>3</v>
      </c>
      <c r="S334" s="232" t="s">
        <v>335</v>
      </c>
      <c r="T334" s="232" t="s">
        <v>1790</v>
      </c>
      <c r="U334" s="233">
        <v>3.68</v>
      </c>
      <c r="V334" s="250">
        <v>3.37</v>
      </c>
      <c r="W334"/>
      <c r="X334"/>
      <c r="Y334"/>
      <c r="Z334"/>
      <c r="AA334"/>
      <c r="AB334"/>
      <c r="AC334"/>
      <c r="AD334"/>
      <c r="AE334"/>
      <c r="AF334"/>
      <c r="AG334"/>
      <c r="AH334"/>
      <c r="AI334"/>
    </row>
    <row r="335" spans="1:35" ht="16" customHeight="1" x14ac:dyDescent="0.2">
      <c r="A335" s="4" t="s">
        <v>2050</v>
      </c>
      <c r="B335" s="151">
        <v>10</v>
      </c>
      <c r="C335" s="2"/>
      <c r="D335" s="4" t="s">
        <v>2068</v>
      </c>
      <c r="E335" s="151">
        <v>8.5</v>
      </c>
      <c r="F335" s="2"/>
      <c r="G335" s="4" t="s">
        <v>2204</v>
      </c>
      <c r="H335" s="151">
        <v>8.5</v>
      </c>
      <c r="I335" s="2"/>
      <c r="J335" s="4" t="s">
        <v>2101</v>
      </c>
      <c r="K335" s="151">
        <v>10</v>
      </c>
      <c r="L335" s="2"/>
      <c r="M335" s="4" t="s">
        <v>2120</v>
      </c>
      <c r="N335" s="151">
        <v>8.5</v>
      </c>
      <c r="O335" s="17"/>
      <c r="R335"/>
      <c r="S335"/>
      <c r="T335"/>
      <c r="U335"/>
      <c r="V335"/>
      <c r="W335"/>
      <c r="X335"/>
      <c r="Y335"/>
      <c r="Z335"/>
      <c r="AA335"/>
      <c r="AB335"/>
      <c r="AC335"/>
      <c r="AD335"/>
      <c r="AE335"/>
      <c r="AF335"/>
      <c r="AG335"/>
      <c r="AH335"/>
      <c r="AI335"/>
    </row>
    <row r="336" spans="1:35" ht="16" customHeight="1" thickBot="1" x14ac:dyDescent="0.25">
      <c r="A336" s="4" t="s">
        <v>2051</v>
      </c>
      <c r="B336" s="151">
        <v>8</v>
      </c>
      <c r="C336" s="2"/>
      <c r="D336" s="4" t="s">
        <v>2069</v>
      </c>
      <c r="E336" s="151">
        <v>8.5</v>
      </c>
      <c r="F336" s="2"/>
      <c r="G336" s="4" t="s">
        <v>2205</v>
      </c>
      <c r="H336" s="151">
        <v>10</v>
      </c>
      <c r="I336" s="2"/>
      <c r="J336" s="4" t="s">
        <v>2102</v>
      </c>
      <c r="K336" s="151">
        <v>9</v>
      </c>
      <c r="L336" s="2"/>
      <c r="M336" s="7" t="s">
        <v>2121</v>
      </c>
      <c r="N336" s="152">
        <v>8</v>
      </c>
      <c r="O336" s="17"/>
      <c r="R336"/>
      <c r="S336"/>
      <c r="T336"/>
      <c r="U336"/>
      <c r="V336"/>
      <c r="W336"/>
      <c r="X336"/>
      <c r="Y336"/>
      <c r="Z336"/>
      <c r="AA336"/>
      <c r="AB336"/>
      <c r="AC336"/>
      <c r="AD336"/>
      <c r="AE336"/>
      <c r="AF336"/>
      <c r="AG336"/>
      <c r="AH336"/>
      <c r="AI336"/>
    </row>
    <row r="337" spans="1:35" ht="16" customHeight="1" thickBot="1" x14ac:dyDescent="0.25">
      <c r="A337" s="4" t="s">
        <v>2052</v>
      </c>
      <c r="B337" s="151">
        <v>7</v>
      </c>
      <c r="C337" s="2"/>
      <c r="D337" s="4" t="s">
        <v>2070</v>
      </c>
      <c r="E337" s="151">
        <v>10</v>
      </c>
      <c r="F337" s="2"/>
      <c r="G337" s="7" t="s">
        <v>2206</v>
      </c>
      <c r="H337" s="152">
        <v>8</v>
      </c>
      <c r="I337" s="2"/>
      <c r="J337" s="4" t="s">
        <v>2103</v>
      </c>
      <c r="K337" s="151">
        <v>8</v>
      </c>
      <c r="L337" s="2"/>
      <c r="M337" s="2"/>
      <c r="N337" s="2"/>
      <c r="O337" s="17"/>
      <c r="R337"/>
      <c r="S337"/>
      <c r="T337"/>
      <c r="U337"/>
      <c r="V337"/>
      <c r="W337"/>
      <c r="X337"/>
      <c r="Y337"/>
      <c r="Z337"/>
      <c r="AA337"/>
      <c r="AB337"/>
      <c r="AC337"/>
      <c r="AD337"/>
      <c r="AE337"/>
      <c r="AF337"/>
      <c r="AG337"/>
      <c r="AH337"/>
      <c r="AI337"/>
    </row>
    <row r="338" spans="1:35" ht="16" customHeight="1" thickBot="1" x14ac:dyDescent="0.3">
      <c r="A338" s="4" t="s">
        <v>2053</v>
      </c>
      <c r="B338" s="151">
        <v>8</v>
      </c>
      <c r="C338" s="2"/>
      <c r="D338" s="4" t="s">
        <v>2071</v>
      </c>
      <c r="E338" s="151">
        <v>8.5</v>
      </c>
      <c r="F338" s="2"/>
      <c r="G338" s="2"/>
      <c r="H338" s="2"/>
      <c r="I338" s="2"/>
      <c r="J338" s="7" t="s">
        <v>2104</v>
      </c>
      <c r="K338" s="152">
        <v>8</v>
      </c>
      <c r="L338" s="2"/>
      <c r="M338" s="180" t="s">
        <v>2210</v>
      </c>
      <c r="N338" s="12">
        <f>ROUND(SUM(N339:N353)/COUNT(N339:N353), 2)</f>
        <v>8.73</v>
      </c>
      <c r="O338" s="17"/>
      <c r="R338" s="367" t="s">
        <v>2853</v>
      </c>
      <c r="S338" s="367"/>
      <c r="T338" s="367"/>
      <c r="U338" s="367"/>
      <c r="V338" s="367"/>
      <c r="W338"/>
      <c r="X338"/>
      <c r="Y338"/>
      <c r="Z338"/>
      <c r="AA338"/>
      <c r="AB338"/>
      <c r="AC338"/>
      <c r="AD338"/>
      <c r="AE338"/>
      <c r="AF338"/>
      <c r="AG338"/>
      <c r="AH338"/>
      <c r="AI338"/>
    </row>
    <row r="339" spans="1:35" ht="16" customHeight="1" thickBot="1" x14ac:dyDescent="0.25">
      <c r="A339" s="4" t="s">
        <v>2054</v>
      </c>
      <c r="B339" s="151">
        <v>9</v>
      </c>
      <c r="C339" s="2"/>
      <c r="D339" s="4" t="s">
        <v>2072</v>
      </c>
      <c r="E339" s="151">
        <v>8.5</v>
      </c>
      <c r="F339" s="2"/>
      <c r="G339" s="181" t="s">
        <v>2230</v>
      </c>
      <c r="H339" s="12">
        <f>ROUND(SUM(H340:H351)/COUNT(H340:H351), 2)</f>
        <v>8.58</v>
      </c>
      <c r="I339" s="2"/>
      <c r="J339" s="2"/>
      <c r="K339" s="2"/>
      <c r="L339" s="2"/>
      <c r="M339" s="11" t="s">
        <v>2211</v>
      </c>
      <c r="N339" s="150">
        <v>8</v>
      </c>
      <c r="O339" s="17"/>
      <c r="R339" s="231" t="s">
        <v>352</v>
      </c>
      <c r="S339" s="231" t="s">
        <v>319</v>
      </c>
      <c r="T339" s="231" t="s">
        <v>320</v>
      </c>
      <c r="U339" s="231" t="s">
        <v>321</v>
      </c>
      <c r="V339" s="231" t="s">
        <v>1002</v>
      </c>
      <c r="W339"/>
      <c r="X339"/>
      <c r="Y339"/>
      <c r="Z339"/>
      <c r="AA339"/>
      <c r="AB339"/>
      <c r="AC339"/>
      <c r="AD339"/>
      <c r="AE339"/>
      <c r="AF339"/>
      <c r="AG339"/>
      <c r="AH339"/>
      <c r="AI339"/>
    </row>
    <row r="340" spans="1:35" ht="16" customHeight="1" thickBot="1" x14ac:dyDescent="0.25">
      <c r="A340" s="4" t="s">
        <v>2055</v>
      </c>
      <c r="B340" s="151">
        <v>8.5</v>
      </c>
      <c r="C340" s="2"/>
      <c r="D340" s="4" t="s">
        <v>2073</v>
      </c>
      <c r="E340" s="151">
        <v>7.5</v>
      </c>
      <c r="F340" s="2"/>
      <c r="G340" s="11" t="s">
        <v>2231</v>
      </c>
      <c r="H340" s="150">
        <v>8</v>
      </c>
      <c r="I340" s="2"/>
      <c r="J340" s="182" t="s">
        <v>2262</v>
      </c>
      <c r="K340" s="12">
        <f>ROUND(SUM(K341:K354)/COUNT(K341:K354), 2)</f>
        <v>8.5399999999999991</v>
      </c>
      <c r="L340" s="2"/>
      <c r="M340" s="4" t="s">
        <v>2212</v>
      </c>
      <c r="N340" s="151">
        <v>9</v>
      </c>
      <c r="O340" s="17"/>
      <c r="R340" s="238">
        <v>1</v>
      </c>
      <c r="S340" s="232" t="s">
        <v>2696</v>
      </c>
      <c r="T340" s="232" t="s">
        <v>2838</v>
      </c>
      <c r="U340" s="233">
        <v>9.36</v>
      </c>
      <c r="V340" s="300">
        <v>9.5299999999999994</v>
      </c>
      <c r="W340"/>
      <c r="X340"/>
      <c r="Y340"/>
      <c r="Z340"/>
      <c r="AA340"/>
      <c r="AB340"/>
      <c r="AC340"/>
      <c r="AD340"/>
      <c r="AE340"/>
      <c r="AF340"/>
      <c r="AG340"/>
      <c r="AH340"/>
      <c r="AI340"/>
    </row>
    <row r="341" spans="1:35" ht="16" customHeight="1" thickBot="1" x14ac:dyDescent="0.25">
      <c r="A341" s="7" t="s">
        <v>2056</v>
      </c>
      <c r="B341" s="152">
        <v>7.5</v>
      </c>
      <c r="C341" s="2"/>
      <c r="D341" s="4" t="s">
        <v>2074</v>
      </c>
      <c r="E341" s="151">
        <v>10.5</v>
      </c>
      <c r="F341" s="2"/>
      <c r="G341" s="4" t="s">
        <v>2232</v>
      </c>
      <c r="H341" s="151">
        <v>9</v>
      </c>
      <c r="I341" s="2"/>
      <c r="J341" s="11" t="s">
        <v>2248</v>
      </c>
      <c r="K341" s="150">
        <v>8.5</v>
      </c>
      <c r="L341" s="2"/>
      <c r="M341" s="4" t="s">
        <v>2213</v>
      </c>
      <c r="N341" s="151"/>
      <c r="O341" s="17"/>
      <c r="R341" s="240">
        <v>2</v>
      </c>
      <c r="S341" s="235" t="s">
        <v>2719</v>
      </c>
      <c r="T341" s="235" t="s">
        <v>2718</v>
      </c>
      <c r="U341" s="236">
        <v>8.8800000000000008</v>
      </c>
      <c r="V341" s="261">
        <v>8.81</v>
      </c>
      <c r="W341"/>
      <c r="X341"/>
      <c r="Y341"/>
      <c r="Z341"/>
      <c r="AA341"/>
      <c r="AB341"/>
      <c r="AC341"/>
      <c r="AD341"/>
      <c r="AE341"/>
      <c r="AF341"/>
      <c r="AG341"/>
      <c r="AH341"/>
      <c r="AI341"/>
    </row>
    <row r="342" spans="1:35" ht="16" customHeight="1" thickBot="1" x14ac:dyDescent="0.25">
      <c r="A342" s="2"/>
      <c r="B342" s="2"/>
      <c r="C342" s="2"/>
      <c r="D342" s="4" t="s">
        <v>2075</v>
      </c>
      <c r="E342" s="151">
        <v>8</v>
      </c>
      <c r="F342" s="2"/>
      <c r="G342" s="4" t="s">
        <v>2233</v>
      </c>
      <c r="H342" s="151">
        <v>9.5</v>
      </c>
      <c r="I342" s="2"/>
      <c r="J342" s="4" t="s">
        <v>2249</v>
      </c>
      <c r="K342" s="151">
        <v>9</v>
      </c>
      <c r="L342" s="2"/>
      <c r="M342" s="4" t="s">
        <v>2214</v>
      </c>
      <c r="N342" s="151">
        <v>10</v>
      </c>
      <c r="O342" s="17"/>
      <c r="R342" s="242">
        <v>3</v>
      </c>
      <c r="S342" s="232" t="s">
        <v>1672</v>
      </c>
      <c r="T342" s="232" t="s">
        <v>1671</v>
      </c>
      <c r="U342" s="233">
        <v>8.85</v>
      </c>
      <c r="V342" s="313">
        <v>8.7799999999999994</v>
      </c>
      <c r="W342"/>
      <c r="X342"/>
      <c r="Y342"/>
      <c r="Z342"/>
      <c r="AA342"/>
      <c r="AB342"/>
      <c r="AC342"/>
      <c r="AD342"/>
      <c r="AE342"/>
      <c r="AF342"/>
      <c r="AG342"/>
      <c r="AH342"/>
      <c r="AI342"/>
    </row>
    <row r="343" spans="1:35" ht="16" customHeight="1" thickBot="1" x14ac:dyDescent="0.25">
      <c r="A343" s="184" t="s">
        <v>2268</v>
      </c>
      <c r="B343" s="12">
        <f>ROUND(SUM(B344:B358)/COUNT(B344:B358), 2)</f>
        <v>8.57</v>
      </c>
      <c r="C343" s="2"/>
      <c r="D343" s="4" t="s">
        <v>2076</v>
      </c>
      <c r="E343" s="151">
        <v>7.5</v>
      </c>
      <c r="F343" s="2"/>
      <c r="G343" s="4" t="s">
        <v>2234</v>
      </c>
      <c r="H343" s="151">
        <v>8.5</v>
      </c>
      <c r="I343" s="2"/>
      <c r="J343" s="4" t="s">
        <v>2250</v>
      </c>
      <c r="K343" s="151">
        <v>8</v>
      </c>
      <c r="L343" s="2"/>
      <c r="M343" s="4" t="s">
        <v>2215</v>
      </c>
      <c r="N343" s="151">
        <v>8</v>
      </c>
      <c r="O343" s="17"/>
      <c r="R343" s="244">
        <v>4</v>
      </c>
      <c r="S343" s="235" t="s">
        <v>1776</v>
      </c>
      <c r="T343" s="235" t="s">
        <v>1777</v>
      </c>
      <c r="U343" s="236">
        <v>8.83</v>
      </c>
      <c r="V343" s="289">
        <v>8.77</v>
      </c>
      <c r="W343"/>
      <c r="X343"/>
      <c r="Y343"/>
      <c r="Z343"/>
      <c r="AA343"/>
      <c r="AB343"/>
      <c r="AC343"/>
      <c r="AD343"/>
      <c r="AE343"/>
      <c r="AF343"/>
      <c r="AG343"/>
      <c r="AH343"/>
      <c r="AI343"/>
    </row>
    <row r="344" spans="1:35" ht="16" customHeight="1" x14ac:dyDescent="0.2">
      <c r="A344" s="11" t="s">
        <v>2269</v>
      </c>
      <c r="B344" s="150">
        <v>9</v>
      </c>
      <c r="C344" s="2"/>
      <c r="D344" s="4" t="s">
        <v>2077</v>
      </c>
      <c r="E344" s="151">
        <v>10</v>
      </c>
      <c r="F344" s="2"/>
      <c r="G344" s="4" t="s">
        <v>2235</v>
      </c>
      <c r="H344" s="151">
        <v>9</v>
      </c>
      <c r="I344" s="2"/>
      <c r="J344" s="4" t="s">
        <v>2251</v>
      </c>
      <c r="K344" s="151">
        <v>8.5</v>
      </c>
      <c r="L344" s="2"/>
      <c r="M344" s="4" t="s">
        <v>2216</v>
      </c>
      <c r="N344" s="151">
        <v>8.5</v>
      </c>
      <c r="O344" s="17"/>
      <c r="R344" s="244">
        <v>5</v>
      </c>
      <c r="S344" s="232" t="s">
        <v>956</v>
      </c>
      <c r="T344" s="232" t="s">
        <v>954</v>
      </c>
      <c r="U344" s="233">
        <v>8.67</v>
      </c>
      <c r="V344" s="264">
        <v>8.56</v>
      </c>
      <c r="W344"/>
      <c r="X344"/>
      <c r="Y344"/>
      <c r="Z344"/>
      <c r="AA344"/>
      <c r="AB344"/>
      <c r="AC344"/>
      <c r="AD344"/>
      <c r="AE344"/>
      <c r="AF344"/>
      <c r="AG344"/>
      <c r="AH344"/>
      <c r="AI344"/>
    </row>
    <row r="345" spans="1:35" ht="16" customHeight="1" x14ac:dyDescent="0.2">
      <c r="A345" s="4" t="s">
        <v>2270</v>
      </c>
      <c r="B345" s="151">
        <v>8</v>
      </c>
      <c r="C345" s="2"/>
      <c r="D345" s="4" t="s">
        <v>2078</v>
      </c>
      <c r="E345" s="151">
        <v>9.5</v>
      </c>
      <c r="F345" s="2"/>
      <c r="G345" s="4" t="s">
        <v>2236</v>
      </c>
      <c r="H345" s="151">
        <v>10</v>
      </c>
      <c r="I345" s="2"/>
      <c r="J345" s="4" t="s">
        <v>2252</v>
      </c>
      <c r="K345" s="151">
        <v>9</v>
      </c>
      <c r="L345" s="2"/>
      <c r="M345" s="4" t="s">
        <v>2217</v>
      </c>
      <c r="N345" s="151">
        <v>8.5</v>
      </c>
      <c r="O345" s="17"/>
      <c r="R345"/>
      <c r="S345"/>
      <c r="T345"/>
      <c r="U345"/>
      <c r="V345"/>
      <c r="W345"/>
      <c r="X345"/>
      <c r="Y345"/>
      <c r="Z345"/>
      <c r="AA345"/>
      <c r="AB345"/>
      <c r="AC345"/>
      <c r="AD345"/>
      <c r="AE345"/>
      <c r="AF345"/>
      <c r="AG345"/>
      <c r="AH345"/>
      <c r="AI345"/>
    </row>
    <row r="346" spans="1:35" ht="16" customHeight="1" x14ac:dyDescent="0.25">
      <c r="A346" s="4" t="s">
        <v>2271</v>
      </c>
      <c r="B346" s="151">
        <v>10</v>
      </c>
      <c r="C346" s="2"/>
      <c r="D346" s="4" t="s">
        <v>2079</v>
      </c>
      <c r="E346" s="151">
        <v>10</v>
      </c>
      <c r="F346" s="2"/>
      <c r="G346" s="4" t="s">
        <v>2237</v>
      </c>
      <c r="H346" s="151">
        <v>8.5</v>
      </c>
      <c r="I346" s="2"/>
      <c r="J346" s="4" t="s">
        <v>2253</v>
      </c>
      <c r="K346" s="151">
        <v>8</v>
      </c>
      <c r="L346" s="2"/>
      <c r="M346" s="4" t="s">
        <v>2218</v>
      </c>
      <c r="N346" s="151">
        <v>9</v>
      </c>
      <c r="O346" s="17"/>
      <c r="R346" s="367" t="s">
        <v>2854</v>
      </c>
      <c r="S346" s="367"/>
      <c r="T346" s="367"/>
      <c r="U346" s="367"/>
      <c r="V346" s="367"/>
      <c r="W346"/>
      <c r="X346"/>
      <c r="Y346"/>
      <c r="Z346"/>
      <c r="AA346"/>
      <c r="AB346"/>
      <c r="AC346"/>
      <c r="AD346"/>
      <c r="AE346"/>
      <c r="AF346"/>
      <c r="AG346"/>
      <c r="AH346"/>
      <c r="AI346"/>
    </row>
    <row r="347" spans="1:35" ht="16" customHeight="1" x14ac:dyDescent="0.2">
      <c r="A347" s="4" t="s">
        <v>2272</v>
      </c>
      <c r="B347" s="151">
        <v>9</v>
      </c>
      <c r="C347" s="2"/>
      <c r="D347" s="4" t="s">
        <v>2080</v>
      </c>
      <c r="E347" s="151">
        <v>8</v>
      </c>
      <c r="F347" s="2"/>
      <c r="G347" s="4" t="s">
        <v>2238</v>
      </c>
      <c r="H347" s="151">
        <v>8.5</v>
      </c>
      <c r="I347" s="2"/>
      <c r="J347" s="4" t="s">
        <v>2254</v>
      </c>
      <c r="K347" s="151">
        <v>8</v>
      </c>
      <c r="L347" s="2"/>
      <c r="M347" s="4" t="s">
        <v>2219</v>
      </c>
      <c r="N347" s="151">
        <v>8.5</v>
      </c>
      <c r="O347" s="17"/>
      <c r="R347" s="231" t="s">
        <v>352</v>
      </c>
      <c r="S347" s="231" t="s">
        <v>319</v>
      </c>
      <c r="T347" s="231" t="s">
        <v>320</v>
      </c>
      <c r="U347" s="231" t="s">
        <v>321</v>
      </c>
      <c r="V347" s="231" t="s">
        <v>1002</v>
      </c>
      <c r="W347"/>
      <c r="X347"/>
      <c r="Y347"/>
      <c r="Z347"/>
      <c r="AA347"/>
      <c r="AB347"/>
      <c r="AC347"/>
      <c r="AD347"/>
      <c r="AE347"/>
      <c r="AF347"/>
      <c r="AG347"/>
      <c r="AH347"/>
      <c r="AI347"/>
    </row>
    <row r="348" spans="1:35" ht="16" customHeight="1" x14ac:dyDescent="0.2">
      <c r="A348" s="4" t="s">
        <v>2273</v>
      </c>
      <c r="B348" s="151">
        <v>9</v>
      </c>
      <c r="C348" s="2"/>
      <c r="D348" s="4" t="s">
        <v>2081</v>
      </c>
      <c r="E348" s="151">
        <v>8.5</v>
      </c>
      <c r="F348" s="2"/>
      <c r="G348" s="4" t="s">
        <v>2239</v>
      </c>
      <c r="H348" s="151">
        <v>8</v>
      </c>
      <c r="I348" s="2"/>
      <c r="J348" s="4" t="s">
        <v>2255</v>
      </c>
      <c r="K348" s="151">
        <v>7.5</v>
      </c>
      <c r="L348" s="2"/>
      <c r="M348" s="4" t="s">
        <v>2220</v>
      </c>
      <c r="N348" s="151">
        <v>8</v>
      </c>
      <c r="O348" s="17"/>
      <c r="R348" s="238">
        <v>1</v>
      </c>
      <c r="S348" s="232" t="s">
        <v>336</v>
      </c>
      <c r="T348" s="232" t="s">
        <v>188</v>
      </c>
      <c r="U348" s="233">
        <v>9.2100000000000009</v>
      </c>
      <c r="V348" s="287">
        <v>9.34</v>
      </c>
      <c r="W348"/>
      <c r="X348"/>
      <c r="Y348"/>
      <c r="Z348"/>
      <c r="AA348"/>
      <c r="AB348"/>
      <c r="AC348"/>
      <c r="AD348"/>
      <c r="AE348"/>
      <c r="AF348"/>
      <c r="AG348"/>
      <c r="AH348"/>
      <c r="AI348"/>
    </row>
    <row r="349" spans="1:35" ht="16" customHeight="1" x14ac:dyDescent="0.2">
      <c r="A349" s="4" t="s">
        <v>2274</v>
      </c>
      <c r="B349" s="151">
        <v>8.5</v>
      </c>
      <c r="C349" s="2"/>
      <c r="D349" s="4" t="s">
        <v>2082</v>
      </c>
      <c r="E349" s="151">
        <v>8</v>
      </c>
      <c r="F349" s="2"/>
      <c r="G349" s="4" t="s">
        <v>2240</v>
      </c>
      <c r="H349" s="151">
        <v>8</v>
      </c>
      <c r="I349" s="2"/>
      <c r="J349" s="4" t="s">
        <v>2256</v>
      </c>
      <c r="K349" s="151">
        <v>9.5</v>
      </c>
      <c r="L349" s="2"/>
      <c r="M349" s="4" t="s">
        <v>2221</v>
      </c>
      <c r="N349" s="151"/>
      <c r="O349" s="17"/>
      <c r="R349" s="240">
        <v>2</v>
      </c>
      <c r="S349" s="235" t="s">
        <v>396</v>
      </c>
      <c r="T349" s="235" t="s">
        <v>390</v>
      </c>
      <c r="U349" s="236">
        <v>8.8000000000000007</v>
      </c>
      <c r="V349" s="261">
        <v>8.81</v>
      </c>
      <c r="W349"/>
      <c r="X349"/>
      <c r="Y349"/>
      <c r="Z349"/>
      <c r="AA349"/>
      <c r="AB349"/>
      <c r="AC349"/>
      <c r="AD349"/>
      <c r="AE349"/>
      <c r="AF349"/>
      <c r="AG349"/>
      <c r="AH349"/>
      <c r="AI349"/>
    </row>
    <row r="350" spans="1:35" ht="16" customHeight="1" x14ac:dyDescent="0.2">
      <c r="A350" s="4" t="s">
        <v>2275</v>
      </c>
      <c r="B350" s="151">
        <v>9</v>
      </c>
      <c r="C350" s="2"/>
      <c r="D350" s="4" t="s">
        <v>2083</v>
      </c>
      <c r="E350" s="151">
        <v>7.5</v>
      </c>
      <c r="F350" s="2"/>
      <c r="G350" s="4" t="s">
        <v>2241</v>
      </c>
      <c r="H350" s="151">
        <v>8.5</v>
      </c>
      <c r="I350" s="2"/>
      <c r="J350" s="4" t="s">
        <v>2257</v>
      </c>
      <c r="K350" s="151">
        <v>8</v>
      </c>
      <c r="L350" s="2"/>
      <c r="M350" s="4" t="s">
        <v>2222</v>
      </c>
      <c r="N350" s="151">
        <v>9</v>
      </c>
      <c r="O350" s="17"/>
      <c r="R350" s="242">
        <v>3</v>
      </c>
      <c r="S350" s="232" t="s">
        <v>2632</v>
      </c>
      <c r="T350" s="232" t="s">
        <v>2633</v>
      </c>
      <c r="U350" s="233">
        <v>8.8800000000000008</v>
      </c>
      <c r="V350" s="289">
        <v>8.77</v>
      </c>
      <c r="W350"/>
      <c r="X350"/>
      <c r="Y350"/>
      <c r="Z350"/>
      <c r="AA350"/>
      <c r="AB350"/>
      <c r="AC350"/>
      <c r="AD350"/>
      <c r="AE350"/>
      <c r="AF350"/>
      <c r="AG350"/>
      <c r="AH350"/>
      <c r="AI350"/>
    </row>
    <row r="351" spans="1:35" ht="16" customHeight="1" thickBot="1" x14ac:dyDescent="0.25">
      <c r="A351" s="4" t="s">
        <v>2276</v>
      </c>
      <c r="B351" s="151">
        <v>8.5</v>
      </c>
      <c r="C351" s="2"/>
      <c r="D351" s="4" t="s">
        <v>2084</v>
      </c>
      <c r="E351" s="151">
        <v>9</v>
      </c>
      <c r="F351" s="2"/>
      <c r="G351" s="7" t="s">
        <v>2242</v>
      </c>
      <c r="H351" s="152">
        <v>7.5</v>
      </c>
      <c r="I351" s="2"/>
      <c r="J351" s="4" t="s">
        <v>2258</v>
      </c>
      <c r="K351" s="151">
        <v>10</v>
      </c>
      <c r="L351" s="2"/>
      <c r="M351" s="4" t="s">
        <v>2223</v>
      </c>
      <c r="N351" s="151">
        <v>10</v>
      </c>
      <c r="O351" s="17"/>
      <c r="R351" s="244">
        <v>4</v>
      </c>
      <c r="S351" s="235" t="s">
        <v>2752</v>
      </c>
      <c r="T351" s="235" t="s">
        <v>2753</v>
      </c>
      <c r="U351" s="236">
        <v>8.75</v>
      </c>
      <c r="V351" s="248">
        <v>8.67</v>
      </c>
      <c r="W351"/>
      <c r="X351"/>
      <c r="Y351"/>
      <c r="Z351"/>
      <c r="AA351"/>
      <c r="AB351"/>
      <c r="AC351"/>
      <c r="AD351"/>
      <c r="AE351"/>
      <c r="AF351"/>
      <c r="AG351"/>
      <c r="AH351"/>
      <c r="AI351"/>
    </row>
    <row r="352" spans="1:35" ht="16" customHeight="1" thickBot="1" x14ac:dyDescent="0.25">
      <c r="A352" s="4" t="s">
        <v>2277</v>
      </c>
      <c r="B352" s="151">
        <v>8</v>
      </c>
      <c r="C352" s="2"/>
      <c r="D352" s="4" t="s">
        <v>2085</v>
      </c>
      <c r="E352" s="151">
        <v>8</v>
      </c>
      <c r="F352" s="2"/>
      <c r="G352" s="2"/>
      <c r="H352" s="2"/>
      <c r="I352" s="2"/>
      <c r="J352" s="4" t="s">
        <v>2259</v>
      </c>
      <c r="K352" s="151">
        <v>8</v>
      </c>
      <c r="L352" s="2"/>
      <c r="M352" s="4" t="s">
        <v>2224</v>
      </c>
      <c r="N352" s="151">
        <v>8</v>
      </c>
      <c r="O352" s="17"/>
      <c r="R352" s="244">
        <v>5</v>
      </c>
      <c r="S352" s="232" t="s">
        <v>1632</v>
      </c>
      <c r="T352" s="232" t="s">
        <v>1633</v>
      </c>
      <c r="U352" s="233">
        <v>8.6</v>
      </c>
      <c r="V352" s="326">
        <v>8.5</v>
      </c>
      <c r="W352"/>
      <c r="X352"/>
      <c r="Y352"/>
      <c r="Z352"/>
      <c r="AA352"/>
      <c r="AB352"/>
      <c r="AC352"/>
      <c r="AD352"/>
      <c r="AE352"/>
      <c r="AF352"/>
      <c r="AG352"/>
      <c r="AH352"/>
      <c r="AI352"/>
    </row>
    <row r="353" spans="1:35" ht="16" customHeight="1" thickBot="1" x14ac:dyDescent="0.25">
      <c r="A353" s="4" t="s">
        <v>2278</v>
      </c>
      <c r="B353" s="151">
        <v>8</v>
      </c>
      <c r="C353" s="2"/>
      <c r="D353" s="4" t="s">
        <v>2086</v>
      </c>
      <c r="E353" s="151"/>
      <c r="F353" s="2"/>
      <c r="G353" s="185" t="s">
        <v>2289</v>
      </c>
      <c r="H353" s="12">
        <f>ROUND(SUM(H354:H363)/COUNT(H354:H363), 2)</f>
        <v>8.6999999999999993</v>
      </c>
      <c r="I353" s="2"/>
      <c r="J353" s="4" t="s">
        <v>2260</v>
      </c>
      <c r="K353" s="151">
        <v>7.5</v>
      </c>
      <c r="L353" s="2"/>
      <c r="M353" s="7" t="s">
        <v>2225</v>
      </c>
      <c r="N353" s="152">
        <v>9</v>
      </c>
      <c r="O353" s="17"/>
      <c r="R353"/>
      <c r="S353"/>
      <c r="T353"/>
      <c r="U353"/>
      <c r="V353"/>
      <c r="W353"/>
      <c r="X353"/>
      <c r="Y353"/>
      <c r="Z353"/>
      <c r="AA353"/>
      <c r="AB353"/>
      <c r="AC353"/>
      <c r="AD353"/>
      <c r="AE353"/>
      <c r="AF353"/>
      <c r="AG353"/>
      <c r="AH353"/>
      <c r="AI353"/>
    </row>
    <row r="354" spans="1:35" ht="16" customHeight="1" thickBot="1" x14ac:dyDescent="0.3">
      <c r="A354" s="4" t="s">
        <v>2279</v>
      </c>
      <c r="B354" s="151">
        <v>7.5</v>
      </c>
      <c r="C354" s="2"/>
      <c r="D354" s="4" t="s">
        <v>2087</v>
      </c>
      <c r="E354" s="151">
        <v>8</v>
      </c>
      <c r="F354" s="2"/>
      <c r="G354" s="11" t="s">
        <v>2290</v>
      </c>
      <c r="H354" s="150">
        <v>9</v>
      </c>
      <c r="I354" s="2"/>
      <c r="J354" s="7" t="s">
        <v>2261</v>
      </c>
      <c r="K354" s="152">
        <v>10</v>
      </c>
      <c r="L354" s="2"/>
      <c r="M354" s="2"/>
      <c r="N354" s="2"/>
      <c r="O354" s="17"/>
      <c r="R354" s="367" t="s">
        <v>2855</v>
      </c>
      <c r="S354" s="367"/>
      <c r="T354" s="367"/>
      <c r="U354" s="367"/>
      <c r="V354" s="367"/>
      <c r="W354"/>
      <c r="X354"/>
      <c r="Y354"/>
      <c r="Z354"/>
      <c r="AA354"/>
      <c r="AB354"/>
      <c r="AC354"/>
      <c r="AD354"/>
      <c r="AE354"/>
      <c r="AF354"/>
      <c r="AG354"/>
      <c r="AH354"/>
      <c r="AI354"/>
    </row>
    <row r="355" spans="1:35" ht="16" customHeight="1" thickBot="1" x14ac:dyDescent="0.25">
      <c r="A355" s="4" t="s">
        <v>2280</v>
      </c>
      <c r="B355" s="151">
        <v>8.5</v>
      </c>
      <c r="C355" s="2"/>
      <c r="D355" s="4" t="s">
        <v>2088</v>
      </c>
      <c r="E355" s="151">
        <v>8.5</v>
      </c>
      <c r="F355" s="2"/>
      <c r="G355" s="4" t="s">
        <v>2291</v>
      </c>
      <c r="H355" s="151">
        <v>10</v>
      </c>
      <c r="I355" s="2"/>
      <c r="J355" s="2"/>
      <c r="K355" s="2"/>
      <c r="L355" s="2"/>
      <c r="M355" s="186" t="s">
        <v>2315</v>
      </c>
      <c r="N355" s="12">
        <f>ROUND(SUM(N356:N365)/COUNT(N356:N365), 2)</f>
        <v>8</v>
      </c>
      <c r="O355" s="17"/>
      <c r="R355" s="231" t="s">
        <v>352</v>
      </c>
      <c r="S355" s="231" t="s">
        <v>319</v>
      </c>
      <c r="T355" s="231" t="s">
        <v>320</v>
      </c>
      <c r="U355" s="231" t="s">
        <v>321</v>
      </c>
      <c r="V355" s="231" t="s">
        <v>1002</v>
      </c>
      <c r="W355"/>
      <c r="X355"/>
      <c r="Y355"/>
      <c r="Z355"/>
      <c r="AA355"/>
      <c r="AB355"/>
      <c r="AC355"/>
      <c r="AD355"/>
      <c r="AE355"/>
      <c r="AF355"/>
      <c r="AG355"/>
      <c r="AH355"/>
      <c r="AI355"/>
    </row>
    <row r="356" spans="1:35" ht="16" customHeight="1" thickBot="1" x14ac:dyDescent="0.25">
      <c r="A356" s="4" t="s">
        <v>2281</v>
      </c>
      <c r="B356" s="151">
        <v>8</v>
      </c>
      <c r="C356" s="2"/>
      <c r="D356" s="4" t="s">
        <v>2089</v>
      </c>
      <c r="E356" s="151">
        <v>8</v>
      </c>
      <c r="F356" s="2"/>
      <c r="G356" s="4" t="s">
        <v>2292</v>
      </c>
      <c r="H356" s="151">
        <v>8</v>
      </c>
      <c r="I356" s="2"/>
      <c r="J356" s="187" t="s">
        <v>2318</v>
      </c>
      <c r="K356" s="12">
        <f>ROUND(SUM(K357:K363)/COUNT(K357:K363), 2)</f>
        <v>8.5</v>
      </c>
      <c r="L356" s="2"/>
      <c r="M356" s="11" t="s">
        <v>2305</v>
      </c>
      <c r="N356" s="150">
        <v>9</v>
      </c>
      <c r="O356" s="17"/>
      <c r="R356" s="238">
        <v>1</v>
      </c>
      <c r="S356" s="232" t="s">
        <v>326</v>
      </c>
      <c r="T356" s="232" t="s">
        <v>1243</v>
      </c>
      <c r="U356" s="233">
        <v>9.36</v>
      </c>
      <c r="V356" s="365">
        <v>9.6</v>
      </c>
      <c r="W356"/>
      <c r="X356"/>
      <c r="Y356"/>
      <c r="Z356"/>
      <c r="AA356"/>
      <c r="AB356"/>
      <c r="AC356"/>
      <c r="AD356"/>
      <c r="AE356"/>
      <c r="AF356"/>
      <c r="AG356"/>
      <c r="AH356"/>
      <c r="AI356"/>
    </row>
    <row r="357" spans="1:35" ht="16" customHeight="1" x14ac:dyDescent="0.2">
      <c r="A357" s="4" t="s">
        <v>2282</v>
      </c>
      <c r="B357" s="151">
        <v>9</v>
      </c>
      <c r="C357" s="2"/>
      <c r="D357" s="4" t="s">
        <v>2090</v>
      </c>
      <c r="E357" s="151">
        <v>8.5</v>
      </c>
      <c r="F357" s="2"/>
      <c r="G357" s="4" t="s">
        <v>2293</v>
      </c>
      <c r="H357" s="151">
        <v>9</v>
      </c>
      <c r="I357" s="2"/>
      <c r="J357" s="11" t="s">
        <v>2319</v>
      </c>
      <c r="K357" s="150">
        <v>8</v>
      </c>
      <c r="L357" s="2"/>
      <c r="M357" s="4" t="s">
        <v>2306</v>
      </c>
      <c r="N357" s="151">
        <v>8.5</v>
      </c>
      <c r="O357" s="17"/>
      <c r="R357" s="240">
        <v>2</v>
      </c>
      <c r="S357" s="235" t="s">
        <v>1439</v>
      </c>
      <c r="T357" s="235" t="s">
        <v>2839</v>
      </c>
      <c r="U357" s="236">
        <v>8.77</v>
      </c>
      <c r="V357" s="248">
        <v>8.67</v>
      </c>
      <c r="W357"/>
      <c r="X357"/>
      <c r="Y357"/>
      <c r="Z357"/>
      <c r="AA357"/>
      <c r="AB357"/>
      <c r="AC357"/>
      <c r="AD357"/>
      <c r="AE357"/>
      <c r="AF357"/>
      <c r="AG357"/>
      <c r="AH357"/>
      <c r="AI357"/>
    </row>
    <row r="358" spans="1:35" ht="16" customHeight="1" thickBot="1" x14ac:dyDescent="0.25">
      <c r="A358" s="7" t="s">
        <v>2283</v>
      </c>
      <c r="B358" s="152">
        <v>8.5</v>
      </c>
      <c r="C358" s="2"/>
      <c r="D358" s="7" t="s">
        <v>1413</v>
      </c>
      <c r="E358" s="152">
        <v>9</v>
      </c>
      <c r="F358" s="2"/>
      <c r="G358" s="4" t="s">
        <v>2294</v>
      </c>
      <c r="H358" s="151">
        <v>8</v>
      </c>
      <c r="I358" s="2"/>
      <c r="J358" s="4" t="s">
        <v>2320</v>
      </c>
      <c r="K358" s="151">
        <v>9</v>
      </c>
      <c r="L358" s="2"/>
      <c r="M358" s="4" t="s">
        <v>2307</v>
      </c>
      <c r="N358" s="151">
        <v>8</v>
      </c>
      <c r="O358" s="17"/>
      <c r="R358" s="242">
        <v>3</v>
      </c>
      <c r="S358" s="232" t="s">
        <v>1238</v>
      </c>
      <c r="T358" s="232" t="s">
        <v>1233</v>
      </c>
      <c r="U358" s="233">
        <v>8.75</v>
      </c>
      <c r="V358" s="271">
        <v>8.6300000000000008</v>
      </c>
      <c r="W358"/>
      <c r="X358"/>
      <c r="Y358"/>
      <c r="Z358"/>
      <c r="AA358"/>
      <c r="AB358"/>
      <c r="AC358"/>
      <c r="AD358"/>
      <c r="AE358"/>
      <c r="AF358"/>
      <c r="AG358"/>
      <c r="AH358"/>
      <c r="AI358"/>
    </row>
    <row r="359" spans="1:35" ht="16" customHeight="1" thickBot="1" x14ac:dyDescent="0.25">
      <c r="A359" s="2"/>
      <c r="B359" s="2"/>
      <c r="C359" s="2"/>
      <c r="D359" s="2"/>
      <c r="E359" s="2"/>
      <c r="F359" s="2"/>
      <c r="G359" s="4" t="s">
        <v>2295</v>
      </c>
      <c r="H359" s="151">
        <v>8.5</v>
      </c>
      <c r="I359" s="2"/>
      <c r="J359" s="4" t="s">
        <v>2321</v>
      </c>
      <c r="K359" s="151">
        <v>8.5</v>
      </c>
      <c r="L359" s="2"/>
      <c r="M359" s="4" t="s">
        <v>2308</v>
      </c>
      <c r="N359" s="151">
        <v>7.5</v>
      </c>
      <c r="O359" s="17"/>
      <c r="R359" s="244">
        <v>4</v>
      </c>
      <c r="S359" s="235" t="s">
        <v>2359</v>
      </c>
      <c r="T359" s="235" t="s">
        <v>2358</v>
      </c>
      <c r="U359" s="236">
        <v>8.61</v>
      </c>
      <c r="V359" s="252">
        <v>8.52</v>
      </c>
      <c r="W359"/>
      <c r="X359"/>
      <c r="Y359"/>
      <c r="Z359"/>
      <c r="AA359"/>
      <c r="AB359"/>
      <c r="AC359"/>
      <c r="AD359"/>
      <c r="AE359"/>
      <c r="AF359"/>
      <c r="AG359"/>
      <c r="AH359"/>
      <c r="AI359"/>
    </row>
    <row r="360" spans="1:35" ht="16" customHeight="1" thickBot="1" x14ac:dyDescent="0.25">
      <c r="A360" s="188" t="s">
        <v>2328</v>
      </c>
      <c r="B360" s="12">
        <f>ROUND(SUM(B361:B377)/COUNT(B361:B377), 2)</f>
        <v>8.81</v>
      </c>
      <c r="C360" s="2"/>
      <c r="D360" s="190" t="s">
        <v>2348</v>
      </c>
      <c r="E360" s="12">
        <f>ROUND(SUM(E361:E370)/COUNT(E361:E370), 2)</f>
        <v>8.61</v>
      </c>
      <c r="F360" s="2"/>
      <c r="G360" s="4" t="s">
        <v>2296</v>
      </c>
      <c r="H360" s="151">
        <v>8</v>
      </c>
      <c r="I360" s="2"/>
      <c r="J360" s="4" t="s">
        <v>2322</v>
      </c>
      <c r="K360" s="151">
        <v>10</v>
      </c>
      <c r="L360" s="2"/>
      <c r="M360" s="4" t="s">
        <v>2309</v>
      </c>
      <c r="N360" s="151">
        <v>7.5</v>
      </c>
      <c r="O360" s="17"/>
      <c r="R360" s="244">
        <v>5</v>
      </c>
      <c r="S360" s="232" t="s">
        <v>1657</v>
      </c>
      <c r="T360" s="232" t="s">
        <v>1658</v>
      </c>
      <c r="U360" s="233">
        <v>8.4</v>
      </c>
      <c r="V360" s="309">
        <v>8.3699999999999992</v>
      </c>
      <c r="W360"/>
      <c r="X360"/>
      <c r="Y360"/>
      <c r="Z360"/>
      <c r="AA360"/>
      <c r="AB360"/>
      <c r="AC360"/>
      <c r="AD360"/>
      <c r="AE360"/>
      <c r="AF360"/>
      <c r="AG360"/>
      <c r="AH360"/>
      <c r="AI360"/>
    </row>
    <row r="361" spans="1:35" ht="16" customHeight="1" x14ac:dyDescent="0.2">
      <c r="A361" s="11" t="s">
        <v>2329</v>
      </c>
      <c r="B361" s="150">
        <v>10</v>
      </c>
      <c r="C361" s="2"/>
      <c r="D361" s="11" t="s">
        <v>2349</v>
      </c>
      <c r="E361" s="150">
        <v>8.5</v>
      </c>
      <c r="F361" s="2"/>
      <c r="G361" s="4" t="s">
        <v>2297</v>
      </c>
      <c r="H361" s="151">
        <v>8</v>
      </c>
      <c r="I361" s="2"/>
      <c r="J361" s="4" t="s">
        <v>2323</v>
      </c>
      <c r="K361" s="151">
        <v>8</v>
      </c>
      <c r="L361" s="2"/>
      <c r="M361" s="4" t="s">
        <v>2310</v>
      </c>
      <c r="N361" s="151">
        <v>8</v>
      </c>
      <c r="O361" s="17"/>
      <c r="R361"/>
      <c r="S361"/>
      <c r="T361"/>
      <c r="U361"/>
      <c r="V361"/>
      <c r="W361"/>
      <c r="X361"/>
      <c r="Y361"/>
      <c r="Z361"/>
      <c r="AA361"/>
      <c r="AB361"/>
      <c r="AC361"/>
      <c r="AD361"/>
      <c r="AE361"/>
      <c r="AF361"/>
      <c r="AG361"/>
      <c r="AH361"/>
      <c r="AI361"/>
    </row>
    <row r="362" spans="1:35" ht="16" customHeight="1" x14ac:dyDescent="0.25">
      <c r="A362" s="4" t="s">
        <v>2330</v>
      </c>
      <c r="B362" s="151">
        <v>9</v>
      </c>
      <c r="C362" s="2"/>
      <c r="D362" s="4" t="s">
        <v>2350</v>
      </c>
      <c r="E362" s="151">
        <v>8</v>
      </c>
      <c r="F362" s="2"/>
      <c r="G362" s="4" t="s">
        <v>2298</v>
      </c>
      <c r="H362" s="151">
        <v>10</v>
      </c>
      <c r="I362" s="2"/>
      <c r="J362" s="4" t="s">
        <v>2324</v>
      </c>
      <c r="K362" s="151">
        <v>8.5</v>
      </c>
      <c r="L362" s="2"/>
      <c r="M362" s="4" t="s">
        <v>2311</v>
      </c>
      <c r="N362" s="151">
        <v>8</v>
      </c>
      <c r="O362" s="17"/>
      <c r="R362" s="367" t="s">
        <v>2856</v>
      </c>
      <c r="S362" s="367"/>
      <c r="T362" s="367"/>
      <c r="U362" s="367"/>
      <c r="V362" s="367"/>
      <c r="W362"/>
      <c r="X362"/>
      <c r="Y362"/>
      <c r="Z362"/>
      <c r="AA362"/>
      <c r="AB362"/>
      <c r="AC362"/>
      <c r="AD362"/>
      <c r="AE362"/>
      <c r="AF362"/>
      <c r="AG362"/>
      <c r="AH362"/>
      <c r="AI362"/>
    </row>
    <row r="363" spans="1:35" ht="16" customHeight="1" thickBot="1" x14ac:dyDescent="0.25">
      <c r="A363" s="4" t="s">
        <v>2331</v>
      </c>
      <c r="B363" s="151">
        <v>8.5</v>
      </c>
      <c r="C363" s="2"/>
      <c r="D363" s="4" t="s">
        <v>2351</v>
      </c>
      <c r="E363" s="151">
        <v>10</v>
      </c>
      <c r="F363" s="2"/>
      <c r="G363" s="7" t="s">
        <v>2299</v>
      </c>
      <c r="H363" s="152">
        <v>8.5</v>
      </c>
      <c r="I363" s="2"/>
      <c r="J363" s="7" t="s">
        <v>2325</v>
      </c>
      <c r="K363" s="152">
        <v>7.5</v>
      </c>
      <c r="L363" s="2"/>
      <c r="M363" s="4" t="s">
        <v>2312</v>
      </c>
      <c r="N363" s="151">
        <v>8</v>
      </c>
      <c r="O363" s="17"/>
      <c r="R363" s="231" t="s">
        <v>352</v>
      </c>
      <c r="S363" s="231" t="s">
        <v>319</v>
      </c>
      <c r="T363" s="231" t="s">
        <v>320</v>
      </c>
      <c r="U363" s="231" t="s">
        <v>321</v>
      </c>
      <c r="V363" s="231" t="s">
        <v>1002</v>
      </c>
      <c r="W363"/>
      <c r="X363"/>
      <c r="Y363"/>
      <c r="Z363"/>
      <c r="AA363"/>
      <c r="AB363"/>
      <c r="AC363"/>
      <c r="AD363"/>
      <c r="AE363"/>
      <c r="AF363"/>
      <c r="AG363"/>
      <c r="AH363"/>
      <c r="AI363"/>
    </row>
    <row r="364" spans="1:35" ht="16" customHeight="1" thickBot="1" x14ac:dyDescent="0.25">
      <c r="A364" s="4" t="s">
        <v>2332</v>
      </c>
      <c r="B364" s="151">
        <v>9.5</v>
      </c>
      <c r="C364" s="2"/>
      <c r="D364" s="4" t="s">
        <v>2352</v>
      </c>
      <c r="E364" s="151">
        <v>8.5</v>
      </c>
      <c r="F364" s="2"/>
      <c r="G364" s="2"/>
      <c r="H364" s="2"/>
      <c r="I364" s="2"/>
      <c r="J364" s="2"/>
      <c r="K364" s="2"/>
      <c r="L364" s="2"/>
      <c r="M364" s="4" t="s">
        <v>2313</v>
      </c>
      <c r="N364" s="151">
        <v>7.5</v>
      </c>
      <c r="O364" s="17"/>
      <c r="R364" s="238">
        <v>1</v>
      </c>
      <c r="S364" s="232" t="s">
        <v>335</v>
      </c>
      <c r="T364" s="232" t="s">
        <v>2840</v>
      </c>
      <c r="U364" s="233">
        <v>9.02</v>
      </c>
      <c r="V364" s="360">
        <v>9.07</v>
      </c>
      <c r="W364"/>
      <c r="X364"/>
      <c r="Y364"/>
      <c r="Z364"/>
      <c r="AA364"/>
      <c r="AB364"/>
      <c r="AC364"/>
      <c r="AD364"/>
      <c r="AE364"/>
      <c r="AF364"/>
      <c r="AG364"/>
      <c r="AH364"/>
      <c r="AI364"/>
    </row>
    <row r="365" spans="1:35" ht="15.5" customHeight="1" thickBot="1" x14ac:dyDescent="0.25">
      <c r="A365" s="4" t="s">
        <v>2333</v>
      </c>
      <c r="B365" s="151">
        <v>8.5</v>
      </c>
      <c r="C365" s="2"/>
      <c r="D365" s="4" t="s">
        <v>2353</v>
      </c>
      <c r="E365" s="151">
        <v>7.5</v>
      </c>
      <c r="F365" s="2"/>
      <c r="G365" s="191" t="s">
        <v>2363</v>
      </c>
      <c r="H365" s="12">
        <f>ROUND(SUM(H366:H372)/COUNT(H366:H372), 2)</f>
        <v>9.07</v>
      </c>
      <c r="I365" s="2"/>
      <c r="J365" s="192" t="s">
        <v>2375</v>
      </c>
      <c r="K365" s="12">
        <f>ROUND(SUM(K366:K378)/COUNT(K366:K378), 2)</f>
        <v>8.83</v>
      </c>
      <c r="L365" s="2"/>
      <c r="M365" s="7" t="s">
        <v>2314</v>
      </c>
      <c r="N365" s="152">
        <v>8</v>
      </c>
      <c r="O365" s="17"/>
      <c r="R365" s="240">
        <v>2</v>
      </c>
      <c r="S365" s="235" t="s">
        <v>338</v>
      </c>
      <c r="T365" s="235" t="s">
        <v>2841</v>
      </c>
      <c r="U365" s="236">
        <v>8.39</v>
      </c>
      <c r="V365" s="309">
        <v>8.3699999999999992</v>
      </c>
      <c r="W365"/>
      <c r="X365"/>
      <c r="Y365"/>
      <c r="Z365"/>
      <c r="AA365"/>
      <c r="AB365"/>
      <c r="AC365"/>
      <c r="AD365"/>
      <c r="AE365"/>
      <c r="AF365"/>
      <c r="AG365"/>
      <c r="AH365"/>
      <c r="AI365"/>
    </row>
    <row r="366" spans="1:35" ht="16" customHeight="1" thickBot="1" x14ac:dyDescent="0.25">
      <c r="A366" s="4" t="s">
        <v>2334</v>
      </c>
      <c r="B366" s="151">
        <v>9.5</v>
      </c>
      <c r="C366" s="2"/>
      <c r="D366" s="4" t="s">
        <v>2354</v>
      </c>
      <c r="E366" s="151">
        <v>7.5</v>
      </c>
      <c r="F366" s="2"/>
      <c r="G366" s="11" t="s">
        <v>2364</v>
      </c>
      <c r="H366" s="150">
        <v>10</v>
      </c>
      <c r="I366" s="2"/>
      <c r="J366" s="11" t="s">
        <v>2376</v>
      </c>
      <c r="K366" s="150"/>
      <c r="L366" s="2"/>
      <c r="M366" s="2"/>
      <c r="N366" s="2"/>
      <c r="O366" s="17"/>
      <c r="R366"/>
      <c r="S366"/>
      <c r="T366"/>
      <c r="U366"/>
      <c r="V366"/>
      <c r="W366"/>
      <c r="X366"/>
      <c r="Y366"/>
      <c r="Z366"/>
      <c r="AA366"/>
      <c r="AB366"/>
      <c r="AC366"/>
      <c r="AD366"/>
      <c r="AE366"/>
      <c r="AF366"/>
      <c r="AG366"/>
      <c r="AH366"/>
      <c r="AI366"/>
    </row>
    <row r="367" spans="1:35" ht="16" customHeight="1" thickBot="1" x14ac:dyDescent="0.25">
      <c r="A367" s="4" t="s">
        <v>2335</v>
      </c>
      <c r="B367" s="151">
        <v>10.5</v>
      </c>
      <c r="C367" s="2"/>
      <c r="D367" s="4" t="s">
        <v>2355</v>
      </c>
      <c r="E367" s="151">
        <v>9</v>
      </c>
      <c r="F367" s="2"/>
      <c r="G367" s="4" t="s">
        <v>2365</v>
      </c>
      <c r="H367" s="151">
        <v>8.5</v>
      </c>
      <c r="I367" s="2"/>
      <c r="J367" s="4" t="s">
        <v>2377</v>
      </c>
      <c r="K367" s="151">
        <v>8.5</v>
      </c>
      <c r="L367" s="2"/>
      <c r="M367" s="193" t="s">
        <v>2389</v>
      </c>
      <c r="N367" s="12">
        <f>ROUND(SUM(N368:N372)/COUNT(N368:N372), 2)</f>
        <v>8.1999999999999993</v>
      </c>
      <c r="O367" s="17"/>
      <c r="R367"/>
      <c r="S367"/>
      <c r="T367"/>
      <c r="U367"/>
      <c r="V367"/>
      <c r="W367"/>
      <c r="X367"/>
      <c r="Y367"/>
      <c r="Z367"/>
      <c r="AA367"/>
      <c r="AB367"/>
      <c r="AC367"/>
      <c r="AD367"/>
      <c r="AE367"/>
      <c r="AF367"/>
      <c r="AG367"/>
      <c r="AH367"/>
      <c r="AI367"/>
    </row>
    <row r="368" spans="1:35" ht="16" customHeight="1" x14ac:dyDescent="0.2">
      <c r="A368" s="4" t="s">
        <v>2336</v>
      </c>
      <c r="B368" s="151">
        <v>9</v>
      </c>
      <c r="C368" s="2"/>
      <c r="D368" s="4" t="s">
        <v>2356</v>
      </c>
      <c r="E368" s="151">
        <v>8.5</v>
      </c>
      <c r="F368" s="2"/>
      <c r="G368" s="4" t="s">
        <v>2366</v>
      </c>
      <c r="H368" s="151">
        <v>9.5</v>
      </c>
      <c r="I368" s="2"/>
      <c r="J368" s="4" t="s">
        <v>2378</v>
      </c>
      <c r="K368" s="151">
        <v>10.5</v>
      </c>
      <c r="L368" s="2"/>
      <c r="M368" s="11" t="s">
        <v>2390</v>
      </c>
      <c r="N368" s="150">
        <v>8.5</v>
      </c>
      <c r="O368" s="17"/>
      <c r="R368"/>
      <c r="S368"/>
      <c r="T368"/>
      <c r="U368"/>
      <c r="V368"/>
      <c r="W368"/>
      <c r="X368"/>
      <c r="Y368"/>
      <c r="Z368"/>
      <c r="AA368"/>
      <c r="AB368"/>
      <c r="AC368"/>
      <c r="AD368"/>
      <c r="AE368"/>
      <c r="AF368"/>
      <c r="AG368"/>
      <c r="AH368"/>
      <c r="AI368"/>
    </row>
    <row r="369" spans="1:35" ht="16" customHeight="1" x14ac:dyDescent="0.2">
      <c r="A369" s="4" t="s">
        <v>2337</v>
      </c>
      <c r="B369" s="151">
        <v>8</v>
      </c>
      <c r="C369" s="2"/>
      <c r="D369" s="4" t="s">
        <v>2357</v>
      </c>
      <c r="E369" s="151"/>
      <c r="F369" s="2"/>
      <c r="G369" s="4" t="s">
        <v>2367</v>
      </c>
      <c r="H369" s="151">
        <v>8</v>
      </c>
      <c r="I369" s="2"/>
      <c r="J369" s="4" t="s">
        <v>2379</v>
      </c>
      <c r="K369" s="151">
        <v>9.5</v>
      </c>
      <c r="L369" s="2"/>
      <c r="M369" s="4" t="s">
        <v>2391</v>
      </c>
      <c r="N369" s="151">
        <v>8</v>
      </c>
      <c r="O369" s="17"/>
      <c r="R369"/>
      <c r="S369"/>
      <c r="T369"/>
      <c r="U369"/>
      <c r="V369"/>
      <c r="W369"/>
      <c r="X369"/>
      <c r="Y369"/>
      <c r="Z369"/>
      <c r="AA369"/>
      <c r="AB369"/>
      <c r="AC369"/>
      <c r="AD369"/>
      <c r="AE369"/>
      <c r="AF369"/>
      <c r="AG369"/>
      <c r="AH369"/>
      <c r="AI369"/>
    </row>
    <row r="370" spans="1:35" ht="16" customHeight="1" thickBot="1" x14ac:dyDescent="0.3">
      <c r="A370" s="4" t="s">
        <v>2338</v>
      </c>
      <c r="B370" s="151">
        <v>8</v>
      </c>
      <c r="C370" s="2"/>
      <c r="D370" s="7" t="s">
        <v>2358</v>
      </c>
      <c r="E370" s="152">
        <v>10</v>
      </c>
      <c r="F370" s="2"/>
      <c r="G370" s="4" t="s">
        <v>2368</v>
      </c>
      <c r="H370" s="151">
        <v>8.5</v>
      </c>
      <c r="I370" s="2"/>
      <c r="J370" s="4" t="s">
        <v>2380</v>
      </c>
      <c r="K370" s="151">
        <v>8.5</v>
      </c>
      <c r="L370" s="2"/>
      <c r="M370" s="4" t="s">
        <v>2392</v>
      </c>
      <c r="N370" s="151">
        <v>8</v>
      </c>
      <c r="O370" s="17"/>
      <c r="R370" s="367" t="s">
        <v>2857</v>
      </c>
      <c r="S370" s="367"/>
      <c r="T370" s="367"/>
      <c r="U370" s="367"/>
      <c r="V370" s="367"/>
      <c r="W370"/>
      <c r="X370"/>
      <c r="Y370"/>
      <c r="Z370"/>
      <c r="AA370"/>
      <c r="AB370"/>
      <c r="AC370"/>
      <c r="AD370"/>
      <c r="AE370"/>
      <c r="AF370"/>
      <c r="AG370"/>
      <c r="AH370"/>
      <c r="AI370"/>
    </row>
    <row r="371" spans="1:35" ht="16" customHeight="1" thickBot="1" x14ac:dyDescent="0.25">
      <c r="A371" s="4" t="s">
        <v>2339</v>
      </c>
      <c r="B371" s="151">
        <v>8.5</v>
      </c>
      <c r="C371" s="2"/>
      <c r="D371" s="2"/>
      <c r="E371" s="2"/>
      <c r="F371" s="2"/>
      <c r="G371" s="4" t="s">
        <v>2369</v>
      </c>
      <c r="H371" s="151">
        <v>9</v>
      </c>
      <c r="I371" s="2"/>
      <c r="J371" s="4" t="s">
        <v>2381</v>
      </c>
      <c r="K371" s="151">
        <v>7.5</v>
      </c>
      <c r="L371" s="2"/>
      <c r="M371" s="4" t="s">
        <v>2393</v>
      </c>
      <c r="N371" s="151">
        <v>8</v>
      </c>
      <c r="O371" s="17"/>
      <c r="R371" s="231" t="s">
        <v>352</v>
      </c>
      <c r="S371" s="231" t="s">
        <v>319</v>
      </c>
      <c r="T371" s="231" t="s">
        <v>320</v>
      </c>
      <c r="U371" s="231" t="s">
        <v>321</v>
      </c>
      <c r="V371" s="231" t="s">
        <v>1002</v>
      </c>
      <c r="W371"/>
      <c r="X371"/>
      <c r="Y371"/>
      <c r="Z371"/>
      <c r="AA371"/>
      <c r="AB371"/>
      <c r="AC371"/>
      <c r="AD371"/>
      <c r="AE371"/>
      <c r="AF371"/>
      <c r="AG371"/>
      <c r="AH371"/>
      <c r="AI371"/>
    </row>
    <row r="372" spans="1:35" ht="16" customHeight="1" thickBot="1" x14ac:dyDescent="0.25">
      <c r="A372" s="4" t="s">
        <v>2340</v>
      </c>
      <c r="B372" s="151">
        <v>8</v>
      </c>
      <c r="C372" s="2"/>
      <c r="D372" s="137" t="s">
        <v>2395</v>
      </c>
      <c r="E372" s="12">
        <f>ROUND(SUM(E373:E381)/COUNT(E373:E381), 2)</f>
        <v>8.61</v>
      </c>
      <c r="F372" s="2"/>
      <c r="G372" s="7" t="s">
        <v>2370</v>
      </c>
      <c r="H372" s="152">
        <v>10</v>
      </c>
      <c r="I372" s="2"/>
      <c r="J372" s="4" t="s">
        <v>2382</v>
      </c>
      <c r="K372" s="151">
        <v>10</v>
      </c>
      <c r="L372" s="2"/>
      <c r="M372" s="7" t="s">
        <v>2394</v>
      </c>
      <c r="N372" s="152">
        <v>8.5</v>
      </c>
      <c r="O372" s="17"/>
      <c r="R372" s="238">
        <v>1</v>
      </c>
      <c r="S372" s="232" t="s">
        <v>327</v>
      </c>
      <c r="T372" s="232" t="s">
        <v>2842</v>
      </c>
      <c r="U372" s="233">
        <v>8.52</v>
      </c>
      <c r="V372" s="264">
        <v>8.56</v>
      </c>
      <c r="W372"/>
      <c r="X372"/>
      <c r="Y372"/>
      <c r="Z372"/>
      <c r="AA372"/>
      <c r="AB372"/>
      <c r="AC372"/>
      <c r="AD372"/>
      <c r="AE372"/>
      <c r="AF372"/>
      <c r="AG372"/>
      <c r="AH372"/>
      <c r="AI372"/>
    </row>
    <row r="373" spans="1:35" ht="16" customHeight="1" thickBot="1" x14ac:dyDescent="0.25">
      <c r="A373" s="189" t="s">
        <v>2341</v>
      </c>
      <c r="B373" s="151">
        <v>8</v>
      </c>
      <c r="C373" s="2"/>
      <c r="D373" s="11" t="s">
        <v>2396</v>
      </c>
      <c r="E373" s="150">
        <v>9</v>
      </c>
      <c r="F373" s="2"/>
      <c r="G373" s="2"/>
      <c r="H373" s="2"/>
      <c r="I373" s="2"/>
      <c r="J373" s="4" t="s">
        <v>2383</v>
      </c>
      <c r="K373" s="151">
        <v>9.5</v>
      </c>
      <c r="L373" s="2"/>
      <c r="M373" s="2"/>
      <c r="N373" s="2"/>
      <c r="O373" s="17"/>
      <c r="R373" s="240">
        <v>2</v>
      </c>
      <c r="S373" s="235" t="s">
        <v>337</v>
      </c>
      <c r="T373" s="235" t="s">
        <v>2843</v>
      </c>
      <c r="U373" s="236">
        <v>8.61</v>
      </c>
      <c r="V373" s="308">
        <v>8.61</v>
      </c>
      <c r="W373"/>
      <c r="X373"/>
      <c r="Y373"/>
      <c r="Z373"/>
      <c r="AA373"/>
      <c r="AB373"/>
      <c r="AC373"/>
      <c r="AD373"/>
      <c r="AE373"/>
      <c r="AF373"/>
      <c r="AG373"/>
      <c r="AH373"/>
      <c r="AI373"/>
    </row>
    <row r="374" spans="1:35" ht="16" customHeight="1" thickBot="1" x14ac:dyDescent="0.25">
      <c r="A374" s="4" t="s">
        <v>2342</v>
      </c>
      <c r="B374" s="151">
        <v>8.5</v>
      </c>
      <c r="C374" s="2"/>
      <c r="D374" s="4" t="s">
        <v>2397</v>
      </c>
      <c r="E374" s="151">
        <v>7</v>
      </c>
      <c r="F374" s="2"/>
      <c r="G374" s="194" t="s">
        <v>2410</v>
      </c>
      <c r="H374" s="12">
        <f>ROUND(SUM(H375:H385)/COUNT(H375:H385), 2)</f>
        <v>8.86</v>
      </c>
      <c r="I374" s="2"/>
      <c r="J374" s="4" t="s">
        <v>2384</v>
      </c>
      <c r="K374" s="151">
        <v>9</v>
      </c>
      <c r="L374" s="2"/>
      <c r="M374" s="195" t="s">
        <v>2436</v>
      </c>
      <c r="N374" s="12">
        <f>ROUND(SUM(N375:N387)/COUNT(N375:N387), 2)</f>
        <v>8.56</v>
      </c>
      <c r="O374" s="17"/>
      <c r="R374"/>
      <c r="S374"/>
      <c r="T374"/>
      <c r="U374"/>
      <c r="V374"/>
      <c r="W374"/>
      <c r="X374"/>
      <c r="Y374"/>
      <c r="Z374"/>
      <c r="AA374"/>
      <c r="AB374"/>
      <c r="AC374"/>
      <c r="AD374"/>
      <c r="AE374"/>
      <c r="AF374"/>
      <c r="AG374"/>
      <c r="AH374"/>
      <c r="AI374"/>
    </row>
    <row r="375" spans="1:35" ht="16" customHeight="1" x14ac:dyDescent="0.2">
      <c r="A375" s="4" t="s">
        <v>2343</v>
      </c>
      <c r="B375" s="151">
        <v>9</v>
      </c>
      <c r="C375" s="2"/>
      <c r="D375" s="4" t="s">
        <v>2398</v>
      </c>
      <c r="E375" s="151">
        <v>10</v>
      </c>
      <c r="F375" s="2"/>
      <c r="G375" s="11" t="s">
        <v>2411</v>
      </c>
      <c r="H375" s="150">
        <v>8.5</v>
      </c>
      <c r="I375" s="2"/>
      <c r="J375" s="4" t="s">
        <v>2385</v>
      </c>
      <c r="K375" s="151">
        <v>8</v>
      </c>
      <c r="L375" s="2"/>
      <c r="M375" s="11" t="s">
        <v>2428</v>
      </c>
      <c r="N375" s="150">
        <v>9.5</v>
      </c>
      <c r="O375" s="17"/>
      <c r="R375"/>
      <c r="S375"/>
      <c r="T375"/>
      <c r="U375"/>
      <c r="V375"/>
      <c r="W375"/>
      <c r="X375"/>
      <c r="Y375"/>
      <c r="Z375"/>
      <c r="AA375"/>
      <c r="AB375"/>
      <c r="AC375"/>
      <c r="AD375"/>
      <c r="AE375"/>
      <c r="AF375"/>
      <c r="AG375"/>
      <c r="AH375"/>
      <c r="AI375"/>
    </row>
    <row r="376" spans="1:35" ht="16" customHeight="1" x14ac:dyDescent="0.2">
      <c r="A376" s="4" t="s">
        <v>2080</v>
      </c>
      <c r="B376" s="151">
        <v>8.5</v>
      </c>
      <c r="C376" s="2"/>
      <c r="D376" s="4" t="s">
        <v>651</v>
      </c>
      <c r="E376" s="151">
        <v>8</v>
      </c>
      <c r="F376" s="2"/>
      <c r="G376" s="4" t="s">
        <v>2412</v>
      </c>
      <c r="H376" s="151">
        <v>9.5</v>
      </c>
      <c r="I376" s="2"/>
      <c r="J376" s="4" t="s">
        <v>2386</v>
      </c>
      <c r="K376" s="151">
        <v>8</v>
      </c>
      <c r="L376" s="2"/>
      <c r="M376" s="229" t="s">
        <v>2429</v>
      </c>
      <c r="N376" s="151">
        <v>10</v>
      </c>
      <c r="O376" s="17"/>
      <c r="R376"/>
      <c r="S376"/>
      <c r="T376"/>
      <c r="U376"/>
      <c r="V376"/>
      <c r="W376"/>
      <c r="X376"/>
      <c r="Y376"/>
      <c r="Z376"/>
      <c r="AA376"/>
      <c r="AB376"/>
      <c r="AC376"/>
      <c r="AD376"/>
      <c r="AE376"/>
      <c r="AF376"/>
      <c r="AG376"/>
      <c r="AH376"/>
      <c r="AI376"/>
    </row>
    <row r="377" spans="1:35" ht="16" customHeight="1" thickBot="1" x14ac:dyDescent="0.25">
      <c r="A377" s="7" t="s">
        <v>2344</v>
      </c>
      <c r="B377" s="152"/>
      <c r="C377" s="2"/>
      <c r="D377" s="4" t="s">
        <v>2399</v>
      </c>
      <c r="E377" s="151">
        <v>7</v>
      </c>
      <c r="F377" s="2"/>
      <c r="G377" s="4" t="s">
        <v>2413</v>
      </c>
      <c r="H377" s="151">
        <v>8</v>
      </c>
      <c r="I377" s="2"/>
      <c r="J377" s="4" t="s">
        <v>2387</v>
      </c>
      <c r="K377" s="151">
        <v>7</v>
      </c>
      <c r="L377" s="2"/>
      <c r="M377" s="229" t="s">
        <v>2430</v>
      </c>
      <c r="N377" s="151">
        <v>8</v>
      </c>
      <c r="O377" s="17"/>
      <c r="R377"/>
      <c r="S377"/>
      <c r="T377"/>
      <c r="U377"/>
      <c r="V377"/>
      <c r="W377"/>
      <c r="X377"/>
      <c r="Y377"/>
      <c r="Z377"/>
      <c r="AA377"/>
      <c r="AB377"/>
      <c r="AC377"/>
      <c r="AD377"/>
      <c r="AE377"/>
      <c r="AF377"/>
      <c r="AG377"/>
      <c r="AH377"/>
      <c r="AI377"/>
    </row>
    <row r="378" spans="1:35" ht="16" customHeight="1" thickBot="1" x14ac:dyDescent="0.3">
      <c r="A378" s="2"/>
      <c r="B378" s="2"/>
      <c r="C378" s="2"/>
      <c r="D378" s="4" t="s">
        <v>2400</v>
      </c>
      <c r="E378" s="151">
        <v>10</v>
      </c>
      <c r="F378" s="2"/>
      <c r="G378" s="4" t="s">
        <v>2414</v>
      </c>
      <c r="H378" s="151">
        <v>8</v>
      </c>
      <c r="I378" s="2"/>
      <c r="J378" s="7" t="s">
        <v>565</v>
      </c>
      <c r="K378" s="152">
        <v>10</v>
      </c>
      <c r="L378" s="2"/>
      <c r="M378" s="229" t="s">
        <v>2431</v>
      </c>
      <c r="N378" s="151">
        <v>9.5</v>
      </c>
      <c r="O378" s="17"/>
      <c r="R378" s="367" t="s">
        <v>2858</v>
      </c>
      <c r="S378" s="367"/>
      <c r="T378" s="367"/>
      <c r="U378" s="367"/>
      <c r="V378" s="367"/>
      <c r="W378"/>
      <c r="X378"/>
      <c r="Y378"/>
      <c r="Z378"/>
      <c r="AA378"/>
      <c r="AB378"/>
      <c r="AC378"/>
      <c r="AD378"/>
      <c r="AE378"/>
      <c r="AF378"/>
      <c r="AG378"/>
      <c r="AH378"/>
      <c r="AI378"/>
    </row>
    <row r="379" spans="1:35" ht="16" customHeight="1" thickBot="1" x14ac:dyDescent="0.25">
      <c r="A379" s="196" t="s">
        <v>2567</v>
      </c>
      <c r="B379" s="1">
        <f>ROUND(SUM(B380:B390)/COUNT(B380:B390), 2)</f>
        <v>9.16</v>
      </c>
      <c r="C379" s="2"/>
      <c r="D379" s="4" t="s">
        <v>2401</v>
      </c>
      <c r="E379" s="151">
        <v>10.5</v>
      </c>
      <c r="F379" s="2"/>
      <c r="G379" s="4" t="s">
        <v>2415</v>
      </c>
      <c r="H379" s="151">
        <v>8.5</v>
      </c>
      <c r="I379" s="2"/>
      <c r="J379" s="2"/>
      <c r="K379" s="2"/>
      <c r="L379" s="2"/>
      <c r="M379" s="4" t="s">
        <v>2432</v>
      </c>
      <c r="N379" s="151">
        <v>8</v>
      </c>
      <c r="O379" s="17"/>
      <c r="R379" s="231" t="s">
        <v>352</v>
      </c>
      <c r="S379" s="231" t="s">
        <v>319</v>
      </c>
      <c r="T379" s="231" t="s">
        <v>320</v>
      </c>
      <c r="U379" s="231" t="s">
        <v>321</v>
      </c>
      <c r="V379" s="231" t="s">
        <v>1002</v>
      </c>
      <c r="W379"/>
      <c r="X379"/>
      <c r="Y379"/>
      <c r="Z379"/>
      <c r="AA379"/>
      <c r="AB379"/>
      <c r="AC379"/>
      <c r="AD379"/>
      <c r="AE379"/>
      <c r="AF379"/>
      <c r="AG379"/>
      <c r="AH379"/>
      <c r="AI379"/>
    </row>
    <row r="380" spans="1:35" ht="16" customHeight="1" thickBot="1" x14ac:dyDescent="0.25">
      <c r="A380" s="11" t="s">
        <v>2449</v>
      </c>
      <c r="B380" s="150">
        <v>9</v>
      </c>
      <c r="C380" s="2"/>
      <c r="D380" s="4" t="s">
        <v>2402</v>
      </c>
      <c r="E380" s="151">
        <v>8</v>
      </c>
      <c r="F380" s="2"/>
      <c r="G380" s="4" t="s">
        <v>2416</v>
      </c>
      <c r="H380" s="151">
        <v>10</v>
      </c>
      <c r="I380" s="2"/>
      <c r="J380" s="197" t="s">
        <v>2460</v>
      </c>
      <c r="K380" s="12">
        <f>ROUND(SUM(K381:K391)/COUNT(K381:K391), 2)</f>
        <v>8.64</v>
      </c>
      <c r="L380" s="2"/>
      <c r="M380" s="229" t="s">
        <v>2433</v>
      </c>
      <c r="N380" s="151">
        <v>8</v>
      </c>
      <c r="O380" s="17"/>
      <c r="R380" s="238">
        <v>1</v>
      </c>
      <c r="S380" s="232" t="s">
        <v>1373</v>
      </c>
      <c r="T380" s="232" t="s">
        <v>1374</v>
      </c>
      <c r="U380" s="233">
        <v>8.82</v>
      </c>
      <c r="V380" s="258">
        <v>8.8800000000000008</v>
      </c>
      <c r="W380"/>
      <c r="X380"/>
      <c r="Y380"/>
      <c r="Z380"/>
      <c r="AA380"/>
      <c r="AB380"/>
      <c r="AC380"/>
      <c r="AD380"/>
      <c r="AE380"/>
      <c r="AF380"/>
      <c r="AG380"/>
      <c r="AH380"/>
      <c r="AI380"/>
    </row>
    <row r="381" spans="1:35" ht="16" customHeight="1" thickBot="1" x14ac:dyDescent="0.25">
      <c r="A381" s="4" t="s">
        <v>2450</v>
      </c>
      <c r="B381" s="151">
        <v>8</v>
      </c>
      <c r="C381" s="2"/>
      <c r="D381" s="7" t="s">
        <v>2403</v>
      </c>
      <c r="E381" s="152">
        <v>8</v>
      </c>
      <c r="F381" s="2"/>
      <c r="G381" s="4" t="s">
        <v>2417</v>
      </c>
      <c r="H381" s="151">
        <v>10</v>
      </c>
      <c r="I381" s="2"/>
      <c r="J381" s="11" t="s">
        <v>2461</v>
      </c>
      <c r="K381" s="150">
        <v>8</v>
      </c>
      <c r="L381" s="2"/>
      <c r="M381" s="229" t="s">
        <v>2434</v>
      </c>
      <c r="N381" s="151">
        <v>8</v>
      </c>
      <c r="O381" s="17"/>
      <c r="R381" s="240">
        <v>2</v>
      </c>
      <c r="S381" s="235" t="s">
        <v>837</v>
      </c>
      <c r="T381" s="235" t="s">
        <v>2844</v>
      </c>
      <c r="U381" s="236">
        <v>8.64</v>
      </c>
      <c r="V381" s="271">
        <v>8.6300000000000008</v>
      </c>
      <c r="W381"/>
      <c r="X381"/>
      <c r="Y381"/>
      <c r="Z381"/>
      <c r="AA381"/>
      <c r="AB381"/>
      <c r="AC381"/>
      <c r="AD381"/>
      <c r="AE381"/>
      <c r="AF381"/>
      <c r="AG381"/>
      <c r="AH381"/>
      <c r="AI381"/>
    </row>
    <row r="382" spans="1:35" ht="16" customHeight="1" thickBot="1" x14ac:dyDescent="0.25">
      <c r="A382" s="4" t="s">
        <v>2455</v>
      </c>
      <c r="B382" s="151">
        <v>10.5</v>
      </c>
      <c r="C382" s="2"/>
      <c r="D382" s="2"/>
      <c r="E382" s="2"/>
      <c r="F382" s="2"/>
      <c r="G382" s="4" t="s">
        <v>2418</v>
      </c>
      <c r="H382" s="151">
        <v>7.5</v>
      </c>
      <c r="I382" s="2"/>
      <c r="J382" s="4" t="s">
        <v>2462</v>
      </c>
      <c r="K382" s="151">
        <v>9</v>
      </c>
      <c r="L382" s="2"/>
      <c r="M382" s="7" t="s">
        <v>2435</v>
      </c>
      <c r="N382" s="152">
        <v>8.5</v>
      </c>
      <c r="O382" s="17"/>
      <c r="R382" s="242">
        <v>3</v>
      </c>
      <c r="S382" s="232" t="s">
        <v>1458</v>
      </c>
      <c r="T382" s="232" t="s">
        <v>1463</v>
      </c>
      <c r="U382" s="233">
        <v>8.8000000000000007</v>
      </c>
      <c r="V382" s="292">
        <v>8.68</v>
      </c>
      <c r="W382"/>
      <c r="X382"/>
      <c r="Y382"/>
      <c r="Z382"/>
      <c r="AA382"/>
      <c r="AB382"/>
      <c r="AC382"/>
      <c r="AD382"/>
      <c r="AE382"/>
      <c r="AF382"/>
      <c r="AG382"/>
      <c r="AH382"/>
      <c r="AI382"/>
    </row>
    <row r="383" spans="1:35" ht="16" customHeight="1" thickBot="1" x14ac:dyDescent="0.25">
      <c r="A383" s="4" t="s">
        <v>2451</v>
      </c>
      <c r="B383" s="151"/>
      <c r="C383" s="2"/>
      <c r="D383" s="198" t="s">
        <v>2470</v>
      </c>
      <c r="E383" s="12">
        <f>ROUND(SUM(E384:E386)/COUNT(E384:E386), 2)</f>
        <v>9.33</v>
      </c>
      <c r="F383" s="2"/>
      <c r="G383" s="4" t="s">
        <v>2419</v>
      </c>
      <c r="H383" s="151">
        <v>9</v>
      </c>
      <c r="I383" s="2"/>
      <c r="J383" s="4" t="s">
        <v>2463</v>
      </c>
      <c r="K383" s="151">
        <v>8.5</v>
      </c>
      <c r="L383" s="2"/>
      <c r="M383" s="2"/>
      <c r="N383" s="2"/>
      <c r="O383" s="17"/>
      <c r="R383" s="244">
        <v>4</v>
      </c>
      <c r="S383" s="235" t="s">
        <v>2263</v>
      </c>
      <c r="T383" s="235" t="s">
        <v>2264</v>
      </c>
      <c r="U383" s="236">
        <v>8.5399999999999991</v>
      </c>
      <c r="V383" s="239">
        <v>8.41</v>
      </c>
      <c r="W383"/>
      <c r="X383"/>
      <c r="Y383"/>
      <c r="Z383"/>
      <c r="AA383"/>
      <c r="AB383"/>
      <c r="AC383"/>
      <c r="AD383"/>
      <c r="AE383"/>
      <c r="AF383"/>
      <c r="AG383"/>
      <c r="AH383"/>
      <c r="AI383"/>
    </row>
    <row r="384" spans="1:35" ht="16" customHeight="1" thickBot="1" x14ac:dyDescent="0.25">
      <c r="A384" s="4" t="s">
        <v>2452</v>
      </c>
      <c r="B384" s="151">
        <v>10</v>
      </c>
      <c r="C384" s="2"/>
      <c r="D384" s="11" t="s">
        <v>2471</v>
      </c>
      <c r="E384" s="150">
        <v>10.5</v>
      </c>
      <c r="F384" s="2"/>
      <c r="G384" s="4" t="s">
        <v>2420</v>
      </c>
      <c r="H384" s="151">
        <v>8.5</v>
      </c>
      <c r="I384" s="2"/>
      <c r="J384" s="4" t="s">
        <v>2464</v>
      </c>
      <c r="K384" s="151">
        <v>8.5</v>
      </c>
      <c r="L384" s="2"/>
      <c r="M384" s="199" t="s">
        <v>2474</v>
      </c>
      <c r="N384" s="1">
        <f>ROUND(SUM(N385:N395)/COUNT(N385:N395), 2)</f>
        <v>8.11</v>
      </c>
      <c r="O384" s="17"/>
      <c r="R384"/>
      <c r="S384"/>
      <c r="T384"/>
      <c r="U384"/>
      <c r="V384"/>
      <c r="W384"/>
      <c r="X384"/>
      <c r="Y384"/>
      <c r="Z384"/>
      <c r="AA384"/>
      <c r="AB384"/>
      <c r="AC384"/>
      <c r="AD384"/>
      <c r="AE384"/>
      <c r="AF384"/>
      <c r="AG384"/>
      <c r="AH384"/>
      <c r="AI384"/>
    </row>
    <row r="385" spans="1:35" ht="16" customHeight="1" thickBot="1" x14ac:dyDescent="0.25">
      <c r="A385" s="4" t="s">
        <v>2453</v>
      </c>
      <c r="B385" s="151">
        <v>7.5</v>
      </c>
      <c r="C385" s="2"/>
      <c r="D385" s="4" t="s">
        <v>2472</v>
      </c>
      <c r="E385" s="151">
        <v>8.5</v>
      </c>
      <c r="F385" s="2"/>
      <c r="G385" s="7" t="s">
        <v>2421</v>
      </c>
      <c r="H385" s="152">
        <v>10</v>
      </c>
      <c r="I385" s="2"/>
      <c r="J385" s="4" t="s">
        <v>2465</v>
      </c>
      <c r="K385" s="151">
        <v>8.5</v>
      </c>
      <c r="L385" s="2"/>
      <c r="M385" s="4" t="s">
        <v>2475</v>
      </c>
      <c r="N385" s="151"/>
      <c r="O385" s="17"/>
      <c r="R385"/>
      <c r="S385"/>
      <c r="T385"/>
      <c r="U385"/>
      <c r="V385"/>
      <c r="W385"/>
      <c r="X385"/>
      <c r="Y385"/>
      <c r="Z385"/>
      <c r="AA385"/>
      <c r="AB385"/>
      <c r="AC385"/>
      <c r="AD385"/>
      <c r="AE385"/>
      <c r="AF385"/>
      <c r="AG385"/>
      <c r="AH385"/>
      <c r="AI385"/>
    </row>
    <row r="386" spans="1:35" ht="16" customHeight="1" thickBot="1" x14ac:dyDescent="0.25">
      <c r="A386" s="4" t="s">
        <v>2454</v>
      </c>
      <c r="B386" s="151">
        <v>10.5</v>
      </c>
      <c r="C386" s="2"/>
      <c r="D386" s="7" t="s">
        <v>2473</v>
      </c>
      <c r="E386" s="152">
        <v>9</v>
      </c>
      <c r="F386" s="2"/>
      <c r="G386" s="2"/>
      <c r="H386" s="2"/>
      <c r="I386" s="2"/>
      <c r="J386" s="4" t="s">
        <v>2466</v>
      </c>
      <c r="K386" s="151">
        <v>10</v>
      </c>
      <c r="L386" s="2"/>
      <c r="M386" s="4" t="s">
        <v>2476</v>
      </c>
      <c r="N386" s="151">
        <v>8</v>
      </c>
      <c r="O386" s="17"/>
      <c r="R386"/>
      <c r="S386"/>
      <c r="T386"/>
      <c r="U386"/>
      <c r="V386"/>
      <c r="W386"/>
      <c r="X386"/>
      <c r="Y386"/>
      <c r="Z386"/>
      <c r="AA386"/>
      <c r="AB386"/>
      <c r="AC386"/>
      <c r="AD386"/>
      <c r="AE386"/>
      <c r="AF386"/>
      <c r="AG386"/>
      <c r="AH386"/>
      <c r="AI386"/>
    </row>
    <row r="387" spans="1:35" ht="16" customHeight="1" thickBot="1" x14ac:dyDescent="0.25">
      <c r="A387" s="7" t="s">
        <v>2456</v>
      </c>
      <c r="B387" s="152"/>
      <c r="C387" s="2"/>
      <c r="D387" s="2"/>
      <c r="E387" s="2"/>
      <c r="F387" s="2"/>
      <c r="G387" s="200" t="s">
        <v>2488</v>
      </c>
      <c r="H387" s="12">
        <f>ROUND(SUM(H388:H399)/COUNT(H388:H399), 2)</f>
        <v>7.17</v>
      </c>
      <c r="I387" s="2"/>
      <c r="J387" s="4" t="s">
        <v>2467</v>
      </c>
      <c r="K387" s="151">
        <v>8.5</v>
      </c>
      <c r="L387" s="2"/>
      <c r="M387" s="4" t="s">
        <v>2477</v>
      </c>
      <c r="N387" s="151">
        <v>8.5</v>
      </c>
      <c r="O387" s="17"/>
      <c r="R387"/>
      <c r="S387"/>
      <c r="T387"/>
      <c r="U387"/>
      <c r="V387"/>
      <c r="W387"/>
      <c r="X387"/>
      <c r="Y387"/>
      <c r="Z387"/>
      <c r="AA387"/>
      <c r="AB387"/>
      <c r="AC387"/>
      <c r="AD387"/>
      <c r="AE387"/>
      <c r="AF387"/>
      <c r="AG387"/>
      <c r="AH387"/>
      <c r="AI387"/>
    </row>
    <row r="388" spans="1:35" ht="16" customHeight="1" thickBot="1" x14ac:dyDescent="0.25">
      <c r="A388" s="2"/>
      <c r="B388" s="2"/>
      <c r="C388" s="2"/>
      <c r="D388" s="201" t="s">
        <v>2508</v>
      </c>
      <c r="E388" s="12">
        <f>ROUND(SUM(E389:E401)/COUNT(E389:E401), 2)</f>
        <v>8.7899999999999991</v>
      </c>
      <c r="F388" s="2"/>
      <c r="G388" s="11" t="s">
        <v>2489</v>
      </c>
      <c r="H388" s="150">
        <v>8.5</v>
      </c>
      <c r="I388" s="2"/>
      <c r="J388" s="4" t="s">
        <v>2468</v>
      </c>
      <c r="K388" s="151">
        <v>7.5</v>
      </c>
      <c r="L388" s="2"/>
      <c r="M388" s="4" t="s">
        <v>2478</v>
      </c>
      <c r="N388" s="151">
        <v>8</v>
      </c>
      <c r="O388" s="17"/>
      <c r="R388"/>
      <c r="S388"/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/>
      <c r="AH388"/>
      <c r="AI388"/>
    </row>
    <row r="389" spans="1:35" ht="16" customHeight="1" thickBot="1" x14ac:dyDescent="0.25">
      <c r="A389" s="202" t="s">
        <v>2540</v>
      </c>
      <c r="B389" s="12">
        <f>ROUND(SUM(B390:B399)/COUNT(B390:B399), 2)</f>
        <v>8.75</v>
      </c>
      <c r="C389" s="2"/>
      <c r="D389" s="11" t="s">
        <v>2509</v>
      </c>
      <c r="E389" s="150">
        <v>8.5</v>
      </c>
      <c r="F389" s="2"/>
      <c r="G389" s="4" t="s">
        <v>2490</v>
      </c>
      <c r="H389" s="151">
        <v>7.5</v>
      </c>
      <c r="I389" s="2"/>
      <c r="J389" s="7" t="s">
        <v>2469</v>
      </c>
      <c r="K389" s="152">
        <v>9</v>
      </c>
      <c r="L389" s="2"/>
      <c r="M389" s="4" t="s">
        <v>2479</v>
      </c>
      <c r="N389" s="151">
        <v>8</v>
      </c>
      <c r="O389" s="17"/>
      <c r="R389"/>
      <c r="S389"/>
      <c r="T389"/>
      <c r="U389"/>
      <c r="V389"/>
      <c r="W389"/>
      <c r="X389"/>
      <c r="Y389"/>
      <c r="Z389"/>
      <c r="AA389"/>
      <c r="AB389"/>
      <c r="AC389"/>
      <c r="AD389"/>
      <c r="AE389"/>
      <c r="AF389"/>
      <c r="AG389"/>
      <c r="AH389"/>
      <c r="AI389"/>
    </row>
    <row r="390" spans="1:35" ht="16" customHeight="1" thickBot="1" x14ac:dyDescent="0.25">
      <c r="A390" s="11" t="s">
        <v>2530</v>
      </c>
      <c r="B390" s="150">
        <v>9</v>
      </c>
      <c r="C390" s="2"/>
      <c r="D390" s="4" t="s">
        <v>2510</v>
      </c>
      <c r="E390" s="151">
        <v>9.5</v>
      </c>
      <c r="F390" s="2"/>
      <c r="G390" s="4" t="s">
        <v>2491</v>
      </c>
      <c r="H390" s="151">
        <v>7</v>
      </c>
      <c r="I390" s="2"/>
      <c r="J390" s="2"/>
      <c r="K390" s="2"/>
      <c r="L390" s="2"/>
      <c r="M390" s="4" t="s">
        <v>2480</v>
      </c>
      <c r="N390" s="151">
        <v>7.5</v>
      </c>
      <c r="O390" s="17"/>
      <c r="R390"/>
      <c r="S390"/>
      <c r="T390"/>
      <c r="U390"/>
      <c r="V390"/>
      <c r="W390"/>
      <c r="X390"/>
      <c r="Y390"/>
      <c r="Z390"/>
      <c r="AA390"/>
      <c r="AB390"/>
      <c r="AC390"/>
      <c r="AD390"/>
      <c r="AE390"/>
      <c r="AF390"/>
      <c r="AG390"/>
      <c r="AH390"/>
      <c r="AI390"/>
    </row>
    <row r="391" spans="1:35" ht="16" customHeight="1" thickBot="1" x14ac:dyDescent="0.25">
      <c r="A391" s="4" t="s">
        <v>2531</v>
      </c>
      <c r="B391" s="151">
        <v>8</v>
      </c>
      <c r="C391" s="2"/>
      <c r="D391" s="4" t="s">
        <v>2511</v>
      </c>
      <c r="E391" s="151">
        <v>8.5</v>
      </c>
      <c r="F391" s="2"/>
      <c r="G391" s="4" t="s">
        <v>2492</v>
      </c>
      <c r="H391" s="151">
        <v>6.5</v>
      </c>
      <c r="I391" s="2"/>
      <c r="J391" s="203" t="s">
        <v>2545</v>
      </c>
      <c r="K391" s="12">
        <f>ROUND(SUM(K392:K397)/COUNT(K392:K397), 2)</f>
        <v>8.9</v>
      </c>
      <c r="L391" s="2"/>
      <c r="M391" s="4" t="s">
        <v>2481</v>
      </c>
      <c r="N391" s="151">
        <v>8</v>
      </c>
      <c r="O391" s="17"/>
      <c r="R391"/>
      <c r="S391"/>
      <c r="T391"/>
      <c r="U391"/>
      <c r="V391"/>
      <c r="W391"/>
      <c r="X391"/>
      <c r="Y391"/>
      <c r="Z391"/>
      <c r="AA391"/>
      <c r="AB391"/>
      <c r="AC391"/>
      <c r="AD391"/>
      <c r="AE391"/>
      <c r="AF391"/>
      <c r="AG391"/>
      <c r="AH391"/>
      <c r="AI391"/>
    </row>
    <row r="392" spans="1:35" ht="16" customHeight="1" x14ac:dyDescent="0.2">
      <c r="A392" s="4" t="s">
        <v>2532</v>
      </c>
      <c r="B392" s="151">
        <v>9</v>
      </c>
      <c r="C392" s="2"/>
      <c r="D392" s="4" t="s">
        <v>2512</v>
      </c>
      <c r="E392" s="151">
        <v>8</v>
      </c>
      <c r="F392" s="2"/>
      <c r="G392" s="4" t="s">
        <v>2493</v>
      </c>
      <c r="H392" s="151">
        <v>7</v>
      </c>
      <c r="I392" s="2"/>
      <c r="J392" s="11" t="s">
        <v>2546</v>
      </c>
      <c r="K392" s="150">
        <v>8.5</v>
      </c>
      <c r="L392" s="2"/>
      <c r="M392" s="4" t="s">
        <v>2482</v>
      </c>
      <c r="N392" s="151">
        <v>7.5</v>
      </c>
      <c r="O392" s="17"/>
      <c r="R392"/>
      <c r="S392"/>
      <c r="T392"/>
      <c r="U392"/>
      <c r="V392"/>
      <c r="W392"/>
      <c r="X392"/>
      <c r="Y392"/>
      <c r="Z392"/>
      <c r="AA392"/>
      <c r="AB392"/>
      <c r="AC392"/>
      <c r="AD392"/>
      <c r="AE392"/>
      <c r="AF392"/>
      <c r="AG392"/>
      <c r="AH392"/>
      <c r="AI392"/>
    </row>
    <row r="393" spans="1:35" ht="16" customHeight="1" x14ac:dyDescent="0.2">
      <c r="A393" s="4" t="s">
        <v>2533</v>
      </c>
      <c r="B393" s="151">
        <v>10.5</v>
      </c>
      <c r="C393" s="2"/>
      <c r="D393" s="4" t="s">
        <v>2513</v>
      </c>
      <c r="E393" s="151">
        <v>8</v>
      </c>
      <c r="F393" s="2"/>
      <c r="G393" s="4" t="s">
        <v>2494</v>
      </c>
      <c r="H393" s="151">
        <v>7.5</v>
      </c>
      <c r="I393" s="2"/>
      <c r="J393" s="4" t="s">
        <v>2547</v>
      </c>
      <c r="K393" s="151">
        <v>10.5</v>
      </c>
      <c r="L393" s="2"/>
      <c r="M393" s="4" t="s">
        <v>2483</v>
      </c>
      <c r="N393" s="151">
        <v>8.5</v>
      </c>
      <c r="O393" s="17"/>
      <c r="R393"/>
      <c r="S393"/>
      <c r="T393"/>
      <c r="U393"/>
      <c r="V393"/>
      <c r="W393"/>
      <c r="X393"/>
      <c r="Y393"/>
      <c r="Z393"/>
      <c r="AA393"/>
      <c r="AB393"/>
      <c r="AC393"/>
      <c r="AD393"/>
      <c r="AE393"/>
      <c r="AF393"/>
      <c r="AG393"/>
      <c r="AH393"/>
      <c r="AI393"/>
    </row>
    <row r="394" spans="1:35" ht="16" customHeight="1" x14ac:dyDescent="0.2">
      <c r="A394" s="4" t="s">
        <v>2534</v>
      </c>
      <c r="B394" s="151">
        <v>8.5</v>
      </c>
      <c r="C394" s="2"/>
      <c r="D394" s="4" t="s">
        <v>2514</v>
      </c>
      <c r="E394" s="151">
        <v>9.5</v>
      </c>
      <c r="F394" s="2"/>
      <c r="G394" s="4" t="s">
        <v>2495</v>
      </c>
      <c r="H394" s="151">
        <v>6.5</v>
      </c>
      <c r="I394" s="2"/>
      <c r="J394" s="4" t="s">
        <v>2548</v>
      </c>
      <c r="K394" s="151">
        <v>9</v>
      </c>
      <c r="L394" s="2"/>
      <c r="M394" s="4" t="s">
        <v>2484</v>
      </c>
      <c r="N394" s="151">
        <v>9</v>
      </c>
      <c r="O394" s="17"/>
      <c r="R394"/>
      <c r="S394"/>
      <c r="T394"/>
      <c r="U394"/>
      <c r="V394"/>
      <c r="W394"/>
      <c r="X394"/>
      <c r="Y394"/>
      <c r="Z394"/>
      <c r="AA394"/>
      <c r="AB394"/>
      <c r="AC394"/>
      <c r="AD394"/>
      <c r="AE394"/>
      <c r="AF394"/>
      <c r="AG394"/>
      <c r="AH394"/>
      <c r="AI394"/>
    </row>
    <row r="395" spans="1:35" ht="16" customHeight="1" thickBot="1" x14ac:dyDescent="0.25">
      <c r="A395" s="4" t="s">
        <v>2535</v>
      </c>
      <c r="B395" s="151">
        <v>8.5</v>
      </c>
      <c r="C395" s="2"/>
      <c r="D395" s="4" t="s">
        <v>2515</v>
      </c>
      <c r="E395" s="151">
        <v>8</v>
      </c>
      <c r="F395" s="2"/>
      <c r="G395" s="4" t="s">
        <v>2496</v>
      </c>
      <c r="H395" s="151">
        <v>6</v>
      </c>
      <c r="I395" s="2"/>
      <c r="J395" s="4" t="s">
        <v>2549</v>
      </c>
      <c r="K395" s="151"/>
      <c r="L395" s="2"/>
      <c r="M395" s="7" t="s">
        <v>2485</v>
      </c>
      <c r="N395" s="152"/>
      <c r="O395" s="17"/>
      <c r="R395"/>
      <c r="S395"/>
      <c r="T395"/>
      <c r="U395"/>
      <c r="V395"/>
      <c r="W395"/>
      <c r="X395"/>
      <c r="Y395"/>
      <c r="Z395"/>
      <c r="AA395"/>
      <c r="AB395"/>
      <c r="AC395"/>
      <c r="AD395"/>
      <c r="AE395"/>
      <c r="AF395"/>
      <c r="AG395"/>
      <c r="AH395"/>
      <c r="AI395"/>
    </row>
    <row r="396" spans="1:35" ht="16" customHeight="1" thickBot="1" x14ac:dyDescent="0.25">
      <c r="A396" s="4" t="s">
        <v>2536</v>
      </c>
      <c r="B396" s="151">
        <v>8</v>
      </c>
      <c r="C396" s="2"/>
      <c r="D396" s="4" t="s">
        <v>2516</v>
      </c>
      <c r="E396" s="151">
        <v>9</v>
      </c>
      <c r="F396" s="2"/>
      <c r="G396" s="4" t="s">
        <v>2497</v>
      </c>
      <c r="H396" s="151">
        <v>8</v>
      </c>
      <c r="I396" s="2"/>
      <c r="J396" s="4" t="s">
        <v>2550</v>
      </c>
      <c r="K396" s="151">
        <v>8.5</v>
      </c>
      <c r="L396" s="2"/>
      <c r="M396" s="2"/>
      <c r="N396" s="2"/>
      <c r="O396" s="17"/>
      <c r="R396"/>
      <c r="S396"/>
      <c r="T396"/>
      <c r="U396"/>
      <c r="V396"/>
      <c r="W396"/>
      <c r="X396"/>
      <c r="Y396"/>
      <c r="Z396"/>
      <c r="AA396"/>
      <c r="AB396"/>
      <c r="AC396"/>
      <c r="AD396"/>
      <c r="AE396"/>
      <c r="AF396"/>
      <c r="AG396"/>
      <c r="AH396"/>
      <c r="AI396"/>
    </row>
    <row r="397" spans="1:35" ht="16" customHeight="1" thickBot="1" x14ac:dyDescent="0.25">
      <c r="A397" s="4" t="s">
        <v>2537</v>
      </c>
      <c r="B397" s="151">
        <v>8.5</v>
      </c>
      <c r="C397" s="2"/>
      <c r="D397" s="4" t="s">
        <v>2517</v>
      </c>
      <c r="E397" s="151">
        <v>9</v>
      </c>
      <c r="F397" s="2"/>
      <c r="G397" s="4" t="s">
        <v>2498</v>
      </c>
      <c r="H397" s="151">
        <v>7</v>
      </c>
      <c r="I397" s="2"/>
      <c r="J397" s="7" t="s">
        <v>2551</v>
      </c>
      <c r="K397" s="152">
        <v>8</v>
      </c>
      <c r="L397" s="2"/>
      <c r="M397" s="213" t="s">
        <v>2566</v>
      </c>
      <c r="N397" s="12">
        <f>ROUND(SUM(N398:N410)/COUNT(N398:N410), 2)</f>
        <v>9.08</v>
      </c>
      <c r="O397" s="17"/>
      <c r="R397"/>
      <c r="S397"/>
      <c r="T397"/>
      <c r="U397"/>
      <c r="V397"/>
      <c r="W397"/>
      <c r="X397"/>
      <c r="Y397"/>
      <c r="Z397"/>
      <c r="AA397"/>
      <c r="AB397"/>
      <c r="AC397"/>
      <c r="AD397"/>
      <c r="AE397"/>
      <c r="AF397"/>
      <c r="AG397"/>
      <c r="AH397"/>
      <c r="AI397"/>
    </row>
    <row r="398" spans="1:35" ht="16" customHeight="1" thickBot="1" x14ac:dyDescent="0.25">
      <c r="A398" s="4" t="s">
        <v>2538</v>
      </c>
      <c r="B398" s="151">
        <v>8.5</v>
      </c>
      <c r="C398" s="2"/>
      <c r="D398" s="4" t="s">
        <v>2518</v>
      </c>
      <c r="E398" s="151">
        <v>9</v>
      </c>
      <c r="F398" s="2"/>
      <c r="G398" s="4" t="s">
        <v>2499</v>
      </c>
      <c r="H398" s="151">
        <v>6.5</v>
      </c>
      <c r="I398" s="2"/>
      <c r="J398" s="2"/>
      <c r="K398" s="2"/>
      <c r="L398" s="2"/>
      <c r="M398" s="11" t="s">
        <v>2553</v>
      </c>
      <c r="N398" s="150">
        <v>9.5</v>
      </c>
      <c r="O398" s="17"/>
      <c r="R398"/>
      <c r="S398"/>
      <c r="T398"/>
      <c r="U398"/>
      <c r="V398"/>
      <c r="W398"/>
      <c r="X398"/>
      <c r="Y398"/>
      <c r="Z398"/>
      <c r="AA398"/>
      <c r="AB398"/>
      <c r="AC398"/>
      <c r="AD398"/>
      <c r="AE398"/>
      <c r="AF398"/>
      <c r="AG398"/>
      <c r="AH398"/>
      <c r="AI398"/>
    </row>
    <row r="399" spans="1:35" ht="16" customHeight="1" thickBot="1" x14ac:dyDescent="0.25">
      <c r="A399" s="7" t="s">
        <v>2539</v>
      </c>
      <c r="B399" s="152">
        <v>9</v>
      </c>
      <c r="C399" s="2"/>
      <c r="D399" s="4" t="s">
        <v>2519</v>
      </c>
      <c r="E399" s="151">
        <v>8</v>
      </c>
      <c r="F399" s="2"/>
      <c r="G399" s="7" t="s">
        <v>2500</v>
      </c>
      <c r="H399" s="152">
        <v>8</v>
      </c>
      <c r="I399" s="2"/>
      <c r="J399" s="204" t="s">
        <v>2580</v>
      </c>
      <c r="K399" s="12">
        <f>ROUND(SUM(K400:K410)/COUNT(K400:K410), 2)</f>
        <v>8.86</v>
      </c>
      <c r="L399" s="2"/>
      <c r="M399" s="4" t="s">
        <v>2554</v>
      </c>
      <c r="N399" s="151">
        <v>10</v>
      </c>
      <c r="O399" s="17"/>
      <c r="R399"/>
      <c r="S399"/>
      <c r="T399"/>
      <c r="U399"/>
      <c r="V399"/>
      <c r="W399"/>
      <c r="X399"/>
      <c r="Y399"/>
      <c r="Z399"/>
      <c r="AA399"/>
      <c r="AB399"/>
      <c r="AC399"/>
      <c r="AD399"/>
      <c r="AE399"/>
      <c r="AF399"/>
      <c r="AG399"/>
      <c r="AH399"/>
      <c r="AI399"/>
    </row>
    <row r="400" spans="1:35" ht="16" customHeight="1" thickBot="1" x14ac:dyDescent="0.25">
      <c r="A400" s="2"/>
      <c r="B400" s="2"/>
      <c r="C400" s="2"/>
      <c r="D400" s="4" t="s">
        <v>2520</v>
      </c>
      <c r="E400" s="151"/>
      <c r="F400" s="2"/>
      <c r="G400" s="2"/>
      <c r="H400" s="2"/>
      <c r="I400" s="2"/>
      <c r="J400" s="11" t="s">
        <v>2581</v>
      </c>
      <c r="K400" s="150">
        <v>8.5</v>
      </c>
      <c r="L400" s="2"/>
      <c r="M400" s="4" t="s">
        <v>2555</v>
      </c>
      <c r="N400" s="151">
        <v>9.5</v>
      </c>
      <c r="O400" s="17"/>
      <c r="R400"/>
      <c r="S400"/>
      <c r="T400"/>
      <c r="U400"/>
      <c r="V400"/>
      <c r="W400"/>
      <c r="X400"/>
      <c r="Y400"/>
      <c r="Z400"/>
      <c r="AA400"/>
      <c r="AB400"/>
      <c r="AC400"/>
      <c r="AD400"/>
      <c r="AE400"/>
      <c r="AF400"/>
      <c r="AG400"/>
      <c r="AH400"/>
      <c r="AI400"/>
    </row>
    <row r="401" spans="1:35" ht="16" customHeight="1" thickBot="1" x14ac:dyDescent="0.25">
      <c r="A401" s="205" t="s">
        <v>2600</v>
      </c>
      <c r="B401" s="12">
        <f>ROUND(SUM(B402:B411)/COUNT(B402:B411), 2)</f>
        <v>8.75</v>
      </c>
      <c r="C401" s="2"/>
      <c r="D401" s="7" t="s">
        <v>2521</v>
      </c>
      <c r="E401" s="152">
        <v>10.5</v>
      </c>
      <c r="F401" s="2"/>
      <c r="G401" s="206" t="s">
        <v>2607</v>
      </c>
      <c r="H401" s="12">
        <f>ROUND(SUM(H402:H413)/COUNT(H402:H413), 2)</f>
        <v>8.6300000000000008</v>
      </c>
      <c r="I401" s="2"/>
      <c r="J401" s="4" t="s">
        <v>2582</v>
      </c>
      <c r="K401" s="151">
        <v>10</v>
      </c>
      <c r="L401" s="2"/>
      <c r="M401" s="4" t="s">
        <v>2556</v>
      </c>
      <c r="N401" s="151">
        <v>9</v>
      </c>
      <c r="O401" s="17"/>
      <c r="R401"/>
      <c r="S401"/>
      <c r="T401"/>
      <c r="U401"/>
      <c r="V401"/>
      <c r="W401"/>
      <c r="X401"/>
      <c r="Y401"/>
      <c r="Z401"/>
      <c r="AA401"/>
      <c r="AB401"/>
      <c r="AC401"/>
      <c r="AD401"/>
      <c r="AE401"/>
      <c r="AF401"/>
      <c r="AG401"/>
      <c r="AH401"/>
      <c r="AI401"/>
    </row>
    <row r="402" spans="1:35" ht="16" customHeight="1" thickBot="1" x14ac:dyDescent="0.25">
      <c r="A402" s="11" t="s">
        <v>2601</v>
      </c>
      <c r="B402" s="150"/>
      <c r="C402" s="2"/>
      <c r="D402" s="2"/>
      <c r="E402" s="2"/>
      <c r="F402" s="2"/>
      <c r="G402" s="11" t="s">
        <v>2608</v>
      </c>
      <c r="H402" s="150">
        <v>10.5</v>
      </c>
      <c r="I402" s="2"/>
      <c r="J402" s="4" t="s">
        <v>689</v>
      </c>
      <c r="K402" s="151">
        <v>10</v>
      </c>
      <c r="L402" s="2"/>
      <c r="M402" s="4" t="s">
        <v>2557</v>
      </c>
      <c r="N402" s="151">
        <v>10.5</v>
      </c>
      <c r="O402" s="17"/>
      <c r="R402"/>
      <c r="S402"/>
      <c r="T402"/>
      <c r="U402"/>
      <c r="V402"/>
      <c r="W402"/>
      <c r="X402"/>
      <c r="Y402"/>
      <c r="Z402"/>
      <c r="AA402"/>
      <c r="AB402"/>
      <c r="AC402"/>
      <c r="AD402"/>
      <c r="AE402"/>
      <c r="AF402"/>
      <c r="AG402"/>
      <c r="AH402"/>
      <c r="AI402"/>
    </row>
    <row r="403" spans="1:35" ht="16" customHeight="1" thickBot="1" x14ac:dyDescent="0.25">
      <c r="A403" s="4" t="s">
        <v>2602</v>
      </c>
      <c r="B403" s="151">
        <v>10</v>
      </c>
      <c r="C403" s="2"/>
      <c r="D403" s="211" t="s">
        <v>2630</v>
      </c>
      <c r="E403" s="12">
        <f>ROUND(SUM(E404:E413)/COUNT(E404:E413), 2)</f>
        <v>2.5</v>
      </c>
      <c r="F403" s="2"/>
      <c r="G403" s="4" t="s">
        <v>2609</v>
      </c>
      <c r="H403" s="151">
        <v>9</v>
      </c>
      <c r="I403" s="2"/>
      <c r="J403" s="4" t="s">
        <v>2583</v>
      </c>
      <c r="K403" s="151">
        <v>8.5</v>
      </c>
      <c r="L403" s="2"/>
      <c r="M403" s="4" t="s">
        <v>2558</v>
      </c>
      <c r="N403" s="151">
        <v>8.5</v>
      </c>
      <c r="O403" s="17"/>
      <c r="R403"/>
      <c r="S403"/>
      <c r="T403"/>
      <c r="U403"/>
      <c r="V403"/>
      <c r="W403"/>
      <c r="X403"/>
      <c r="Y403"/>
      <c r="Z403"/>
      <c r="AA403"/>
      <c r="AB403"/>
      <c r="AC403"/>
      <c r="AD403"/>
      <c r="AE403"/>
      <c r="AF403"/>
      <c r="AG403"/>
      <c r="AH403"/>
      <c r="AI403"/>
    </row>
    <row r="404" spans="1:35" ht="16" customHeight="1" x14ac:dyDescent="0.2">
      <c r="A404" s="4" t="s">
        <v>2603</v>
      </c>
      <c r="B404" s="151">
        <v>9.5</v>
      </c>
      <c r="C404" s="2"/>
      <c r="D404" s="11" t="s">
        <v>2620</v>
      </c>
      <c r="E404" s="150">
        <v>3.5</v>
      </c>
      <c r="F404" s="2"/>
      <c r="G404" s="4" t="s">
        <v>2610</v>
      </c>
      <c r="H404" s="151">
        <v>8.5</v>
      </c>
      <c r="I404" s="2"/>
      <c r="J404" s="4" t="s">
        <v>2584</v>
      </c>
      <c r="K404" s="151">
        <v>10.5</v>
      </c>
      <c r="L404" s="2"/>
      <c r="M404" s="4" t="s">
        <v>2559</v>
      </c>
      <c r="N404" s="151">
        <v>8.5</v>
      </c>
      <c r="O404" s="17"/>
      <c r="R404"/>
      <c r="S404"/>
      <c r="T404"/>
      <c r="U404"/>
      <c r="V404"/>
      <c r="W404"/>
      <c r="X404"/>
      <c r="Y404"/>
      <c r="Z404"/>
      <c r="AA404"/>
      <c r="AB404"/>
      <c r="AC404"/>
      <c r="AD404"/>
      <c r="AE404"/>
      <c r="AF404"/>
      <c r="AG404"/>
      <c r="AH404"/>
      <c r="AI404"/>
    </row>
    <row r="405" spans="1:35" ht="16" customHeight="1" x14ac:dyDescent="0.2">
      <c r="A405" s="4" t="s">
        <v>2604</v>
      </c>
      <c r="B405" s="151">
        <v>8</v>
      </c>
      <c r="C405" s="2"/>
      <c r="D405" s="4" t="s">
        <v>2621</v>
      </c>
      <c r="E405" s="151">
        <v>0</v>
      </c>
      <c r="F405" s="2"/>
      <c r="G405" s="4" t="s">
        <v>2611</v>
      </c>
      <c r="H405" s="151">
        <v>8.5</v>
      </c>
      <c r="I405" s="2"/>
      <c r="J405" s="4" t="s">
        <v>2585</v>
      </c>
      <c r="K405" s="151">
        <v>9.5</v>
      </c>
      <c r="L405" s="2"/>
      <c r="M405" s="4" t="s">
        <v>2560</v>
      </c>
      <c r="N405" s="151">
        <v>10</v>
      </c>
      <c r="O405" s="17"/>
      <c r="R405"/>
      <c r="S405"/>
      <c r="T405"/>
      <c r="U405"/>
      <c r="V405"/>
      <c r="W405"/>
      <c r="X405"/>
      <c r="Y405"/>
      <c r="Z405"/>
      <c r="AA405"/>
      <c r="AB405"/>
      <c r="AC405"/>
      <c r="AD405"/>
      <c r="AE405"/>
      <c r="AF405"/>
      <c r="AG405"/>
      <c r="AH405"/>
      <c r="AI405"/>
    </row>
    <row r="406" spans="1:35" ht="16" customHeight="1" x14ac:dyDescent="0.2">
      <c r="A406" s="4" t="s">
        <v>2605</v>
      </c>
      <c r="B406" s="151"/>
      <c r="C406" s="2"/>
      <c r="D406" s="4" t="s">
        <v>2622</v>
      </c>
      <c r="E406" s="151">
        <v>3</v>
      </c>
      <c r="F406" s="2"/>
      <c r="G406" s="4" t="s">
        <v>2612</v>
      </c>
      <c r="H406" s="151">
        <v>8</v>
      </c>
      <c r="I406" s="2"/>
      <c r="J406" s="4" t="s">
        <v>2586</v>
      </c>
      <c r="K406" s="151">
        <v>8</v>
      </c>
      <c r="L406" s="2"/>
      <c r="M406" s="4" t="s">
        <v>2561</v>
      </c>
      <c r="N406" s="151">
        <v>8.5</v>
      </c>
      <c r="O406" s="17"/>
      <c r="R406"/>
      <c r="S406"/>
      <c r="T406"/>
      <c r="U406"/>
      <c r="V406"/>
      <c r="W406"/>
      <c r="X406"/>
      <c r="Y406"/>
      <c r="Z406"/>
      <c r="AA406"/>
      <c r="AB406"/>
      <c r="AC406"/>
      <c r="AD406"/>
      <c r="AE406"/>
      <c r="AF406"/>
      <c r="AG406"/>
      <c r="AH406"/>
      <c r="AI406"/>
    </row>
    <row r="407" spans="1:35" ht="16" customHeight="1" thickBot="1" x14ac:dyDescent="0.25">
      <c r="A407" s="7" t="s">
        <v>2606</v>
      </c>
      <c r="B407" s="152">
        <v>8</v>
      </c>
      <c r="C407" s="2"/>
      <c r="D407" s="4" t="s">
        <v>2623</v>
      </c>
      <c r="E407" s="151">
        <v>2</v>
      </c>
      <c r="F407" s="2"/>
      <c r="G407" s="4" t="s">
        <v>2613</v>
      </c>
      <c r="H407" s="151">
        <v>7.5</v>
      </c>
      <c r="I407" s="2"/>
      <c r="J407" s="4" t="s">
        <v>2587</v>
      </c>
      <c r="K407" s="151">
        <v>8.5</v>
      </c>
      <c r="L407" s="2"/>
      <c r="M407" s="4" t="s">
        <v>2562</v>
      </c>
      <c r="N407" s="151">
        <v>8</v>
      </c>
      <c r="O407" s="17"/>
      <c r="R407"/>
      <c r="S407"/>
      <c r="T407"/>
      <c r="U407"/>
      <c r="V407"/>
      <c r="W407"/>
      <c r="X407"/>
      <c r="Y407"/>
      <c r="Z407"/>
      <c r="AA407"/>
      <c r="AB407"/>
      <c r="AC407"/>
      <c r="AD407"/>
      <c r="AE407"/>
      <c r="AF407"/>
      <c r="AG407"/>
      <c r="AH407"/>
      <c r="AI407"/>
    </row>
    <row r="408" spans="1:35" ht="16" customHeight="1" thickBot="1" x14ac:dyDescent="0.25">
      <c r="A408" s="2"/>
      <c r="B408" s="2"/>
      <c r="C408" s="2"/>
      <c r="D408" s="4" t="s">
        <v>2624</v>
      </c>
      <c r="E408" s="151">
        <v>3</v>
      </c>
      <c r="F408" s="2"/>
      <c r="G408" s="4" t="s">
        <v>2614</v>
      </c>
      <c r="H408" s="151">
        <v>8</v>
      </c>
      <c r="I408" s="2"/>
      <c r="J408" s="4" t="s">
        <v>2588</v>
      </c>
      <c r="K408" s="151">
        <v>7.5</v>
      </c>
      <c r="L408" s="2"/>
      <c r="M408" s="4" t="s">
        <v>2563</v>
      </c>
      <c r="N408" s="151">
        <v>8.5</v>
      </c>
      <c r="O408" s="17"/>
      <c r="R408"/>
      <c r="S408"/>
      <c r="T408"/>
      <c r="U408"/>
      <c r="V408"/>
      <c r="W408"/>
      <c r="X408"/>
      <c r="Y408"/>
      <c r="Z408"/>
      <c r="AA408"/>
      <c r="AB408"/>
      <c r="AC408"/>
      <c r="AD408"/>
      <c r="AE408"/>
      <c r="AF408"/>
      <c r="AG408"/>
      <c r="AH408"/>
      <c r="AI408"/>
    </row>
    <row r="409" spans="1:35" ht="16" customHeight="1" thickBot="1" x14ac:dyDescent="0.25">
      <c r="A409" s="209" t="s">
        <v>2661</v>
      </c>
      <c r="B409" s="12">
        <f>ROUND(SUM(B410:B426)/COUNT(B410:B426), 2)</f>
        <v>8.24</v>
      </c>
      <c r="C409" s="2"/>
      <c r="D409" s="4" t="s">
        <v>2625</v>
      </c>
      <c r="E409" s="153">
        <v>5</v>
      </c>
      <c r="F409" s="2"/>
      <c r="G409" s="4" t="s">
        <v>2615</v>
      </c>
      <c r="H409" s="151">
        <v>7.5</v>
      </c>
      <c r="I409" s="2"/>
      <c r="J409" s="4" t="s">
        <v>2589</v>
      </c>
      <c r="K409" s="151">
        <v>8</v>
      </c>
      <c r="L409" s="2"/>
      <c r="M409" s="4" t="s">
        <v>2564</v>
      </c>
      <c r="N409" s="151">
        <v>8.5</v>
      </c>
      <c r="O409" s="17"/>
      <c r="R409"/>
      <c r="S409"/>
      <c r="T409"/>
      <c r="U409"/>
      <c r="V409"/>
      <c r="W409"/>
      <c r="X409"/>
      <c r="Y409"/>
      <c r="Z409"/>
      <c r="AA409"/>
      <c r="AB409"/>
      <c r="AC409"/>
      <c r="AD409"/>
      <c r="AE409"/>
      <c r="AF409"/>
      <c r="AG409"/>
      <c r="AH409"/>
      <c r="AI409"/>
    </row>
    <row r="410" spans="1:35" ht="16" customHeight="1" thickBot="1" x14ac:dyDescent="0.25">
      <c r="A410" s="11" t="s">
        <v>2662</v>
      </c>
      <c r="B410" s="207">
        <v>7.5</v>
      </c>
      <c r="C410" s="2"/>
      <c r="D410" s="4" t="s">
        <v>2626</v>
      </c>
      <c r="E410" s="151">
        <v>2.5</v>
      </c>
      <c r="F410" s="2"/>
      <c r="G410" s="4" t="s">
        <v>2616</v>
      </c>
      <c r="H410" s="151">
        <v>9</v>
      </c>
      <c r="I410" s="2"/>
      <c r="J410" s="7" t="s">
        <v>2590</v>
      </c>
      <c r="K410" s="152">
        <v>8.5</v>
      </c>
      <c r="L410" s="2"/>
      <c r="M410" s="7" t="s">
        <v>2565</v>
      </c>
      <c r="N410" s="152">
        <v>9</v>
      </c>
      <c r="O410" s="17"/>
      <c r="R410"/>
      <c r="S410"/>
      <c r="T410"/>
      <c r="U410"/>
      <c r="V410"/>
      <c r="W410"/>
      <c r="X410"/>
      <c r="Y410"/>
      <c r="Z410"/>
      <c r="AA410"/>
      <c r="AB410"/>
      <c r="AC410"/>
      <c r="AD410"/>
      <c r="AE410"/>
      <c r="AF410"/>
      <c r="AG410"/>
      <c r="AH410"/>
      <c r="AI410"/>
    </row>
    <row r="411" spans="1:35" ht="16" customHeight="1" thickBot="1" x14ac:dyDescent="0.25">
      <c r="A411" s="162" t="s">
        <v>2663</v>
      </c>
      <c r="B411" s="153">
        <v>10</v>
      </c>
      <c r="C411" s="2"/>
      <c r="D411" s="4" t="s">
        <v>2627</v>
      </c>
      <c r="E411" s="151">
        <v>3</v>
      </c>
      <c r="F411" s="2"/>
      <c r="G411" s="4" t="s">
        <v>2617</v>
      </c>
      <c r="H411" s="151">
        <v>10</v>
      </c>
      <c r="I411" s="2"/>
      <c r="J411" s="2"/>
      <c r="K411" s="2"/>
      <c r="L411" s="2"/>
      <c r="M411" s="2"/>
      <c r="N411" s="2"/>
      <c r="O411" s="17"/>
      <c r="R411"/>
      <c r="S411"/>
      <c r="T411"/>
      <c r="U411"/>
      <c r="V411"/>
      <c r="W411"/>
      <c r="X411"/>
      <c r="Y411"/>
      <c r="Z411"/>
      <c r="AA411"/>
      <c r="AB411"/>
      <c r="AC411"/>
      <c r="AD411"/>
      <c r="AE411"/>
      <c r="AF411"/>
      <c r="AG411"/>
      <c r="AH411"/>
      <c r="AI411"/>
    </row>
    <row r="412" spans="1:35" ht="16" customHeight="1" thickBot="1" x14ac:dyDescent="0.25">
      <c r="A412" s="4" t="s">
        <v>2664</v>
      </c>
      <c r="B412" s="153">
        <v>9</v>
      </c>
      <c r="C412" s="2"/>
      <c r="D412" s="4" t="s">
        <v>2628</v>
      </c>
      <c r="E412" s="151">
        <v>2</v>
      </c>
      <c r="F412" s="2"/>
      <c r="G412" s="4" t="s">
        <v>2618</v>
      </c>
      <c r="H412" s="151">
        <v>9</v>
      </c>
      <c r="I412" s="2"/>
      <c r="J412" s="212" t="s">
        <v>2681</v>
      </c>
      <c r="K412" s="12">
        <f>ROUND(SUM(K413:K419)/COUNT(K413:K419), 2)</f>
        <v>8.7100000000000009</v>
      </c>
      <c r="L412" s="2"/>
      <c r="M412" s="348" t="s">
        <v>2693</v>
      </c>
      <c r="N412" s="12">
        <f>ROUND(SUM(N413:N419)/COUNT(N413:N419), 2)</f>
        <v>8.7899999999999991</v>
      </c>
      <c r="O412" s="17"/>
      <c r="R412"/>
      <c r="S412"/>
      <c r="T412"/>
      <c r="U412"/>
      <c r="V412"/>
      <c r="W412"/>
      <c r="X412"/>
      <c r="Y412"/>
      <c r="Z412"/>
      <c r="AA412"/>
      <c r="AB412"/>
      <c r="AC412"/>
      <c r="AD412"/>
      <c r="AE412"/>
      <c r="AF412"/>
      <c r="AG412"/>
      <c r="AH412"/>
      <c r="AI412"/>
    </row>
    <row r="413" spans="1:35" ht="16" customHeight="1" thickBot="1" x14ac:dyDescent="0.25">
      <c r="A413" s="4" t="s">
        <v>2665</v>
      </c>
      <c r="B413" s="153">
        <v>8</v>
      </c>
      <c r="C413" s="2"/>
      <c r="D413" s="7" t="s">
        <v>2629</v>
      </c>
      <c r="E413" s="152">
        <v>1</v>
      </c>
      <c r="F413" s="2"/>
      <c r="G413" s="7" t="s">
        <v>2619</v>
      </c>
      <c r="H413" s="152">
        <v>8</v>
      </c>
      <c r="I413" s="2"/>
      <c r="J413" s="11" t="s">
        <v>2682</v>
      </c>
      <c r="K413" s="150">
        <v>8.5</v>
      </c>
      <c r="L413" s="2"/>
      <c r="M413" s="11" t="s">
        <v>2694</v>
      </c>
      <c r="N413" s="150">
        <v>9</v>
      </c>
      <c r="O413" s="17"/>
      <c r="R413"/>
      <c r="S413"/>
      <c r="T413"/>
      <c r="U413"/>
      <c r="V413"/>
      <c r="W413"/>
      <c r="X413"/>
      <c r="Y413"/>
      <c r="Z413"/>
      <c r="AA413"/>
      <c r="AB413"/>
      <c r="AC413"/>
      <c r="AD413"/>
      <c r="AE413"/>
      <c r="AF413"/>
      <c r="AG413"/>
      <c r="AH413"/>
      <c r="AI413"/>
    </row>
    <row r="414" spans="1:35" ht="16" customHeight="1" thickBot="1" x14ac:dyDescent="0.25">
      <c r="A414" s="4" t="s">
        <v>2666</v>
      </c>
      <c r="B414" s="153">
        <v>10.5</v>
      </c>
      <c r="C414" s="2"/>
      <c r="D414" s="2"/>
      <c r="E414" s="2"/>
      <c r="F414" s="2"/>
      <c r="G414" s="2"/>
      <c r="H414" s="2"/>
      <c r="I414" s="2"/>
      <c r="J414" s="4" t="s">
        <v>2683</v>
      </c>
      <c r="K414" s="151">
        <v>9.5</v>
      </c>
      <c r="L414" s="2"/>
      <c r="M414" s="4" t="s">
        <v>2695</v>
      </c>
      <c r="N414" s="151">
        <v>9</v>
      </c>
      <c r="O414" s="17"/>
      <c r="R414"/>
      <c r="S414"/>
      <c r="T414"/>
      <c r="U414"/>
      <c r="V414"/>
      <c r="W414"/>
      <c r="X414"/>
      <c r="Y414"/>
      <c r="Z414"/>
      <c r="AA414"/>
      <c r="AB414"/>
      <c r="AC414"/>
      <c r="AD414"/>
      <c r="AE414"/>
      <c r="AF414"/>
      <c r="AG414"/>
      <c r="AH414"/>
      <c r="AI414"/>
    </row>
    <row r="415" spans="1:35" ht="16" customHeight="1" thickBot="1" x14ac:dyDescent="0.25">
      <c r="A415" s="4" t="s">
        <v>2667</v>
      </c>
      <c r="B415" s="153">
        <v>7.5</v>
      </c>
      <c r="C415" s="2"/>
      <c r="D415" s="350" t="s">
        <v>2705</v>
      </c>
      <c r="E415" s="12">
        <f>ROUND(SUM(E416:E423)/COUNT(E416:E423), 2)</f>
        <v>8.69</v>
      </c>
      <c r="F415" s="2"/>
      <c r="G415" s="352" t="s">
        <v>2717</v>
      </c>
      <c r="H415" s="12">
        <f>ROUND(SUM(H416:H419)/COUNT(H416:H419), 2)</f>
        <v>8.8800000000000008</v>
      </c>
      <c r="I415" s="2"/>
      <c r="J415" s="4" t="s">
        <v>2684</v>
      </c>
      <c r="K415" s="151">
        <v>9.5</v>
      </c>
      <c r="L415" s="2"/>
      <c r="M415" s="7" t="s">
        <v>1008</v>
      </c>
      <c r="N415" s="152">
        <v>8.5</v>
      </c>
      <c r="O415" s="17"/>
      <c r="R415"/>
      <c r="S415"/>
      <c r="T415"/>
      <c r="U415"/>
      <c r="V415"/>
      <c r="W415"/>
      <c r="X415"/>
      <c r="Y415"/>
      <c r="Z415"/>
      <c r="AA415"/>
      <c r="AB415"/>
      <c r="AC415"/>
      <c r="AD415"/>
      <c r="AE415"/>
      <c r="AF415"/>
      <c r="AG415"/>
      <c r="AH415"/>
      <c r="AI415"/>
    </row>
    <row r="416" spans="1:35" ht="16" customHeight="1" thickBot="1" x14ac:dyDescent="0.25">
      <c r="A416" s="4" t="s">
        <v>2668</v>
      </c>
      <c r="B416" s="153">
        <v>6</v>
      </c>
      <c r="C416" s="2"/>
      <c r="D416" s="11" t="s">
        <v>2706</v>
      </c>
      <c r="E416" s="150">
        <v>10</v>
      </c>
      <c r="F416" s="2"/>
      <c r="G416" s="11" t="s">
        <v>2724</v>
      </c>
      <c r="H416" s="150">
        <v>8</v>
      </c>
      <c r="I416" s="2"/>
      <c r="J416" s="4" t="s">
        <v>2685</v>
      </c>
      <c r="K416" s="151">
        <v>8</v>
      </c>
      <c r="L416" s="2"/>
      <c r="M416" s="2"/>
      <c r="N416" s="2"/>
      <c r="O416" s="17"/>
      <c r="R416"/>
      <c r="S416"/>
      <c r="T416"/>
      <c r="U416"/>
      <c r="V416"/>
      <c r="W416"/>
      <c r="X416"/>
      <c r="Y416"/>
      <c r="Z416"/>
      <c r="AA416"/>
      <c r="AB416"/>
      <c r="AC416"/>
      <c r="AD416"/>
      <c r="AE416"/>
      <c r="AF416"/>
      <c r="AG416"/>
      <c r="AH416"/>
      <c r="AI416"/>
    </row>
    <row r="417" spans="1:35" ht="16" customHeight="1" thickBot="1" x14ac:dyDescent="0.25">
      <c r="A417" s="4" t="s">
        <v>2669</v>
      </c>
      <c r="B417" s="153">
        <v>7.5</v>
      </c>
      <c r="C417" s="2"/>
      <c r="D417" s="4" t="s">
        <v>2707</v>
      </c>
      <c r="E417" s="151">
        <v>10</v>
      </c>
      <c r="F417" s="2"/>
      <c r="G417" s="4" t="s">
        <v>2725</v>
      </c>
      <c r="H417" s="151">
        <v>9</v>
      </c>
      <c r="I417" s="2"/>
      <c r="J417" s="4" t="s">
        <v>2686</v>
      </c>
      <c r="K417" s="151">
        <v>9</v>
      </c>
      <c r="L417" s="2"/>
      <c r="M417" s="353" t="s">
        <v>2728</v>
      </c>
      <c r="N417" s="12">
        <f>ROUND(SUM(N418:N428)/COUNT(N418:N428), 2)</f>
        <v>8.75</v>
      </c>
      <c r="O417" s="17"/>
      <c r="R417"/>
      <c r="S417"/>
      <c r="T417"/>
      <c r="U417"/>
      <c r="V417"/>
      <c r="W417"/>
      <c r="X417"/>
      <c r="Y417"/>
      <c r="Z417"/>
      <c r="AA417"/>
      <c r="AB417"/>
      <c r="AC417"/>
      <c r="AD417"/>
      <c r="AE417"/>
      <c r="AF417"/>
      <c r="AG417"/>
      <c r="AH417"/>
      <c r="AI417"/>
    </row>
    <row r="418" spans="1:35" ht="16" customHeight="1" x14ac:dyDescent="0.2">
      <c r="A418" s="4" t="s">
        <v>2670</v>
      </c>
      <c r="B418" s="153">
        <v>7</v>
      </c>
      <c r="C418" s="2"/>
      <c r="D418" s="4" t="s">
        <v>2708</v>
      </c>
      <c r="E418" s="151">
        <v>7.5</v>
      </c>
      <c r="F418" s="2"/>
      <c r="G418" s="4" t="s">
        <v>2726</v>
      </c>
      <c r="H418" s="151">
        <v>10</v>
      </c>
      <c r="I418" s="2"/>
      <c r="J418" s="4" t="s">
        <v>2687</v>
      </c>
      <c r="K418" s="151">
        <v>8.5</v>
      </c>
      <c r="L418" s="2"/>
      <c r="M418" s="11" t="s">
        <v>2729</v>
      </c>
      <c r="N418" s="150">
        <v>9.5</v>
      </c>
      <c r="O418" s="17"/>
      <c r="R418"/>
      <c r="S418"/>
      <c r="T418"/>
      <c r="U418"/>
      <c r="V418"/>
      <c r="W418"/>
      <c r="X418"/>
      <c r="Y418"/>
      <c r="Z418"/>
      <c r="AA418"/>
      <c r="AB418"/>
      <c r="AC418"/>
      <c r="AD418"/>
      <c r="AE418"/>
      <c r="AF418"/>
      <c r="AG418"/>
      <c r="AH418"/>
      <c r="AI418"/>
    </row>
    <row r="419" spans="1:35" ht="16" customHeight="1" thickBot="1" x14ac:dyDescent="0.25">
      <c r="A419" s="4" t="s">
        <v>2671</v>
      </c>
      <c r="B419" s="153">
        <v>8.5</v>
      </c>
      <c r="C419" s="2"/>
      <c r="D419" s="4" t="s">
        <v>2709</v>
      </c>
      <c r="E419" s="151">
        <v>8.5</v>
      </c>
      <c r="F419" s="2"/>
      <c r="G419" s="7" t="s">
        <v>2727</v>
      </c>
      <c r="H419" s="152">
        <v>8.5</v>
      </c>
      <c r="I419" s="2"/>
      <c r="J419" s="7" t="s">
        <v>2688</v>
      </c>
      <c r="K419" s="152">
        <v>8</v>
      </c>
      <c r="L419" s="2"/>
      <c r="M419" s="4" t="s">
        <v>2730</v>
      </c>
      <c r="N419" s="151">
        <v>8</v>
      </c>
      <c r="O419" s="17"/>
      <c r="R419"/>
      <c r="S419"/>
      <c r="T419"/>
      <c r="U419"/>
      <c r="V419"/>
      <c r="W419"/>
      <c r="X419"/>
      <c r="Y419"/>
      <c r="Z419"/>
      <c r="AA419"/>
      <c r="AB419"/>
      <c r="AC419"/>
      <c r="AD419"/>
      <c r="AE419"/>
      <c r="AF419"/>
      <c r="AG419"/>
      <c r="AH419"/>
      <c r="AI419"/>
    </row>
    <row r="420" spans="1:35" ht="16" customHeight="1" thickBot="1" x14ac:dyDescent="0.25">
      <c r="A420" s="4" t="s">
        <v>2672</v>
      </c>
      <c r="B420" s="153">
        <v>10</v>
      </c>
      <c r="C420" s="2"/>
      <c r="D420" s="4" t="s">
        <v>2710</v>
      </c>
      <c r="E420" s="151">
        <v>8</v>
      </c>
      <c r="F420" s="2"/>
      <c r="G420" s="2"/>
      <c r="H420" s="2"/>
      <c r="I420" s="2"/>
      <c r="J420" s="2"/>
      <c r="K420" s="2"/>
      <c r="L420" s="2"/>
      <c r="M420" s="4" t="s">
        <v>2731</v>
      </c>
      <c r="N420" s="151"/>
      <c r="O420" s="17"/>
      <c r="R420"/>
      <c r="S420"/>
      <c r="T420"/>
      <c r="U420"/>
      <c r="V420"/>
      <c r="W420"/>
      <c r="X420"/>
      <c r="Y420"/>
      <c r="Z420"/>
      <c r="AA420"/>
      <c r="AB420"/>
      <c r="AC420"/>
      <c r="AD420"/>
      <c r="AE420"/>
      <c r="AF420"/>
      <c r="AG420"/>
      <c r="AH420"/>
      <c r="AI420"/>
    </row>
    <row r="421" spans="1:35" ht="16" customHeight="1" thickBot="1" x14ac:dyDescent="0.25">
      <c r="A421" s="4" t="s">
        <v>2673</v>
      </c>
      <c r="B421" s="153">
        <v>8</v>
      </c>
      <c r="C421" s="2"/>
      <c r="D421" s="4" t="s">
        <v>2711</v>
      </c>
      <c r="E421" s="151">
        <v>8</v>
      </c>
      <c r="F421" s="2"/>
      <c r="G421" s="354" t="s">
        <v>2751</v>
      </c>
      <c r="H421" s="12">
        <f>ROUND(SUM(H422:H432)/COUNT(H422:H432), 2)</f>
        <v>8.5500000000000007</v>
      </c>
      <c r="I421" s="2"/>
      <c r="J421" s="355" t="s">
        <v>2767</v>
      </c>
      <c r="K421" s="12">
        <f>ROUND(SUM(K422:K429)/COUNT(K422:K429), 2)</f>
        <v>8.31</v>
      </c>
      <c r="L421" s="2"/>
      <c r="M421" s="4" t="s">
        <v>2732</v>
      </c>
      <c r="N421" s="151">
        <v>7.5</v>
      </c>
      <c r="O421" s="17"/>
      <c r="R421"/>
      <c r="S421"/>
      <c r="T421"/>
      <c r="U421"/>
      <c r="V421"/>
      <c r="W421"/>
      <c r="X421"/>
      <c r="Y421"/>
      <c r="Z421"/>
      <c r="AA421"/>
      <c r="AB421"/>
      <c r="AC421"/>
      <c r="AD421"/>
      <c r="AE421"/>
      <c r="AF421"/>
      <c r="AG421"/>
      <c r="AH421"/>
      <c r="AI421"/>
    </row>
    <row r="422" spans="1:35" ht="16" customHeight="1" x14ac:dyDescent="0.2">
      <c r="A422" s="4" t="s">
        <v>2674</v>
      </c>
      <c r="B422" s="153">
        <v>8</v>
      </c>
      <c r="C422" s="2"/>
      <c r="D422" s="4" t="s">
        <v>2712</v>
      </c>
      <c r="E422" s="151">
        <v>7.5</v>
      </c>
      <c r="F422" s="2"/>
      <c r="G422" s="11" t="s">
        <v>2740</v>
      </c>
      <c r="H422" s="150">
        <v>9</v>
      </c>
      <c r="I422" s="2"/>
      <c r="J422" s="11" t="s">
        <v>2768</v>
      </c>
      <c r="K422" s="150">
        <v>9.5</v>
      </c>
      <c r="L422" s="2"/>
      <c r="M422" s="4" t="s">
        <v>2733</v>
      </c>
      <c r="N422" s="151">
        <v>10</v>
      </c>
      <c r="O422" s="17"/>
      <c r="R422"/>
      <c r="S422"/>
      <c r="T422"/>
      <c r="U422"/>
      <c r="V422"/>
      <c r="W422"/>
      <c r="X422"/>
      <c r="Y422"/>
      <c r="Z422"/>
      <c r="AA422"/>
      <c r="AB422"/>
      <c r="AC422"/>
      <c r="AD422"/>
      <c r="AE422"/>
      <c r="AF422"/>
      <c r="AG422"/>
      <c r="AH422"/>
      <c r="AI422"/>
    </row>
    <row r="423" spans="1:35" ht="16" customHeight="1" thickBot="1" x14ac:dyDescent="0.25">
      <c r="A423" s="4" t="s">
        <v>2675</v>
      </c>
      <c r="B423" s="153">
        <v>8</v>
      </c>
      <c r="C423" s="2"/>
      <c r="D423" s="7" t="s">
        <v>2713</v>
      </c>
      <c r="E423" s="152">
        <v>10</v>
      </c>
      <c r="F423" s="2"/>
      <c r="G423" s="4" t="s">
        <v>2741</v>
      </c>
      <c r="H423" s="151">
        <v>8.5</v>
      </c>
      <c r="I423" s="2"/>
      <c r="J423" s="4" t="s">
        <v>2769</v>
      </c>
      <c r="K423" s="151">
        <v>8.5</v>
      </c>
      <c r="L423" s="2"/>
      <c r="M423" s="4" t="s">
        <v>2734</v>
      </c>
      <c r="N423" s="151">
        <v>9</v>
      </c>
      <c r="O423" s="17"/>
      <c r="R423"/>
      <c r="S423"/>
      <c r="T423"/>
      <c r="U423"/>
      <c r="V423"/>
      <c r="W423"/>
      <c r="X423"/>
      <c r="Y423"/>
      <c r="Z423"/>
      <c r="AA423"/>
      <c r="AB423"/>
      <c r="AC423"/>
      <c r="AD423"/>
      <c r="AE423"/>
      <c r="AF423"/>
      <c r="AG423"/>
      <c r="AH423"/>
      <c r="AI423"/>
    </row>
    <row r="424" spans="1:35" ht="16" customHeight="1" thickBot="1" x14ac:dyDescent="0.25">
      <c r="A424" s="4" t="s">
        <v>2676</v>
      </c>
      <c r="B424" s="153">
        <v>8</v>
      </c>
      <c r="C424" s="2"/>
      <c r="D424" s="2"/>
      <c r="E424" s="2"/>
      <c r="F424" s="2"/>
      <c r="G424" s="4" t="s">
        <v>2742</v>
      </c>
      <c r="H424" s="151">
        <v>10</v>
      </c>
      <c r="I424" s="2"/>
      <c r="J424" s="4" t="s">
        <v>2770</v>
      </c>
      <c r="K424" s="151">
        <v>8</v>
      </c>
      <c r="L424" s="2"/>
      <c r="M424" s="4" t="s">
        <v>2735</v>
      </c>
      <c r="N424" s="151">
        <v>8.5</v>
      </c>
      <c r="O424" s="17"/>
      <c r="R424"/>
      <c r="S424"/>
      <c r="T424"/>
      <c r="U424"/>
      <c r="V424"/>
      <c r="W424"/>
      <c r="X424"/>
      <c r="Y424"/>
      <c r="Z424"/>
      <c r="AA424"/>
      <c r="AB424"/>
      <c r="AC424"/>
      <c r="AD424"/>
      <c r="AE424"/>
      <c r="AF424"/>
      <c r="AG424"/>
      <c r="AH424"/>
      <c r="AI424"/>
    </row>
    <row r="425" spans="1:35" ht="16" customHeight="1" thickBot="1" x14ac:dyDescent="0.25">
      <c r="A425" s="4" t="s">
        <v>2677</v>
      </c>
      <c r="B425" s="153">
        <v>7.5</v>
      </c>
      <c r="C425" s="2"/>
      <c r="D425" s="356" t="s">
        <v>2788</v>
      </c>
      <c r="E425" s="12">
        <f>ROUND(SUM(E426:E434)/COUNT(E426:E434), 2)</f>
        <v>9.06</v>
      </c>
      <c r="F425" s="2"/>
      <c r="G425" s="4" t="s">
        <v>2743</v>
      </c>
      <c r="H425" s="151">
        <v>8.5</v>
      </c>
      <c r="I425" s="2"/>
      <c r="J425" s="4" t="s">
        <v>2771</v>
      </c>
      <c r="K425" s="151">
        <v>7.5</v>
      </c>
      <c r="L425" s="2"/>
      <c r="M425" s="4" t="s">
        <v>2736</v>
      </c>
      <c r="N425" s="151">
        <v>9.5</v>
      </c>
      <c r="O425" s="17"/>
      <c r="R425"/>
      <c r="S425"/>
      <c r="T425"/>
      <c r="U425"/>
      <c r="V425"/>
      <c r="W425"/>
      <c r="X425"/>
      <c r="Y425"/>
      <c r="Z425"/>
      <c r="AA425"/>
      <c r="AB425"/>
      <c r="AC425"/>
      <c r="AD425"/>
      <c r="AE425"/>
      <c r="AF425"/>
      <c r="AG425"/>
      <c r="AH425"/>
      <c r="AI425"/>
    </row>
    <row r="426" spans="1:35" ht="16" customHeight="1" thickBot="1" x14ac:dyDescent="0.25">
      <c r="A426" s="7" t="s">
        <v>2678</v>
      </c>
      <c r="B426" s="208">
        <v>9</v>
      </c>
      <c r="C426" s="2"/>
      <c r="D426" s="11" t="s">
        <v>2779</v>
      </c>
      <c r="E426" s="207">
        <v>8.5</v>
      </c>
      <c r="F426" s="2"/>
      <c r="G426" s="4" t="s">
        <v>2744</v>
      </c>
      <c r="H426" s="151">
        <v>8</v>
      </c>
      <c r="I426" s="2"/>
      <c r="J426" s="4" t="s">
        <v>2772</v>
      </c>
      <c r="K426" s="151">
        <v>8</v>
      </c>
      <c r="L426" s="2"/>
      <c r="M426" s="4" t="s">
        <v>2737</v>
      </c>
      <c r="N426" s="151">
        <v>8</v>
      </c>
      <c r="O426" s="17"/>
      <c r="R426"/>
      <c r="S426"/>
      <c r="T426"/>
      <c r="U426"/>
      <c r="V426"/>
      <c r="W426"/>
      <c r="X426"/>
      <c r="Y426"/>
      <c r="Z426"/>
      <c r="AA426"/>
      <c r="AB426"/>
      <c r="AC426"/>
      <c r="AD426"/>
      <c r="AE426"/>
      <c r="AF426"/>
      <c r="AG426"/>
      <c r="AH426"/>
      <c r="AI426"/>
    </row>
    <row r="427" spans="1:35" ht="16" customHeight="1" thickBot="1" x14ac:dyDescent="0.25">
      <c r="A427" s="2"/>
      <c r="B427" s="2"/>
      <c r="C427" s="2"/>
      <c r="D427" s="4" t="s">
        <v>2780</v>
      </c>
      <c r="E427" s="153">
        <v>8</v>
      </c>
      <c r="F427" s="2"/>
      <c r="G427" s="4" t="s">
        <v>2745</v>
      </c>
      <c r="H427" s="151">
        <v>7.5</v>
      </c>
      <c r="I427" s="2"/>
      <c r="J427" s="4" t="s">
        <v>2773</v>
      </c>
      <c r="K427" s="151">
        <v>7</v>
      </c>
      <c r="L427" s="2"/>
      <c r="M427" s="4" t="s">
        <v>2738</v>
      </c>
      <c r="N427" s="151">
        <v>8.5</v>
      </c>
      <c r="O427" s="17"/>
      <c r="R427"/>
      <c r="S427"/>
      <c r="T427"/>
      <c r="U427"/>
      <c r="V427"/>
      <c r="W427"/>
      <c r="X427"/>
      <c r="Y427"/>
      <c r="Z427"/>
      <c r="AA427"/>
      <c r="AB427"/>
      <c r="AC427"/>
      <c r="AD427"/>
      <c r="AE427"/>
      <c r="AF427"/>
      <c r="AG427"/>
      <c r="AH427"/>
      <c r="AI427"/>
    </row>
    <row r="428" spans="1:35" ht="16" customHeight="1" thickBot="1" x14ac:dyDescent="0.25">
      <c r="A428" s="357" t="s">
        <v>2796</v>
      </c>
      <c r="B428" s="12">
        <f>ROUND(SUM(B429:B439)/COUNT(B429:B439), 2)</f>
        <v>8.91</v>
      </c>
      <c r="C428" s="2"/>
      <c r="D428" s="4" t="s">
        <v>2781</v>
      </c>
      <c r="E428" s="153">
        <v>8.5</v>
      </c>
      <c r="F428" s="2"/>
      <c r="G428" s="4" t="s">
        <v>2746</v>
      </c>
      <c r="H428" s="151">
        <v>8</v>
      </c>
      <c r="I428" s="2"/>
      <c r="J428" s="4" t="s">
        <v>2774</v>
      </c>
      <c r="K428" s="151">
        <v>10</v>
      </c>
      <c r="L428" s="2"/>
      <c r="M428" s="7" t="s">
        <v>2739</v>
      </c>
      <c r="N428" s="152">
        <v>9</v>
      </c>
      <c r="O428" s="17"/>
      <c r="R428"/>
      <c r="S428"/>
      <c r="T428"/>
      <c r="U428"/>
      <c r="V428"/>
      <c r="W428"/>
      <c r="X428"/>
      <c r="Y428"/>
      <c r="Z428"/>
      <c r="AA428"/>
      <c r="AB428"/>
      <c r="AC428"/>
      <c r="AD428"/>
      <c r="AE428"/>
      <c r="AF428"/>
      <c r="AG428"/>
      <c r="AH428"/>
      <c r="AI428"/>
    </row>
    <row r="429" spans="1:35" ht="16" customHeight="1" thickBot="1" x14ac:dyDescent="0.25">
      <c r="A429" s="11" t="s">
        <v>2797</v>
      </c>
      <c r="B429" s="207">
        <v>9.5</v>
      </c>
      <c r="C429" s="2"/>
      <c r="D429" s="4" t="s">
        <v>2782</v>
      </c>
      <c r="E429" s="153">
        <v>10</v>
      </c>
      <c r="F429" s="2"/>
      <c r="G429" s="4" t="s">
        <v>2747</v>
      </c>
      <c r="H429" s="151">
        <v>8</v>
      </c>
      <c r="I429" s="2"/>
      <c r="J429" s="7" t="s">
        <v>2775</v>
      </c>
      <c r="K429" s="152">
        <v>8</v>
      </c>
      <c r="L429" s="2"/>
      <c r="M429" s="2"/>
      <c r="N429" s="2"/>
      <c r="O429" s="17"/>
      <c r="R429"/>
      <c r="S429"/>
      <c r="T429"/>
      <c r="U429"/>
      <c r="V429"/>
      <c r="W429"/>
      <c r="X429"/>
      <c r="Y429"/>
      <c r="Z429"/>
      <c r="AA429"/>
      <c r="AB429"/>
      <c r="AC429"/>
      <c r="AD429"/>
      <c r="AE429"/>
      <c r="AF429"/>
      <c r="AG429"/>
      <c r="AH429"/>
      <c r="AI429"/>
    </row>
    <row r="430" spans="1:35" ht="16" customHeight="1" thickBot="1" x14ac:dyDescent="0.25">
      <c r="A430" s="4" t="s">
        <v>2798</v>
      </c>
      <c r="B430" s="153">
        <v>8</v>
      </c>
      <c r="C430" s="2"/>
      <c r="D430" s="4" t="s">
        <v>2783</v>
      </c>
      <c r="E430" s="153">
        <v>10</v>
      </c>
      <c r="F430" s="2"/>
      <c r="G430" s="4" t="s">
        <v>2748</v>
      </c>
      <c r="H430" s="151">
        <v>8</v>
      </c>
      <c r="I430" s="2"/>
      <c r="J430" s="2"/>
      <c r="K430" s="2"/>
      <c r="L430" s="2"/>
      <c r="M430" s="368" t="s">
        <v>2864</v>
      </c>
      <c r="N430" s="12">
        <f>ROUND(SUM(N431:N441)/COUNT(N431:N441), 2)</f>
        <v>8.5</v>
      </c>
      <c r="O430" s="17"/>
      <c r="R430"/>
      <c r="S430"/>
      <c r="T430"/>
      <c r="U430"/>
      <c r="V430"/>
      <c r="W430"/>
      <c r="X430"/>
      <c r="Y430"/>
      <c r="Z430"/>
      <c r="AA430"/>
      <c r="AB430"/>
      <c r="AC430"/>
      <c r="AD430"/>
      <c r="AE430"/>
      <c r="AF430"/>
      <c r="AG430"/>
      <c r="AH430"/>
      <c r="AI430"/>
    </row>
    <row r="431" spans="1:35" ht="16" customHeight="1" x14ac:dyDescent="0.2">
      <c r="A431" s="4" t="s">
        <v>2799</v>
      </c>
      <c r="B431" s="153">
        <v>8</v>
      </c>
      <c r="C431" s="2"/>
      <c r="D431" s="4" t="s">
        <v>2784</v>
      </c>
      <c r="E431" s="153">
        <v>10</v>
      </c>
      <c r="F431" s="2"/>
      <c r="G431" s="4" t="s">
        <v>2749</v>
      </c>
      <c r="H431" s="151">
        <v>10</v>
      </c>
      <c r="I431" s="2"/>
      <c r="L431" s="2"/>
      <c r="M431" s="11" t="s">
        <v>2865</v>
      </c>
      <c r="N431" s="150">
        <v>8.5</v>
      </c>
      <c r="O431" s="17"/>
      <c r="R431"/>
      <c r="S431"/>
      <c r="T431"/>
      <c r="U431"/>
      <c r="V431"/>
      <c r="W431"/>
      <c r="X431"/>
      <c r="Y431"/>
      <c r="Z431"/>
      <c r="AA431"/>
      <c r="AB431"/>
      <c r="AC431"/>
      <c r="AD431"/>
      <c r="AE431"/>
      <c r="AF431"/>
      <c r="AG431"/>
      <c r="AH431"/>
      <c r="AI431"/>
    </row>
    <row r="432" spans="1:35" ht="16" customHeight="1" thickBot="1" x14ac:dyDescent="0.25">
      <c r="A432" s="4" t="s">
        <v>2800</v>
      </c>
      <c r="B432" s="153">
        <v>10</v>
      </c>
      <c r="C432" s="2"/>
      <c r="D432" s="4" t="s">
        <v>2785</v>
      </c>
      <c r="E432" s="153">
        <v>9</v>
      </c>
      <c r="F432" s="2"/>
      <c r="G432" s="7" t="s">
        <v>2750</v>
      </c>
      <c r="H432" s="152">
        <v>8.5</v>
      </c>
      <c r="I432" s="2"/>
      <c r="L432" s="2"/>
      <c r="M432" s="4" t="s">
        <v>178</v>
      </c>
      <c r="N432" s="151">
        <v>8</v>
      </c>
      <c r="O432" s="17"/>
      <c r="R432"/>
      <c r="S432"/>
      <c r="T432"/>
      <c r="U432"/>
      <c r="V432"/>
      <c r="W432"/>
      <c r="X432"/>
      <c r="Y432"/>
      <c r="Z432"/>
      <c r="AA432"/>
      <c r="AB432"/>
      <c r="AC432"/>
      <c r="AD432"/>
      <c r="AE432"/>
      <c r="AF432"/>
      <c r="AG432"/>
      <c r="AH432"/>
      <c r="AI432"/>
    </row>
    <row r="433" spans="1:35" ht="16" customHeight="1" x14ac:dyDescent="0.2">
      <c r="A433" s="4" t="s">
        <v>2801</v>
      </c>
      <c r="B433" s="153">
        <v>8.5</v>
      </c>
      <c r="C433" s="2"/>
      <c r="D433" s="4" t="s">
        <v>2786</v>
      </c>
      <c r="E433" s="153">
        <v>9</v>
      </c>
      <c r="F433" s="2"/>
      <c r="G433" s="2"/>
      <c r="H433" s="2"/>
      <c r="I433" s="2"/>
      <c r="L433" s="2"/>
      <c r="M433" s="4" t="s">
        <v>2866</v>
      </c>
      <c r="N433" s="151">
        <v>8</v>
      </c>
      <c r="O433" s="17"/>
      <c r="R433"/>
      <c r="S433"/>
      <c r="T433"/>
      <c r="U433"/>
      <c r="V433"/>
      <c r="W433"/>
      <c r="X433"/>
      <c r="Y433"/>
      <c r="Z433"/>
      <c r="AA433"/>
      <c r="AB433"/>
      <c r="AC433"/>
      <c r="AD433"/>
      <c r="AE433"/>
      <c r="AF433"/>
      <c r="AG433"/>
      <c r="AH433"/>
      <c r="AI433"/>
    </row>
    <row r="434" spans="1:35" ht="16" customHeight="1" thickBot="1" x14ac:dyDescent="0.25">
      <c r="A434" s="4" t="s">
        <v>2802</v>
      </c>
      <c r="B434" s="153">
        <v>9.5</v>
      </c>
      <c r="C434" s="2"/>
      <c r="D434" s="7" t="s">
        <v>2787</v>
      </c>
      <c r="E434" s="208">
        <v>8.5</v>
      </c>
      <c r="F434" s="2"/>
      <c r="L434" s="2"/>
      <c r="M434" s="4" t="s">
        <v>2867</v>
      </c>
      <c r="N434" s="151">
        <v>10.5</v>
      </c>
      <c r="O434" s="17"/>
      <c r="R434"/>
      <c r="S434"/>
      <c r="T434"/>
      <c r="U434"/>
      <c r="V434"/>
      <c r="W434"/>
      <c r="X434"/>
      <c r="Y434"/>
      <c r="Z434"/>
      <c r="AA434"/>
      <c r="AB434"/>
      <c r="AC434"/>
      <c r="AD434"/>
      <c r="AE434"/>
      <c r="AF434"/>
      <c r="AG434"/>
      <c r="AH434"/>
      <c r="AI434"/>
    </row>
    <row r="435" spans="1:35" ht="16" customHeight="1" x14ac:dyDescent="0.2">
      <c r="A435" s="4" t="s">
        <v>2803</v>
      </c>
      <c r="B435" s="153">
        <v>9</v>
      </c>
      <c r="C435" s="2"/>
      <c r="D435" s="2"/>
      <c r="E435" s="2"/>
      <c r="F435" s="2"/>
      <c r="L435" s="2"/>
      <c r="M435" s="4" t="s">
        <v>2868</v>
      </c>
      <c r="N435" s="151">
        <v>7.5</v>
      </c>
      <c r="O435" s="17"/>
      <c r="R435"/>
      <c r="S435"/>
      <c r="T435"/>
      <c r="U435"/>
      <c r="V435"/>
      <c r="W435"/>
      <c r="X435"/>
      <c r="Y435"/>
      <c r="Z435"/>
      <c r="AA435"/>
      <c r="AB435"/>
      <c r="AC435"/>
      <c r="AD435"/>
      <c r="AE435"/>
      <c r="AF435"/>
      <c r="AG435"/>
      <c r="AH435"/>
      <c r="AI435"/>
    </row>
    <row r="436" spans="1:35" ht="16" customHeight="1" x14ac:dyDescent="0.2">
      <c r="A436" s="4" t="s">
        <v>2804</v>
      </c>
      <c r="B436" s="153">
        <v>9</v>
      </c>
      <c r="C436" s="2"/>
      <c r="L436" s="2"/>
      <c r="M436" s="4" t="s">
        <v>2869</v>
      </c>
      <c r="N436" s="151">
        <v>9</v>
      </c>
      <c r="O436" s="17"/>
      <c r="R436"/>
      <c r="S436"/>
      <c r="T436"/>
      <c r="U436"/>
      <c r="V436"/>
      <c r="W436"/>
      <c r="X436"/>
      <c r="Y436"/>
      <c r="Z436"/>
      <c r="AA436"/>
      <c r="AB436"/>
      <c r="AC436"/>
      <c r="AD436"/>
      <c r="AE436"/>
      <c r="AF436"/>
      <c r="AG436"/>
      <c r="AH436"/>
      <c r="AI436"/>
    </row>
    <row r="437" spans="1:35" ht="16" customHeight="1" x14ac:dyDescent="0.2">
      <c r="A437" s="4" t="s">
        <v>2805</v>
      </c>
      <c r="B437" s="153">
        <v>8.5</v>
      </c>
      <c r="C437" s="2"/>
      <c r="L437" s="2"/>
      <c r="M437" s="4" t="s">
        <v>2870</v>
      </c>
      <c r="N437" s="151">
        <v>9</v>
      </c>
      <c r="O437" s="17"/>
      <c r="R437"/>
      <c r="S437"/>
      <c r="T437"/>
      <c r="U437"/>
      <c r="V437"/>
      <c r="W437"/>
      <c r="X437"/>
      <c r="Y437"/>
      <c r="Z437"/>
      <c r="AA437"/>
      <c r="AB437"/>
      <c r="AC437"/>
      <c r="AD437"/>
      <c r="AE437"/>
      <c r="AF437"/>
      <c r="AG437"/>
      <c r="AH437"/>
      <c r="AI437"/>
    </row>
    <row r="438" spans="1:35" ht="16" customHeight="1" x14ac:dyDescent="0.2">
      <c r="A438" s="4" t="s">
        <v>2806</v>
      </c>
      <c r="B438" s="153">
        <v>8.5</v>
      </c>
      <c r="C438" s="2"/>
      <c r="L438" s="2"/>
      <c r="M438" s="4" t="s">
        <v>1623</v>
      </c>
      <c r="N438" s="151">
        <v>9</v>
      </c>
      <c r="O438" s="17"/>
      <c r="R438"/>
      <c r="S438"/>
      <c r="T438"/>
      <c r="U438"/>
      <c r="V438"/>
      <c r="W438"/>
      <c r="X438"/>
      <c r="Y438"/>
      <c r="Z438"/>
      <c r="AA438"/>
      <c r="AB438"/>
      <c r="AC438"/>
      <c r="AD438"/>
      <c r="AE438"/>
      <c r="AF438"/>
      <c r="AG438"/>
      <c r="AH438"/>
      <c r="AI438"/>
    </row>
    <row r="439" spans="1:35" ht="16" customHeight="1" thickBot="1" x14ac:dyDescent="0.25">
      <c r="A439" s="7" t="s">
        <v>2807</v>
      </c>
      <c r="B439" s="208">
        <v>9.5</v>
      </c>
      <c r="C439" s="2"/>
      <c r="L439" s="2"/>
      <c r="M439" s="4" t="s">
        <v>2871</v>
      </c>
      <c r="N439" s="151">
        <v>8</v>
      </c>
      <c r="O439" s="17"/>
      <c r="R439"/>
      <c r="S439"/>
      <c r="T439"/>
      <c r="U439"/>
      <c r="V439"/>
      <c r="W439"/>
      <c r="X439"/>
      <c r="Y439"/>
      <c r="Z439"/>
      <c r="AA439"/>
      <c r="AB439"/>
      <c r="AC439"/>
      <c r="AD439"/>
      <c r="AE439"/>
      <c r="AF439"/>
      <c r="AG439"/>
      <c r="AH439"/>
      <c r="AI439"/>
    </row>
    <row r="440" spans="1:35" ht="16" customHeight="1" x14ac:dyDescent="0.2">
      <c r="A440" s="2"/>
      <c r="B440" s="2"/>
      <c r="C440" s="2"/>
      <c r="L440" s="2"/>
      <c r="M440" s="4" t="s">
        <v>2872</v>
      </c>
      <c r="N440" s="151">
        <v>8</v>
      </c>
      <c r="O440" s="17"/>
      <c r="R440"/>
      <c r="S440"/>
      <c r="T440"/>
      <c r="U440"/>
      <c r="V440"/>
      <c r="W440"/>
      <c r="X440"/>
      <c r="Y440"/>
      <c r="Z440"/>
      <c r="AA440"/>
      <c r="AB440"/>
      <c r="AC440"/>
      <c r="AD440"/>
      <c r="AE440"/>
      <c r="AF440"/>
      <c r="AG440"/>
      <c r="AH440"/>
      <c r="AI440"/>
    </row>
    <row r="441" spans="1:35" ht="16" customHeight="1" thickBot="1" x14ac:dyDescent="0.25">
      <c r="L441" s="2"/>
      <c r="M441" s="7" t="s">
        <v>2873</v>
      </c>
      <c r="N441" s="152">
        <v>8</v>
      </c>
      <c r="O441" s="17"/>
      <c r="R441"/>
      <c r="S441"/>
      <c r="T441"/>
      <c r="U441"/>
      <c r="V441"/>
      <c r="W441"/>
      <c r="X441"/>
      <c r="Y441"/>
      <c r="Z441"/>
      <c r="AA441"/>
      <c r="AB441"/>
      <c r="AC441"/>
      <c r="AD441"/>
      <c r="AE441"/>
      <c r="AF441"/>
      <c r="AG441"/>
      <c r="AH441"/>
      <c r="AI441"/>
    </row>
    <row r="442" spans="1:35" ht="16" customHeight="1" x14ac:dyDescent="0.2">
      <c r="L442" s="2"/>
      <c r="M442" s="2"/>
      <c r="N442" s="2"/>
      <c r="O442" s="17"/>
      <c r="R442"/>
      <c r="S442"/>
      <c r="T442"/>
      <c r="U442"/>
      <c r="V442"/>
      <c r="W442"/>
      <c r="X442"/>
      <c r="Y442"/>
      <c r="Z442"/>
      <c r="AA442"/>
      <c r="AB442"/>
      <c r="AC442"/>
      <c r="AD442"/>
      <c r="AE442"/>
      <c r="AF442"/>
      <c r="AG442"/>
      <c r="AH442"/>
      <c r="AI442"/>
    </row>
    <row r="443" spans="1:35" ht="16" customHeight="1" x14ac:dyDescent="0.2">
      <c r="R443"/>
      <c r="S443"/>
      <c r="T443"/>
      <c r="U443"/>
      <c r="V443"/>
      <c r="W443"/>
      <c r="X443"/>
      <c r="Y443"/>
      <c r="Z443"/>
      <c r="AA443"/>
      <c r="AB443"/>
      <c r="AC443"/>
      <c r="AD443"/>
      <c r="AE443"/>
      <c r="AF443"/>
      <c r="AG443"/>
      <c r="AH443"/>
      <c r="AI443"/>
    </row>
    <row r="444" spans="1:35" ht="16" customHeight="1" x14ac:dyDescent="0.2">
      <c r="R444"/>
      <c r="S444"/>
      <c r="T444"/>
      <c r="U444"/>
      <c r="V444"/>
      <c r="W444"/>
      <c r="X444"/>
      <c r="Y444"/>
      <c r="Z444"/>
      <c r="AA444"/>
      <c r="AB444"/>
      <c r="AC444"/>
      <c r="AD444"/>
      <c r="AE444"/>
      <c r="AF444"/>
      <c r="AG444"/>
      <c r="AH444"/>
      <c r="AI444"/>
    </row>
    <row r="445" spans="1:35" ht="16" customHeight="1" x14ac:dyDescent="0.2">
      <c r="V445" s="3"/>
      <c r="W445" s="3"/>
      <c r="X445" s="3"/>
      <c r="Y445" s="3"/>
      <c r="Z445" s="3"/>
    </row>
    <row r="446" spans="1:35" ht="16" customHeight="1" x14ac:dyDescent="0.2">
      <c r="V446" s="3"/>
      <c r="W446" s="3"/>
      <c r="X446" s="3"/>
      <c r="Y446" s="3"/>
      <c r="Z446" s="3"/>
    </row>
    <row r="447" spans="1:35" ht="16" customHeight="1" x14ac:dyDescent="0.2">
      <c r="V447" s="3"/>
      <c r="W447" s="3"/>
      <c r="X447" s="3"/>
      <c r="Y447" s="3"/>
      <c r="Z447" s="3"/>
    </row>
    <row r="448" spans="1:35" ht="16" customHeight="1" x14ac:dyDescent="0.2">
      <c r="V448" s="3"/>
      <c r="W448" s="3"/>
      <c r="X448" s="3"/>
      <c r="Y448" s="3"/>
      <c r="Z448" s="3"/>
    </row>
    <row r="449" s="3" customFormat="1" ht="16" customHeight="1" x14ac:dyDescent="0.2"/>
    <row r="450" s="3" customFormat="1" ht="16" customHeight="1" x14ac:dyDescent="0.2"/>
    <row r="451" s="3" customFormat="1" ht="16" customHeight="1" x14ac:dyDescent="0.2"/>
    <row r="452" s="3" customFormat="1" ht="16" customHeight="1" x14ac:dyDescent="0.2"/>
    <row r="453" s="3" customFormat="1" ht="16" customHeight="1" x14ac:dyDescent="0.2"/>
    <row r="454" s="3" customFormat="1" ht="16" customHeight="1" x14ac:dyDescent="0.2"/>
    <row r="455" s="3" customFormat="1" ht="16" customHeight="1" x14ac:dyDescent="0.2"/>
    <row r="456" s="3" customFormat="1" ht="16" customHeight="1" x14ac:dyDescent="0.2"/>
    <row r="457" s="3" customFormat="1" ht="16" customHeight="1" x14ac:dyDescent="0.2"/>
    <row r="458" s="3" customFormat="1" ht="16" customHeight="1" x14ac:dyDescent="0.2"/>
    <row r="459" s="3" customFormat="1" ht="16" customHeight="1" x14ac:dyDescent="0.2"/>
    <row r="460" s="3" customFormat="1" ht="16" customHeight="1" x14ac:dyDescent="0.2"/>
    <row r="461" s="3" customFormat="1" ht="16" customHeight="1" x14ac:dyDescent="0.2"/>
    <row r="462" s="3" customFormat="1" ht="16" customHeight="1" x14ac:dyDescent="0.2"/>
    <row r="463" s="3" customFormat="1" ht="16" customHeight="1" x14ac:dyDescent="0.2"/>
    <row r="464" s="3" customFormat="1" ht="16" customHeight="1" x14ac:dyDescent="0.2"/>
    <row r="465" s="3" customFormat="1" ht="16" customHeight="1" x14ac:dyDescent="0.2"/>
    <row r="466" s="3" customFormat="1" ht="16" customHeight="1" x14ac:dyDescent="0.2"/>
    <row r="467" s="3" customFormat="1" ht="16" customHeight="1" x14ac:dyDescent="0.2"/>
    <row r="468" s="3" customFormat="1" ht="16" customHeight="1" x14ac:dyDescent="0.2"/>
    <row r="469" s="3" customFormat="1" ht="16" customHeight="1" x14ac:dyDescent="0.2"/>
    <row r="470" s="3" customFormat="1" ht="16" customHeight="1" x14ac:dyDescent="0.2"/>
    <row r="471" s="3" customFormat="1" ht="16" customHeight="1" x14ac:dyDescent="0.2"/>
    <row r="472" s="3" customFormat="1" ht="16" customHeight="1" x14ac:dyDescent="0.2"/>
    <row r="473" s="3" customFormat="1" ht="16" customHeight="1" x14ac:dyDescent="0.2"/>
    <row r="474" s="3" customFormat="1" x14ac:dyDescent="0.2"/>
    <row r="475" s="3" customFormat="1" x14ac:dyDescent="0.2"/>
    <row r="476" s="3" customFormat="1" x14ac:dyDescent="0.2"/>
    <row r="477" s="3" customFormat="1" x14ac:dyDescent="0.2"/>
    <row r="478" s="3" customFormat="1" x14ac:dyDescent="0.2"/>
    <row r="479" s="3" customFormat="1" x14ac:dyDescent="0.2"/>
    <row r="480" s="3" customFormat="1" x14ac:dyDescent="0.2"/>
    <row r="481" s="3" customFormat="1" x14ac:dyDescent="0.2"/>
    <row r="482" s="3" customFormat="1" x14ac:dyDescent="0.2"/>
    <row r="483" s="3" customFormat="1" x14ac:dyDescent="0.2"/>
    <row r="484" s="3" customFormat="1" x14ac:dyDescent="0.2"/>
    <row r="485" s="3" customFormat="1" x14ac:dyDescent="0.2"/>
    <row r="486" s="3" customFormat="1" x14ac:dyDescent="0.2"/>
    <row r="487" s="3" customFormat="1" x14ac:dyDescent="0.2"/>
    <row r="488" s="3" customFormat="1" x14ac:dyDescent="0.2"/>
    <row r="489" s="3" customFormat="1" x14ac:dyDescent="0.2"/>
    <row r="490" s="3" customFormat="1" x14ac:dyDescent="0.2"/>
    <row r="491" s="3" customFormat="1" x14ac:dyDescent="0.2"/>
    <row r="492" s="3" customFormat="1" x14ac:dyDescent="0.2"/>
    <row r="493" s="3" customFormat="1" x14ac:dyDescent="0.2"/>
    <row r="494" s="3" customFormat="1" x14ac:dyDescent="0.2"/>
    <row r="495" s="3" customFormat="1" x14ac:dyDescent="0.2"/>
    <row r="496" s="3" customFormat="1" x14ac:dyDescent="0.2"/>
    <row r="497" s="3" customFormat="1" x14ac:dyDescent="0.2"/>
    <row r="498" s="3" customFormat="1" x14ac:dyDescent="0.2"/>
    <row r="499" s="3" customFormat="1" x14ac:dyDescent="0.2"/>
    <row r="500" s="3" customFormat="1" x14ac:dyDescent="0.2"/>
    <row r="501" s="3" customFormat="1" x14ac:dyDescent="0.2"/>
    <row r="502" s="3" customFormat="1" x14ac:dyDescent="0.2"/>
    <row r="503" s="3" customFormat="1" x14ac:dyDescent="0.2"/>
    <row r="504" s="3" customFormat="1" x14ac:dyDescent="0.2"/>
    <row r="505" s="3" customFormat="1" x14ac:dyDescent="0.2"/>
    <row r="506" s="3" customFormat="1" x14ac:dyDescent="0.2"/>
    <row r="507" s="3" customFormat="1" x14ac:dyDescent="0.2"/>
    <row r="508" s="3" customFormat="1" x14ac:dyDescent="0.2"/>
    <row r="509" s="3" customFormat="1" x14ac:dyDescent="0.2"/>
    <row r="510" s="3" customFormat="1" x14ac:dyDescent="0.2"/>
    <row r="511" s="3" customFormat="1" x14ac:dyDescent="0.2"/>
    <row r="512" s="3" customFormat="1" x14ac:dyDescent="0.2"/>
    <row r="513" s="3" customFormat="1" x14ac:dyDescent="0.2"/>
    <row r="514" s="3" customFormat="1" x14ac:dyDescent="0.2"/>
    <row r="515" s="3" customFormat="1" x14ac:dyDescent="0.2"/>
    <row r="516" s="3" customFormat="1" x14ac:dyDescent="0.2"/>
    <row r="517" s="3" customFormat="1" x14ac:dyDescent="0.2"/>
    <row r="518" s="3" customFormat="1" x14ac:dyDescent="0.2"/>
    <row r="519" s="3" customFormat="1" x14ac:dyDescent="0.2"/>
    <row r="520" s="3" customFormat="1" x14ac:dyDescent="0.2"/>
    <row r="521" s="3" customFormat="1" x14ac:dyDescent="0.2"/>
    <row r="522" s="3" customFormat="1" x14ac:dyDescent="0.2"/>
    <row r="523" s="3" customFormat="1" x14ac:dyDescent="0.2"/>
    <row r="524" s="3" customFormat="1" x14ac:dyDescent="0.2"/>
    <row r="525" s="3" customFormat="1" x14ac:dyDescent="0.2"/>
    <row r="526" s="3" customFormat="1" x14ac:dyDescent="0.2"/>
    <row r="527" s="3" customFormat="1" x14ac:dyDescent="0.2"/>
    <row r="528" s="3" customFormat="1" x14ac:dyDescent="0.2"/>
    <row r="529" s="3" customFormat="1" x14ac:dyDescent="0.2"/>
    <row r="530" s="3" customFormat="1" x14ac:dyDescent="0.2"/>
    <row r="531" s="3" customFormat="1" x14ac:dyDescent="0.2"/>
    <row r="532" s="3" customFormat="1" x14ac:dyDescent="0.2"/>
    <row r="533" s="3" customFormat="1" x14ac:dyDescent="0.2"/>
    <row r="534" s="3" customFormat="1" x14ac:dyDescent="0.2"/>
    <row r="535" s="3" customFormat="1" x14ac:dyDescent="0.2"/>
    <row r="536" s="3" customFormat="1" x14ac:dyDescent="0.2"/>
    <row r="537" s="3" customFormat="1" x14ac:dyDescent="0.2"/>
    <row r="538" s="3" customFormat="1" x14ac:dyDescent="0.2"/>
    <row r="539" s="3" customFormat="1" x14ac:dyDescent="0.2"/>
    <row r="540" s="3" customFormat="1" x14ac:dyDescent="0.2"/>
    <row r="541" s="3" customFormat="1" x14ac:dyDescent="0.2"/>
    <row r="542" s="3" customFormat="1" x14ac:dyDescent="0.2"/>
    <row r="543" s="3" customFormat="1" x14ac:dyDescent="0.2"/>
    <row r="544" s="3" customFormat="1" x14ac:dyDescent="0.2"/>
    <row r="545" s="3" customFormat="1" x14ac:dyDescent="0.2"/>
    <row r="546" s="3" customFormat="1" x14ac:dyDescent="0.2"/>
    <row r="547" s="3" customFormat="1" x14ac:dyDescent="0.2"/>
    <row r="548" s="3" customFormat="1" x14ac:dyDescent="0.2"/>
    <row r="549" s="3" customFormat="1" x14ac:dyDescent="0.2"/>
    <row r="550" s="3" customFormat="1" x14ac:dyDescent="0.2"/>
    <row r="551" s="3" customFormat="1" x14ac:dyDescent="0.2"/>
    <row r="552" s="3" customFormat="1" x14ac:dyDescent="0.2"/>
    <row r="553" s="3" customFormat="1" x14ac:dyDescent="0.2"/>
    <row r="554" s="3" customFormat="1" x14ac:dyDescent="0.2"/>
    <row r="555" s="3" customFormat="1" x14ac:dyDescent="0.2"/>
    <row r="556" s="3" customFormat="1" x14ac:dyDescent="0.2"/>
    <row r="557" s="3" customFormat="1" x14ac:dyDescent="0.2"/>
    <row r="558" s="3" customFormat="1" x14ac:dyDescent="0.2"/>
    <row r="559" s="3" customFormat="1" x14ac:dyDescent="0.2"/>
    <row r="560" s="3" customFormat="1" x14ac:dyDescent="0.2"/>
    <row r="561" s="3" customFormat="1" x14ac:dyDescent="0.2"/>
    <row r="562" s="3" customFormat="1" x14ac:dyDescent="0.2"/>
    <row r="563" s="3" customFormat="1" x14ac:dyDescent="0.2"/>
    <row r="564" s="3" customFormat="1" x14ac:dyDescent="0.2"/>
    <row r="565" s="3" customFormat="1" x14ac:dyDescent="0.2"/>
    <row r="566" s="3" customFormat="1" x14ac:dyDescent="0.2"/>
    <row r="567" s="3" customFormat="1" x14ac:dyDescent="0.2"/>
    <row r="568" s="3" customFormat="1" x14ac:dyDescent="0.2"/>
    <row r="569" s="3" customFormat="1" x14ac:dyDescent="0.2"/>
    <row r="570" s="3" customFormat="1" x14ac:dyDescent="0.2"/>
    <row r="571" s="3" customFormat="1" x14ac:dyDescent="0.2"/>
    <row r="572" s="3" customFormat="1" x14ac:dyDescent="0.2"/>
    <row r="573" s="3" customFormat="1" x14ac:dyDescent="0.2"/>
    <row r="574" s="3" customFormat="1" x14ac:dyDescent="0.2"/>
    <row r="575" s="3" customFormat="1" x14ac:dyDescent="0.2"/>
    <row r="576" s="3" customFormat="1" x14ac:dyDescent="0.2"/>
    <row r="577" s="3" customFormat="1" x14ac:dyDescent="0.2"/>
    <row r="578" s="3" customFormat="1" x14ac:dyDescent="0.2"/>
    <row r="579" s="3" customFormat="1" x14ac:dyDescent="0.2"/>
    <row r="580" s="3" customFormat="1" x14ac:dyDescent="0.2"/>
    <row r="581" s="3" customFormat="1" x14ac:dyDescent="0.2"/>
    <row r="582" s="3" customFormat="1" x14ac:dyDescent="0.2"/>
    <row r="583" s="3" customFormat="1" x14ac:dyDescent="0.2"/>
    <row r="584" s="3" customFormat="1" x14ac:dyDescent="0.2"/>
    <row r="585" s="3" customFormat="1" x14ac:dyDescent="0.2"/>
    <row r="586" s="3" customFormat="1" x14ac:dyDescent="0.2"/>
    <row r="587" s="3" customFormat="1" x14ac:dyDescent="0.2"/>
    <row r="588" s="3" customFormat="1" x14ac:dyDescent="0.2"/>
    <row r="589" s="3" customFormat="1" x14ac:dyDescent="0.2"/>
    <row r="590" s="3" customFormat="1" x14ac:dyDescent="0.2"/>
    <row r="591" s="3" customFormat="1" x14ac:dyDescent="0.2"/>
    <row r="592" s="3" customFormat="1" x14ac:dyDescent="0.2"/>
    <row r="593" s="3" customFormat="1" x14ac:dyDescent="0.2"/>
    <row r="594" s="3" customFormat="1" x14ac:dyDescent="0.2"/>
    <row r="595" s="3" customFormat="1" x14ac:dyDescent="0.2"/>
    <row r="596" s="3" customFormat="1" x14ac:dyDescent="0.2"/>
    <row r="597" s="3" customFormat="1" x14ac:dyDescent="0.2"/>
    <row r="598" s="3" customFormat="1" x14ac:dyDescent="0.2"/>
    <row r="599" s="3" customFormat="1" x14ac:dyDescent="0.2"/>
    <row r="600" s="3" customFormat="1" x14ac:dyDescent="0.2"/>
    <row r="601" s="3" customFormat="1" x14ac:dyDescent="0.2"/>
    <row r="602" s="3" customFormat="1" x14ac:dyDescent="0.2"/>
    <row r="603" s="3" customFormat="1" x14ac:dyDescent="0.2"/>
    <row r="604" s="3" customFormat="1" x14ac:dyDescent="0.2"/>
    <row r="605" s="3" customFormat="1" x14ac:dyDescent="0.2"/>
    <row r="606" s="3" customFormat="1" x14ac:dyDescent="0.2"/>
    <row r="607" s="3" customFormat="1" x14ac:dyDescent="0.2"/>
    <row r="608" s="3" customFormat="1" x14ac:dyDescent="0.2"/>
    <row r="609" s="3" customFormat="1" x14ac:dyDescent="0.2"/>
    <row r="610" s="3" customFormat="1" x14ac:dyDescent="0.2"/>
    <row r="611" s="3" customFormat="1" x14ac:dyDescent="0.2"/>
    <row r="612" s="3" customFormat="1" x14ac:dyDescent="0.2"/>
    <row r="613" s="3" customFormat="1" x14ac:dyDescent="0.2"/>
    <row r="614" s="3" customFormat="1" x14ac:dyDescent="0.2"/>
    <row r="615" s="3" customFormat="1" x14ac:dyDescent="0.2"/>
    <row r="616" s="3" customFormat="1" x14ac:dyDescent="0.2"/>
    <row r="617" s="3" customFormat="1" x14ac:dyDescent="0.2"/>
    <row r="618" s="3" customFormat="1" x14ac:dyDescent="0.2"/>
    <row r="619" s="3" customFormat="1" x14ac:dyDescent="0.2"/>
    <row r="620" s="3" customFormat="1" x14ac:dyDescent="0.2"/>
    <row r="621" s="3" customFormat="1" x14ac:dyDescent="0.2"/>
    <row r="622" s="3" customFormat="1" x14ac:dyDescent="0.2"/>
    <row r="623" s="3" customFormat="1" x14ac:dyDescent="0.2"/>
    <row r="624" s="3" customFormat="1" x14ac:dyDescent="0.2"/>
    <row r="625" s="3" customFormat="1" x14ac:dyDescent="0.2"/>
    <row r="626" s="3" customFormat="1" x14ac:dyDescent="0.2"/>
    <row r="627" s="3" customFormat="1" x14ac:dyDescent="0.2"/>
    <row r="628" s="3" customFormat="1" x14ac:dyDescent="0.2"/>
    <row r="629" s="3" customFormat="1" x14ac:dyDescent="0.2"/>
    <row r="630" s="3" customFormat="1" x14ac:dyDescent="0.2"/>
    <row r="631" s="3" customFormat="1" x14ac:dyDescent="0.2"/>
    <row r="632" s="3" customFormat="1" x14ac:dyDescent="0.2"/>
    <row r="633" s="3" customFormat="1" x14ac:dyDescent="0.2"/>
    <row r="634" s="3" customFormat="1" x14ac:dyDescent="0.2"/>
    <row r="635" s="3" customFormat="1" x14ac:dyDescent="0.2"/>
    <row r="636" s="3" customFormat="1" x14ac:dyDescent="0.2"/>
    <row r="637" s="3" customFormat="1" x14ac:dyDescent="0.2"/>
    <row r="638" s="3" customFormat="1" x14ac:dyDescent="0.2"/>
    <row r="639" s="3" customFormat="1" x14ac:dyDescent="0.2"/>
    <row r="640" s="3" customFormat="1" x14ac:dyDescent="0.2"/>
    <row r="641" s="3" customFormat="1" x14ac:dyDescent="0.2"/>
    <row r="642" s="3" customFormat="1" x14ac:dyDescent="0.2"/>
    <row r="643" s="3" customFormat="1" x14ac:dyDescent="0.2"/>
    <row r="644" s="3" customFormat="1" x14ac:dyDescent="0.2"/>
    <row r="645" s="3" customFormat="1" x14ac:dyDescent="0.2"/>
    <row r="646" s="3" customFormat="1" x14ac:dyDescent="0.2"/>
    <row r="647" s="3" customFormat="1" x14ac:dyDescent="0.2"/>
    <row r="648" s="3" customFormat="1" x14ac:dyDescent="0.2"/>
    <row r="649" s="3" customFormat="1" x14ac:dyDescent="0.2"/>
    <row r="650" s="3" customFormat="1" x14ac:dyDescent="0.2"/>
    <row r="651" s="3" customFormat="1" x14ac:dyDescent="0.2"/>
    <row r="652" s="3" customFormat="1" x14ac:dyDescent="0.2"/>
    <row r="653" s="3" customFormat="1" x14ac:dyDescent="0.2"/>
    <row r="654" s="3" customFormat="1" x14ac:dyDescent="0.2"/>
    <row r="655" s="3" customFormat="1" x14ac:dyDescent="0.2"/>
    <row r="656" s="3" customFormat="1" x14ac:dyDescent="0.2"/>
    <row r="657" s="3" customFormat="1" x14ac:dyDescent="0.2"/>
    <row r="658" s="3" customFormat="1" x14ac:dyDescent="0.2"/>
    <row r="659" s="3" customFormat="1" x14ac:dyDescent="0.2"/>
    <row r="660" s="3" customFormat="1" x14ac:dyDescent="0.2"/>
    <row r="661" s="3" customFormat="1" x14ac:dyDescent="0.2"/>
    <row r="662" s="3" customFormat="1" x14ac:dyDescent="0.2"/>
    <row r="663" s="3" customFormat="1" x14ac:dyDescent="0.2"/>
    <row r="664" s="3" customFormat="1" x14ac:dyDescent="0.2"/>
    <row r="665" s="3" customFormat="1" x14ac:dyDescent="0.2"/>
    <row r="666" s="3" customFormat="1" x14ac:dyDescent="0.2"/>
    <row r="667" s="3" customFormat="1" x14ac:dyDescent="0.2"/>
    <row r="668" s="3" customFormat="1" x14ac:dyDescent="0.2"/>
    <row r="669" s="3" customFormat="1" x14ac:dyDescent="0.2"/>
    <row r="670" s="3" customFormat="1" x14ac:dyDescent="0.2"/>
    <row r="671" s="3" customFormat="1" x14ac:dyDescent="0.2"/>
    <row r="672" s="3" customFormat="1" x14ac:dyDescent="0.2"/>
    <row r="673" s="3" customFormat="1" x14ac:dyDescent="0.2"/>
    <row r="674" s="3" customFormat="1" x14ac:dyDescent="0.2"/>
    <row r="675" s="3" customFormat="1" x14ac:dyDescent="0.2"/>
    <row r="676" s="3" customFormat="1" x14ac:dyDescent="0.2"/>
    <row r="677" s="3" customFormat="1" x14ac:dyDescent="0.2"/>
    <row r="678" s="3" customFormat="1" x14ac:dyDescent="0.2"/>
    <row r="679" s="3" customFormat="1" x14ac:dyDescent="0.2"/>
    <row r="680" s="3" customFormat="1" x14ac:dyDescent="0.2"/>
    <row r="681" s="3" customFormat="1" x14ac:dyDescent="0.2"/>
    <row r="682" s="3" customFormat="1" x14ac:dyDescent="0.2"/>
    <row r="683" s="3" customFormat="1" x14ac:dyDescent="0.2"/>
    <row r="684" s="3" customFormat="1" x14ac:dyDescent="0.2"/>
    <row r="685" s="3" customFormat="1" x14ac:dyDescent="0.2"/>
    <row r="686" s="3" customFormat="1" x14ac:dyDescent="0.2"/>
    <row r="687" s="3" customFormat="1" x14ac:dyDescent="0.2"/>
    <row r="688" s="3" customFormat="1" x14ac:dyDescent="0.2"/>
    <row r="689" s="3" customFormat="1" x14ac:dyDescent="0.2"/>
    <row r="690" s="3" customFormat="1" x14ac:dyDescent="0.2"/>
    <row r="691" s="3" customFormat="1" x14ac:dyDescent="0.2"/>
    <row r="692" s="3" customFormat="1" x14ac:dyDescent="0.2"/>
    <row r="693" s="3" customFormat="1" x14ac:dyDescent="0.2"/>
    <row r="694" s="3" customFormat="1" x14ac:dyDescent="0.2"/>
    <row r="695" s="3" customFormat="1" x14ac:dyDescent="0.2"/>
    <row r="696" s="3" customFormat="1" x14ac:dyDescent="0.2"/>
    <row r="697" s="3" customFormat="1" x14ac:dyDescent="0.2"/>
    <row r="698" s="3" customFormat="1" x14ac:dyDescent="0.2"/>
    <row r="699" s="3" customFormat="1" x14ac:dyDescent="0.2"/>
    <row r="700" s="3" customFormat="1" x14ac:dyDescent="0.2"/>
    <row r="701" s="3" customFormat="1" x14ac:dyDescent="0.2"/>
    <row r="702" s="3" customFormat="1" x14ac:dyDescent="0.2"/>
    <row r="703" s="3" customFormat="1" x14ac:dyDescent="0.2"/>
    <row r="704" s="3" customFormat="1" x14ac:dyDescent="0.2"/>
    <row r="705" s="3" customFormat="1" x14ac:dyDescent="0.2"/>
    <row r="706" s="3" customFormat="1" x14ac:dyDescent="0.2"/>
    <row r="707" s="3" customFormat="1" x14ac:dyDescent="0.2"/>
    <row r="708" s="3" customFormat="1" x14ac:dyDescent="0.2"/>
    <row r="709" s="3" customFormat="1" x14ac:dyDescent="0.2"/>
    <row r="710" s="3" customFormat="1" x14ac:dyDescent="0.2"/>
    <row r="711" s="3" customFormat="1" x14ac:dyDescent="0.2"/>
    <row r="712" s="3" customFormat="1" x14ac:dyDescent="0.2"/>
    <row r="713" s="3" customFormat="1" x14ac:dyDescent="0.2"/>
    <row r="714" s="3" customFormat="1" x14ac:dyDescent="0.2"/>
    <row r="715" s="3" customFormat="1" x14ac:dyDescent="0.2"/>
    <row r="716" s="3" customFormat="1" x14ac:dyDescent="0.2"/>
    <row r="717" s="3" customFormat="1" x14ac:dyDescent="0.2"/>
    <row r="718" s="3" customFormat="1" x14ac:dyDescent="0.2"/>
    <row r="719" s="3" customFormat="1" x14ac:dyDescent="0.2"/>
    <row r="720" s="3" customFormat="1" x14ac:dyDescent="0.2"/>
    <row r="721" s="3" customFormat="1" x14ac:dyDescent="0.2"/>
    <row r="722" s="3" customFormat="1" x14ac:dyDescent="0.2"/>
    <row r="723" s="3" customFormat="1" x14ac:dyDescent="0.2"/>
    <row r="724" s="3" customFormat="1" x14ac:dyDescent="0.2"/>
    <row r="725" s="3" customFormat="1" x14ac:dyDescent="0.2"/>
    <row r="726" s="3" customFormat="1" x14ac:dyDescent="0.2"/>
    <row r="727" s="3" customFormat="1" x14ac:dyDescent="0.2"/>
    <row r="728" s="3" customFormat="1" x14ac:dyDescent="0.2"/>
    <row r="729" s="3" customFormat="1" x14ac:dyDescent="0.2"/>
    <row r="730" s="3" customFormat="1" x14ac:dyDescent="0.2"/>
    <row r="731" s="3" customFormat="1" x14ac:dyDescent="0.2"/>
    <row r="732" s="3" customFormat="1" x14ac:dyDescent="0.2"/>
    <row r="733" s="3" customFormat="1" x14ac:dyDescent="0.2"/>
    <row r="734" s="3" customFormat="1" x14ac:dyDescent="0.2"/>
    <row r="735" s="3" customFormat="1" x14ac:dyDescent="0.2"/>
    <row r="736" s="3" customFormat="1" x14ac:dyDescent="0.2"/>
    <row r="737" s="3" customFormat="1" x14ac:dyDescent="0.2"/>
    <row r="738" s="3" customFormat="1" x14ac:dyDescent="0.2"/>
    <row r="739" s="3" customFormat="1" x14ac:dyDescent="0.2"/>
    <row r="740" s="3" customFormat="1" x14ac:dyDescent="0.2"/>
    <row r="741" s="3" customFormat="1" x14ac:dyDescent="0.2"/>
    <row r="742" s="3" customFormat="1" x14ac:dyDescent="0.2"/>
    <row r="743" s="3" customFormat="1" x14ac:dyDescent="0.2"/>
    <row r="744" s="3" customFormat="1" x14ac:dyDescent="0.2"/>
    <row r="745" s="3" customFormat="1" x14ac:dyDescent="0.2"/>
    <row r="746" s="3" customFormat="1" x14ac:dyDescent="0.2"/>
    <row r="747" s="3" customFormat="1" x14ac:dyDescent="0.2"/>
    <row r="748" s="3" customFormat="1" x14ac:dyDescent="0.2"/>
    <row r="749" s="3" customFormat="1" x14ac:dyDescent="0.2"/>
    <row r="750" s="3" customFormat="1" x14ac:dyDescent="0.2"/>
    <row r="751" s="3" customFormat="1" x14ac:dyDescent="0.2"/>
    <row r="752" s="3" customFormat="1" x14ac:dyDescent="0.2"/>
    <row r="753" s="3" customFormat="1" x14ac:dyDescent="0.2"/>
    <row r="754" s="3" customFormat="1" x14ac:dyDescent="0.2"/>
    <row r="755" s="3" customFormat="1" x14ac:dyDescent="0.2"/>
    <row r="756" s="3" customFormat="1" x14ac:dyDescent="0.2"/>
    <row r="757" s="3" customFormat="1" x14ac:dyDescent="0.2"/>
    <row r="758" s="3" customFormat="1" x14ac:dyDescent="0.2"/>
    <row r="759" s="3" customFormat="1" x14ac:dyDescent="0.2"/>
    <row r="760" s="3" customFormat="1" x14ac:dyDescent="0.2"/>
    <row r="761" s="3" customFormat="1" x14ac:dyDescent="0.2"/>
    <row r="762" s="3" customFormat="1" x14ac:dyDescent="0.2"/>
    <row r="763" s="3" customFormat="1" x14ac:dyDescent="0.2"/>
    <row r="764" s="3" customFormat="1" x14ac:dyDescent="0.2"/>
    <row r="765" s="3" customFormat="1" x14ac:dyDescent="0.2"/>
    <row r="766" s="3" customFormat="1" x14ac:dyDescent="0.2"/>
    <row r="767" s="3" customFormat="1" x14ac:dyDescent="0.2"/>
    <row r="768" s="3" customFormat="1" x14ac:dyDescent="0.2"/>
    <row r="769" s="3" customFormat="1" x14ac:dyDescent="0.2"/>
    <row r="770" s="3" customFormat="1" x14ac:dyDescent="0.2"/>
    <row r="771" s="3" customFormat="1" x14ac:dyDescent="0.2"/>
    <row r="772" s="3" customFormat="1" x14ac:dyDescent="0.2"/>
    <row r="773" s="3" customFormat="1" x14ac:dyDescent="0.2"/>
    <row r="774" s="3" customFormat="1" x14ac:dyDescent="0.2"/>
    <row r="775" s="3" customFormat="1" x14ac:dyDescent="0.2"/>
    <row r="776" s="3" customFormat="1" x14ac:dyDescent="0.2"/>
    <row r="777" s="3" customFormat="1" x14ac:dyDescent="0.2"/>
    <row r="778" s="3" customFormat="1" x14ac:dyDescent="0.2"/>
    <row r="779" s="3" customFormat="1" x14ac:dyDescent="0.2"/>
    <row r="780" s="3" customFormat="1" x14ac:dyDescent="0.2"/>
    <row r="781" s="3" customFormat="1" x14ac:dyDescent="0.2"/>
    <row r="782" s="3" customFormat="1" x14ac:dyDescent="0.2"/>
    <row r="783" s="3" customFormat="1" x14ac:dyDescent="0.2"/>
    <row r="784" s="3" customFormat="1" x14ac:dyDescent="0.2"/>
    <row r="785" s="3" customFormat="1" x14ac:dyDescent="0.2"/>
    <row r="786" s="3" customFormat="1" x14ac:dyDescent="0.2"/>
    <row r="787" s="3" customFormat="1" x14ac:dyDescent="0.2"/>
    <row r="788" s="3" customFormat="1" x14ac:dyDescent="0.2"/>
    <row r="789" s="3" customFormat="1" x14ac:dyDescent="0.2"/>
    <row r="790" s="3" customFormat="1" x14ac:dyDescent="0.2"/>
    <row r="791" s="3" customFormat="1" x14ac:dyDescent="0.2"/>
    <row r="792" s="3" customFormat="1" x14ac:dyDescent="0.2"/>
    <row r="793" s="3" customFormat="1" x14ac:dyDescent="0.2"/>
    <row r="794" s="3" customFormat="1" x14ac:dyDescent="0.2"/>
    <row r="795" s="3" customFormat="1" x14ac:dyDescent="0.2"/>
    <row r="796" s="3" customFormat="1" x14ac:dyDescent="0.2"/>
    <row r="797" s="3" customFormat="1" x14ac:dyDescent="0.2"/>
    <row r="798" s="3" customFormat="1" x14ac:dyDescent="0.2"/>
    <row r="799" s="3" customFormat="1" x14ac:dyDescent="0.2"/>
    <row r="800" s="3" customFormat="1" x14ac:dyDescent="0.2"/>
    <row r="801" s="3" customFormat="1" x14ac:dyDescent="0.2"/>
    <row r="802" s="3" customFormat="1" x14ac:dyDescent="0.2"/>
    <row r="803" s="3" customFormat="1" x14ac:dyDescent="0.2"/>
    <row r="804" s="3" customFormat="1" x14ac:dyDescent="0.2"/>
    <row r="805" s="3" customFormat="1" x14ac:dyDescent="0.2"/>
    <row r="806" s="3" customFormat="1" x14ac:dyDescent="0.2"/>
    <row r="807" s="3" customFormat="1" x14ac:dyDescent="0.2"/>
    <row r="808" s="3" customFormat="1" x14ac:dyDescent="0.2"/>
    <row r="809" s="3" customFormat="1" x14ac:dyDescent="0.2"/>
    <row r="810" s="3" customFormat="1" x14ac:dyDescent="0.2"/>
    <row r="811" s="3" customFormat="1" x14ac:dyDescent="0.2"/>
    <row r="812" s="3" customFormat="1" x14ac:dyDescent="0.2"/>
    <row r="813" s="3" customFormat="1" x14ac:dyDescent="0.2"/>
    <row r="814" s="3" customFormat="1" x14ac:dyDescent="0.2"/>
    <row r="815" s="3" customFormat="1" x14ac:dyDescent="0.2"/>
    <row r="816" s="3" customFormat="1" x14ac:dyDescent="0.2"/>
    <row r="817" s="3" customFormat="1" x14ac:dyDescent="0.2"/>
    <row r="818" s="3" customFormat="1" x14ac:dyDescent="0.2"/>
    <row r="819" s="3" customFormat="1" x14ac:dyDescent="0.2"/>
    <row r="820" s="3" customFormat="1" x14ac:dyDescent="0.2"/>
    <row r="821" s="3" customFormat="1" x14ac:dyDescent="0.2"/>
    <row r="822" s="3" customFormat="1" x14ac:dyDescent="0.2"/>
    <row r="823" s="3" customFormat="1" x14ac:dyDescent="0.2"/>
    <row r="824" s="3" customFormat="1" x14ac:dyDescent="0.2"/>
    <row r="825" s="3" customFormat="1" x14ac:dyDescent="0.2"/>
    <row r="826" s="3" customFormat="1" x14ac:dyDescent="0.2"/>
    <row r="827" s="3" customFormat="1" x14ac:dyDescent="0.2"/>
    <row r="828" s="3" customFormat="1" x14ac:dyDescent="0.2"/>
    <row r="829" s="3" customFormat="1" x14ac:dyDescent="0.2"/>
    <row r="830" s="3" customFormat="1" x14ac:dyDescent="0.2"/>
    <row r="831" s="3" customFormat="1" x14ac:dyDescent="0.2"/>
    <row r="832" s="3" customFormat="1" x14ac:dyDescent="0.2"/>
    <row r="833" s="3" customFormat="1" x14ac:dyDescent="0.2"/>
    <row r="834" s="3" customFormat="1" x14ac:dyDescent="0.2"/>
    <row r="835" s="3" customFormat="1" x14ac:dyDescent="0.2"/>
    <row r="836" s="3" customFormat="1" x14ac:dyDescent="0.2"/>
    <row r="837" s="3" customFormat="1" x14ac:dyDescent="0.2"/>
    <row r="838" s="3" customFormat="1" x14ac:dyDescent="0.2"/>
    <row r="839" s="3" customFormat="1" x14ac:dyDescent="0.2"/>
    <row r="840" s="3" customFormat="1" x14ac:dyDescent="0.2"/>
    <row r="841" s="3" customFormat="1" x14ac:dyDescent="0.2"/>
    <row r="842" s="3" customFormat="1" x14ac:dyDescent="0.2"/>
    <row r="843" s="3" customFormat="1" x14ac:dyDescent="0.2"/>
    <row r="844" s="3" customFormat="1" x14ac:dyDescent="0.2"/>
    <row r="845" s="3" customFormat="1" x14ac:dyDescent="0.2"/>
    <row r="846" s="3" customFormat="1" x14ac:dyDescent="0.2"/>
    <row r="847" s="3" customFormat="1" x14ac:dyDescent="0.2"/>
    <row r="848" s="3" customFormat="1" x14ac:dyDescent="0.2"/>
    <row r="849" s="3" customFormat="1" x14ac:dyDescent="0.2"/>
    <row r="850" s="3" customFormat="1" x14ac:dyDescent="0.2"/>
    <row r="851" s="3" customFormat="1" x14ac:dyDescent="0.2"/>
    <row r="852" s="3" customFormat="1" x14ac:dyDescent="0.2"/>
    <row r="853" s="3" customFormat="1" x14ac:dyDescent="0.2"/>
    <row r="854" s="3" customFormat="1" x14ac:dyDescent="0.2"/>
    <row r="855" s="3" customFormat="1" x14ac:dyDescent="0.2"/>
    <row r="856" s="3" customFormat="1" x14ac:dyDescent="0.2"/>
    <row r="857" s="3" customFormat="1" x14ac:dyDescent="0.2"/>
    <row r="858" s="3" customFormat="1" x14ac:dyDescent="0.2"/>
    <row r="859" s="3" customFormat="1" x14ac:dyDescent="0.2"/>
    <row r="860" s="3" customFormat="1" x14ac:dyDescent="0.2"/>
    <row r="861" s="3" customFormat="1" x14ac:dyDescent="0.2"/>
    <row r="862" s="3" customFormat="1" x14ac:dyDescent="0.2"/>
    <row r="863" s="3" customFormat="1" x14ac:dyDescent="0.2"/>
    <row r="864" s="3" customFormat="1" x14ac:dyDescent="0.2"/>
    <row r="865" s="3" customFormat="1" x14ac:dyDescent="0.2"/>
    <row r="866" s="3" customFormat="1" x14ac:dyDescent="0.2"/>
    <row r="867" s="3" customFormat="1" x14ac:dyDescent="0.2"/>
    <row r="868" s="3" customFormat="1" x14ac:dyDescent="0.2"/>
    <row r="869" s="3" customFormat="1" x14ac:dyDescent="0.2"/>
    <row r="870" s="3" customFormat="1" x14ac:dyDescent="0.2"/>
    <row r="871" s="3" customFormat="1" x14ac:dyDescent="0.2"/>
    <row r="872" s="3" customFormat="1" x14ac:dyDescent="0.2"/>
    <row r="873" s="3" customFormat="1" x14ac:dyDescent="0.2"/>
    <row r="874" s="3" customFormat="1" x14ac:dyDescent="0.2"/>
    <row r="875" s="3" customFormat="1" x14ac:dyDescent="0.2"/>
    <row r="876" s="3" customFormat="1" x14ac:dyDescent="0.2"/>
    <row r="877" s="3" customFormat="1" x14ac:dyDescent="0.2"/>
    <row r="878" s="3" customFormat="1" x14ac:dyDescent="0.2"/>
    <row r="879" s="3" customFormat="1" x14ac:dyDescent="0.2"/>
    <row r="880" s="3" customFormat="1" x14ac:dyDescent="0.2"/>
    <row r="881" s="3" customFormat="1" x14ac:dyDescent="0.2"/>
    <row r="882" s="3" customFormat="1" x14ac:dyDescent="0.2"/>
    <row r="883" s="3" customFormat="1" x14ac:dyDescent="0.2"/>
    <row r="884" s="3" customFormat="1" x14ac:dyDescent="0.2"/>
    <row r="885" s="3" customFormat="1" x14ac:dyDescent="0.2"/>
    <row r="886" s="3" customFormat="1" x14ac:dyDescent="0.2"/>
    <row r="887" s="3" customFormat="1" x14ac:dyDescent="0.2"/>
    <row r="888" s="3" customFormat="1" x14ac:dyDescent="0.2"/>
    <row r="889" s="3" customFormat="1" x14ac:dyDescent="0.2"/>
    <row r="890" s="3" customFormat="1" x14ac:dyDescent="0.2"/>
    <row r="891" s="3" customFormat="1" x14ac:dyDescent="0.2"/>
    <row r="892" s="3" customFormat="1" x14ac:dyDescent="0.2"/>
    <row r="893" s="3" customFormat="1" x14ac:dyDescent="0.2"/>
    <row r="894" s="3" customFormat="1" x14ac:dyDescent="0.2"/>
    <row r="895" s="3" customFormat="1" x14ac:dyDescent="0.2"/>
    <row r="896" s="3" customFormat="1" x14ac:dyDescent="0.2"/>
    <row r="897" s="3" customFormat="1" x14ac:dyDescent="0.2"/>
    <row r="898" s="3" customFormat="1" x14ac:dyDescent="0.2"/>
    <row r="899" s="3" customFormat="1" x14ac:dyDescent="0.2"/>
    <row r="900" s="3" customFormat="1" x14ac:dyDescent="0.2"/>
    <row r="901" s="3" customFormat="1" x14ac:dyDescent="0.2"/>
    <row r="902" s="3" customFormat="1" x14ac:dyDescent="0.2"/>
    <row r="903" s="3" customFormat="1" x14ac:dyDescent="0.2"/>
    <row r="904" s="3" customFormat="1" x14ac:dyDescent="0.2"/>
    <row r="905" s="3" customFormat="1" x14ac:dyDescent="0.2"/>
    <row r="906" s="3" customFormat="1" x14ac:dyDescent="0.2"/>
    <row r="907" s="3" customFormat="1" x14ac:dyDescent="0.2"/>
    <row r="908" s="3" customFormat="1" x14ac:dyDescent="0.2"/>
    <row r="909" s="3" customFormat="1" x14ac:dyDescent="0.2"/>
    <row r="910" s="3" customFormat="1" x14ac:dyDescent="0.2"/>
    <row r="911" s="3" customFormat="1" x14ac:dyDescent="0.2"/>
    <row r="912" s="3" customFormat="1" x14ac:dyDescent="0.2"/>
    <row r="913" s="3" customFormat="1" x14ac:dyDescent="0.2"/>
    <row r="914" s="3" customFormat="1" x14ac:dyDescent="0.2"/>
    <row r="915" s="3" customFormat="1" x14ac:dyDescent="0.2"/>
    <row r="916" s="3" customFormat="1" x14ac:dyDescent="0.2"/>
    <row r="917" s="3" customFormat="1" x14ac:dyDescent="0.2"/>
    <row r="918" s="3" customFormat="1" x14ac:dyDescent="0.2"/>
    <row r="919" s="3" customFormat="1" x14ac:dyDescent="0.2"/>
    <row r="920" s="3" customFormat="1" x14ac:dyDescent="0.2"/>
    <row r="921" s="3" customFormat="1" x14ac:dyDescent="0.2"/>
    <row r="922" s="3" customFormat="1" x14ac:dyDescent="0.2"/>
    <row r="923" s="3" customFormat="1" x14ac:dyDescent="0.2"/>
    <row r="924" s="3" customFormat="1" x14ac:dyDescent="0.2"/>
    <row r="925" s="3" customFormat="1" x14ac:dyDescent="0.2"/>
    <row r="926" s="3" customFormat="1" x14ac:dyDescent="0.2"/>
    <row r="927" s="3" customFormat="1" x14ac:dyDescent="0.2"/>
    <row r="928" s="3" customFormat="1" x14ac:dyDescent="0.2"/>
    <row r="929" s="3" customFormat="1" x14ac:dyDescent="0.2"/>
    <row r="930" s="3" customFormat="1" x14ac:dyDescent="0.2"/>
    <row r="931" s="3" customFormat="1" x14ac:dyDescent="0.2"/>
    <row r="932" s="3" customFormat="1" x14ac:dyDescent="0.2"/>
    <row r="933" s="3" customFormat="1" x14ac:dyDescent="0.2"/>
    <row r="934" s="3" customFormat="1" x14ac:dyDescent="0.2"/>
    <row r="935" s="3" customFormat="1" x14ac:dyDescent="0.2"/>
    <row r="936" s="3" customFormat="1" x14ac:dyDescent="0.2"/>
    <row r="937" s="3" customFormat="1" x14ac:dyDescent="0.2"/>
    <row r="938" s="3" customFormat="1" x14ac:dyDescent="0.2"/>
    <row r="939" s="3" customFormat="1" x14ac:dyDescent="0.2"/>
    <row r="940" s="3" customFormat="1" x14ac:dyDescent="0.2"/>
    <row r="941" s="3" customFormat="1" x14ac:dyDescent="0.2"/>
    <row r="942" s="3" customFormat="1" x14ac:dyDescent="0.2"/>
    <row r="943" s="3" customFormat="1" x14ac:dyDescent="0.2"/>
    <row r="944" s="3" customFormat="1" x14ac:dyDescent="0.2"/>
    <row r="945" s="3" customFormat="1" x14ac:dyDescent="0.2"/>
    <row r="946" s="3" customFormat="1" x14ac:dyDescent="0.2"/>
    <row r="947" s="3" customFormat="1" x14ac:dyDescent="0.2"/>
    <row r="948" s="3" customFormat="1" x14ac:dyDescent="0.2"/>
    <row r="949" s="3" customFormat="1" x14ac:dyDescent="0.2"/>
    <row r="950" s="3" customFormat="1" x14ac:dyDescent="0.2"/>
    <row r="951" s="3" customFormat="1" x14ac:dyDescent="0.2"/>
    <row r="952" s="3" customFormat="1" x14ac:dyDescent="0.2"/>
    <row r="953" s="3" customFormat="1" x14ac:dyDescent="0.2"/>
    <row r="954" s="3" customFormat="1" x14ac:dyDescent="0.2"/>
    <row r="955" s="3" customFormat="1" x14ac:dyDescent="0.2"/>
    <row r="956" s="3" customFormat="1" x14ac:dyDescent="0.2"/>
    <row r="957" s="3" customFormat="1" x14ac:dyDescent="0.2"/>
    <row r="958" s="3" customFormat="1" x14ac:dyDescent="0.2"/>
    <row r="959" s="3" customFormat="1" x14ac:dyDescent="0.2"/>
    <row r="960" s="3" customFormat="1" x14ac:dyDescent="0.2"/>
    <row r="961" s="3" customFormat="1" x14ac:dyDescent="0.2"/>
    <row r="962" s="3" customFormat="1" x14ac:dyDescent="0.2"/>
    <row r="963" s="3" customFormat="1" x14ac:dyDescent="0.2"/>
    <row r="964" s="3" customFormat="1" x14ac:dyDescent="0.2"/>
    <row r="965" s="3" customFormat="1" x14ac:dyDescent="0.2"/>
    <row r="966" s="3" customFormat="1" x14ac:dyDescent="0.2"/>
    <row r="967" s="3" customFormat="1" x14ac:dyDescent="0.2"/>
    <row r="968" s="3" customFormat="1" x14ac:dyDescent="0.2"/>
    <row r="969" s="3" customFormat="1" x14ac:dyDescent="0.2"/>
    <row r="970" s="3" customFormat="1" x14ac:dyDescent="0.2"/>
    <row r="971" s="3" customFormat="1" x14ac:dyDescent="0.2"/>
    <row r="972" s="3" customFormat="1" x14ac:dyDescent="0.2"/>
    <row r="973" s="3" customFormat="1" x14ac:dyDescent="0.2"/>
    <row r="974" s="3" customFormat="1" x14ac:dyDescent="0.2"/>
    <row r="975" s="3" customFormat="1" x14ac:dyDescent="0.2"/>
    <row r="976" s="3" customFormat="1" x14ac:dyDescent="0.2"/>
    <row r="977" s="3" customFormat="1" x14ac:dyDescent="0.2"/>
    <row r="978" s="3" customFormat="1" x14ac:dyDescent="0.2"/>
    <row r="979" s="3" customFormat="1" x14ac:dyDescent="0.2"/>
    <row r="980" s="3" customFormat="1" x14ac:dyDescent="0.2"/>
    <row r="981" s="3" customFormat="1" x14ac:dyDescent="0.2"/>
    <row r="982" s="3" customFormat="1" x14ac:dyDescent="0.2"/>
    <row r="983" s="3" customFormat="1" x14ac:dyDescent="0.2"/>
    <row r="984" s="3" customFormat="1" x14ac:dyDescent="0.2"/>
    <row r="985" s="3" customFormat="1" x14ac:dyDescent="0.2"/>
    <row r="986" s="3" customFormat="1" x14ac:dyDescent="0.2"/>
    <row r="987" s="3" customFormat="1" x14ac:dyDescent="0.2"/>
    <row r="988" s="3" customFormat="1" x14ac:dyDescent="0.2"/>
    <row r="989" s="3" customFormat="1" x14ac:dyDescent="0.2"/>
    <row r="990" s="3" customFormat="1" x14ac:dyDescent="0.2"/>
    <row r="991" s="3" customFormat="1" x14ac:dyDescent="0.2"/>
    <row r="992" s="3" customFormat="1" x14ac:dyDescent="0.2"/>
    <row r="993" s="3" customFormat="1" x14ac:dyDescent="0.2"/>
    <row r="994" s="3" customFormat="1" x14ac:dyDescent="0.2"/>
    <row r="995" s="3" customFormat="1" x14ac:dyDescent="0.2"/>
    <row r="996" s="3" customFormat="1" x14ac:dyDescent="0.2"/>
    <row r="997" s="3" customFormat="1" x14ac:dyDescent="0.2"/>
    <row r="998" s="3" customFormat="1" x14ac:dyDescent="0.2"/>
    <row r="999" s="3" customFormat="1" x14ac:dyDescent="0.2"/>
    <row r="1000" s="3" customFormat="1" x14ac:dyDescent="0.2"/>
  </sheetData>
  <sortState xmlns:xlrd2="http://schemas.microsoft.com/office/spreadsheetml/2017/richdata2" ref="S197:W216">
    <sortCondition ref="W197:W216"/>
  </sortState>
  <mergeCells count="20">
    <mergeCell ref="R354:V354"/>
    <mergeCell ref="R362:V362"/>
    <mergeCell ref="R370:V370"/>
    <mergeCell ref="R378:V378"/>
    <mergeCell ref="R314:V314"/>
    <mergeCell ref="R322:V322"/>
    <mergeCell ref="R330:V330"/>
    <mergeCell ref="R338:V338"/>
    <mergeCell ref="R346:V346"/>
    <mergeCell ref="AH1:AI1"/>
    <mergeCell ref="R176:AE176"/>
    <mergeCell ref="R1:AE1"/>
    <mergeCell ref="R207:V207"/>
    <mergeCell ref="R235:V235"/>
    <mergeCell ref="R266:V266"/>
    <mergeCell ref="R274:V274"/>
    <mergeCell ref="R282:V282"/>
    <mergeCell ref="R290:V290"/>
    <mergeCell ref="R298:V298"/>
    <mergeCell ref="R306:V306"/>
  </mergeCells>
  <phoneticPr fontId="204" type="noConversion"/>
  <conditionalFormatting sqref="A2:B2 D2:E2 G2:H2 J2:K2 M2:N2 A16:B16 A26:B26 D14:E14 G17:H17 J14:K14 M14:N14 D30:E30 J25:K25 AK24:AK26">
    <cfRule type="colorScale" priority="20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48">
      <colorScale>
        <cfvo type="num" val="5"/>
        <cfvo type="num" val="10"/>
        <color rgb="FFFF494D"/>
        <color rgb="FF00FF66"/>
      </colorScale>
    </cfRule>
  </conditionalFormatting>
  <conditionalFormatting sqref="B3:B14">
    <cfRule type="containsBlanks" dxfId="1282" priority="1668" stopIfTrue="1">
      <formula>LEN(TRIM(B3))=0</formula>
    </cfRule>
    <cfRule type="cellIs" dxfId="1281" priority="1667" stopIfTrue="1" operator="between">
      <formula>10</formula>
      <formula>10</formula>
    </cfRule>
    <cfRule type="cellIs" dxfId="1280" priority="1666" operator="between">
      <formula>9</formula>
      <formula>9.9</formula>
    </cfRule>
    <cfRule type="cellIs" dxfId="1279" priority="1665" stopIfTrue="1" operator="between">
      <formula>8</formula>
      <formula>8.9</formula>
    </cfRule>
    <cfRule type="cellIs" dxfId="1278" priority="1664" operator="between">
      <formula>7</formula>
      <formula>7.9</formula>
    </cfRule>
    <cfRule type="cellIs" dxfId="1277" priority="1626" operator="between">
      <formula>10.1</formula>
      <formula>10.6</formula>
    </cfRule>
  </conditionalFormatting>
  <conditionalFormatting sqref="B17:B24">
    <cfRule type="cellIs" dxfId="1276" priority="1605" operator="between">
      <formula>9</formula>
      <formula>9.9</formula>
    </cfRule>
    <cfRule type="containsBlanks" dxfId="1275" priority="1607" stopIfTrue="1">
      <formula>LEN(TRIM(B17))=0</formula>
    </cfRule>
    <cfRule type="cellIs" dxfId="1274" priority="1606" stopIfTrue="1" operator="between">
      <formula>10</formula>
      <formula>10</formula>
    </cfRule>
    <cfRule type="cellIs" dxfId="1273" priority="1602" operator="between">
      <formula>10.1</formula>
      <formula>10.6</formula>
    </cfRule>
    <cfRule type="cellIs" dxfId="1272" priority="1603" operator="between">
      <formula>7</formula>
      <formula>7.9</formula>
    </cfRule>
    <cfRule type="cellIs" dxfId="1271" priority="1604" stopIfTrue="1" operator="between">
      <formula>8</formula>
      <formula>8.9</formula>
    </cfRule>
  </conditionalFormatting>
  <conditionalFormatting sqref="B27:B31">
    <cfRule type="cellIs" dxfId="1270" priority="1597" operator="between">
      <formula>7</formula>
      <formula>7.9</formula>
    </cfRule>
    <cfRule type="containsBlanks" dxfId="1269" priority="1601" stopIfTrue="1">
      <formula>LEN(TRIM(B27))=0</formula>
    </cfRule>
    <cfRule type="cellIs" dxfId="1268" priority="1600" stopIfTrue="1" operator="between">
      <formula>10</formula>
      <formula>10</formula>
    </cfRule>
    <cfRule type="cellIs" dxfId="1267" priority="1599" operator="between">
      <formula>9</formula>
      <formula>9.9</formula>
    </cfRule>
    <cfRule type="cellIs" dxfId="1266" priority="1598" stopIfTrue="1" operator="between">
      <formula>8</formula>
      <formula>8.9</formula>
    </cfRule>
    <cfRule type="cellIs" dxfId="1265" priority="1596" operator="between">
      <formula>10.1</formula>
      <formula>10.6</formula>
    </cfRule>
  </conditionalFormatting>
  <conditionalFormatting sqref="B33">
    <cfRule type="colorScale" priority="19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99">
      <colorScale>
        <cfvo type="num" val="5"/>
        <cfvo type="num" val="10"/>
        <color rgb="FFFF494D"/>
        <color rgb="FF00FF66"/>
      </colorScale>
    </cfRule>
  </conditionalFormatting>
  <conditionalFormatting sqref="B34:B45">
    <cfRule type="cellIs" dxfId="1264" priority="1591" operator="between">
      <formula>7</formula>
      <formula>7.9</formula>
    </cfRule>
    <cfRule type="cellIs" dxfId="1263" priority="1590" operator="between">
      <formula>10.1</formula>
      <formula>10.6</formula>
    </cfRule>
    <cfRule type="containsBlanks" dxfId="1262" priority="1595" stopIfTrue="1">
      <formula>LEN(TRIM(B34))=0</formula>
    </cfRule>
    <cfRule type="cellIs" dxfId="1261" priority="1594" stopIfTrue="1" operator="between">
      <formula>10</formula>
      <formula>10</formula>
    </cfRule>
    <cfRule type="cellIs" dxfId="1260" priority="1593" operator="between">
      <formula>9</formula>
      <formula>9.9</formula>
    </cfRule>
    <cfRule type="cellIs" dxfId="1259" priority="1592" stopIfTrue="1" operator="between">
      <formula>8</formula>
      <formula>8.9</formula>
    </cfRule>
  </conditionalFormatting>
  <conditionalFormatting sqref="B47">
    <cfRule type="colorScale" priority="16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5">
      <colorScale>
        <cfvo type="num" val="5"/>
        <cfvo type="num" val="10"/>
        <color rgb="FFFF494D"/>
        <color rgb="FF00FF66"/>
      </colorScale>
    </cfRule>
  </conditionalFormatting>
  <conditionalFormatting sqref="B48:B57">
    <cfRule type="containsBlanks" dxfId="1258" priority="1565" stopIfTrue="1">
      <formula>LEN(TRIM(B48))=0</formula>
    </cfRule>
    <cfRule type="cellIs" dxfId="1257" priority="1564" stopIfTrue="1" operator="between">
      <formula>10</formula>
      <formula>10</formula>
    </cfRule>
    <cfRule type="cellIs" dxfId="1256" priority="1563" operator="between">
      <formula>9</formula>
      <formula>9.9</formula>
    </cfRule>
    <cfRule type="cellIs" dxfId="1255" priority="1562" stopIfTrue="1" operator="between">
      <formula>8</formula>
      <formula>8.9</formula>
    </cfRule>
    <cfRule type="cellIs" dxfId="1254" priority="1561" operator="between">
      <formula>7</formula>
      <formula>7.9</formula>
    </cfRule>
    <cfRule type="cellIs" dxfId="1253" priority="1560" operator="between">
      <formula>10.1</formula>
      <formula>10.6</formula>
    </cfRule>
  </conditionalFormatting>
  <conditionalFormatting sqref="B59">
    <cfRule type="colorScale" priority="1545">
      <colorScale>
        <cfvo type="num" val="5"/>
        <cfvo type="num" val="10"/>
        <color rgb="FFFF494D"/>
        <color rgb="FF00FF66"/>
      </colorScale>
    </cfRule>
    <cfRule type="colorScale" priority="154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60:B68">
    <cfRule type="containsBlanks" dxfId="1252" priority="1543" stopIfTrue="1">
      <formula>LEN(TRIM(B60))=0</formula>
    </cfRule>
    <cfRule type="cellIs" dxfId="1251" priority="1542" stopIfTrue="1" operator="between">
      <formula>10</formula>
      <formula>10</formula>
    </cfRule>
    <cfRule type="cellIs" dxfId="1250" priority="1541" operator="between">
      <formula>9</formula>
      <formula>9.9</formula>
    </cfRule>
    <cfRule type="cellIs" dxfId="1249" priority="1540" stopIfTrue="1" operator="between">
      <formula>8</formula>
      <formula>8.9</formula>
    </cfRule>
    <cfRule type="cellIs" dxfId="1248" priority="1539" operator="between">
      <formula>7</formula>
      <formula>7.9</formula>
    </cfRule>
    <cfRule type="cellIs" dxfId="1247" priority="1538" operator="between">
      <formula>10.1</formula>
      <formula>10.6</formula>
    </cfRule>
  </conditionalFormatting>
  <conditionalFormatting sqref="B70">
    <cfRule type="colorScale" priority="1472">
      <colorScale>
        <cfvo type="num" val="5"/>
        <cfvo type="num" val="10"/>
        <color rgb="FFFF494D"/>
        <color rgb="FF00FF66"/>
      </colorScale>
    </cfRule>
    <cfRule type="colorScale" priority="147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71:B77">
    <cfRule type="containsBlanks" dxfId="1246" priority="1457" stopIfTrue="1">
      <formula>LEN(TRIM(B71))=0</formula>
    </cfRule>
    <cfRule type="cellIs" dxfId="1245" priority="1456" stopIfTrue="1" operator="between">
      <formula>10</formula>
      <formula>10</formula>
    </cfRule>
    <cfRule type="cellIs" dxfId="1244" priority="1455" operator="between">
      <formula>9</formula>
      <formula>9.9</formula>
    </cfRule>
    <cfRule type="cellIs" dxfId="1243" priority="1454" stopIfTrue="1" operator="between">
      <formula>8</formula>
      <formula>8.9</formula>
    </cfRule>
    <cfRule type="cellIs" dxfId="1242" priority="1453" operator="between">
      <formula>7</formula>
      <formula>7.9</formula>
    </cfRule>
    <cfRule type="cellIs" dxfId="1241" priority="1452" operator="between">
      <formula>10.1</formula>
      <formula>10.6</formula>
    </cfRule>
  </conditionalFormatting>
  <conditionalFormatting sqref="B73">
    <cfRule type="cellIs" dxfId="1240" priority="1451" operator="between">
      <formula>6</formula>
      <formula>6.9</formula>
    </cfRule>
  </conditionalFormatting>
  <conditionalFormatting sqref="B79">
    <cfRule type="colorScale" priority="1435">
      <colorScale>
        <cfvo type="num" val="5"/>
        <cfvo type="num" val="10"/>
        <color rgb="FFFF494D"/>
        <color rgb="FF00FF66"/>
      </colorScale>
    </cfRule>
    <cfRule type="colorScale" priority="143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80:B91">
    <cfRule type="containsBlanks" dxfId="1239" priority="1433" stopIfTrue="1">
      <formula>LEN(TRIM(B80))=0</formula>
    </cfRule>
    <cfRule type="cellIs" dxfId="1238" priority="1432" stopIfTrue="1" operator="between">
      <formula>10</formula>
      <formula>10</formula>
    </cfRule>
    <cfRule type="cellIs" dxfId="1237" priority="1431" operator="between">
      <formula>9</formula>
      <formula>9.9</formula>
    </cfRule>
    <cfRule type="cellIs" dxfId="1236" priority="1430" stopIfTrue="1" operator="between">
      <formula>8</formula>
      <formula>8.9</formula>
    </cfRule>
    <cfRule type="cellIs" dxfId="1235" priority="1429" operator="between">
      <formula>7</formula>
      <formula>7.9</formula>
    </cfRule>
    <cfRule type="cellIs" dxfId="1234" priority="1428" operator="between">
      <formula>10.1</formula>
      <formula>10.6</formula>
    </cfRule>
  </conditionalFormatting>
  <conditionalFormatting sqref="B93">
    <cfRule type="colorScale" priority="1388">
      <colorScale>
        <cfvo type="num" val="5"/>
        <cfvo type="num" val="10"/>
        <color rgb="FFFF494D"/>
        <color rgb="FF00FF66"/>
      </colorScale>
    </cfRule>
    <cfRule type="colorScale" priority="138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94:B101">
    <cfRule type="containsBlanks" dxfId="1233" priority="1386" stopIfTrue="1">
      <formula>LEN(TRIM(B94))=0</formula>
    </cfRule>
    <cfRule type="cellIs" dxfId="1232" priority="1385" stopIfTrue="1" operator="between">
      <formula>10</formula>
      <formula>10</formula>
    </cfRule>
    <cfRule type="cellIs" dxfId="1231" priority="1384" operator="between">
      <formula>9</formula>
      <formula>9.9</formula>
    </cfRule>
    <cfRule type="cellIs" dxfId="1230" priority="1383" stopIfTrue="1" operator="between">
      <formula>8</formula>
      <formula>8.9</formula>
    </cfRule>
    <cfRule type="cellIs" dxfId="1229" priority="1382" operator="between">
      <formula>7</formula>
      <formula>7.9</formula>
    </cfRule>
    <cfRule type="cellIs" dxfId="1228" priority="1381" operator="between">
      <formula>10.1</formula>
      <formula>10.6</formula>
    </cfRule>
  </conditionalFormatting>
  <conditionalFormatting sqref="B103">
    <cfRule type="colorScale" priority="1339">
      <colorScale>
        <cfvo type="num" val="5"/>
        <cfvo type="num" val="10"/>
        <color rgb="FFFF494D"/>
        <color rgb="FF00FF66"/>
      </colorScale>
    </cfRule>
    <cfRule type="colorScale" priority="133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04:B112">
    <cfRule type="containsBlanks" dxfId="1227" priority="1337" stopIfTrue="1">
      <formula>LEN(TRIM(B104))=0</formula>
    </cfRule>
    <cfRule type="cellIs" dxfId="1226" priority="1336" stopIfTrue="1" operator="between">
      <formula>10</formula>
      <formula>10</formula>
    </cfRule>
    <cfRule type="cellIs" dxfId="1225" priority="1335" operator="between">
      <formula>9</formula>
      <formula>9.9</formula>
    </cfRule>
    <cfRule type="cellIs" dxfId="1224" priority="1334" stopIfTrue="1" operator="between">
      <formula>8</formula>
      <formula>8.9</formula>
    </cfRule>
    <cfRule type="cellIs" dxfId="1223" priority="1333" operator="between">
      <formula>7</formula>
      <formula>7.9</formula>
    </cfRule>
    <cfRule type="cellIs" dxfId="1222" priority="1332" operator="between">
      <formula>10.1</formula>
      <formula>10.6</formula>
    </cfRule>
  </conditionalFormatting>
  <conditionalFormatting sqref="B114">
    <cfRule type="colorScale" priority="1300">
      <colorScale>
        <cfvo type="num" val="5"/>
        <cfvo type="num" val="10"/>
        <color rgb="FFFF494D"/>
        <color rgb="FF00FF66"/>
      </colorScale>
    </cfRule>
    <cfRule type="colorScale" priority="129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15:B132">
    <cfRule type="containsBlanks" dxfId="1221" priority="1292" stopIfTrue="1">
      <formula>LEN(TRIM(B115))=0</formula>
    </cfRule>
    <cfRule type="cellIs" dxfId="1220" priority="1291" stopIfTrue="1" operator="between">
      <formula>10</formula>
      <formula>10</formula>
    </cfRule>
    <cfRule type="cellIs" dxfId="1219" priority="1290" operator="between">
      <formula>9</formula>
      <formula>9.9</formula>
    </cfRule>
    <cfRule type="cellIs" dxfId="1218" priority="1289" stopIfTrue="1" operator="between">
      <formula>8</formula>
      <formula>8.9</formula>
    </cfRule>
    <cfRule type="cellIs" dxfId="1217" priority="1288" operator="between">
      <formula>7</formula>
      <formula>7.9</formula>
    </cfRule>
    <cfRule type="cellIs" dxfId="1216" priority="1287" operator="between">
      <formula>10.1</formula>
      <formula>10.6</formula>
    </cfRule>
    <cfRule type="cellIs" dxfId="1215" priority="1286" operator="between">
      <formula>6</formula>
      <formula>6.9</formula>
    </cfRule>
  </conditionalFormatting>
  <conditionalFormatting sqref="B134">
    <cfRule type="colorScale" priority="1217">
      <colorScale>
        <cfvo type="num" val="5"/>
        <cfvo type="num" val="10"/>
        <color rgb="FFFF494D"/>
        <color rgb="FF00FF66"/>
      </colorScale>
    </cfRule>
    <cfRule type="colorScale" priority="121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35:B143">
    <cfRule type="cellIs" dxfId="1214" priority="1212" stopIfTrue="1" operator="between">
      <formula>8</formula>
      <formula>8.9</formula>
    </cfRule>
    <cfRule type="containsBlanks" dxfId="1213" priority="1215" stopIfTrue="1">
      <formula>LEN(TRIM(B135))=0</formula>
    </cfRule>
    <cfRule type="cellIs" dxfId="1212" priority="1213" operator="between">
      <formula>9</formula>
      <formula>9.9</formula>
    </cfRule>
    <cfRule type="cellIs" dxfId="1211" priority="1211" operator="between">
      <formula>7</formula>
      <formula>7.9</formula>
    </cfRule>
    <cfRule type="cellIs" dxfId="1210" priority="1210" operator="between">
      <formula>10.1</formula>
      <formula>10.6</formula>
    </cfRule>
    <cfRule type="cellIs" dxfId="1209" priority="1209" operator="between">
      <formula>6</formula>
      <formula>6.9</formula>
    </cfRule>
    <cfRule type="cellIs" dxfId="1208" priority="1214" stopIfTrue="1" operator="between">
      <formula>10</formula>
      <formula>10</formula>
    </cfRule>
  </conditionalFormatting>
  <conditionalFormatting sqref="B145">
    <cfRule type="colorScale" priority="1172">
      <colorScale>
        <cfvo type="num" val="5"/>
        <cfvo type="num" val="10"/>
        <color rgb="FFFF494D"/>
        <color rgb="FF00FF66"/>
      </colorScale>
    </cfRule>
    <cfRule type="colorScale" priority="117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46:B160">
    <cfRule type="cellIs" dxfId="1207" priority="1165" operator="between">
      <formula>10.1</formula>
      <formula>10.6</formula>
    </cfRule>
    <cfRule type="containsBlanks" dxfId="1206" priority="1170" stopIfTrue="1">
      <formula>LEN(TRIM(B146))=0</formula>
    </cfRule>
    <cfRule type="cellIs" dxfId="1205" priority="1169" stopIfTrue="1" operator="between">
      <formula>10</formula>
      <formula>10</formula>
    </cfRule>
    <cfRule type="cellIs" dxfId="1204" priority="1166" operator="between">
      <formula>7</formula>
      <formula>7.9</formula>
    </cfRule>
    <cfRule type="cellIs" dxfId="1203" priority="1164" operator="between">
      <formula>6</formula>
      <formula>6.9</formula>
    </cfRule>
    <cfRule type="cellIs" dxfId="1202" priority="1167" stopIfTrue="1" operator="between">
      <formula>8</formula>
      <formula>8.9</formula>
    </cfRule>
    <cfRule type="cellIs" dxfId="1201" priority="1168" operator="between">
      <formula>9</formula>
      <formula>9.9</formula>
    </cfRule>
  </conditionalFormatting>
  <conditionalFormatting sqref="B162">
    <cfRule type="colorScale" priority="11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02">
      <colorScale>
        <cfvo type="num" val="5"/>
        <cfvo type="num" val="10"/>
        <color rgb="FFFF494D"/>
        <color rgb="FF00FF66"/>
      </colorScale>
    </cfRule>
  </conditionalFormatting>
  <conditionalFormatting sqref="B163:B170">
    <cfRule type="cellIs" dxfId="1200" priority="1103" operator="between">
      <formula>6</formula>
      <formula>6.9</formula>
    </cfRule>
    <cfRule type="cellIs" dxfId="1199" priority="1108" stopIfTrue="1" operator="between">
      <formula>10</formula>
      <formula>10</formula>
    </cfRule>
    <cfRule type="cellIs" dxfId="1198" priority="1107" operator="between">
      <formula>9</formula>
      <formula>9.9</formula>
    </cfRule>
    <cfRule type="cellIs" dxfId="1197" priority="1106" stopIfTrue="1" operator="between">
      <formula>8</formula>
      <formula>8.9</formula>
    </cfRule>
    <cfRule type="cellIs" dxfId="1196" priority="1105" operator="between">
      <formula>7</formula>
      <formula>7.9</formula>
    </cfRule>
    <cfRule type="cellIs" dxfId="1195" priority="1104" operator="between">
      <formula>10.1</formula>
      <formula>10.6</formula>
    </cfRule>
    <cfRule type="containsBlanks" dxfId="1194" priority="1109" stopIfTrue="1">
      <formula>LEN(TRIM(B163))=0</formula>
    </cfRule>
  </conditionalFormatting>
  <conditionalFormatting sqref="B172">
    <cfRule type="colorScale" priority="1073">
      <colorScale>
        <cfvo type="num" val="5"/>
        <cfvo type="num" val="10"/>
        <color rgb="FFFF494D"/>
        <color rgb="FF00FF66"/>
      </colorScale>
    </cfRule>
    <cfRule type="colorScale" priority="107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73:B183">
    <cfRule type="cellIs" dxfId="1193" priority="1066" operator="between">
      <formula>10.1</formula>
      <formula>10.6</formula>
    </cfRule>
    <cfRule type="cellIs" dxfId="1192" priority="1065" operator="between">
      <formula>6</formula>
      <formula>6.9</formula>
    </cfRule>
    <cfRule type="containsBlanks" dxfId="1191" priority="1071" stopIfTrue="1">
      <formula>LEN(TRIM(B173))=0</formula>
    </cfRule>
    <cfRule type="cellIs" dxfId="1190" priority="1070" stopIfTrue="1" operator="between">
      <formula>10</formula>
      <formula>10</formula>
    </cfRule>
    <cfRule type="cellIs" dxfId="1189" priority="1069" operator="between">
      <formula>9</formula>
      <formula>9.9</formula>
    </cfRule>
    <cfRule type="cellIs" dxfId="1188" priority="1068" stopIfTrue="1" operator="between">
      <formula>8</formula>
      <formula>8.9</formula>
    </cfRule>
    <cfRule type="cellIs" dxfId="1187" priority="1067" operator="between">
      <formula>7</formula>
      <formula>7.9</formula>
    </cfRule>
  </conditionalFormatting>
  <conditionalFormatting sqref="B185">
    <cfRule type="colorScale" priority="1035">
      <colorScale>
        <cfvo type="num" val="5"/>
        <cfvo type="num" val="10"/>
        <color rgb="FFFF494D"/>
        <color rgb="FF00FF66"/>
      </colorScale>
    </cfRule>
    <cfRule type="colorScale" priority="103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86:B194">
    <cfRule type="containsBlanks" dxfId="1186" priority="1033" stopIfTrue="1">
      <formula>LEN(TRIM(B186))=0</formula>
    </cfRule>
    <cfRule type="cellIs" dxfId="1185" priority="1032" stopIfTrue="1" operator="between">
      <formula>10</formula>
      <formula>10</formula>
    </cfRule>
    <cfRule type="cellIs" dxfId="1184" priority="1031" operator="between">
      <formula>9</formula>
      <formula>9.9</formula>
    </cfRule>
    <cfRule type="cellIs" dxfId="1183" priority="1030" stopIfTrue="1" operator="between">
      <formula>8</formula>
      <formula>8.9</formula>
    </cfRule>
    <cfRule type="cellIs" dxfId="1182" priority="1029" operator="between">
      <formula>7</formula>
      <formula>7.9</formula>
    </cfRule>
    <cfRule type="cellIs" dxfId="1181" priority="1028" operator="between">
      <formula>10.1</formula>
      <formula>10.6</formula>
    </cfRule>
    <cfRule type="cellIs" dxfId="1180" priority="1027" operator="between">
      <formula>6</formula>
      <formula>6.9</formula>
    </cfRule>
  </conditionalFormatting>
  <conditionalFormatting sqref="B196">
    <cfRule type="colorScale" priority="9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77">
      <colorScale>
        <cfvo type="num" val="5"/>
        <cfvo type="num" val="10"/>
        <color rgb="FFFF494D"/>
        <color rgb="FF00FF66"/>
      </colorScale>
    </cfRule>
  </conditionalFormatting>
  <conditionalFormatting sqref="B197:B211">
    <cfRule type="cellIs" dxfId="1179" priority="978" operator="between">
      <formula>6</formula>
      <formula>6.9</formula>
    </cfRule>
    <cfRule type="cellIs" dxfId="1178" priority="979" operator="between">
      <formula>10.1</formula>
      <formula>10.6</formula>
    </cfRule>
    <cfRule type="cellIs" dxfId="1177" priority="980" operator="between">
      <formula>7</formula>
      <formula>7.9</formula>
    </cfRule>
    <cfRule type="cellIs" dxfId="1176" priority="981" stopIfTrue="1" operator="between">
      <formula>8</formula>
      <formula>8.9</formula>
    </cfRule>
    <cfRule type="cellIs" dxfId="1175" priority="982" operator="between">
      <formula>9</formula>
      <formula>9.9</formula>
    </cfRule>
    <cfRule type="cellIs" dxfId="1174" priority="983" stopIfTrue="1" operator="between">
      <formula>10</formula>
      <formula>10</formula>
    </cfRule>
    <cfRule type="containsBlanks" dxfId="1173" priority="984" stopIfTrue="1">
      <formula>LEN(TRIM(B197))=0</formula>
    </cfRule>
  </conditionalFormatting>
  <conditionalFormatting sqref="B213">
    <cfRule type="colorScale" priority="910">
      <colorScale>
        <cfvo type="num" val="5"/>
        <cfvo type="num" val="10"/>
        <color rgb="FFFF494D"/>
        <color rgb="FF00FF66"/>
      </colorScale>
    </cfRule>
    <cfRule type="colorScale" priority="90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14:B224 B227:B233">
    <cfRule type="cellIs" dxfId="1172" priority="906" operator="between">
      <formula>9</formula>
      <formula>9.9</formula>
    </cfRule>
    <cfRule type="cellIs" dxfId="1171" priority="903" operator="between">
      <formula>10.1</formula>
      <formula>10.6</formula>
    </cfRule>
    <cfRule type="cellIs" dxfId="1170" priority="902" operator="between">
      <formula>6</formula>
      <formula>6.9</formula>
    </cfRule>
    <cfRule type="cellIs" dxfId="1169" priority="904" operator="between">
      <formula>7</formula>
      <formula>7.9</formula>
    </cfRule>
    <cfRule type="containsBlanks" dxfId="1168" priority="908" stopIfTrue="1">
      <formula>LEN(TRIM(B214))=0</formula>
    </cfRule>
    <cfRule type="cellIs" dxfId="1167" priority="905" stopIfTrue="1" operator="between">
      <formula>8</formula>
      <formula>8.9</formula>
    </cfRule>
    <cfRule type="cellIs" dxfId="1166" priority="907" stopIfTrue="1" operator="between">
      <formula>10</formula>
      <formula>10</formula>
    </cfRule>
  </conditionalFormatting>
  <conditionalFormatting sqref="B226">
    <cfRule type="colorScale" priority="883">
      <colorScale>
        <cfvo type="num" val="5"/>
        <cfvo type="num" val="10"/>
        <color rgb="FFFF494D"/>
        <color rgb="FF00FF66"/>
      </colorScale>
    </cfRule>
    <cfRule type="colorScale" priority="88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35">
    <cfRule type="colorScale" priority="8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54">
      <colorScale>
        <cfvo type="num" val="5"/>
        <cfvo type="num" val="10"/>
        <color rgb="FFFF494D"/>
        <color rgb="FF00FF66"/>
      </colorScale>
    </cfRule>
  </conditionalFormatting>
  <conditionalFormatting sqref="B236:B244">
    <cfRule type="cellIs" dxfId="1165" priority="841" operator="between">
      <formula>7</formula>
      <formula>7.9</formula>
    </cfRule>
    <cfRule type="containsBlanks" dxfId="1164" priority="845" stopIfTrue="1">
      <formula>LEN(TRIM(B236))=0</formula>
    </cfRule>
    <cfRule type="cellIs" dxfId="1163" priority="842" stopIfTrue="1" operator="between">
      <formula>8</formula>
      <formula>8.9</formula>
    </cfRule>
    <cfRule type="cellIs" dxfId="1162" priority="843" operator="between">
      <formula>9</formula>
      <formula>9.9</formula>
    </cfRule>
    <cfRule type="cellIs" dxfId="1161" priority="844" stopIfTrue="1" operator="between">
      <formula>10</formula>
      <formula>10</formula>
    </cfRule>
    <cfRule type="cellIs" dxfId="1160" priority="840" operator="between">
      <formula>10.1</formula>
      <formula>10.6</formula>
    </cfRule>
    <cfRule type="cellIs" dxfId="1159" priority="839" operator="between">
      <formula>6</formula>
      <formula>6.9</formula>
    </cfRule>
  </conditionalFormatting>
  <conditionalFormatting sqref="B246">
    <cfRule type="colorScale" priority="802">
      <colorScale>
        <cfvo type="num" val="5"/>
        <cfvo type="num" val="10"/>
        <color rgb="FFFF494D"/>
        <color rgb="FF00FF66"/>
      </colorScale>
    </cfRule>
    <cfRule type="colorScale" priority="80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47:B258">
    <cfRule type="cellIs" dxfId="1158" priority="798" operator="between">
      <formula>9</formula>
      <formula>9.9</formula>
    </cfRule>
    <cfRule type="containsBlanks" dxfId="1157" priority="800" stopIfTrue="1">
      <formula>LEN(TRIM(B247))=0</formula>
    </cfRule>
    <cfRule type="cellIs" dxfId="1156" priority="799" stopIfTrue="1" operator="between">
      <formula>10</formula>
      <formula>10</formula>
    </cfRule>
    <cfRule type="cellIs" dxfId="1155" priority="797" stopIfTrue="1" operator="between">
      <formula>8</formula>
      <formula>8.9</formula>
    </cfRule>
    <cfRule type="cellIs" dxfId="1154" priority="796" operator="between">
      <formula>7</formula>
      <formula>7.9</formula>
    </cfRule>
    <cfRule type="cellIs" dxfId="1153" priority="795" operator="between">
      <formula>10.1</formula>
      <formula>10.6</formula>
    </cfRule>
    <cfRule type="cellIs" dxfId="1152" priority="794" operator="between">
      <formula>6</formula>
      <formula>6.9</formula>
    </cfRule>
  </conditionalFormatting>
  <conditionalFormatting sqref="B260">
    <cfRule type="colorScale" priority="755">
      <colorScale>
        <cfvo type="num" val="5"/>
        <cfvo type="num" val="10"/>
        <color rgb="FFFF494D"/>
        <color rgb="FF00FF66"/>
      </colorScale>
    </cfRule>
    <cfRule type="colorScale" priority="75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61:B270">
    <cfRule type="containsBlanks" dxfId="1151" priority="762" stopIfTrue="1">
      <formula>LEN(TRIM(B261))=0</formula>
    </cfRule>
    <cfRule type="cellIs" dxfId="1150" priority="761" stopIfTrue="1" operator="between">
      <formula>10</formula>
      <formula>10</formula>
    </cfRule>
    <cfRule type="cellIs" dxfId="1149" priority="760" operator="between">
      <formula>9</formula>
      <formula>9.9</formula>
    </cfRule>
    <cfRule type="cellIs" dxfId="1148" priority="759" stopIfTrue="1" operator="between">
      <formula>8</formula>
      <formula>8.9</formula>
    </cfRule>
    <cfRule type="cellIs" dxfId="1147" priority="758" operator="between">
      <formula>7</formula>
      <formula>7.9</formula>
    </cfRule>
    <cfRule type="cellIs" dxfId="1146" priority="757" operator="between">
      <formula>10.1</formula>
      <formula>10.6</formula>
    </cfRule>
    <cfRule type="cellIs" dxfId="1145" priority="756" operator="between">
      <formula>6</formula>
      <formula>6.9</formula>
    </cfRule>
  </conditionalFormatting>
  <conditionalFormatting sqref="B272">
    <cfRule type="colorScale" priority="7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13">
      <colorScale>
        <cfvo type="num" val="5"/>
        <cfvo type="num" val="10"/>
        <color rgb="FFFF494D"/>
        <color rgb="FF00FF66"/>
      </colorScale>
    </cfRule>
  </conditionalFormatting>
  <conditionalFormatting sqref="B273:B277">
    <cfRule type="cellIs" dxfId="1144" priority="717" stopIfTrue="1" operator="between">
      <formula>8</formula>
      <formula>8.9</formula>
    </cfRule>
    <cfRule type="cellIs" dxfId="1143" priority="714" operator="between">
      <formula>6</formula>
      <formula>6.9</formula>
    </cfRule>
    <cfRule type="cellIs" dxfId="1142" priority="715" operator="between">
      <formula>10.1</formula>
      <formula>10.6</formula>
    </cfRule>
    <cfRule type="containsBlanks" dxfId="1141" priority="720" stopIfTrue="1">
      <formula>LEN(TRIM(B273))=0</formula>
    </cfRule>
    <cfRule type="cellIs" dxfId="1140" priority="718" operator="between">
      <formula>9</formula>
      <formula>9.9</formula>
    </cfRule>
    <cfRule type="cellIs" dxfId="1139" priority="716" operator="between">
      <formula>7</formula>
      <formula>7.9</formula>
    </cfRule>
    <cfRule type="cellIs" dxfId="1138" priority="719" stopIfTrue="1" operator="between">
      <formula>10</formula>
      <formula>10</formula>
    </cfRule>
  </conditionalFormatting>
  <conditionalFormatting sqref="B279">
    <cfRule type="colorScale" priority="6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74">
      <colorScale>
        <cfvo type="num" val="5"/>
        <cfvo type="num" val="10"/>
        <color rgb="FFFF494D"/>
        <color rgb="FF00FF66"/>
      </colorScale>
    </cfRule>
  </conditionalFormatting>
  <conditionalFormatting sqref="B280:B307">
    <cfRule type="containsBlanks" dxfId="1137" priority="672" stopIfTrue="1">
      <formula>LEN(TRIM(B280))=0</formula>
    </cfRule>
    <cfRule type="cellIs" dxfId="1136" priority="671" stopIfTrue="1" operator="between">
      <formula>10</formula>
      <formula>10</formula>
    </cfRule>
    <cfRule type="cellIs" dxfId="1135" priority="670" operator="between">
      <formula>9</formula>
      <formula>9.9</formula>
    </cfRule>
    <cfRule type="cellIs" dxfId="1134" priority="669" stopIfTrue="1" operator="between">
      <formula>8</formula>
      <formula>8.9</formula>
    </cfRule>
    <cfRule type="cellIs" dxfId="1133" priority="668" operator="between">
      <formula>7</formula>
      <formula>7.9</formula>
    </cfRule>
    <cfRule type="cellIs" dxfId="1132" priority="667" operator="between">
      <formula>10.1</formula>
      <formula>10.6</formula>
    </cfRule>
    <cfRule type="cellIs" dxfId="1131" priority="666" operator="between">
      <formula>6</formula>
      <formula>6.9</formula>
    </cfRule>
  </conditionalFormatting>
  <conditionalFormatting sqref="B309">
    <cfRule type="colorScale" priority="563">
      <colorScale>
        <cfvo type="num" val="5"/>
        <cfvo type="num" val="10"/>
        <color rgb="FFFF494D"/>
        <color rgb="FF00FF66"/>
      </colorScale>
    </cfRule>
    <cfRule type="colorScale" priority="56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10:B320">
    <cfRule type="cellIs" dxfId="1130" priority="557" operator="between">
      <formula>7</formula>
      <formula>7.9</formula>
    </cfRule>
    <cfRule type="cellIs" dxfId="1129" priority="556" operator="between">
      <formula>10.1</formula>
      <formula>10.6</formula>
    </cfRule>
    <cfRule type="cellIs" dxfId="1128" priority="555" operator="between">
      <formula>6</formula>
      <formula>6.9</formula>
    </cfRule>
    <cfRule type="cellIs" dxfId="1127" priority="558" stopIfTrue="1" operator="between">
      <formula>8</formula>
      <formula>8.9</formula>
    </cfRule>
    <cfRule type="cellIs" dxfId="1126" priority="559" operator="between">
      <formula>9</formula>
      <formula>9.9</formula>
    </cfRule>
    <cfRule type="cellIs" dxfId="1125" priority="560" stopIfTrue="1" operator="between">
      <formula>10</formula>
      <formula>10</formula>
    </cfRule>
    <cfRule type="containsBlanks" dxfId="1124" priority="561" stopIfTrue="1">
      <formula>LEN(TRIM(B310))=0</formula>
    </cfRule>
  </conditionalFormatting>
  <conditionalFormatting sqref="B322">
    <cfRule type="colorScale" priority="499">
      <colorScale>
        <cfvo type="num" val="5"/>
        <cfvo type="num" val="10"/>
        <color rgb="FFFF494D"/>
        <color rgb="FF00FF66"/>
      </colorScale>
    </cfRule>
    <cfRule type="colorScale" priority="49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23:B341">
    <cfRule type="cellIs" dxfId="1123" priority="496" operator="between">
      <formula>9</formula>
      <formula>9.9</formula>
    </cfRule>
    <cfRule type="cellIs" dxfId="1122" priority="495" stopIfTrue="1" operator="between">
      <formula>8</formula>
      <formula>8.9</formula>
    </cfRule>
    <cfRule type="cellIs" dxfId="1121" priority="494" operator="between">
      <formula>7</formula>
      <formula>7.9</formula>
    </cfRule>
    <cfRule type="cellIs" dxfId="1120" priority="493" operator="between">
      <formula>10.1</formula>
      <formula>10.6</formula>
    </cfRule>
    <cfRule type="cellIs" dxfId="1119" priority="492" operator="between">
      <formula>5</formula>
      <formula>6.9</formula>
    </cfRule>
    <cfRule type="cellIs" dxfId="1118" priority="491" operator="between">
      <formula>2</formula>
      <formula>4.9</formula>
    </cfRule>
    <cfRule type="cellIs" dxfId="1117" priority="490" operator="lessThan">
      <formula>2</formula>
    </cfRule>
    <cfRule type="containsBlanks" dxfId="1116" priority="489" stopIfTrue="1">
      <formula>LEN(TRIM(B323))=0</formula>
    </cfRule>
    <cfRule type="cellIs" dxfId="1115" priority="497" stopIfTrue="1" operator="between">
      <formula>10</formula>
      <formula>10</formula>
    </cfRule>
  </conditionalFormatting>
  <conditionalFormatting sqref="B343">
    <cfRule type="colorScale" priority="402">
      <colorScale>
        <cfvo type="num" val="5"/>
        <cfvo type="num" val="10"/>
        <color rgb="FFFF494D"/>
        <color rgb="FF00FF66"/>
      </colorScale>
    </cfRule>
    <cfRule type="colorScale" priority="40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44:B358 B361:B377">
    <cfRule type="containsBlanks" dxfId="1114" priority="403" stopIfTrue="1">
      <formula>LEN(TRIM(B344))=0</formula>
    </cfRule>
    <cfRule type="cellIs" dxfId="1113" priority="404" operator="lessThan">
      <formula>2</formula>
    </cfRule>
    <cfRule type="cellIs" dxfId="1112" priority="405" operator="between">
      <formula>2</formula>
      <formula>4.9</formula>
    </cfRule>
    <cfRule type="cellIs" dxfId="1111" priority="406" operator="between">
      <formula>5</formula>
      <formula>6.9</formula>
    </cfRule>
    <cfRule type="cellIs" dxfId="1110" priority="407" operator="between">
      <formula>10.1</formula>
      <formula>10.6</formula>
    </cfRule>
    <cfRule type="cellIs" dxfId="1109" priority="408" operator="between">
      <formula>7</formula>
      <formula>7.9</formula>
    </cfRule>
    <cfRule type="cellIs" dxfId="1108" priority="409" stopIfTrue="1" operator="between">
      <formula>8</formula>
      <formula>8.9</formula>
    </cfRule>
    <cfRule type="cellIs" dxfId="1107" priority="410" operator="between">
      <formula>9</formula>
      <formula>9.9</formula>
    </cfRule>
    <cfRule type="cellIs" dxfId="1106" priority="411" stopIfTrue="1" operator="between">
      <formula>10</formula>
      <formula>10</formula>
    </cfRule>
  </conditionalFormatting>
  <conditionalFormatting sqref="B360">
    <cfRule type="colorScale" priority="367">
      <colorScale>
        <cfvo type="num" val="5"/>
        <cfvo type="num" val="10"/>
        <color rgb="FFFF494D"/>
        <color rgb="FF00FF66"/>
      </colorScale>
    </cfRule>
    <cfRule type="colorScale" priority="36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79">
    <cfRule type="colorScale" priority="276">
      <colorScale>
        <cfvo type="num" val="5"/>
        <cfvo type="num" val="10"/>
        <color rgb="FFFF494D"/>
        <color rgb="FF00FF66"/>
      </colorScale>
    </cfRule>
    <cfRule type="colorScale" priority="27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80:B387">
    <cfRule type="containsBlanks" dxfId="1105" priority="266" stopIfTrue="1">
      <formula>LEN(TRIM(B380))=0</formula>
    </cfRule>
    <cfRule type="cellIs" dxfId="1104" priority="273" operator="between">
      <formula>9</formula>
      <formula>9.9</formula>
    </cfRule>
    <cfRule type="cellIs" dxfId="1103" priority="274" stopIfTrue="1" operator="between">
      <formula>10</formula>
      <formula>10</formula>
    </cfRule>
    <cfRule type="cellIs" dxfId="1102" priority="272" stopIfTrue="1" operator="between">
      <formula>8</formula>
      <formula>8.9</formula>
    </cfRule>
    <cfRule type="cellIs" dxfId="1101" priority="271" operator="between">
      <formula>7</formula>
      <formula>7.9</formula>
    </cfRule>
    <cfRule type="cellIs" dxfId="1100" priority="270" operator="between">
      <formula>10.1</formula>
      <formula>10.6</formula>
    </cfRule>
    <cfRule type="cellIs" dxfId="1099" priority="269" operator="between">
      <formula>5</formula>
      <formula>6.9</formula>
    </cfRule>
    <cfRule type="cellIs" dxfId="1098" priority="268" operator="between">
      <formula>2</formula>
      <formula>4.9</formula>
    </cfRule>
    <cfRule type="cellIs" dxfId="1097" priority="267" operator="lessThan">
      <formula>2</formula>
    </cfRule>
  </conditionalFormatting>
  <conditionalFormatting sqref="B389">
    <cfRule type="colorScale" priority="2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1">
      <colorScale>
        <cfvo type="num" val="5"/>
        <cfvo type="num" val="10"/>
        <color rgb="FFFF494D"/>
        <color rgb="FF00FF66"/>
      </colorScale>
    </cfRule>
  </conditionalFormatting>
  <conditionalFormatting sqref="B390:B399">
    <cfRule type="cellIs" dxfId="1096" priority="210" stopIfTrue="1" operator="between">
      <formula>10</formula>
      <formula>10</formula>
    </cfRule>
    <cfRule type="cellIs" dxfId="1095" priority="204" operator="between">
      <formula>2</formula>
      <formula>4.9</formula>
    </cfRule>
    <cfRule type="cellIs" dxfId="1094" priority="209" operator="between">
      <formula>9</formula>
      <formula>9.9</formula>
    </cfRule>
    <cfRule type="cellIs" dxfId="1093" priority="208" stopIfTrue="1" operator="between">
      <formula>8</formula>
      <formula>8.9</formula>
    </cfRule>
    <cfRule type="cellIs" dxfId="1092" priority="207" operator="between">
      <formula>7</formula>
      <formula>7.9</formula>
    </cfRule>
    <cfRule type="cellIs" dxfId="1091" priority="206" operator="between">
      <formula>10.1</formula>
      <formula>10.6</formula>
    </cfRule>
    <cfRule type="cellIs" dxfId="1090" priority="205" operator="between">
      <formula>5</formula>
      <formula>6.9</formula>
    </cfRule>
    <cfRule type="containsBlanks" dxfId="1089" priority="202" stopIfTrue="1">
      <formula>LEN(TRIM(B390))=0</formula>
    </cfRule>
    <cfRule type="cellIs" dxfId="1088" priority="203" operator="lessThan">
      <formula>2</formula>
    </cfRule>
  </conditionalFormatting>
  <conditionalFormatting sqref="B401">
    <cfRule type="colorScale" priority="1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6">
      <colorScale>
        <cfvo type="num" val="5"/>
        <cfvo type="num" val="10"/>
        <color rgb="FFFF494D"/>
        <color rgb="FF00FF66"/>
      </colorScale>
    </cfRule>
  </conditionalFormatting>
  <conditionalFormatting sqref="B402:B407">
    <cfRule type="cellIs" dxfId="1087" priority="159" operator="between">
      <formula>5</formula>
      <formula>6.9</formula>
    </cfRule>
    <cfRule type="cellIs" dxfId="1086" priority="161" operator="between">
      <formula>7</formula>
      <formula>7.9</formula>
    </cfRule>
    <cfRule type="containsBlanks" dxfId="1085" priority="156" stopIfTrue="1">
      <formula>LEN(TRIM(B402))=0</formula>
    </cfRule>
    <cfRule type="cellIs" dxfId="1084" priority="157" operator="lessThan">
      <formula>2</formula>
    </cfRule>
    <cfRule type="cellIs" dxfId="1083" priority="158" operator="between">
      <formula>2</formula>
      <formula>4.9</formula>
    </cfRule>
    <cfRule type="cellIs" dxfId="1082" priority="162" stopIfTrue="1" operator="between">
      <formula>8</formula>
      <formula>8.9</formula>
    </cfRule>
    <cfRule type="cellIs" dxfId="1081" priority="163" operator="between">
      <formula>9</formula>
      <formula>9.9</formula>
    </cfRule>
    <cfRule type="cellIs" dxfId="1080" priority="164" stopIfTrue="1" operator="between">
      <formula>10</formula>
      <formula>10</formula>
    </cfRule>
    <cfRule type="cellIs" dxfId="1079" priority="160" operator="between">
      <formula>10.1</formula>
      <formula>10.6</formula>
    </cfRule>
  </conditionalFormatting>
  <conditionalFormatting sqref="B409">
    <cfRule type="colorScale" priority="124">
      <colorScale>
        <cfvo type="num" val="5"/>
        <cfvo type="num" val="10"/>
        <color rgb="FFFF494D"/>
        <color rgb="FF00FF66"/>
      </colorScale>
    </cfRule>
    <cfRule type="colorScale" priority="12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10:B426">
    <cfRule type="containsBlanks" dxfId="1078" priority="125" stopIfTrue="1">
      <formula>LEN(TRIM(B410))=0</formula>
    </cfRule>
    <cfRule type="cellIs" dxfId="1077" priority="126" operator="lessThan">
      <formula>2</formula>
    </cfRule>
    <cfRule type="cellIs" dxfId="1076" priority="127" operator="between">
      <formula>2</formula>
      <formula>4.9</formula>
    </cfRule>
    <cfRule type="cellIs" dxfId="1075" priority="128" operator="between">
      <formula>5</formula>
      <formula>6.9</formula>
    </cfRule>
    <cfRule type="cellIs" dxfId="1074" priority="129" operator="between">
      <formula>10.1</formula>
      <formula>10.6</formula>
    </cfRule>
    <cfRule type="cellIs" dxfId="1073" priority="130" operator="between">
      <formula>7</formula>
      <formula>7.9</formula>
    </cfRule>
    <cfRule type="cellIs" dxfId="1072" priority="133" stopIfTrue="1" operator="between">
      <formula>10</formula>
      <formula>10</formula>
    </cfRule>
    <cfRule type="cellIs" dxfId="1071" priority="132" operator="between">
      <formula>9</formula>
      <formula>9.9</formula>
    </cfRule>
    <cfRule type="cellIs" dxfId="1070" priority="131" stopIfTrue="1" operator="between">
      <formula>8</formula>
      <formula>8.9</formula>
    </cfRule>
  </conditionalFormatting>
  <conditionalFormatting sqref="B428">
    <cfRule type="colorScale" priority="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">
      <colorScale>
        <cfvo type="num" val="5"/>
        <cfvo type="num" val="10"/>
        <color rgb="FFFF494D"/>
        <color rgb="FF00FF66"/>
      </colorScale>
    </cfRule>
  </conditionalFormatting>
  <conditionalFormatting sqref="B429:B439">
    <cfRule type="cellIs" dxfId="1069" priority="22" stopIfTrue="1" operator="between">
      <formula>10</formula>
      <formula>10</formula>
    </cfRule>
    <cfRule type="containsBlanks" dxfId="1068" priority="14" stopIfTrue="1">
      <formula>LEN(TRIM(B429))=0</formula>
    </cfRule>
    <cfRule type="cellIs" dxfId="1067" priority="20" stopIfTrue="1" operator="between">
      <formula>8</formula>
      <formula>8.9</formula>
    </cfRule>
    <cfRule type="cellIs" dxfId="1066" priority="19" operator="between">
      <formula>7</formula>
      <formula>7.9</formula>
    </cfRule>
    <cfRule type="cellIs" dxfId="1065" priority="18" operator="between">
      <formula>10.1</formula>
      <formula>10.6</formula>
    </cfRule>
    <cfRule type="cellIs" dxfId="1064" priority="17" operator="between">
      <formula>5</formula>
      <formula>6.9</formula>
    </cfRule>
    <cfRule type="cellIs" dxfId="1063" priority="16" operator="between">
      <formula>2</formula>
      <formula>4.9</formula>
    </cfRule>
    <cfRule type="cellIs" dxfId="1062" priority="15" operator="lessThan">
      <formula>2</formula>
    </cfRule>
    <cfRule type="cellIs" dxfId="1061" priority="21" operator="between">
      <formula>9</formula>
      <formula>9.9</formula>
    </cfRule>
  </conditionalFormatting>
  <conditionalFormatting sqref="E3:E12">
    <cfRule type="cellIs" dxfId="1060" priority="1621" operator="between">
      <formula>7</formula>
      <formula>7.9</formula>
    </cfRule>
    <cfRule type="cellIs" dxfId="1059" priority="1622" stopIfTrue="1" operator="between">
      <formula>8</formula>
      <formula>8.9</formula>
    </cfRule>
    <cfRule type="cellIs" dxfId="1058" priority="1624" stopIfTrue="1" operator="between">
      <formula>10</formula>
      <formula>10</formula>
    </cfRule>
    <cfRule type="cellIs" dxfId="1057" priority="1620" operator="between">
      <formula>10.1</formula>
      <formula>10.6</formula>
    </cfRule>
    <cfRule type="cellIs" dxfId="1056" priority="1623" operator="between">
      <formula>9</formula>
      <formula>9.9</formula>
    </cfRule>
    <cfRule type="containsBlanks" dxfId="1055" priority="1625" stopIfTrue="1">
      <formula>LEN(TRIM(E3))=0</formula>
    </cfRule>
  </conditionalFormatting>
  <conditionalFormatting sqref="E15:E28">
    <cfRule type="containsBlanks" dxfId="1054" priority="934" stopIfTrue="1">
      <formula>LEN(TRIM(E15))=0</formula>
    </cfRule>
    <cfRule type="cellIs" dxfId="1053" priority="933" stopIfTrue="1" operator="between">
      <formula>10</formula>
      <formula>10</formula>
    </cfRule>
    <cfRule type="cellIs" dxfId="1052" priority="932" operator="between">
      <formula>9</formula>
      <formula>9.9</formula>
    </cfRule>
    <cfRule type="cellIs" dxfId="1051" priority="931" stopIfTrue="1" operator="between">
      <formula>8</formula>
      <formula>8.9</formula>
    </cfRule>
    <cfRule type="cellIs" dxfId="1050" priority="930" operator="between">
      <formula>7</formula>
      <formula>7.9</formula>
    </cfRule>
  </conditionalFormatting>
  <conditionalFormatting sqref="E16">
    <cfRule type="cellIs" dxfId="1049" priority="929" operator="between">
      <formula>10.1</formula>
      <formula>10.6</formula>
    </cfRule>
  </conditionalFormatting>
  <conditionalFormatting sqref="E31:E37">
    <cfRule type="cellIs" dxfId="1048" priority="1584" operator="between">
      <formula>10.1</formula>
      <formula>10.6</formula>
    </cfRule>
    <cfRule type="containsBlanks" dxfId="1047" priority="1589" stopIfTrue="1">
      <formula>LEN(TRIM(E31))=0</formula>
    </cfRule>
    <cfRule type="cellIs" dxfId="1046" priority="1588" stopIfTrue="1" operator="between">
      <formula>10</formula>
      <formula>10</formula>
    </cfRule>
    <cfRule type="cellIs" dxfId="1045" priority="1587" operator="between">
      <formula>9</formula>
      <formula>9.9</formula>
    </cfRule>
    <cfRule type="cellIs" dxfId="1044" priority="1586" stopIfTrue="1" operator="between">
      <formula>8</formula>
      <formula>8.9</formula>
    </cfRule>
    <cfRule type="cellIs" dxfId="1043" priority="1585" operator="between">
      <formula>7</formula>
      <formula>7.9</formula>
    </cfRule>
  </conditionalFormatting>
  <conditionalFormatting sqref="E39">
    <cfRule type="colorScale" priority="1985">
      <colorScale>
        <cfvo type="num" val="5"/>
        <cfvo type="num" val="10"/>
        <color rgb="FFFF494D"/>
        <color rgb="FF00FF66"/>
      </colorScale>
    </cfRule>
    <cfRule type="colorScale" priority="19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0:E52">
    <cfRule type="cellIs" dxfId="1042" priority="1699" stopIfTrue="1" operator="between">
      <formula>10</formula>
      <formula>10</formula>
    </cfRule>
    <cfRule type="cellIs" dxfId="1041" priority="1698" operator="between">
      <formula>9</formula>
      <formula>9.9</formula>
    </cfRule>
    <cfRule type="cellIs" dxfId="1040" priority="1697" stopIfTrue="1" operator="between">
      <formula>8</formula>
      <formula>8.9</formula>
    </cfRule>
    <cfRule type="cellIs" dxfId="1039" priority="1696" operator="between">
      <formula>7</formula>
      <formula>7.9</formula>
    </cfRule>
  </conditionalFormatting>
  <conditionalFormatting sqref="E54">
    <cfRule type="colorScale" priority="1628">
      <colorScale>
        <cfvo type="num" val="5"/>
        <cfvo type="num" val="10"/>
        <color rgb="FFFF494D"/>
        <color rgb="FF00FF66"/>
      </colorScale>
    </cfRule>
    <cfRule type="colorScale" priority="162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5:E63">
    <cfRule type="containsBlanks" dxfId="1038" priority="1571" stopIfTrue="1">
      <formula>LEN(TRIM(E55))=0</formula>
    </cfRule>
    <cfRule type="cellIs" dxfId="1037" priority="1570" stopIfTrue="1" operator="between">
      <formula>10</formula>
      <formula>10</formula>
    </cfRule>
    <cfRule type="cellIs" dxfId="1036" priority="1569" operator="between">
      <formula>9</formula>
      <formula>9.9</formula>
    </cfRule>
    <cfRule type="cellIs" dxfId="1035" priority="1568" stopIfTrue="1" operator="between">
      <formula>8</formula>
      <formula>8.9</formula>
    </cfRule>
    <cfRule type="cellIs" dxfId="1034" priority="1567" operator="between">
      <formula>7</formula>
      <formula>7.9</formula>
    </cfRule>
    <cfRule type="cellIs" dxfId="1033" priority="1566" operator="between">
      <formula>10.1</formula>
      <formula>10.6</formula>
    </cfRule>
  </conditionalFormatting>
  <conditionalFormatting sqref="E65">
    <cfRule type="colorScale" priority="14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98">
      <colorScale>
        <cfvo type="num" val="5"/>
        <cfvo type="num" val="10"/>
        <color rgb="FFFF494D"/>
        <color rgb="FF00FF66"/>
      </colorScale>
    </cfRule>
  </conditionalFormatting>
  <conditionalFormatting sqref="E66:E78">
    <cfRule type="cellIs" dxfId="1032" priority="1502" operator="between">
      <formula>9</formula>
      <formula>9.9</formula>
    </cfRule>
    <cfRule type="cellIs" dxfId="1031" priority="1499" operator="between">
      <formula>10.1</formula>
      <formula>10.6</formula>
    </cfRule>
    <cfRule type="cellIs" dxfId="1030" priority="1500" operator="between">
      <formula>7</formula>
      <formula>7.9</formula>
    </cfRule>
    <cfRule type="cellIs" dxfId="1029" priority="1501" stopIfTrue="1" operator="between">
      <formula>8</formula>
      <formula>8.9</formula>
    </cfRule>
    <cfRule type="containsBlanks" dxfId="1028" priority="1504" stopIfTrue="1">
      <formula>LEN(TRIM(E66))=0</formula>
    </cfRule>
    <cfRule type="cellIs" dxfId="1027" priority="1503" stopIfTrue="1" operator="between">
      <formula>10</formula>
      <formula>10</formula>
    </cfRule>
  </conditionalFormatting>
  <conditionalFormatting sqref="E80">
    <cfRule type="colorScale" priority="1427">
      <colorScale>
        <cfvo type="num" val="5"/>
        <cfvo type="num" val="10"/>
        <color rgb="FFFF494D"/>
        <color rgb="FF00FF66"/>
      </colorScale>
    </cfRule>
    <cfRule type="colorScale" priority="142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81:E99">
    <cfRule type="containsBlanks" dxfId="1026" priority="1425" stopIfTrue="1">
      <formula>LEN(TRIM(E81))=0</formula>
    </cfRule>
    <cfRule type="cellIs" dxfId="1025" priority="1422" stopIfTrue="1" operator="between">
      <formula>8</formula>
      <formula>8.9</formula>
    </cfRule>
    <cfRule type="cellIs" dxfId="1024" priority="1420" operator="between">
      <formula>10.1</formula>
      <formula>10.6</formula>
    </cfRule>
    <cfRule type="cellIs" dxfId="1023" priority="1421" operator="between">
      <formula>7</formula>
      <formula>7.9</formula>
    </cfRule>
    <cfRule type="cellIs" dxfId="1022" priority="1423" operator="between">
      <formula>9</formula>
      <formula>9.9</formula>
    </cfRule>
    <cfRule type="cellIs" dxfId="1021" priority="1424" stopIfTrue="1" operator="between">
      <formula>10</formula>
      <formula>10</formula>
    </cfRule>
  </conditionalFormatting>
  <conditionalFormatting sqref="E101">
    <cfRule type="colorScale" priority="13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41">
      <colorScale>
        <cfvo type="num" val="5"/>
        <cfvo type="num" val="10"/>
        <color rgb="FFFF494D"/>
        <color rgb="FF00FF66"/>
      </colorScale>
    </cfRule>
  </conditionalFormatting>
  <conditionalFormatting sqref="E102:E115">
    <cfRule type="cellIs" dxfId="1020" priority="1345" operator="between">
      <formula>9</formula>
      <formula>9.9</formula>
    </cfRule>
    <cfRule type="cellIs" dxfId="1019" priority="1343" operator="between">
      <formula>7</formula>
      <formula>7.9</formula>
    </cfRule>
    <cfRule type="cellIs" dxfId="1018" priority="1346" stopIfTrue="1" operator="between">
      <formula>10</formula>
      <formula>10</formula>
    </cfRule>
    <cfRule type="cellIs" dxfId="1017" priority="1344" stopIfTrue="1" operator="between">
      <formula>8</formula>
      <formula>8.9</formula>
    </cfRule>
    <cfRule type="containsBlanks" dxfId="1016" priority="1347" stopIfTrue="1">
      <formula>LEN(TRIM(E102))=0</formula>
    </cfRule>
    <cfRule type="cellIs" dxfId="1015" priority="1342" operator="between">
      <formula>10.1</formula>
      <formula>10.6</formula>
    </cfRule>
  </conditionalFormatting>
  <conditionalFormatting sqref="E117">
    <cfRule type="colorScale" priority="1283">
      <colorScale>
        <cfvo type="num" val="5"/>
        <cfvo type="num" val="10"/>
        <color rgb="FFFF494D"/>
        <color rgb="FF00FF66"/>
      </colorScale>
    </cfRule>
    <cfRule type="colorScale" priority="128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18:E126">
    <cfRule type="cellIs" dxfId="1014" priority="1275" operator="between">
      <formula>6</formula>
      <formula>6.9</formula>
    </cfRule>
    <cfRule type="cellIs" dxfId="1013" priority="1276" operator="between">
      <formula>10.1</formula>
      <formula>10.6</formula>
    </cfRule>
    <cfRule type="cellIs" dxfId="1012" priority="1277" operator="between">
      <formula>7</formula>
      <formula>7.9</formula>
    </cfRule>
    <cfRule type="cellIs" dxfId="1011" priority="1278" stopIfTrue="1" operator="between">
      <formula>8</formula>
      <formula>8.9</formula>
    </cfRule>
    <cfRule type="cellIs" dxfId="1010" priority="1279" operator="between">
      <formula>9</formula>
      <formula>9.9</formula>
    </cfRule>
    <cfRule type="cellIs" dxfId="1009" priority="1280" stopIfTrue="1" operator="between">
      <formula>10</formula>
      <formula>10</formula>
    </cfRule>
    <cfRule type="containsBlanks" dxfId="1008" priority="1281" stopIfTrue="1">
      <formula>LEN(TRIM(E118))=0</formula>
    </cfRule>
  </conditionalFormatting>
  <conditionalFormatting sqref="E128">
    <cfRule type="colorScale" priority="12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50">
      <colorScale>
        <cfvo type="num" val="5"/>
        <cfvo type="num" val="10"/>
        <color rgb="FFFF494D"/>
        <color rgb="FF00FF66"/>
      </colorScale>
    </cfRule>
  </conditionalFormatting>
  <conditionalFormatting sqref="E129:E144">
    <cfRule type="cellIs" dxfId="1007" priority="1247" stopIfTrue="1" operator="between">
      <formula>10</formula>
      <formula>10</formula>
    </cfRule>
    <cfRule type="containsBlanks" dxfId="1006" priority="1248" stopIfTrue="1">
      <formula>LEN(TRIM(E129))=0</formula>
    </cfRule>
    <cfRule type="cellIs" dxfId="1005" priority="1245" stopIfTrue="1" operator="between">
      <formula>8</formula>
      <formula>8.9</formula>
    </cfRule>
    <cfRule type="cellIs" dxfId="1004" priority="1244" operator="between">
      <formula>7</formula>
      <formula>7.9</formula>
    </cfRule>
    <cfRule type="cellIs" dxfId="1003" priority="1243" operator="between">
      <formula>10.1</formula>
      <formula>10.6</formula>
    </cfRule>
    <cfRule type="cellIs" dxfId="1002" priority="1242" operator="between">
      <formula>6</formula>
      <formula>6.9</formula>
    </cfRule>
    <cfRule type="cellIs" dxfId="1001" priority="1246" operator="between">
      <formula>9</formula>
      <formula>9.9</formula>
    </cfRule>
  </conditionalFormatting>
  <conditionalFormatting sqref="E146">
    <cfRule type="colorScale" priority="11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63">
      <colorScale>
        <cfvo type="num" val="5"/>
        <cfvo type="num" val="10"/>
        <color rgb="FFFF494D"/>
        <color rgb="FF00FF66"/>
      </colorScale>
    </cfRule>
  </conditionalFormatting>
  <conditionalFormatting sqref="E147:E159">
    <cfRule type="cellIs" dxfId="1000" priority="1155" operator="between">
      <formula>6</formula>
      <formula>6.9</formula>
    </cfRule>
    <cfRule type="containsBlanks" dxfId="999" priority="1161" stopIfTrue="1">
      <formula>LEN(TRIM(E147))=0</formula>
    </cfRule>
    <cfRule type="cellIs" dxfId="998" priority="1156" operator="between">
      <formula>10.1</formula>
      <formula>10.6</formula>
    </cfRule>
    <cfRule type="cellIs" dxfId="997" priority="1160" stopIfTrue="1" operator="between">
      <formula>10</formula>
      <formula>10</formula>
    </cfRule>
    <cfRule type="cellIs" dxfId="996" priority="1159" operator="between">
      <formula>9</formula>
      <formula>9.9</formula>
    </cfRule>
    <cfRule type="cellIs" dxfId="995" priority="1158" stopIfTrue="1" operator="between">
      <formula>8</formula>
      <formula>8.9</formula>
    </cfRule>
    <cfRule type="cellIs" dxfId="994" priority="1157" operator="between">
      <formula>7</formula>
      <formula>7.9</formula>
    </cfRule>
  </conditionalFormatting>
  <conditionalFormatting sqref="E161">
    <cfRule type="colorScale" priority="1127">
      <colorScale>
        <cfvo type="num" val="5"/>
        <cfvo type="num" val="10"/>
        <color rgb="FFFF494D"/>
        <color rgb="FF00FF66"/>
      </colorScale>
    </cfRule>
    <cfRule type="colorScale" priority="112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62:E170">
    <cfRule type="containsBlanks" dxfId="993" priority="1125" stopIfTrue="1">
      <formula>LEN(TRIM(E162))=0</formula>
    </cfRule>
    <cfRule type="cellIs" dxfId="992" priority="1120" operator="between">
      <formula>10.1</formula>
      <formula>10.6</formula>
    </cfRule>
    <cfRule type="cellIs" dxfId="991" priority="1122" stopIfTrue="1" operator="between">
      <formula>8</formula>
      <formula>8.9</formula>
    </cfRule>
    <cfRule type="cellIs" dxfId="990" priority="1123" operator="between">
      <formula>9</formula>
      <formula>9.9</formula>
    </cfRule>
    <cfRule type="cellIs" dxfId="989" priority="1124" stopIfTrue="1" operator="between">
      <formula>10</formula>
      <formula>10</formula>
    </cfRule>
    <cfRule type="cellIs" dxfId="988" priority="1119" operator="between">
      <formula>6</formula>
      <formula>6.9</formula>
    </cfRule>
    <cfRule type="cellIs" dxfId="987" priority="1121" operator="between">
      <formula>7</formula>
      <formula>7.9</formula>
    </cfRule>
  </conditionalFormatting>
  <conditionalFormatting sqref="E172">
    <cfRule type="colorScale" priority="10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82">
      <colorScale>
        <cfvo type="num" val="5"/>
        <cfvo type="num" val="10"/>
        <color rgb="FFFF494D"/>
        <color rgb="FF00FF66"/>
      </colorScale>
    </cfRule>
  </conditionalFormatting>
  <conditionalFormatting sqref="E173:E184">
    <cfRule type="cellIs" dxfId="986" priority="1074" operator="between">
      <formula>6</formula>
      <formula>6.9</formula>
    </cfRule>
    <cfRule type="cellIs" dxfId="985" priority="1075" operator="between">
      <formula>10.1</formula>
      <formula>10.6</formula>
    </cfRule>
    <cfRule type="cellIs" dxfId="984" priority="1076" operator="between">
      <formula>7</formula>
      <formula>7.9</formula>
    </cfRule>
    <cfRule type="cellIs" dxfId="983" priority="1077" stopIfTrue="1" operator="between">
      <formula>8</formula>
      <formula>8.9</formula>
    </cfRule>
    <cfRule type="cellIs" dxfId="982" priority="1078" operator="between">
      <formula>9</formula>
      <formula>9.9</formula>
    </cfRule>
    <cfRule type="cellIs" dxfId="981" priority="1079" stopIfTrue="1" operator="between">
      <formula>10</formula>
      <formula>10</formula>
    </cfRule>
    <cfRule type="containsBlanks" dxfId="980" priority="1080" stopIfTrue="1">
      <formula>LEN(TRIM(E173))=0</formula>
    </cfRule>
  </conditionalFormatting>
  <conditionalFormatting sqref="E186">
    <cfRule type="colorScale" priority="1020">
      <colorScale>
        <cfvo type="num" val="5"/>
        <cfvo type="num" val="10"/>
        <color rgb="FFFF494D"/>
        <color rgb="FF00FF66"/>
      </colorScale>
    </cfRule>
    <cfRule type="colorScale" priority="101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87:E199">
    <cfRule type="cellIs" dxfId="979" priority="1014" operator="between">
      <formula>7</formula>
      <formula>7.9</formula>
    </cfRule>
    <cfRule type="cellIs" dxfId="978" priority="1012" operator="between">
      <formula>6</formula>
      <formula>6.9</formula>
    </cfRule>
    <cfRule type="cellIs" dxfId="977" priority="1017" stopIfTrue="1" operator="between">
      <formula>10</formula>
      <formula>10</formula>
    </cfRule>
    <cfRule type="cellIs" dxfId="976" priority="1016" operator="between">
      <formula>9</formula>
      <formula>9.9</formula>
    </cfRule>
    <cfRule type="cellIs" dxfId="975" priority="1015" stopIfTrue="1" operator="between">
      <formula>8</formula>
      <formula>8.9</formula>
    </cfRule>
    <cfRule type="cellIs" dxfId="974" priority="1013" operator="between">
      <formula>10.1</formula>
      <formula>10.6</formula>
    </cfRule>
    <cfRule type="containsBlanks" dxfId="973" priority="1018" stopIfTrue="1">
      <formula>LEN(TRIM(E187))=0</formula>
    </cfRule>
  </conditionalFormatting>
  <conditionalFormatting sqref="E201">
    <cfRule type="colorScale" priority="966">
      <colorScale>
        <cfvo type="num" val="5"/>
        <cfvo type="num" val="10"/>
        <color rgb="FFFF494D"/>
        <color rgb="FF00FF66"/>
      </colorScale>
    </cfRule>
    <cfRule type="colorScale" priority="96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02:E211">
    <cfRule type="cellIs" dxfId="972" priority="959" operator="between">
      <formula>10.1</formula>
      <formula>11</formula>
    </cfRule>
    <cfRule type="cellIs" dxfId="971" priority="960" operator="between">
      <formula>7</formula>
      <formula>7.9</formula>
    </cfRule>
    <cfRule type="cellIs" dxfId="970" priority="958" operator="between">
      <formula>6</formula>
      <formula>6.9</formula>
    </cfRule>
    <cfRule type="cellIs" dxfId="969" priority="962" operator="between">
      <formula>9</formula>
      <formula>9.9</formula>
    </cfRule>
    <cfRule type="cellIs" dxfId="968" priority="963" stopIfTrue="1" operator="between">
      <formula>10</formula>
      <formula>10</formula>
    </cfRule>
    <cfRule type="containsBlanks" dxfId="967" priority="964" stopIfTrue="1">
      <formula>LEN(TRIM(E202))=0</formula>
    </cfRule>
    <cfRule type="cellIs" dxfId="966" priority="961" stopIfTrue="1" operator="between">
      <formula>8</formula>
      <formula>8.9</formula>
    </cfRule>
  </conditionalFormatting>
  <conditionalFormatting sqref="E213">
    <cfRule type="colorScale" priority="9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2">
      <colorScale>
        <cfvo type="num" val="5"/>
        <cfvo type="num" val="10"/>
        <color rgb="FFFF494D"/>
        <color rgb="FF00FF66"/>
      </colorScale>
    </cfRule>
  </conditionalFormatting>
  <conditionalFormatting sqref="E214:E227">
    <cfRule type="cellIs" dxfId="965" priority="913" operator="between">
      <formula>6</formula>
      <formula>6.9</formula>
    </cfRule>
    <cfRule type="cellIs" dxfId="964" priority="914" operator="between">
      <formula>10.1</formula>
      <formula>10.6</formula>
    </cfRule>
    <cfRule type="cellIs" dxfId="963" priority="915" operator="between">
      <formula>7</formula>
      <formula>7.9</formula>
    </cfRule>
    <cfRule type="cellIs" dxfId="962" priority="916" stopIfTrue="1" operator="between">
      <formula>8</formula>
      <formula>8.9</formula>
    </cfRule>
    <cfRule type="cellIs" dxfId="961" priority="917" operator="between">
      <formula>9</formula>
      <formula>9.9</formula>
    </cfRule>
    <cfRule type="cellIs" dxfId="960" priority="918" stopIfTrue="1" operator="between">
      <formula>10</formula>
      <formula>10</formula>
    </cfRule>
    <cfRule type="containsBlanks" dxfId="959" priority="919" stopIfTrue="1">
      <formula>LEN(TRIM(E214))=0</formula>
    </cfRule>
  </conditionalFormatting>
  <conditionalFormatting sqref="E229">
    <cfRule type="colorScale" priority="8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81">
      <colorScale>
        <cfvo type="num" val="5"/>
        <cfvo type="num" val="10"/>
        <color rgb="FFFF494D"/>
        <color rgb="FF00FF66"/>
      </colorScale>
    </cfRule>
  </conditionalFormatting>
  <conditionalFormatting sqref="E230:E235">
    <cfRule type="containsBlanks" dxfId="958" priority="879" stopIfTrue="1">
      <formula>LEN(TRIM(E230))=0</formula>
    </cfRule>
    <cfRule type="cellIs" dxfId="957" priority="878" stopIfTrue="1" operator="between">
      <formula>10</formula>
      <formula>10</formula>
    </cfRule>
    <cfRule type="cellIs" dxfId="956" priority="877" operator="between">
      <formula>9</formula>
      <formula>9.9</formula>
    </cfRule>
    <cfRule type="cellIs" dxfId="955" priority="876" stopIfTrue="1" operator="between">
      <formula>8</formula>
      <formula>8.9</formula>
    </cfRule>
    <cfRule type="cellIs" dxfId="954" priority="875" operator="between">
      <formula>7</formula>
      <formula>7.9</formula>
    </cfRule>
    <cfRule type="cellIs" dxfId="953" priority="874" operator="between">
      <formula>10.1</formula>
      <formula>10.6</formula>
    </cfRule>
    <cfRule type="cellIs" dxfId="952" priority="873" operator="between">
      <formula>6</formula>
      <formula>6.9</formula>
    </cfRule>
  </conditionalFormatting>
  <conditionalFormatting sqref="E237">
    <cfRule type="colorScale" priority="8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31">
      <colorScale>
        <cfvo type="num" val="5"/>
        <cfvo type="num" val="10"/>
        <color rgb="FFFF494D"/>
        <color rgb="FF00FF66"/>
      </colorScale>
    </cfRule>
  </conditionalFormatting>
  <conditionalFormatting sqref="E238:E252 E255:E264">
    <cfRule type="containsBlanks" dxfId="951" priority="838" stopIfTrue="1">
      <formula>LEN(TRIM(E238))=0</formula>
    </cfRule>
    <cfRule type="cellIs" dxfId="950" priority="837" stopIfTrue="1" operator="between">
      <formula>10</formula>
      <formula>10</formula>
    </cfRule>
    <cfRule type="cellIs" dxfId="949" priority="836" operator="between">
      <formula>9</formula>
      <formula>9.9</formula>
    </cfRule>
    <cfRule type="cellIs" dxfId="948" priority="835" stopIfTrue="1" operator="between">
      <formula>8</formula>
      <formula>8.9</formula>
    </cfRule>
    <cfRule type="cellIs" dxfId="947" priority="834" operator="between">
      <formula>7</formula>
      <formula>7.9</formula>
    </cfRule>
    <cfRule type="cellIs" dxfId="946" priority="833" operator="between">
      <formula>10.1</formula>
      <formula>10.6</formula>
    </cfRule>
    <cfRule type="cellIs" dxfId="945" priority="832" operator="between">
      <formula>6</formula>
      <formula>6.9</formula>
    </cfRule>
  </conditionalFormatting>
  <conditionalFormatting sqref="E254">
    <cfRule type="colorScale" priority="7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75">
      <colorScale>
        <cfvo type="num" val="5"/>
        <cfvo type="num" val="10"/>
        <color rgb="FFFF494D"/>
        <color rgb="FF00FF66"/>
      </colorScale>
    </cfRule>
  </conditionalFormatting>
  <conditionalFormatting sqref="E266">
    <cfRule type="colorScale" priority="737">
      <colorScale>
        <cfvo type="num" val="5"/>
        <cfvo type="num" val="10"/>
        <color rgb="FFFF494D"/>
        <color rgb="FF00FF66"/>
      </colorScale>
    </cfRule>
    <cfRule type="colorScale" priority="73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67:E276">
    <cfRule type="cellIs" dxfId="944" priority="738" operator="between">
      <formula>6</formula>
      <formula>6.9</formula>
    </cfRule>
    <cfRule type="cellIs" dxfId="943" priority="743" stopIfTrue="1" operator="between">
      <formula>10</formula>
      <formula>10</formula>
    </cfRule>
    <cfRule type="containsBlanks" dxfId="942" priority="744" stopIfTrue="1">
      <formula>LEN(TRIM(E267))=0</formula>
    </cfRule>
    <cfRule type="cellIs" dxfId="941" priority="742" operator="between">
      <formula>9</formula>
      <formula>9.9</formula>
    </cfRule>
    <cfRule type="cellIs" dxfId="940" priority="739" operator="between">
      <formula>10.1</formula>
      <formula>10.6</formula>
    </cfRule>
    <cfRule type="cellIs" dxfId="939" priority="740" operator="between">
      <formula>7</formula>
      <formula>7.9</formula>
    </cfRule>
    <cfRule type="cellIs" dxfId="938" priority="741" stopIfTrue="1" operator="between">
      <formula>8</formula>
      <formula>8.9</formula>
    </cfRule>
  </conditionalFormatting>
  <conditionalFormatting sqref="E278">
    <cfRule type="colorScale" priority="693">
      <colorScale>
        <cfvo type="num" val="5"/>
        <cfvo type="num" val="10"/>
        <color rgb="FFFF494D"/>
        <color rgb="FF00FF66"/>
      </colorScale>
    </cfRule>
    <cfRule type="colorScale" priority="69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79:E286">
    <cfRule type="containsBlanks" dxfId="937" priority="691" stopIfTrue="1">
      <formula>LEN(TRIM(E279))=0</formula>
    </cfRule>
    <cfRule type="cellIs" dxfId="936" priority="690" stopIfTrue="1" operator="between">
      <formula>10</formula>
      <formula>10</formula>
    </cfRule>
    <cfRule type="cellIs" dxfId="935" priority="689" operator="between">
      <formula>9</formula>
      <formula>9.9</formula>
    </cfRule>
    <cfRule type="cellIs" dxfId="934" priority="688" stopIfTrue="1" operator="between">
      <formula>8</formula>
      <formula>8.9</formula>
    </cfRule>
    <cfRule type="cellIs" dxfId="933" priority="687" operator="between">
      <formula>7</formula>
      <formula>7.9</formula>
    </cfRule>
    <cfRule type="cellIs" dxfId="932" priority="686" operator="between">
      <formula>10.1</formula>
      <formula>10.6</formula>
    </cfRule>
    <cfRule type="cellIs" dxfId="931" priority="685" operator="between">
      <formula>6</formula>
      <formula>6.9</formula>
    </cfRule>
  </conditionalFormatting>
  <conditionalFormatting sqref="E288">
    <cfRule type="colorScale" priority="6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5">
      <colorScale>
        <cfvo type="num" val="5"/>
        <cfvo type="num" val="10"/>
        <color rgb="FFFF494D"/>
        <color rgb="FF00FF66"/>
      </colorScale>
    </cfRule>
  </conditionalFormatting>
  <conditionalFormatting sqref="E289:E297">
    <cfRule type="cellIs" dxfId="930" priority="642" stopIfTrue="1" operator="between">
      <formula>10</formula>
      <formula>10</formula>
    </cfRule>
    <cfRule type="cellIs" dxfId="929" priority="637" operator="between">
      <formula>6</formula>
      <formula>6.9</formula>
    </cfRule>
    <cfRule type="cellIs" dxfId="928" priority="638" operator="between">
      <formula>10.1</formula>
      <formula>10.6</formula>
    </cfRule>
    <cfRule type="cellIs" dxfId="927" priority="639" operator="between">
      <formula>7</formula>
      <formula>7.9</formula>
    </cfRule>
    <cfRule type="cellIs" dxfId="926" priority="640" stopIfTrue="1" operator="between">
      <formula>8</formula>
      <formula>8.9</formula>
    </cfRule>
    <cfRule type="cellIs" dxfId="925" priority="641" operator="between">
      <formula>9</formula>
      <formula>9.9</formula>
    </cfRule>
    <cfRule type="containsBlanks" dxfId="924" priority="643" stopIfTrue="1">
      <formula>LEN(TRIM(E289))=0</formula>
    </cfRule>
  </conditionalFormatting>
  <conditionalFormatting sqref="E299">
    <cfRule type="colorScale" priority="5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94">
      <colorScale>
        <cfvo type="num" val="5"/>
        <cfvo type="num" val="10"/>
        <color rgb="FFFF494D"/>
        <color rgb="FF00FF66"/>
      </colorScale>
    </cfRule>
  </conditionalFormatting>
  <conditionalFormatting sqref="E300:E308">
    <cfRule type="cellIs" dxfId="923" priority="591" stopIfTrue="1" operator="between">
      <formula>10</formula>
      <formula>10</formula>
    </cfRule>
    <cfRule type="cellIs" dxfId="922" priority="587" operator="between">
      <formula>10.1</formula>
      <formula>10.6</formula>
    </cfRule>
    <cfRule type="containsBlanks" dxfId="921" priority="592" stopIfTrue="1">
      <formula>LEN(TRIM(E300))=0</formula>
    </cfRule>
    <cfRule type="cellIs" dxfId="920" priority="590" operator="between">
      <formula>9</formula>
      <formula>9.9</formula>
    </cfRule>
    <cfRule type="cellIs" dxfId="919" priority="589" stopIfTrue="1" operator="between">
      <formula>8</formula>
      <formula>8.9</formula>
    </cfRule>
    <cfRule type="cellIs" dxfId="918" priority="588" operator="between">
      <formula>7</formula>
      <formula>7.9</formula>
    </cfRule>
    <cfRule type="cellIs" dxfId="917" priority="586" operator="between">
      <formula>6</formula>
      <formula>6.9</formula>
    </cfRule>
  </conditionalFormatting>
  <conditionalFormatting sqref="E310">
    <cfRule type="colorScale" priority="543">
      <colorScale>
        <cfvo type="num" val="5"/>
        <cfvo type="num" val="10"/>
        <color rgb="FFFF494D"/>
        <color rgb="FF00FF66"/>
      </colorScale>
    </cfRule>
    <cfRule type="colorScale" priority="54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11:E318">
    <cfRule type="cellIs" dxfId="916" priority="537" operator="between">
      <formula>10.1</formula>
      <formula>10.6</formula>
    </cfRule>
    <cfRule type="cellIs" dxfId="915" priority="536" operator="between">
      <formula>5</formula>
      <formula>6.9</formula>
    </cfRule>
    <cfRule type="cellIs" dxfId="914" priority="535" operator="between">
      <formula>2</formula>
      <formula>4.9</formula>
    </cfRule>
    <cfRule type="cellIs" dxfId="913" priority="534" operator="lessThan">
      <formula>2</formula>
    </cfRule>
    <cfRule type="containsBlanks" dxfId="912" priority="533" stopIfTrue="1">
      <formula>LEN(TRIM(E311))=0</formula>
    </cfRule>
    <cfRule type="cellIs" dxfId="911" priority="541" stopIfTrue="1" operator="between">
      <formula>10</formula>
      <formula>10</formula>
    </cfRule>
    <cfRule type="cellIs" dxfId="910" priority="540" operator="between">
      <formula>9</formula>
      <formula>9.9</formula>
    </cfRule>
    <cfRule type="cellIs" dxfId="909" priority="539" stopIfTrue="1" operator="between">
      <formula>8</formula>
      <formula>8.9</formula>
    </cfRule>
    <cfRule type="cellIs" dxfId="908" priority="538" operator="between">
      <formula>7</formula>
      <formula>7.9</formula>
    </cfRule>
  </conditionalFormatting>
  <conditionalFormatting sqref="E320">
    <cfRule type="colorScale" priority="5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23">
      <colorScale>
        <cfvo type="num" val="5"/>
        <cfvo type="num" val="10"/>
        <color rgb="FFFF494D"/>
        <color rgb="FF00FF66"/>
      </colorScale>
    </cfRule>
  </conditionalFormatting>
  <conditionalFormatting sqref="E321:E326">
    <cfRule type="containsBlanks" dxfId="907" priority="524" stopIfTrue="1">
      <formula>LEN(TRIM(E321))=0</formula>
    </cfRule>
    <cfRule type="cellIs" dxfId="906" priority="525" operator="lessThan">
      <formula>2</formula>
    </cfRule>
    <cfRule type="cellIs" dxfId="905" priority="526" operator="between">
      <formula>2</formula>
      <formula>4.9</formula>
    </cfRule>
    <cfRule type="cellIs" dxfId="904" priority="527" operator="between">
      <formula>5</formula>
      <formula>6.9</formula>
    </cfRule>
    <cfRule type="cellIs" dxfId="903" priority="528" operator="between">
      <formula>10.1</formula>
      <formula>10.6</formula>
    </cfRule>
    <cfRule type="cellIs" dxfId="902" priority="529" operator="between">
      <formula>7</formula>
      <formula>7.9</formula>
    </cfRule>
    <cfRule type="cellIs" dxfId="901" priority="530" stopIfTrue="1" operator="between">
      <formula>8</formula>
      <formula>8.9</formula>
    </cfRule>
    <cfRule type="cellIs" dxfId="900" priority="531" operator="between">
      <formula>9</formula>
      <formula>9.9</formula>
    </cfRule>
    <cfRule type="cellIs" dxfId="899" priority="532" stopIfTrue="1" operator="between">
      <formula>10</formula>
      <formula>10</formula>
    </cfRule>
  </conditionalFormatting>
  <conditionalFormatting sqref="E328">
    <cfRule type="colorScale" priority="479">
      <colorScale>
        <cfvo type="num" val="5"/>
        <cfvo type="num" val="10"/>
        <color rgb="FFFF494D"/>
        <color rgb="FF00FF66"/>
      </colorScale>
    </cfRule>
    <cfRule type="colorScale" priority="47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29:E358">
    <cfRule type="cellIs" dxfId="898" priority="483" operator="between">
      <formula>5</formula>
      <formula>6.9</formula>
    </cfRule>
    <cfRule type="cellIs" dxfId="897" priority="482" operator="between">
      <formula>2</formula>
      <formula>4.9</formula>
    </cfRule>
    <cfRule type="cellIs" dxfId="896" priority="481" operator="lessThan">
      <formula>2</formula>
    </cfRule>
    <cfRule type="containsBlanks" dxfId="895" priority="480" stopIfTrue="1">
      <formula>LEN(TRIM(E329))=0</formula>
    </cfRule>
    <cfRule type="cellIs" dxfId="894" priority="484" operator="between">
      <formula>10.1</formula>
      <formula>10.6</formula>
    </cfRule>
    <cfRule type="cellIs" dxfId="893" priority="485" operator="between">
      <formula>7</formula>
      <formula>7.9</formula>
    </cfRule>
    <cfRule type="cellIs" dxfId="892" priority="486" stopIfTrue="1" operator="between">
      <formula>8</formula>
      <formula>8.9</formula>
    </cfRule>
    <cfRule type="cellIs" dxfId="891" priority="487" operator="between">
      <formula>9</formula>
      <formula>9.9</formula>
    </cfRule>
    <cfRule type="cellIs" dxfId="890" priority="488" stopIfTrue="1" operator="between">
      <formula>10</formula>
      <formula>10</formula>
    </cfRule>
  </conditionalFormatting>
  <conditionalFormatting sqref="E360">
    <cfRule type="colorScale" priority="3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6">
      <colorScale>
        <cfvo type="num" val="5"/>
        <cfvo type="num" val="10"/>
        <color rgb="FFFF494D"/>
        <color rgb="FF00FF66"/>
      </colorScale>
    </cfRule>
  </conditionalFormatting>
  <conditionalFormatting sqref="E361:E370">
    <cfRule type="cellIs" dxfId="889" priority="365" stopIfTrue="1" operator="between">
      <formula>10</formula>
      <formula>10</formula>
    </cfRule>
    <cfRule type="cellIs" dxfId="888" priority="364" operator="between">
      <formula>9</formula>
      <formula>9.9</formula>
    </cfRule>
    <cfRule type="cellIs" dxfId="887" priority="363" stopIfTrue="1" operator="between">
      <formula>8</formula>
      <formula>8.9</formula>
    </cfRule>
    <cfRule type="cellIs" dxfId="886" priority="362" operator="between">
      <formula>7</formula>
      <formula>7.9</formula>
    </cfRule>
    <cfRule type="cellIs" dxfId="885" priority="361" operator="between">
      <formula>10.1</formula>
      <formula>10.6</formula>
    </cfRule>
    <cfRule type="cellIs" dxfId="884" priority="360" operator="between">
      <formula>5</formula>
      <formula>6.9</formula>
    </cfRule>
    <cfRule type="cellIs" dxfId="883" priority="358" operator="lessThan">
      <formula>2</formula>
    </cfRule>
    <cfRule type="containsBlanks" dxfId="882" priority="357" stopIfTrue="1">
      <formula>LEN(TRIM(E361))=0</formula>
    </cfRule>
    <cfRule type="cellIs" dxfId="881" priority="359" operator="between">
      <formula>2</formula>
      <formula>4.9</formula>
    </cfRule>
  </conditionalFormatting>
  <conditionalFormatting sqref="E372">
    <cfRule type="colorScale" priority="310">
      <colorScale>
        <cfvo type="num" val="5"/>
        <cfvo type="num" val="10"/>
        <color rgb="FFFF494D"/>
        <color rgb="FF00FF66"/>
      </colorScale>
    </cfRule>
    <cfRule type="colorScale" priority="30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73:E381">
    <cfRule type="cellIs" dxfId="880" priority="315" operator="between">
      <formula>10.1</formula>
      <formula>10.6</formula>
    </cfRule>
    <cfRule type="cellIs" dxfId="879" priority="318" operator="between">
      <formula>9</formula>
      <formula>9.9</formula>
    </cfRule>
    <cfRule type="cellIs" dxfId="878" priority="314" operator="between">
      <formula>5</formula>
      <formula>6.9</formula>
    </cfRule>
    <cfRule type="cellIs" dxfId="877" priority="313" operator="between">
      <formula>2</formula>
      <formula>4.9</formula>
    </cfRule>
    <cfRule type="cellIs" dxfId="876" priority="312" operator="lessThan">
      <formula>2</formula>
    </cfRule>
    <cfRule type="containsBlanks" dxfId="875" priority="311" stopIfTrue="1">
      <formula>LEN(TRIM(E373))=0</formula>
    </cfRule>
    <cfRule type="cellIs" dxfId="874" priority="316" operator="between">
      <formula>7</formula>
      <formula>7.9</formula>
    </cfRule>
    <cfRule type="cellIs" dxfId="873" priority="317" stopIfTrue="1" operator="between">
      <formula>8</formula>
      <formula>8.9</formula>
    </cfRule>
    <cfRule type="cellIs" dxfId="872" priority="319" stopIfTrue="1" operator="between">
      <formula>10</formula>
      <formula>10</formula>
    </cfRule>
  </conditionalFormatting>
  <conditionalFormatting sqref="E383">
    <cfRule type="colorScale" priority="2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4">
      <colorScale>
        <cfvo type="num" val="5"/>
        <cfvo type="num" val="10"/>
        <color rgb="FFFF494D"/>
        <color rgb="FF00FF66"/>
      </colorScale>
    </cfRule>
  </conditionalFormatting>
  <conditionalFormatting sqref="E384:E386">
    <cfRule type="cellIs" dxfId="871" priority="252" stopIfTrue="1" operator="between">
      <formula>10</formula>
      <formula>10</formula>
    </cfRule>
    <cfRule type="cellIs" dxfId="870" priority="251" operator="between">
      <formula>9</formula>
      <formula>9.9</formula>
    </cfRule>
    <cfRule type="cellIs" dxfId="869" priority="250" stopIfTrue="1" operator="between">
      <formula>8</formula>
      <formula>8.9</formula>
    </cfRule>
    <cfRule type="cellIs" dxfId="868" priority="249" operator="between">
      <formula>7</formula>
      <formula>7.9</formula>
    </cfRule>
    <cfRule type="cellIs" dxfId="867" priority="248" operator="between">
      <formula>10.1</formula>
      <formula>10.6</formula>
    </cfRule>
    <cfRule type="cellIs" dxfId="866" priority="247" operator="between">
      <formula>5</formula>
      <formula>6.9</formula>
    </cfRule>
    <cfRule type="cellIs" dxfId="865" priority="246" operator="between">
      <formula>2</formula>
      <formula>4.9</formula>
    </cfRule>
    <cfRule type="cellIs" dxfId="864" priority="245" operator="lessThan">
      <formula>2</formula>
    </cfRule>
    <cfRule type="containsBlanks" dxfId="863" priority="244" stopIfTrue="1">
      <formula>LEN(TRIM(E384))=0</formula>
    </cfRule>
  </conditionalFormatting>
  <conditionalFormatting sqref="E388">
    <cfRule type="colorScale" priority="212">
      <colorScale>
        <cfvo type="num" val="5"/>
        <cfvo type="num" val="10"/>
        <color rgb="FFFF494D"/>
        <color rgb="FF00FF66"/>
      </colorScale>
    </cfRule>
    <cfRule type="colorScale" priority="21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89:E401">
    <cfRule type="cellIs" dxfId="862" priority="217" operator="between">
      <formula>10.1</formula>
      <formula>10.6</formula>
    </cfRule>
    <cfRule type="cellIs" dxfId="861" priority="221" stopIfTrue="1" operator="between">
      <formula>10</formula>
      <formula>10</formula>
    </cfRule>
    <cfRule type="cellIs" dxfId="860" priority="220" operator="between">
      <formula>9</formula>
      <formula>9.9</formula>
    </cfRule>
    <cfRule type="cellIs" dxfId="859" priority="219" stopIfTrue="1" operator="between">
      <formula>8</formula>
      <formula>8.9</formula>
    </cfRule>
    <cfRule type="cellIs" dxfId="858" priority="218" operator="between">
      <formula>7</formula>
      <formula>7.9</formula>
    </cfRule>
    <cfRule type="containsBlanks" dxfId="857" priority="213" stopIfTrue="1">
      <formula>LEN(TRIM(E389))=0</formula>
    </cfRule>
    <cfRule type="cellIs" dxfId="856" priority="214" operator="lessThan">
      <formula>2</formula>
    </cfRule>
    <cfRule type="cellIs" dxfId="855" priority="215" operator="between">
      <formula>2</formula>
      <formula>4.9</formula>
    </cfRule>
    <cfRule type="cellIs" dxfId="854" priority="216" operator="between">
      <formula>5</formula>
      <formula>6.9</formula>
    </cfRule>
  </conditionalFormatting>
  <conditionalFormatting sqref="E403">
    <cfRule type="colorScale" priority="1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5">
      <colorScale>
        <cfvo type="num" val="5"/>
        <cfvo type="num" val="10"/>
        <color rgb="FFFF494D"/>
        <color rgb="FF00FF66"/>
      </colorScale>
    </cfRule>
  </conditionalFormatting>
  <conditionalFormatting sqref="E404:E413">
    <cfRule type="cellIs" dxfId="853" priority="144" stopIfTrue="1" operator="between">
      <formula>10</formula>
      <formula>10</formula>
    </cfRule>
    <cfRule type="containsBlanks" dxfId="852" priority="136" stopIfTrue="1">
      <formula>LEN(TRIM(E404))=0</formula>
    </cfRule>
    <cfRule type="cellIs" dxfId="851" priority="137" operator="lessThan">
      <formula>2</formula>
    </cfRule>
    <cfRule type="cellIs" dxfId="850" priority="138" operator="between">
      <formula>2</formula>
      <formula>4.9</formula>
    </cfRule>
    <cfRule type="cellIs" dxfId="849" priority="139" operator="between">
      <formula>5</formula>
      <formula>6.9</formula>
    </cfRule>
    <cfRule type="cellIs" dxfId="848" priority="140" operator="between">
      <formula>10.1</formula>
      <formula>10.6</formula>
    </cfRule>
    <cfRule type="cellIs" dxfId="847" priority="141" operator="between">
      <formula>7</formula>
      <formula>7.9</formula>
    </cfRule>
    <cfRule type="cellIs" dxfId="846" priority="142" stopIfTrue="1" operator="between">
      <formula>8</formula>
      <formula>8.9</formula>
    </cfRule>
    <cfRule type="cellIs" dxfId="845" priority="143" operator="between">
      <formula>9</formula>
      <formula>9.9</formula>
    </cfRule>
  </conditionalFormatting>
  <conditionalFormatting sqref="E415">
    <cfRule type="colorScale" priority="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9">
      <colorScale>
        <cfvo type="num" val="5"/>
        <cfvo type="num" val="10"/>
        <color rgb="FFFF494D"/>
        <color rgb="FF00FF66"/>
      </colorScale>
    </cfRule>
  </conditionalFormatting>
  <conditionalFormatting sqref="E416:E423">
    <cfRule type="cellIs" dxfId="844" priority="90" operator="lessThan">
      <formula>2</formula>
    </cfRule>
    <cfRule type="cellIs" dxfId="843" priority="91" operator="between">
      <formula>2</formula>
      <formula>4.9</formula>
    </cfRule>
    <cfRule type="containsBlanks" dxfId="842" priority="89" stopIfTrue="1">
      <formula>LEN(TRIM(E416))=0</formula>
    </cfRule>
    <cfRule type="cellIs" dxfId="841" priority="94" operator="between">
      <formula>7</formula>
      <formula>7.9</formula>
    </cfRule>
    <cfRule type="cellIs" dxfId="840" priority="95" stopIfTrue="1" operator="between">
      <formula>8</formula>
      <formula>8.9</formula>
    </cfRule>
    <cfRule type="cellIs" dxfId="839" priority="96" operator="between">
      <formula>9</formula>
      <formula>9.9</formula>
    </cfRule>
    <cfRule type="cellIs" dxfId="838" priority="97" stopIfTrue="1" operator="between">
      <formula>10</formula>
      <formula>10</formula>
    </cfRule>
    <cfRule type="cellIs" dxfId="837" priority="93" operator="between">
      <formula>10.1</formula>
      <formula>10.6</formula>
    </cfRule>
    <cfRule type="cellIs" dxfId="836" priority="92" operator="between">
      <formula>5</formula>
      <formula>6.9</formula>
    </cfRule>
  </conditionalFormatting>
  <conditionalFormatting sqref="E425">
    <cfRule type="colorScale" priority="24">
      <colorScale>
        <cfvo type="num" val="5"/>
        <cfvo type="num" val="10"/>
        <color rgb="FFFF494D"/>
        <color rgb="FF00FF66"/>
      </colorScale>
    </cfRule>
    <cfRule type="colorScale" priority="2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26:E434">
    <cfRule type="containsBlanks" dxfId="835" priority="25" stopIfTrue="1">
      <formula>LEN(TRIM(E426))=0</formula>
    </cfRule>
    <cfRule type="cellIs" dxfId="834" priority="28" operator="between">
      <formula>5</formula>
      <formula>6.9</formula>
    </cfRule>
    <cfRule type="cellIs" dxfId="833" priority="29" operator="between">
      <formula>10.1</formula>
      <formula>10.6</formula>
    </cfRule>
    <cfRule type="cellIs" dxfId="832" priority="27" operator="between">
      <formula>2</formula>
      <formula>4.9</formula>
    </cfRule>
    <cfRule type="cellIs" dxfId="831" priority="26" operator="lessThan">
      <formula>2</formula>
    </cfRule>
    <cfRule type="cellIs" dxfId="830" priority="30" operator="between">
      <formula>7</formula>
      <formula>7.9</formula>
    </cfRule>
    <cfRule type="cellIs" dxfId="829" priority="31" stopIfTrue="1" operator="between">
      <formula>8</formula>
      <formula>8.9</formula>
    </cfRule>
    <cfRule type="cellIs" dxfId="828" priority="32" operator="between">
      <formula>9</formula>
      <formula>9.9</formula>
    </cfRule>
    <cfRule type="cellIs" dxfId="827" priority="33" stopIfTrue="1" operator="between">
      <formula>10</formula>
      <formula>10</formula>
    </cfRule>
  </conditionalFormatting>
  <conditionalFormatting sqref="H3:H15">
    <cfRule type="cellIs" dxfId="826" priority="725" stopIfTrue="1" operator="between">
      <formula>10</formula>
      <formula>10</formula>
    </cfRule>
    <cfRule type="cellIs" dxfId="825" priority="724" operator="between">
      <formula>9</formula>
      <formula>9.9</formula>
    </cfRule>
    <cfRule type="cellIs" dxfId="824" priority="723" stopIfTrue="1" operator="between">
      <formula>8</formula>
      <formula>8.9</formula>
    </cfRule>
    <cfRule type="cellIs" dxfId="823" priority="722" operator="between">
      <formula>7</formula>
      <formula>7.9</formula>
    </cfRule>
  </conditionalFormatting>
  <conditionalFormatting sqref="H7">
    <cfRule type="cellIs" dxfId="822" priority="721" operator="between">
      <formula>10.1</formula>
      <formula>10.6</formula>
    </cfRule>
    <cfRule type="containsBlanks" dxfId="821" priority="726" stopIfTrue="1">
      <formula>LEN(TRIM(H7))=0</formula>
    </cfRule>
  </conditionalFormatting>
  <conditionalFormatting sqref="H18:H28">
    <cfRule type="cellIs" dxfId="820" priority="1718" operator="between">
      <formula>9</formula>
      <formula>9.9</formula>
    </cfRule>
    <cfRule type="cellIs" dxfId="819" priority="1719" stopIfTrue="1" operator="between">
      <formula>10</formula>
      <formula>10</formula>
    </cfRule>
    <cfRule type="cellIs" dxfId="818" priority="1716" operator="between">
      <formula>7</formula>
      <formula>7.9</formula>
    </cfRule>
    <cfRule type="cellIs" dxfId="817" priority="1717" stopIfTrue="1" operator="between">
      <formula>8</formula>
      <formula>8.9</formula>
    </cfRule>
  </conditionalFormatting>
  <conditionalFormatting sqref="H30">
    <cfRule type="colorScale" priority="20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01">
      <colorScale>
        <cfvo type="num" val="5"/>
        <cfvo type="num" val="10"/>
        <color rgb="FFFF494D"/>
        <color rgb="FF00FF66"/>
      </colorScale>
    </cfRule>
  </conditionalFormatting>
  <conditionalFormatting sqref="H31:H45">
    <cfRule type="cellIs" dxfId="816" priority="1580" stopIfTrue="1" operator="between">
      <formula>8</formula>
      <formula>8.9</formula>
    </cfRule>
    <cfRule type="cellIs" dxfId="815" priority="1579" operator="between">
      <formula>7</formula>
      <formula>7.9</formula>
    </cfRule>
    <cfRule type="cellIs" dxfId="814" priority="1578" operator="between">
      <formula>10.1</formula>
      <formula>10.6</formula>
    </cfRule>
    <cfRule type="cellIs" dxfId="813" priority="1582" stopIfTrue="1" operator="between">
      <formula>10</formula>
      <formula>10</formula>
    </cfRule>
    <cfRule type="cellIs" dxfId="812" priority="1581" operator="between">
      <formula>9</formula>
      <formula>9.9</formula>
    </cfRule>
    <cfRule type="containsBlanks" dxfId="811" priority="1583" stopIfTrue="1">
      <formula>LEN(TRIM(H31))=0</formula>
    </cfRule>
  </conditionalFormatting>
  <conditionalFormatting sqref="H47">
    <cfRule type="colorScale" priority="19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33">
      <colorScale>
        <cfvo type="num" val="5"/>
        <cfvo type="num" val="10"/>
        <color rgb="FFFF494D"/>
        <color rgb="FF00FF66"/>
      </colorScale>
    </cfRule>
  </conditionalFormatting>
  <conditionalFormatting sqref="H48:H55">
    <cfRule type="containsBlanks" dxfId="810" priority="1577" stopIfTrue="1">
      <formula>LEN(TRIM(H48))=0</formula>
    </cfRule>
    <cfRule type="cellIs" dxfId="809" priority="1572" operator="between">
      <formula>10.1</formula>
      <formula>10.6</formula>
    </cfRule>
    <cfRule type="cellIs" dxfId="808" priority="1573" operator="between">
      <formula>7</formula>
      <formula>7.9</formula>
    </cfRule>
    <cfRule type="cellIs" dxfId="807" priority="1574" stopIfTrue="1" operator="between">
      <formula>8</formula>
      <formula>8.9</formula>
    </cfRule>
    <cfRule type="cellIs" dxfId="806" priority="1575" operator="between">
      <formula>9</formula>
      <formula>9.9</formula>
    </cfRule>
    <cfRule type="cellIs" dxfId="805" priority="1576" stopIfTrue="1" operator="between">
      <formula>10</formula>
      <formula>10</formula>
    </cfRule>
  </conditionalFormatting>
  <conditionalFormatting sqref="H57">
    <cfRule type="colorScale" priority="1515">
      <colorScale>
        <cfvo type="num" val="5"/>
        <cfvo type="num" val="10"/>
        <color rgb="FFFF494D"/>
        <color rgb="FF00FF66"/>
      </colorScale>
    </cfRule>
    <cfRule type="colorScale" priority="151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8:H67">
    <cfRule type="cellIs" dxfId="804" priority="1446" operator="between">
      <formula>7</formula>
      <formula>7.9</formula>
    </cfRule>
    <cfRule type="cellIs" dxfId="803" priority="1447" stopIfTrue="1" operator="between">
      <formula>8</formula>
      <formula>8.9</formula>
    </cfRule>
    <cfRule type="cellIs" dxfId="802" priority="1449" stopIfTrue="1" operator="between">
      <formula>10</formula>
      <formula>10</formula>
    </cfRule>
    <cfRule type="cellIs" dxfId="801" priority="1448" operator="between">
      <formula>9</formula>
      <formula>9.9</formula>
    </cfRule>
    <cfRule type="cellIs" dxfId="800" priority="1445" operator="between">
      <formula>10.1</formula>
      <formula>10.6</formula>
    </cfRule>
    <cfRule type="cellIs" dxfId="799" priority="1444" operator="between">
      <formula>6</formula>
      <formula>6.9</formula>
    </cfRule>
    <cfRule type="containsBlanks" dxfId="798" priority="1450" stopIfTrue="1">
      <formula>LEN(TRIM(H58))=0</formula>
    </cfRule>
  </conditionalFormatting>
  <conditionalFormatting sqref="H69">
    <cfRule type="colorScale" priority="14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80">
      <colorScale>
        <cfvo type="num" val="5"/>
        <cfvo type="num" val="10"/>
        <color rgb="FFFF494D"/>
        <color rgb="FF00FF66"/>
      </colorScale>
    </cfRule>
  </conditionalFormatting>
  <conditionalFormatting sqref="H70:H81">
    <cfRule type="cellIs" dxfId="797" priority="1473" operator="between">
      <formula>10.1</formula>
      <formula>10.6</formula>
    </cfRule>
    <cfRule type="cellIs" dxfId="796" priority="1477" stopIfTrue="1" operator="between">
      <formula>10</formula>
      <formula>10</formula>
    </cfRule>
    <cfRule type="cellIs" dxfId="795" priority="1475" stopIfTrue="1" operator="between">
      <formula>8</formula>
      <formula>8.9</formula>
    </cfRule>
    <cfRule type="cellIs" dxfId="794" priority="1474" operator="between">
      <formula>7</formula>
      <formula>7.9</formula>
    </cfRule>
    <cfRule type="containsBlanks" dxfId="793" priority="1478" stopIfTrue="1">
      <formula>LEN(TRIM(H70))=0</formula>
    </cfRule>
    <cfRule type="cellIs" dxfId="792" priority="1476" operator="between">
      <formula>9</formula>
      <formula>9.9</formula>
    </cfRule>
  </conditionalFormatting>
  <conditionalFormatting sqref="H83">
    <cfRule type="colorScale" priority="1411">
      <colorScale>
        <cfvo type="num" val="5"/>
        <cfvo type="num" val="10"/>
        <color rgb="FFFF494D"/>
        <color rgb="FF00FF66"/>
      </colorScale>
    </cfRule>
    <cfRule type="colorScale" priority="141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84:H95">
    <cfRule type="containsBlanks" dxfId="791" priority="1403" stopIfTrue="1">
      <formula>LEN(TRIM(H84))=0</formula>
    </cfRule>
    <cfRule type="cellIs" dxfId="790" priority="1400" stopIfTrue="1" operator="between">
      <formula>8</formula>
      <formula>8.9</formula>
    </cfRule>
    <cfRule type="cellIs" dxfId="789" priority="1399" operator="between">
      <formula>7</formula>
      <formula>7.9</formula>
    </cfRule>
    <cfRule type="cellIs" dxfId="788" priority="1402" stopIfTrue="1" operator="between">
      <formula>10</formula>
      <formula>10</formula>
    </cfRule>
    <cfRule type="cellIs" dxfId="787" priority="1397" operator="between">
      <formula>6</formula>
      <formula>6.9</formula>
    </cfRule>
    <cfRule type="cellIs" dxfId="786" priority="1401" operator="between">
      <formula>9</formula>
      <formula>9.9</formula>
    </cfRule>
    <cfRule type="cellIs" dxfId="785" priority="1398" operator="between">
      <formula>10.1</formula>
      <formula>10.6</formula>
    </cfRule>
  </conditionalFormatting>
  <conditionalFormatting sqref="H97">
    <cfRule type="colorScale" priority="1365">
      <colorScale>
        <cfvo type="num" val="5"/>
        <cfvo type="num" val="10"/>
        <color rgb="FFFF494D"/>
        <color rgb="FF00FF66"/>
      </colorScale>
    </cfRule>
    <cfRule type="colorScale" priority="136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98:H108">
    <cfRule type="cellIs" dxfId="784" priority="1351" stopIfTrue="1" operator="between">
      <formula>8</formula>
      <formula>8.9</formula>
    </cfRule>
    <cfRule type="cellIs" dxfId="783" priority="1350" operator="between">
      <formula>7</formula>
      <formula>7.9</formula>
    </cfRule>
    <cfRule type="cellIs" dxfId="782" priority="1349" operator="between">
      <formula>10.1</formula>
      <formula>10.6</formula>
    </cfRule>
    <cfRule type="cellIs" dxfId="781" priority="1348" operator="between">
      <formula>6</formula>
      <formula>6.9</formula>
    </cfRule>
    <cfRule type="containsBlanks" dxfId="780" priority="1354" stopIfTrue="1">
      <formula>LEN(TRIM(H98))=0</formula>
    </cfRule>
    <cfRule type="cellIs" dxfId="779" priority="1353" stopIfTrue="1" operator="between">
      <formula>10</formula>
      <formula>10</formula>
    </cfRule>
    <cfRule type="cellIs" dxfId="778" priority="1352" operator="between">
      <formula>9</formula>
      <formula>9.9</formula>
    </cfRule>
  </conditionalFormatting>
  <conditionalFormatting sqref="H110">
    <cfRule type="colorScale" priority="1331">
      <colorScale>
        <cfvo type="num" val="5"/>
        <cfvo type="num" val="10"/>
        <color rgb="FFFF494D"/>
        <color rgb="FF00FF66"/>
      </colorScale>
    </cfRule>
    <cfRule type="colorScale" priority="133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11:H123">
    <cfRule type="cellIs" dxfId="777" priority="1327" operator="between">
      <formula>9</formula>
      <formula>9.9</formula>
    </cfRule>
    <cfRule type="containsBlanks" dxfId="776" priority="1329" stopIfTrue="1">
      <formula>LEN(TRIM(H111))=0</formula>
    </cfRule>
    <cfRule type="cellIs" dxfId="775" priority="1328" stopIfTrue="1" operator="between">
      <formula>10</formula>
      <formula>10</formula>
    </cfRule>
    <cfRule type="cellIs" dxfId="774" priority="1326" stopIfTrue="1" operator="between">
      <formula>8</formula>
      <formula>8.9</formula>
    </cfRule>
    <cfRule type="cellIs" dxfId="773" priority="1325" operator="between">
      <formula>7</formula>
      <formula>7.9</formula>
    </cfRule>
    <cfRule type="cellIs" dxfId="772" priority="1324" operator="between">
      <formula>10.1</formula>
      <formula>10.6</formula>
    </cfRule>
  </conditionalFormatting>
  <conditionalFormatting sqref="H125">
    <cfRule type="colorScale" priority="12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59">
      <colorScale>
        <cfvo type="num" val="5"/>
        <cfvo type="num" val="10"/>
        <color rgb="FFFF494D"/>
        <color rgb="FF00FF66"/>
      </colorScale>
    </cfRule>
  </conditionalFormatting>
  <conditionalFormatting sqref="H126:H129">
    <cfRule type="cellIs" dxfId="771" priority="1254" stopIfTrue="1" operator="between">
      <formula>8</formula>
      <formula>8.9</formula>
    </cfRule>
    <cfRule type="containsBlanks" dxfId="770" priority="1257" stopIfTrue="1">
      <formula>LEN(TRIM(H126))=0</formula>
    </cfRule>
    <cfRule type="cellIs" dxfId="769" priority="1251" operator="between">
      <formula>6</formula>
      <formula>6.9</formula>
    </cfRule>
    <cfRule type="cellIs" dxfId="768" priority="1252" operator="between">
      <formula>10.1</formula>
      <formula>10.6</formula>
    </cfRule>
    <cfRule type="cellIs" dxfId="767" priority="1253" operator="between">
      <formula>7</formula>
      <formula>7.9</formula>
    </cfRule>
    <cfRule type="cellIs" dxfId="766" priority="1255" operator="between">
      <formula>9</formula>
      <formula>9.9</formula>
    </cfRule>
    <cfRule type="cellIs" dxfId="765" priority="1256" stopIfTrue="1" operator="between">
      <formula>10</formula>
      <formula>10</formula>
    </cfRule>
  </conditionalFormatting>
  <conditionalFormatting sqref="H131">
    <cfRule type="colorScale" priority="12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26">
      <colorScale>
        <cfvo type="num" val="5"/>
        <cfvo type="num" val="10"/>
        <color rgb="FFFF494D"/>
        <color rgb="FF00FF66"/>
      </colorScale>
    </cfRule>
  </conditionalFormatting>
  <conditionalFormatting sqref="H132:H147">
    <cfRule type="cellIs" dxfId="764" priority="1219" operator="between">
      <formula>10.1</formula>
      <formula>10.6</formula>
    </cfRule>
    <cfRule type="cellIs" dxfId="763" priority="1218" operator="between">
      <formula>6</formula>
      <formula>6.9</formula>
    </cfRule>
    <cfRule type="cellIs" dxfId="762" priority="1220" operator="between">
      <formula>7</formula>
      <formula>7.9</formula>
    </cfRule>
    <cfRule type="cellIs" dxfId="761" priority="1221" stopIfTrue="1" operator="between">
      <formula>8</formula>
      <formula>8.9</formula>
    </cfRule>
    <cfRule type="cellIs" dxfId="760" priority="1222" operator="between">
      <formula>9</formula>
      <formula>9.9</formula>
    </cfRule>
    <cfRule type="cellIs" dxfId="759" priority="1223" stopIfTrue="1" operator="between">
      <formula>10</formula>
      <formula>10</formula>
    </cfRule>
    <cfRule type="containsBlanks" dxfId="758" priority="1224" stopIfTrue="1">
      <formula>LEN(TRIM(H132))=0</formula>
    </cfRule>
  </conditionalFormatting>
  <conditionalFormatting sqref="H149">
    <cfRule type="colorScale" priority="11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4">
      <colorScale>
        <cfvo type="num" val="5"/>
        <cfvo type="num" val="10"/>
        <color rgb="FFFF494D"/>
        <color rgb="FF00FF66"/>
      </colorScale>
    </cfRule>
  </conditionalFormatting>
  <conditionalFormatting sqref="H150:H163">
    <cfRule type="cellIs" dxfId="757" priority="1146" operator="between">
      <formula>6</formula>
      <formula>6.9</formula>
    </cfRule>
    <cfRule type="cellIs" dxfId="756" priority="1150" operator="between">
      <formula>9</formula>
      <formula>9.9</formula>
    </cfRule>
    <cfRule type="containsBlanks" dxfId="755" priority="1152" stopIfTrue="1">
      <formula>LEN(TRIM(H150))=0</formula>
    </cfRule>
    <cfRule type="cellIs" dxfId="754" priority="1151" stopIfTrue="1" operator="between">
      <formula>10</formula>
      <formula>10</formula>
    </cfRule>
    <cfRule type="cellIs" dxfId="753" priority="1147" operator="between">
      <formula>10.1</formula>
      <formula>10.6</formula>
    </cfRule>
    <cfRule type="cellIs" dxfId="752" priority="1148" operator="between">
      <formula>7</formula>
      <formula>7.9</formula>
    </cfRule>
    <cfRule type="cellIs" dxfId="751" priority="1149" stopIfTrue="1" operator="between">
      <formula>8</formula>
      <formula>8.9</formula>
    </cfRule>
  </conditionalFormatting>
  <conditionalFormatting sqref="H165">
    <cfRule type="colorScale" priority="10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3">
      <colorScale>
        <cfvo type="num" val="5"/>
        <cfvo type="num" val="10"/>
        <color rgb="FFFF494D"/>
        <color rgb="FF00FF66"/>
      </colorScale>
    </cfRule>
  </conditionalFormatting>
  <conditionalFormatting sqref="H166:H175">
    <cfRule type="cellIs" dxfId="750" priority="1097" stopIfTrue="1" operator="between">
      <formula>8</formula>
      <formula>8.9</formula>
    </cfRule>
    <cfRule type="cellIs" dxfId="749" priority="1099" stopIfTrue="1" operator="between">
      <formula>10</formula>
      <formula>10</formula>
    </cfRule>
    <cfRule type="containsBlanks" dxfId="748" priority="1100" stopIfTrue="1">
      <formula>LEN(TRIM(H166))=0</formula>
    </cfRule>
    <cfRule type="cellIs" dxfId="747" priority="1094" operator="between">
      <formula>6</formula>
      <formula>6.9</formula>
    </cfRule>
    <cfRule type="cellIs" dxfId="746" priority="1095" operator="between">
      <formula>10.1</formula>
      <formula>10.6</formula>
    </cfRule>
    <cfRule type="cellIs" dxfId="745" priority="1096" operator="between">
      <formula>7</formula>
      <formula>7.9</formula>
    </cfRule>
    <cfRule type="cellIs" dxfId="744" priority="1098" operator="between">
      <formula>9</formula>
      <formula>9.9</formula>
    </cfRule>
  </conditionalFormatting>
  <conditionalFormatting sqref="H177">
    <cfRule type="colorScale" priority="10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53">
      <colorScale>
        <cfvo type="num" val="5"/>
        <cfvo type="num" val="10"/>
        <color rgb="FFFF494D"/>
        <color rgb="FF00FF66"/>
      </colorScale>
    </cfRule>
  </conditionalFormatting>
  <conditionalFormatting sqref="H178:H189">
    <cfRule type="cellIs" dxfId="743" priority="1049" operator="between">
      <formula>9</formula>
      <formula>9.9</formula>
    </cfRule>
    <cfRule type="containsBlanks" dxfId="742" priority="1051" stopIfTrue="1">
      <formula>LEN(TRIM(H178))=0</formula>
    </cfRule>
    <cfRule type="cellIs" dxfId="741" priority="1046" operator="between">
      <formula>10.1</formula>
      <formula>10.6</formula>
    </cfRule>
    <cfRule type="cellIs" dxfId="740" priority="1045" operator="between">
      <formula>6</formula>
      <formula>6.9</formula>
    </cfRule>
    <cfRule type="cellIs" dxfId="739" priority="1047" operator="between">
      <formula>7</formula>
      <formula>7.9</formula>
    </cfRule>
    <cfRule type="cellIs" dxfId="738" priority="1048" stopIfTrue="1" operator="between">
      <formula>8</formula>
      <formula>8.9</formula>
    </cfRule>
    <cfRule type="cellIs" dxfId="737" priority="1050" stopIfTrue="1" operator="between">
      <formula>10</formula>
      <formula>10</formula>
    </cfRule>
  </conditionalFormatting>
  <conditionalFormatting sqref="H191">
    <cfRule type="colorScale" priority="9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93">
      <colorScale>
        <cfvo type="num" val="5"/>
        <cfvo type="num" val="10"/>
        <color rgb="FFFF494D"/>
        <color rgb="FF00FF66"/>
      </colorScale>
    </cfRule>
  </conditionalFormatting>
  <conditionalFormatting sqref="H192:H200">
    <cfRule type="cellIs" dxfId="736" priority="988" stopIfTrue="1" operator="between">
      <formula>8</formula>
      <formula>8.9</formula>
    </cfRule>
    <cfRule type="cellIs" dxfId="735" priority="985" operator="between">
      <formula>6</formula>
      <formula>6.9</formula>
    </cfRule>
    <cfRule type="cellIs" dxfId="734" priority="986" operator="between">
      <formula>10.1</formula>
      <formula>10.6</formula>
    </cfRule>
    <cfRule type="cellIs" dxfId="733" priority="987" operator="between">
      <formula>7</formula>
      <formula>7.9</formula>
    </cfRule>
    <cfRule type="containsBlanks" dxfId="732" priority="991" stopIfTrue="1">
      <formula>LEN(TRIM(H192))=0</formula>
    </cfRule>
    <cfRule type="cellIs" dxfId="731" priority="989" operator="between">
      <formula>9</formula>
      <formula>9.9</formula>
    </cfRule>
    <cfRule type="cellIs" dxfId="730" priority="990" stopIfTrue="1" operator="between">
      <formula>10</formula>
      <formula>10</formula>
    </cfRule>
  </conditionalFormatting>
  <conditionalFormatting sqref="H202">
    <cfRule type="colorScale" priority="945">
      <colorScale>
        <cfvo type="num" val="5"/>
        <cfvo type="num" val="10"/>
        <color rgb="FFFF494D"/>
        <color rgb="FF00FF66"/>
      </colorScale>
    </cfRule>
    <cfRule type="colorScale" priority="94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03:H213">
    <cfRule type="cellIs" dxfId="729" priority="948" operator="between">
      <formula>7</formula>
      <formula>7.9</formula>
    </cfRule>
    <cfRule type="cellIs" dxfId="728" priority="947" operator="between">
      <formula>10.1</formula>
      <formula>11</formula>
    </cfRule>
    <cfRule type="cellIs" dxfId="727" priority="946" operator="between">
      <formula>6</formula>
      <formula>6.9</formula>
    </cfRule>
    <cfRule type="cellIs" dxfId="726" priority="949" stopIfTrue="1" operator="between">
      <formula>8</formula>
      <formula>8.9</formula>
    </cfRule>
    <cfRule type="cellIs" dxfId="725" priority="950" operator="between">
      <formula>9</formula>
      <formula>9.9</formula>
    </cfRule>
    <cfRule type="cellIs" dxfId="724" priority="951" stopIfTrue="1" operator="between">
      <formula>10</formula>
      <formula>10</formula>
    </cfRule>
    <cfRule type="containsBlanks" dxfId="723" priority="952" stopIfTrue="1">
      <formula>LEN(TRIM(H203))=0</formula>
    </cfRule>
  </conditionalFormatting>
  <conditionalFormatting sqref="H215">
    <cfRule type="colorScale" priority="8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94">
      <colorScale>
        <cfvo type="num" val="5"/>
        <cfvo type="num" val="10"/>
        <color rgb="FFFF494D"/>
        <color rgb="FF00FF66"/>
      </colorScale>
    </cfRule>
  </conditionalFormatting>
  <conditionalFormatting sqref="H216:H227">
    <cfRule type="cellIs" dxfId="722" priority="897" operator="between">
      <formula>7</formula>
      <formula>7.9</formula>
    </cfRule>
    <cfRule type="containsBlanks" dxfId="721" priority="901" stopIfTrue="1">
      <formula>LEN(TRIM(H216))=0</formula>
    </cfRule>
    <cfRule type="cellIs" dxfId="720" priority="900" stopIfTrue="1" operator="between">
      <formula>10</formula>
      <formula>10</formula>
    </cfRule>
    <cfRule type="cellIs" dxfId="719" priority="895" operator="between">
      <formula>6</formula>
      <formula>6.9</formula>
    </cfRule>
    <cfRule type="cellIs" dxfId="718" priority="896" operator="between">
      <formula>10.1</formula>
      <formula>10.6</formula>
    </cfRule>
    <cfRule type="cellIs" dxfId="717" priority="899" operator="between">
      <formula>9</formula>
      <formula>9.9</formula>
    </cfRule>
    <cfRule type="cellIs" dxfId="716" priority="898" stopIfTrue="1" operator="between">
      <formula>8</formula>
      <formula>8.9</formula>
    </cfRule>
  </conditionalFormatting>
  <conditionalFormatting sqref="H229">
    <cfRule type="colorScale" priority="863">
      <colorScale>
        <cfvo type="num" val="5"/>
        <cfvo type="num" val="10"/>
        <color rgb="FFFF494D"/>
        <color rgb="FF00FF66"/>
      </colorScale>
    </cfRule>
    <cfRule type="colorScale" priority="86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30:H244">
    <cfRule type="cellIs" dxfId="715" priority="855" operator="between">
      <formula>6</formula>
      <formula>6.9</formula>
    </cfRule>
    <cfRule type="cellIs" dxfId="714" priority="856" operator="between">
      <formula>10.1</formula>
      <formula>10.6</formula>
    </cfRule>
    <cfRule type="cellIs" dxfId="713" priority="857" operator="between">
      <formula>7</formula>
      <formula>7.9</formula>
    </cfRule>
    <cfRule type="cellIs" dxfId="712" priority="858" stopIfTrue="1" operator="between">
      <formula>8</formula>
      <formula>8.9</formula>
    </cfRule>
    <cfRule type="containsBlanks" dxfId="711" priority="861" stopIfTrue="1">
      <formula>LEN(TRIM(H230))=0</formula>
    </cfRule>
    <cfRule type="cellIs" dxfId="710" priority="860" stopIfTrue="1" operator="between">
      <formula>10</formula>
      <formula>10</formula>
    </cfRule>
    <cfRule type="cellIs" dxfId="709" priority="859" operator="between">
      <formula>9</formula>
      <formula>9.9</formula>
    </cfRule>
  </conditionalFormatting>
  <conditionalFormatting sqref="H246">
    <cfRule type="colorScale" priority="8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04">
      <colorScale>
        <cfvo type="num" val="5"/>
        <cfvo type="num" val="10"/>
        <color rgb="FFFF494D"/>
        <color rgb="FF00FF66"/>
      </colorScale>
    </cfRule>
  </conditionalFormatting>
  <conditionalFormatting sqref="H247:H256">
    <cfRule type="cellIs" dxfId="708" priority="805" operator="between">
      <formula>6</formula>
      <formula>6.9</formula>
    </cfRule>
    <cfRule type="cellIs" dxfId="707" priority="808" stopIfTrue="1" operator="between">
      <formula>8</formula>
      <formula>8.9</formula>
    </cfRule>
    <cfRule type="cellIs" dxfId="706" priority="810" stopIfTrue="1" operator="between">
      <formula>10</formula>
      <formula>10</formula>
    </cfRule>
    <cfRule type="containsBlanks" dxfId="705" priority="811" stopIfTrue="1">
      <formula>LEN(TRIM(H247))=0</formula>
    </cfRule>
    <cfRule type="cellIs" dxfId="704" priority="807" operator="between">
      <formula>7</formula>
      <formula>7.9</formula>
    </cfRule>
    <cfRule type="cellIs" dxfId="703" priority="806" operator="between">
      <formula>10.1</formula>
      <formula>10.6</formula>
    </cfRule>
    <cfRule type="cellIs" dxfId="702" priority="809" operator="between">
      <formula>9</formula>
      <formula>9.9</formula>
    </cfRule>
  </conditionalFormatting>
  <conditionalFormatting sqref="H258">
    <cfRule type="colorScale" priority="7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64">
      <colorScale>
        <cfvo type="num" val="5"/>
        <cfvo type="num" val="10"/>
        <color rgb="FFFF494D"/>
        <color rgb="FF00FF66"/>
      </colorScale>
    </cfRule>
  </conditionalFormatting>
  <conditionalFormatting sqref="H259:H263">
    <cfRule type="cellIs" dxfId="701" priority="765" operator="between">
      <formula>6</formula>
      <formula>6.9</formula>
    </cfRule>
    <cfRule type="cellIs" dxfId="700" priority="766" operator="between">
      <formula>10.1</formula>
      <formula>10.6</formula>
    </cfRule>
    <cfRule type="cellIs" dxfId="699" priority="770" stopIfTrue="1" operator="between">
      <formula>10</formula>
      <formula>10</formula>
    </cfRule>
    <cfRule type="cellIs" dxfId="698" priority="767" operator="between">
      <formula>7</formula>
      <formula>7.9</formula>
    </cfRule>
    <cfRule type="cellIs" dxfId="697" priority="768" stopIfTrue="1" operator="between">
      <formula>8</formula>
      <formula>8.9</formula>
    </cfRule>
    <cfRule type="cellIs" dxfId="696" priority="769" operator="between">
      <formula>9</formula>
      <formula>9.9</formula>
    </cfRule>
    <cfRule type="containsBlanks" dxfId="695" priority="771" stopIfTrue="1">
      <formula>LEN(TRIM(H259))=0</formula>
    </cfRule>
  </conditionalFormatting>
  <conditionalFormatting sqref="H265">
    <cfRule type="colorScale" priority="735">
      <colorScale>
        <cfvo type="num" val="5"/>
        <cfvo type="num" val="10"/>
        <color rgb="FFFF494D"/>
        <color rgb="FF00FF66"/>
      </colorScale>
    </cfRule>
    <cfRule type="colorScale" priority="73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66:H274">
    <cfRule type="cellIs" dxfId="694" priority="727" operator="between">
      <formula>6</formula>
      <formula>6.9</formula>
    </cfRule>
    <cfRule type="cellIs" dxfId="693" priority="728" operator="between">
      <formula>10.1</formula>
      <formula>10.6</formula>
    </cfRule>
    <cfRule type="cellIs" dxfId="692" priority="729" operator="between">
      <formula>7</formula>
      <formula>7.9</formula>
    </cfRule>
    <cfRule type="cellIs" dxfId="691" priority="730" stopIfTrue="1" operator="between">
      <formula>8</formula>
      <formula>8.9</formula>
    </cfRule>
    <cfRule type="cellIs" dxfId="690" priority="731" operator="between">
      <formula>9</formula>
      <formula>9.9</formula>
    </cfRule>
    <cfRule type="containsBlanks" dxfId="689" priority="733" stopIfTrue="1">
      <formula>LEN(TRIM(H266))=0</formula>
    </cfRule>
    <cfRule type="cellIs" dxfId="688" priority="732" stopIfTrue="1" operator="between">
      <formula>10</formula>
      <formula>10</formula>
    </cfRule>
  </conditionalFormatting>
  <conditionalFormatting sqref="H276">
    <cfRule type="colorScale" priority="711">
      <colorScale>
        <cfvo type="num" val="5"/>
        <cfvo type="num" val="10"/>
        <color rgb="FFFF494D"/>
        <color rgb="FF00FF66"/>
      </colorScale>
    </cfRule>
    <cfRule type="colorScale" priority="71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77:H286">
    <cfRule type="cellIs" dxfId="687" priority="703" operator="between">
      <formula>6</formula>
      <formula>6.9</formula>
    </cfRule>
    <cfRule type="cellIs" dxfId="686" priority="704" operator="between">
      <formula>10.1</formula>
      <formula>10.6</formula>
    </cfRule>
    <cfRule type="cellIs" dxfId="685" priority="705" operator="between">
      <formula>7</formula>
      <formula>7.9</formula>
    </cfRule>
    <cfRule type="cellIs" dxfId="684" priority="706" stopIfTrue="1" operator="between">
      <formula>8</formula>
      <formula>8.9</formula>
    </cfRule>
    <cfRule type="cellIs" dxfId="683" priority="708" stopIfTrue="1" operator="between">
      <formula>10</formula>
      <formula>10</formula>
    </cfRule>
    <cfRule type="containsBlanks" dxfId="682" priority="709" stopIfTrue="1">
      <formula>LEN(TRIM(H277))=0</formula>
    </cfRule>
    <cfRule type="cellIs" dxfId="681" priority="707" operator="between">
      <formula>9</formula>
      <formula>9.9</formula>
    </cfRule>
  </conditionalFormatting>
  <conditionalFormatting sqref="H288">
    <cfRule type="colorScale" priority="6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36">
      <colorScale>
        <cfvo type="num" val="5"/>
        <cfvo type="num" val="10"/>
        <color rgb="FFFF494D"/>
        <color rgb="FF00FF66"/>
      </colorScale>
    </cfRule>
  </conditionalFormatting>
  <conditionalFormatting sqref="H289:H294">
    <cfRule type="containsBlanks" dxfId="680" priority="634" stopIfTrue="1">
      <formula>LEN(TRIM(H289))=0</formula>
    </cfRule>
    <cfRule type="cellIs" dxfId="679" priority="629" operator="between">
      <formula>10.1</formula>
      <formula>10.6</formula>
    </cfRule>
    <cfRule type="cellIs" dxfId="678" priority="630" operator="between">
      <formula>7</formula>
      <formula>7.9</formula>
    </cfRule>
    <cfRule type="cellIs" dxfId="677" priority="628" operator="between">
      <formula>6</formula>
      <formula>6.9</formula>
    </cfRule>
    <cfRule type="cellIs" dxfId="676" priority="631" stopIfTrue="1" operator="between">
      <formula>8</formula>
      <formula>8.9</formula>
    </cfRule>
    <cfRule type="cellIs" dxfId="675" priority="632" operator="between">
      <formula>9</formula>
      <formula>9.9</formula>
    </cfRule>
    <cfRule type="cellIs" dxfId="674" priority="633" stopIfTrue="1" operator="between">
      <formula>10</formula>
      <formula>10</formula>
    </cfRule>
  </conditionalFormatting>
  <conditionalFormatting sqref="H296">
    <cfRule type="colorScale" priority="627">
      <colorScale>
        <cfvo type="num" val="5"/>
        <cfvo type="num" val="10"/>
        <color rgb="FFFF494D"/>
        <color rgb="FF00FF66"/>
      </colorScale>
    </cfRule>
    <cfRule type="colorScale" priority="62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97:H307">
    <cfRule type="cellIs" dxfId="673" priority="620" operator="between">
      <formula>5</formula>
      <formula>6.9</formula>
    </cfRule>
    <cfRule type="cellIs" dxfId="672" priority="619" operator="between">
      <formula>2</formula>
      <formula>4.9</formula>
    </cfRule>
    <cfRule type="cellIs" dxfId="671" priority="622" operator="between">
      <formula>7</formula>
      <formula>7.9</formula>
    </cfRule>
    <cfRule type="cellIs" dxfId="670" priority="623" stopIfTrue="1" operator="between">
      <formula>8</formula>
      <formula>8.9</formula>
    </cfRule>
    <cfRule type="cellIs" dxfId="669" priority="624" operator="between">
      <formula>9</formula>
      <formula>9.9</formula>
    </cfRule>
    <cfRule type="containsBlanks" dxfId="668" priority="617" stopIfTrue="1">
      <formula>LEN(TRIM(H297))=0</formula>
    </cfRule>
    <cfRule type="cellIs" dxfId="667" priority="625" stopIfTrue="1" operator="between">
      <formula>10</formula>
      <formula>10</formula>
    </cfRule>
    <cfRule type="cellIs" dxfId="666" priority="618" operator="lessThan">
      <formula>2</formula>
    </cfRule>
    <cfRule type="cellIs" dxfId="665" priority="621" operator="between">
      <formula>10.1</formula>
      <formula>10.6</formula>
    </cfRule>
  </conditionalFormatting>
  <conditionalFormatting sqref="H309">
    <cfRule type="colorScale" priority="554">
      <colorScale>
        <cfvo type="num" val="5"/>
        <cfvo type="num" val="10"/>
        <color rgb="FFFF494D"/>
        <color rgb="FF00FF66"/>
      </colorScale>
    </cfRule>
    <cfRule type="colorScale" priority="55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10:H327">
    <cfRule type="cellIs" dxfId="664" priority="549" operator="between">
      <formula>7</formula>
      <formula>7.9</formula>
    </cfRule>
    <cfRule type="cellIs" dxfId="663" priority="551" operator="between">
      <formula>9</formula>
      <formula>9.9</formula>
    </cfRule>
    <cfRule type="cellIs" dxfId="662" priority="548" operator="between">
      <formula>10.1</formula>
      <formula>10.6</formula>
    </cfRule>
    <cfRule type="cellIs" dxfId="661" priority="547" operator="between">
      <formula>5</formula>
      <formula>6.9</formula>
    </cfRule>
    <cfRule type="cellIs" dxfId="660" priority="552" stopIfTrue="1" operator="between">
      <formula>10</formula>
      <formula>10</formula>
    </cfRule>
    <cfRule type="cellIs" dxfId="659" priority="550" stopIfTrue="1" operator="between">
      <formula>8</formula>
      <formula>8.9</formula>
    </cfRule>
    <cfRule type="cellIs" dxfId="658" priority="546" operator="between">
      <formula>2</formula>
      <formula>4.9</formula>
    </cfRule>
    <cfRule type="cellIs" dxfId="657" priority="545" operator="lessThan">
      <formula>2</formula>
    </cfRule>
    <cfRule type="containsBlanks" dxfId="656" priority="544" stopIfTrue="1">
      <formula>LEN(TRIM(H310))=0</formula>
    </cfRule>
  </conditionalFormatting>
  <conditionalFormatting sqref="H329">
    <cfRule type="colorScale" priority="4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55">
      <colorScale>
        <cfvo type="num" val="5"/>
        <cfvo type="num" val="10"/>
        <color rgb="FFFF494D"/>
        <color rgb="FF00FF66"/>
      </colorScale>
    </cfRule>
  </conditionalFormatting>
  <conditionalFormatting sqref="H330:H337">
    <cfRule type="cellIs" dxfId="655" priority="451" stopIfTrue="1" operator="between">
      <formula>8</formula>
      <formula>8.9</formula>
    </cfRule>
    <cfRule type="cellIs" dxfId="654" priority="449" operator="between">
      <formula>10.1</formula>
      <formula>10.6</formula>
    </cfRule>
    <cfRule type="cellIs" dxfId="653" priority="450" operator="between">
      <formula>7</formula>
      <formula>7.9</formula>
    </cfRule>
    <cfRule type="cellIs" dxfId="652" priority="448" operator="between">
      <formula>5</formula>
      <formula>6.9</formula>
    </cfRule>
    <cfRule type="cellIs" dxfId="651" priority="447" operator="between">
      <formula>2</formula>
      <formula>4.9</formula>
    </cfRule>
    <cfRule type="cellIs" dxfId="650" priority="446" operator="lessThan">
      <formula>2</formula>
    </cfRule>
    <cfRule type="cellIs" dxfId="649" priority="452" operator="between">
      <formula>9</formula>
      <formula>9.9</formula>
    </cfRule>
    <cfRule type="containsBlanks" dxfId="648" priority="445" stopIfTrue="1">
      <formula>LEN(TRIM(H330))=0</formula>
    </cfRule>
    <cfRule type="cellIs" dxfId="647" priority="453" stopIfTrue="1" operator="between">
      <formula>10</formula>
      <formula>10</formula>
    </cfRule>
  </conditionalFormatting>
  <conditionalFormatting sqref="H339">
    <cfRule type="colorScale" priority="4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24">
      <colorScale>
        <cfvo type="num" val="5"/>
        <cfvo type="num" val="10"/>
        <color rgb="FFFF494D"/>
        <color rgb="FF00FF66"/>
      </colorScale>
    </cfRule>
  </conditionalFormatting>
  <conditionalFormatting sqref="H340:H351">
    <cfRule type="cellIs" dxfId="646" priority="429" operator="between">
      <formula>10.1</formula>
      <formula>10.6</formula>
    </cfRule>
    <cfRule type="cellIs" dxfId="645" priority="430" operator="between">
      <formula>7</formula>
      <formula>7.9</formula>
    </cfRule>
    <cfRule type="cellIs" dxfId="644" priority="431" stopIfTrue="1" operator="between">
      <formula>8</formula>
      <formula>8.9</formula>
    </cfRule>
    <cfRule type="cellIs" dxfId="643" priority="432" operator="between">
      <formula>9</formula>
      <formula>9.9</formula>
    </cfRule>
    <cfRule type="cellIs" dxfId="642" priority="433" stopIfTrue="1" operator="between">
      <formula>10</formula>
      <formula>10</formula>
    </cfRule>
    <cfRule type="cellIs" dxfId="641" priority="427" operator="between">
      <formula>2</formula>
      <formula>4.9</formula>
    </cfRule>
    <cfRule type="cellIs" dxfId="640" priority="428" operator="between">
      <formula>5</formula>
      <formula>6.9</formula>
    </cfRule>
    <cfRule type="cellIs" dxfId="639" priority="426" operator="lessThan">
      <formula>2</formula>
    </cfRule>
    <cfRule type="containsBlanks" dxfId="638" priority="425" stopIfTrue="1">
      <formula>LEN(TRIM(H340))=0</formula>
    </cfRule>
  </conditionalFormatting>
  <conditionalFormatting sqref="H353">
    <cfRule type="colorScale" priority="3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91">
      <colorScale>
        <cfvo type="num" val="5"/>
        <cfvo type="num" val="10"/>
        <color rgb="FFFF494D"/>
        <color rgb="FF00FF66"/>
      </colorScale>
    </cfRule>
  </conditionalFormatting>
  <conditionalFormatting sqref="H354:H363">
    <cfRule type="containsBlanks" dxfId="637" priority="392" stopIfTrue="1">
      <formula>LEN(TRIM(H354))=0</formula>
    </cfRule>
    <cfRule type="cellIs" dxfId="636" priority="398" stopIfTrue="1" operator="between">
      <formula>8</formula>
      <formula>8.9</formula>
    </cfRule>
    <cfRule type="cellIs" dxfId="635" priority="397" operator="between">
      <formula>7</formula>
      <formula>7.9</formula>
    </cfRule>
    <cfRule type="cellIs" dxfId="634" priority="396" operator="between">
      <formula>10.1</formula>
      <formula>10.6</formula>
    </cfRule>
    <cfRule type="cellIs" dxfId="633" priority="395" operator="between">
      <formula>5</formula>
      <formula>6.9</formula>
    </cfRule>
    <cfRule type="cellIs" dxfId="632" priority="399" operator="between">
      <formula>9</formula>
      <formula>9.9</formula>
    </cfRule>
    <cfRule type="cellIs" dxfId="631" priority="394" operator="between">
      <formula>2</formula>
      <formula>4.9</formula>
    </cfRule>
    <cfRule type="cellIs" dxfId="630" priority="393" operator="lessThan">
      <formula>2</formula>
    </cfRule>
    <cfRule type="cellIs" dxfId="629" priority="400" stopIfTrue="1" operator="between">
      <formula>10</formula>
      <formula>10</formula>
    </cfRule>
  </conditionalFormatting>
  <conditionalFormatting sqref="H365">
    <cfRule type="colorScale" priority="3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5">
      <colorScale>
        <cfvo type="num" val="5"/>
        <cfvo type="num" val="10"/>
        <color rgb="FFFF494D"/>
        <color rgb="FF00FF66"/>
      </colorScale>
    </cfRule>
  </conditionalFormatting>
  <conditionalFormatting sqref="H366:H372">
    <cfRule type="cellIs" dxfId="628" priority="349" operator="between">
      <formula>5</formula>
      <formula>6.9</formula>
    </cfRule>
    <cfRule type="cellIs" dxfId="627" priority="347" operator="lessThan">
      <formula>2</formula>
    </cfRule>
    <cfRule type="cellIs" dxfId="626" priority="348" operator="between">
      <formula>2</formula>
      <formula>4.9</formula>
    </cfRule>
    <cfRule type="cellIs" dxfId="625" priority="354" stopIfTrue="1" operator="between">
      <formula>10</formula>
      <formula>10</formula>
    </cfRule>
    <cfRule type="cellIs" dxfId="624" priority="350" operator="between">
      <formula>10.1</formula>
      <formula>10.6</formula>
    </cfRule>
    <cfRule type="cellIs" dxfId="623" priority="353" operator="between">
      <formula>9</formula>
      <formula>9.9</formula>
    </cfRule>
    <cfRule type="containsBlanks" dxfId="622" priority="346" stopIfTrue="1">
      <formula>LEN(TRIM(H366))=0</formula>
    </cfRule>
    <cfRule type="cellIs" dxfId="621" priority="352" stopIfTrue="1" operator="between">
      <formula>8</formula>
      <formula>8.9</formula>
    </cfRule>
    <cfRule type="cellIs" dxfId="620" priority="351" operator="between">
      <formula>7</formula>
      <formula>7.9</formula>
    </cfRule>
  </conditionalFormatting>
  <conditionalFormatting sqref="H374">
    <cfRule type="colorScale" priority="3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8">
      <colorScale>
        <cfvo type="num" val="5"/>
        <cfvo type="num" val="10"/>
        <color rgb="FFFF494D"/>
        <color rgb="FF00FF66"/>
      </colorScale>
    </cfRule>
  </conditionalFormatting>
  <conditionalFormatting sqref="H375:H385">
    <cfRule type="containsBlanks" dxfId="619" priority="298" stopIfTrue="1">
      <formula>LEN(TRIM(H375))=0</formula>
    </cfRule>
    <cfRule type="cellIs" dxfId="618" priority="299" operator="lessThan">
      <formula>2</formula>
    </cfRule>
    <cfRule type="cellIs" dxfId="617" priority="306" stopIfTrue="1" operator="between">
      <formula>10</formula>
      <formula>10</formula>
    </cfRule>
    <cfRule type="cellIs" dxfId="616" priority="305" operator="between">
      <formula>9</formula>
      <formula>9.9</formula>
    </cfRule>
    <cfRule type="cellIs" dxfId="615" priority="304" stopIfTrue="1" operator="between">
      <formula>8</formula>
      <formula>8.9</formula>
    </cfRule>
    <cfRule type="cellIs" dxfId="614" priority="303" operator="between">
      <formula>7</formula>
      <formula>7.9</formula>
    </cfRule>
    <cfRule type="cellIs" dxfId="613" priority="302" operator="between">
      <formula>10.1</formula>
      <formula>10.6</formula>
    </cfRule>
    <cfRule type="cellIs" dxfId="612" priority="301" operator="between">
      <formula>5</formula>
      <formula>6.9</formula>
    </cfRule>
    <cfRule type="cellIs" dxfId="611" priority="300" operator="between">
      <formula>2</formula>
      <formula>4.9</formula>
    </cfRule>
  </conditionalFormatting>
  <conditionalFormatting sqref="H387">
    <cfRule type="colorScale" priority="232">
      <colorScale>
        <cfvo type="num" val="5"/>
        <cfvo type="num" val="10"/>
        <color rgb="FFFF494D"/>
        <color rgb="FF00FF66"/>
      </colorScale>
    </cfRule>
    <cfRule type="colorScale" priority="23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88:H399">
    <cfRule type="containsBlanks" dxfId="610" priority="222" stopIfTrue="1">
      <formula>LEN(TRIM(H388))=0</formula>
    </cfRule>
    <cfRule type="cellIs" dxfId="609" priority="228" stopIfTrue="1" operator="between">
      <formula>8</formula>
      <formula>8.9</formula>
    </cfRule>
    <cfRule type="cellIs" dxfId="608" priority="227" operator="between">
      <formula>7</formula>
      <formula>7.9</formula>
    </cfRule>
    <cfRule type="cellIs" dxfId="607" priority="226" operator="between">
      <formula>10.1</formula>
      <formula>10.6</formula>
    </cfRule>
    <cfRule type="cellIs" dxfId="606" priority="225" operator="between">
      <formula>5</formula>
      <formula>6.9</formula>
    </cfRule>
    <cfRule type="cellIs" dxfId="605" priority="229" operator="between">
      <formula>9</formula>
      <formula>9.9</formula>
    </cfRule>
    <cfRule type="cellIs" dxfId="604" priority="224" operator="between">
      <formula>2</formula>
      <formula>4.9</formula>
    </cfRule>
    <cfRule type="cellIs" dxfId="603" priority="230" stopIfTrue="1" operator="between">
      <formula>10</formula>
      <formula>10</formula>
    </cfRule>
    <cfRule type="cellIs" dxfId="602" priority="223" operator="lessThan">
      <formula>2</formula>
    </cfRule>
  </conditionalFormatting>
  <conditionalFormatting sqref="H401">
    <cfRule type="colorScale" priority="1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6">
      <colorScale>
        <cfvo type="num" val="5"/>
        <cfvo type="num" val="10"/>
        <color rgb="FFFF494D"/>
        <color rgb="FF00FF66"/>
      </colorScale>
    </cfRule>
  </conditionalFormatting>
  <conditionalFormatting sqref="H402:H413">
    <cfRule type="cellIs" dxfId="601" priority="153" stopIfTrue="1" operator="between">
      <formula>8</formula>
      <formula>8.9</formula>
    </cfRule>
    <cfRule type="cellIs" dxfId="600" priority="154" operator="between">
      <formula>9</formula>
      <formula>9.9</formula>
    </cfRule>
    <cfRule type="containsBlanks" dxfId="599" priority="147" stopIfTrue="1">
      <formula>LEN(TRIM(H402))=0</formula>
    </cfRule>
    <cfRule type="cellIs" dxfId="598" priority="152" operator="between">
      <formula>7</formula>
      <formula>7.9</formula>
    </cfRule>
    <cfRule type="cellIs" dxfId="597" priority="151" operator="between">
      <formula>10.1</formula>
      <formula>10.6</formula>
    </cfRule>
    <cfRule type="cellIs" dxfId="596" priority="150" operator="between">
      <formula>5</formula>
      <formula>6.9</formula>
    </cfRule>
    <cfRule type="cellIs" dxfId="595" priority="149" operator="between">
      <formula>2</formula>
      <formula>4.9</formula>
    </cfRule>
    <cfRule type="cellIs" dxfId="594" priority="155" stopIfTrue="1" operator="between">
      <formula>10</formula>
      <formula>10</formula>
    </cfRule>
    <cfRule type="cellIs" dxfId="593" priority="148" operator="lessThan">
      <formula>2</formula>
    </cfRule>
  </conditionalFormatting>
  <conditionalFormatting sqref="H415">
    <cfRule type="colorScale" priority="88">
      <colorScale>
        <cfvo type="num" val="5"/>
        <cfvo type="num" val="10"/>
        <color rgb="FFFF494D"/>
        <color rgb="FF00FF66"/>
      </colorScale>
    </cfRule>
    <cfRule type="colorScale" priority="8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16:H419">
    <cfRule type="cellIs" dxfId="592" priority="74" operator="between">
      <formula>7</formula>
      <formula>7.9</formula>
    </cfRule>
    <cfRule type="cellIs" dxfId="591" priority="73" operator="between">
      <formula>10.1</formula>
      <formula>10.6</formula>
    </cfRule>
    <cfRule type="cellIs" dxfId="590" priority="75" stopIfTrue="1" operator="between">
      <formula>8</formula>
      <formula>8.9</formula>
    </cfRule>
    <cfRule type="cellIs" dxfId="589" priority="76" operator="between">
      <formula>9</formula>
      <formula>9.9</formula>
    </cfRule>
    <cfRule type="cellIs" dxfId="588" priority="72" operator="between">
      <formula>5</formula>
      <formula>6.9</formula>
    </cfRule>
    <cfRule type="cellIs" dxfId="587" priority="77" stopIfTrue="1" operator="between">
      <formula>10</formula>
      <formula>10</formula>
    </cfRule>
    <cfRule type="cellIs" dxfId="586" priority="71" operator="between">
      <formula>2</formula>
      <formula>4.9</formula>
    </cfRule>
    <cfRule type="containsBlanks" dxfId="585" priority="69" stopIfTrue="1">
      <formula>LEN(TRIM(H416))=0</formula>
    </cfRule>
    <cfRule type="cellIs" dxfId="584" priority="70" operator="lessThan">
      <formula>2</formula>
    </cfRule>
  </conditionalFormatting>
  <conditionalFormatting sqref="H421">
    <cfRule type="colorScale" priority="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">
      <colorScale>
        <cfvo type="num" val="5"/>
        <cfvo type="num" val="10"/>
        <color rgb="FFFF494D"/>
        <color rgb="FF00FF66"/>
      </colorScale>
    </cfRule>
  </conditionalFormatting>
  <conditionalFormatting sqref="H422:H432">
    <cfRule type="cellIs" dxfId="583" priority="55" stopIfTrue="1" operator="between">
      <formula>10</formula>
      <formula>10</formula>
    </cfRule>
    <cfRule type="cellIs" dxfId="582" priority="54" operator="between">
      <formula>9</formula>
      <formula>9.9</formula>
    </cfRule>
    <cfRule type="cellIs" dxfId="581" priority="53" stopIfTrue="1" operator="between">
      <formula>8</formula>
      <formula>8.9</formula>
    </cfRule>
    <cfRule type="cellIs" dxfId="580" priority="52" operator="between">
      <formula>7</formula>
      <formula>7.9</formula>
    </cfRule>
    <cfRule type="cellIs" dxfId="579" priority="51" operator="between">
      <formula>10.1</formula>
      <formula>10.6</formula>
    </cfRule>
    <cfRule type="cellIs" dxfId="578" priority="48" operator="lessThan">
      <formula>2</formula>
    </cfRule>
    <cfRule type="cellIs" dxfId="577" priority="49" operator="between">
      <formula>2</formula>
      <formula>4.9</formula>
    </cfRule>
    <cfRule type="cellIs" dxfId="576" priority="50" operator="between">
      <formula>5</formula>
      <formula>6.9</formula>
    </cfRule>
    <cfRule type="containsBlanks" dxfId="575" priority="47" stopIfTrue="1">
      <formula>LEN(TRIM(H422))=0</formula>
    </cfRule>
  </conditionalFormatting>
  <conditionalFormatting sqref="K3:K12">
    <cfRule type="cellIs" dxfId="574" priority="1616" stopIfTrue="1" operator="between">
      <formula>8</formula>
      <formula>8.9</formula>
    </cfRule>
    <cfRule type="cellIs" dxfId="573" priority="1617" operator="between">
      <formula>9</formula>
      <formula>9.9</formula>
    </cfRule>
    <cfRule type="cellIs" dxfId="572" priority="1614" operator="between">
      <formula>10.1</formula>
      <formula>10.6</formula>
    </cfRule>
    <cfRule type="cellIs" dxfId="571" priority="1615" operator="between">
      <formula>7</formula>
      <formula>7.9</formula>
    </cfRule>
    <cfRule type="containsBlanks" dxfId="570" priority="1619" stopIfTrue="1">
      <formula>LEN(TRIM(K3))=0</formula>
    </cfRule>
    <cfRule type="cellIs" dxfId="569" priority="1618" stopIfTrue="1" operator="between">
      <formula>10</formula>
      <formula>10</formula>
    </cfRule>
  </conditionalFormatting>
  <conditionalFormatting sqref="K15:K23">
    <cfRule type="cellIs" dxfId="568" priority="1022" operator="between">
      <formula>7</formula>
      <formula>7.9</formula>
    </cfRule>
    <cfRule type="cellIs" dxfId="567" priority="1023" stopIfTrue="1" operator="between">
      <formula>8</formula>
      <formula>8.9</formula>
    </cfRule>
    <cfRule type="cellIs" dxfId="566" priority="1025" stopIfTrue="1" operator="between">
      <formula>10</formula>
      <formula>10</formula>
    </cfRule>
    <cfRule type="cellIs" dxfId="565" priority="1024" operator="between">
      <formula>9</formula>
      <formula>9.9</formula>
    </cfRule>
  </conditionalFormatting>
  <conditionalFormatting sqref="K23">
    <cfRule type="cellIs" dxfId="564" priority="1021" operator="between">
      <formula>10.1</formula>
      <formula>10.6</formula>
    </cfRule>
    <cfRule type="containsBlanks" dxfId="563" priority="1026" stopIfTrue="1">
      <formula>LEN(TRIM(K23))=0</formula>
    </cfRule>
  </conditionalFormatting>
  <conditionalFormatting sqref="K26:K38">
    <cfRule type="cellIs" dxfId="562" priority="1649" operator="between">
      <formula>7</formula>
      <formula>7.9</formula>
    </cfRule>
    <cfRule type="cellIs" dxfId="561" priority="1650" stopIfTrue="1" operator="between">
      <formula>8</formula>
      <formula>8.9</formula>
    </cfRule>
    <cfRule type="cellIs" dxfId="560" priority="1651" operator="between">
      <formula>9</formula>
      <formula>9.9</formula>
    </cfRule>
    <cfRule type="cellIs" dxfId="559" priority="1652" stopIfTrue="1" operator="between">
      <formula>10</formula>
      <formula>10</formula>
    </cfRule>
    <cfRule type="containsBlanks" dxfId="558" priority="1653" stopIfTrue="1">
      <formula>LEN(TRIM(K26))=0</formula>
    </cfRule>
  </conditionalFormatting>
  <conditionalFormatting sqref="K40">
    <cfRule type="colorScale" priority="1972">
      <colorScale>
        <cfvo type="num" val="5"/>
        <cfvo type="num" val="10"/>
        <color rgb="FFFF494D"/>
        <color rgb="FF00FF66"/>
      </colorScale>
    </cfRule>
    <cfRule type="colorScale" priority="197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1:K52">
    <cfRule type="cellIs" dxfId="557" priority="1554" operator="between">
      <formula>10.1</formula>
      <formula>10.6</formula>
    </cfRule>
    <cfRule type="cellIs" dxfId="556" priority="1555" operator="between">
      <formula>7</formula>
      <formula>7.9</formula>
    </cfRule>
    <cfRule type="cellIs" dxfId="555" priority="1556" stopIfTrue="1" operator="between">
      <formula>8</formula>
      <formula>8.9</formula>
    </cfRule>
    <cfRule type="cellIs" dxfId="554" priority="1557" operator="between">
      <formula>9</formula>
      <formula>9.9</formula>
    </cfRule>
    <cfRule type="cellIs" dxfId="553" priority="1558" stopIfTrue="1" operator="between">
      <formula>10</formula>
      <formula>10</formula>
    </cfRule>
    <cfRule type="containsBlanks" dxfId="552" priority="1559" stopIfTrue="1">
      <formula>LEN(TRIM(K41))=0</formula>
    </cfRule>
  </conditionalFormatting>
  <conditionalFormatting sqref="K54">
    <cfRule type="colorScale" priority="15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3">
      <colorScale>
        <cfvo type="num" val="5"/>
        <cfvo type="num" val="10"/>
        <color rgb="FFFF494D"/>
        <color rgb="FF00FF66"/>
      </colorScale>
    </cfRule>
  </conditionalFormatting>
  <conditionalFormatting sqref="K55:K64">
    <cfRule type="cellIs" dxfId="551" priority="1517" operator="between">
      <formula>7</formula>
      <formula>7.9</formula>
    </cfRule>
    <cfRule type="cellIs" dxfId="550" priority="1518" stopIfTrue="1" operator="between">
      <formula>8</formula>
      <formula>8.9</formula>
    </cfRule>
    <cfRule type="cellIs" dxfId="549" priority="1519" operator="between">
      <formula>9</formula>
      <formula>9.9</formula>
    </cfRule>
    <cfRule type="cellIs" dxfId="548" priority="1520" stopIfTrue="1" operator="between">
      <formula>10</formula>
      <formula>10</formula>
    </cfRule>
    <cfRule type="cellIs" dxfId="547" priority="1516" operator="between">
      <formula>10.1</formula>
      <formula>10.6</formula>
    </cfRule>
    <cfRule type="containsBlanks" dxfId="546" priority="1521" stopIfTrue="1">
      <formula>LEN(TRIM(K55))=0</formula>
    </cfRule>
  </conditionalFormatting>
  <conditionalFormatting sqref="K66">
    <cfRule type="colorScale" priority="14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96">
      <colorScale>
        <cfvo type="num" val="5"/>
        <cfvo type="num" val="10"/>
        <color rgb="FFFF494D"/>
        <color rgb="FF00FF66"/>
      </colorScale>
    </cfRule>
  </conditionalFormatting>
  <conditionalFormatting sqref="K67:K75">
    <cfRule type="cellIs" dxfId="545" priority="1489" operator="between">
      <formula>10.1</formula>
      <formula>10.6</formula>
    </cfRule>
    <cfRule type="cellIs" dxfId="544" priority="1490" operator="between">
      <formula>7</formula>
      <formula>7.9</formula>
    </cfRule>
    <cfRule type="cellIs" dxfId="543" priority="1491" stopIfTrue="1" operator="between">
      <formula>8</formula>
      <formula>8.9</formula>
    </cfRule>
    <cfRule type="cellIs" dxfId="542" priority="1493" stopIfTrue="1" operator="between">
      <formula>10</formula>
      <formula>10</formula>
    </cfRule>
    <cfRule type="containsBlanks" dxfId="541" priority="1494" stopIfTrue="1">
      <formula>LEN(TRIM(K67))=0</formula>
    </cfRule>
    <cfRule type="cellIs" dxfId="540" priority="1492" operator="between">
      <formula>9</formula>
      <formula>9.9</formula>
    </cfRule>
  </conditionalFormatting>
  <conditionalFormatting sqref="K77">
    <cfRule type="colorScale" priority="1443">
      <colorScale>
        <cfvo type="num" val="5"/>
        <cfvo type="num" val="10"/>
        <color rgb="FFFF494D"/>
        <color rgb="FF00FF66"/>
      </colorScale>
    </cfRule>
    <cfRule type="colorScale" priority="144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78:K88">
    <cfRule type="cellIs" dxfId="539" priority="1438" stopIfTrue="1" operator="between">
      <formula>8</formula>
      <formula>8.9</formula>
    </cfRule>
    <cfRule type="cellIs" dxfId="538" priority="1437" operator="between">
      <formula>7</formula>
      <formula>7.9</formula>
    </cfRule>
    <cfRule type="cellIs" dxfId="537" priority="1436" operator="between">
      <formula>10.1</formula>
      <formula>10.6</formula>
    </cfRule>
    <cfRule type="cellIs" dxfId="536" priority="1439" operator="between">
      <formula>9</formula>
      <formula>9.9</formula>
    </cfRule>
    <cfRule type="cellIs" dxfId="535" priority="1440" stopIfTrue="1" operator="between">
      <formula>10</formula>
      <formula>10</formula>
    </cfRule>
    <cfRule type="containsBlanks" dxfId="534" priority="1441" stopIfTrue="1">
      <formula>LEN(TRIM(K78))=0</formula>
    </cfRule>
  </conditionalFormatting>
  <conditionalFormatting sqref="K90">
    <cfRule type="colorScale" priority="13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90">
      <colorScale>
        <cfvo type="num" val="5"/>
        <cfvo type="num" val="10"/>
        <color rgb="FFFF494D"/>
        <color rgb="FF00FF66"/>
      </colorScale>
    </cfRule>
  </conditionalFormatting>
  <conditionalFormatting sqref="K91:K96">
    <cfRule type="cellIs" dxfId="533" priority="1391" operator="between">
      <formula>10.1</formula>
      <formula>10.6</formula>
    </cfRule>
    <cfRule type="cellIs" dxfId="532" priority="1392" operator="between">
      <formula>7</formula>
      <formula>7.9</formula>
    </cfRule>
    <cfRule type="cellIs" dxfId="531" priority="1393" stopIfTrue="1" operator="between">
      <formula>8</formula>
      <formula>8.9</formula>
    </cfRule>
    <cfRule type="cellIs" dxfId="530" priority="1394" operator="between">
      <formula>9</formula>
      <formula>9.9</formula>
    </cfRule>
    <cfRule type="cellIs" dxfId="529" priority="1395" stopIfTrue="1" operator="between">
      <formula>10</formula>
      <formula>10</formula>
    </cfRule>
    <cfRule type="containsBlanks" dxfId="528" priority="1396" stopIfTrue="1">
      <formula>LEN(TRIM(K91))=0</formula>
    </cfRule>
  </conditionalFormatting>
  <conditionalFormatting sqref="K98">
    <cfRule type="colorScale" priority="1356">
      <colorScale>
        <cfvo type="num" val="5"/>
        <cfvo type="num" val="10"/>
        <color rgb="FFFF494D"/>
        <color rgb="FF00FF66"/>
      </colorScale>
    </cfRule>
    <cfRule type="colorScale" priority="135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99:K109">
    <cfRule type="containsBlanks" dxfId="527" priority="1363" stopIfTrue="1">
      <formula>LEN(TRIM(K99))=0</formula>
    </cfRule>
    <cfRule type="cellIs" dxfId="526" priority="1362" stopIfTrue="1" operator="between">
      <formula>10</formula>
      <formula>10</formula>
    </cfRule>
    <cfRule type="cellIs" dxfId="525" priority="1361" operator="between">
      <formula>9</formula>
      <formula>9.9</formula>
    </cfRule>
    <cfRule type="cellIs" dxfId="524" priority="1360" stopIfTrue="1" operator="between">
      <formula>8</formula>
      <formula>8.9</formula>
    </cfRule>
    <cfRule type="cellIs" dxfId="523" priority="1359" operator="between">
      <formula>7</formula>
      <formula>7.9</formula>
    </cfRule>
    <cfRule type="cellIs" dxfId="522" priority="1358" operator="between">
      <formula>10.1</formula>
      <formula>10.6</formula>
    </cfRule>
    <cfRule type="cellIs" dxfId="521" priority="1357" operator="between">
      <formula>6</formula>
      <formula>6.9</formula>
    </cfRule>
  </conditionalFormatting>
  <conditionalFormatting sqref="K111">
    <cfRule type="colorScale" priority="13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23">
      <colorScale>
        <cfvo type="num" val="5"/>
        <cfvo type="num" val="10"/>
        <color rgb="FFFF494D"/>
        <color rgb="FF00FF66"/>
      </colorScale>
    </cfRule>
  </conditionalFormatting>
  <conditionalFormatting sqref="K112:K122">
    <cfRule type="cellIs" dxfId="520" priority="1311" operator="between">
      <formula>7</formula>
      <formula>7.9</formula>
    </cfRule>
    <cfRule type="cellIs" dxfId="519" priority="1313" operator="between">
      <formula>9</formula>
      <formula>9.9</formula>
    </cfRule>
    <cfRule type="cellIs" dxfId="518" priority="1314" stopIfTrue="1" operator="between">
      <formula>10</formula>
      <formula>10</formula>
    </cfRule>
    <cfRule type="containsBlanks" dxfId="517" priority="1315" stopIfTrue="1">
      <formula>LEN(TRIM(K112))=0</formula>
    </cfRule>
    <cfRule type="cellIs" dxfId="516" priority="1312" stopIfTrue="1" operator="between">
      <formula>8</formula>
      <formula>8.9</formula>
    </cfRule>
    <cfRule type="cellIs" dxfId="515" priority="1310" operator="between">
      <formula>10.1</formula>
      <formula>10.6</formula>
    </cfRule>
  </conditionalFormatting>
  <conditionalFormatting sqref="K114">
    <cfRule type="cellIs" dxfId="514" priority="1309" operator="between">
      <formula>6</formula>
      <formula>6.9</formula>
    </cfRule>
  </conditionalFormatting>
  <conditionalFormatting sqref="K124">
    <cfRule type="colorScale" priority="1274">
      <colorScale>
        <cfvo type="num" val="5"/>
        <cfvo type="num" val="10"/>
        <color rgb="FFFF494D"/>
        <color rgb="FF00FF66"/>
      </colorScale>
    </cfRule>
    <cfRule type="colorScale" priority="127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25:K128 K130:K134">
    <cfRule type="cellIs" dxfId="513" priority="1269" stopIfTrue="1" operator="between">
      <formula>8</formula>
      <formula>8.9</formula>
    </cfRule>
    <cfRule type="cellIs" dxfId="512" priority="1268" operator="between">
      <formula>7</formula>
      <formula>7.9</formula>
    </cfRule>
    <cfRule type="cellIs" dxfId="511" priority="1267" operator="between">
      <formula>10.1</formula>
      <formula>10.6</formula>
    </cfRule>
    <cfRule type="cellIs" dxfId="510" priority="1270" operator="between">
      <formula>9</formula>
      <formula>9.9</formula>
    </cfRule>
    <cfRule type="cellIs" dxfId="509" priority="1271" stopIfTrue="1" operator="between">
      <formula>10</formula>
      <formula>10</formula>
    </cfRule>
    <cfRule type="containsBlanks" dxfId="508" priority="1272" stopIfTrue="1">
      <formula>LEN(TRIM(K125))=0</formula>
    </cfRule>
  </conditionalFormatting>
  <conditionalFormatting sqref="K125:K134">
    <cfRule type="cellIs" dxfId="507" priority="1264" operator="between">
      <formula>9</formula>
      <formula>9.9</formula>
    </cfRule>
    <cfRule type="cellIs" dxfId="506" priority="1263" stopIfTrue="1" operator="between">
      <formula>8</formula>
      <formula>8.9</formula>
    </cfRule>
    <cfRule type="containsBlanks" dxfId="505" priority="1266" stopIfTrue="1">
      <formula>LEN(TRIM(K125))=0</formula>
    </cfRule>
    <cfRule type="cellIs" dxfId="504" priority="1265" stopIfTrue="1" operator="between">
      <formula>10</formula>
      <formula>10</formula>
    </cfRule>
    <cfRule type="cellIs" dxfId="503" priority="1262" operator="between">
      <formula>7</formula>
      <formula>7.9</formula>
    </cfRule>
    <cfRule type="cellIs" dxfId="502" priority="1261" operator="between">
      <formula>10.1</formula>
      <formula>10.6</formula>
    </cfRule>
    <cfRule type="cellIs" dxfId="501" priority="1260" operator="between">
      <formula>6</formula>
      <formula>6.9</formula>
    </cfRule>
  </conditionalFormatting>
  <conditionalFormatting sqref="K136">
    <cfRule type="colorScale" priority="12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01">
      <colorScale>
        <cfvo type="num" val="5"/>
        <cfvo type="num" val="10"/>
        <color rgb="FFFF494D"/>
        <color rgb="FF00FF66"/>
      </colorScale>
    </cfRule>
  </conditionalFormatting>
  <conditionalFormatting sqref="K137:K147">
    <cfRule type="cellIs" dxfId="500" priority="1206" operator="between">
      <formula>9</formula>
      <formula>9.9</formula>
    </cfRule>
    <cfRule type="cellIs" dxfId="499" priority="1202" operator="between">
      <formula>6</formula>
      <formula>6.9</formula>
    </cfRule>
    <cfRule type="cellIs" dxfId="498" priority="1203" operator="between">
      <formula>10.1</formula>
      <formula>10.6</formula>
    </cfRule>
    <cfRule type="cellIs" dxfId="497" priority="1204" operator="between">
      <formula>7</formula>
      <formula>7.9</formula>
    </cfRule>
    <cfRule type="cellIs" dxfId="496" priority="1205" stopIfTrue="1" operator="between">
      <formula>8</formula>
      <formula>8.9</formula>
    </cfRule>
    <cfRule type="containsBlanks" dxfId="495" priority="1208" stopIfTrue="1">
      <formula>LEN(TRIM(K137))=0</formula>
    </cfRule>
    <cfRule type="cellIs" dxfId="494" priority="1207" stopIfTrue="1" operator="between">
      <formula>10</formula>
      <formula>10</formula>
    </cfRule>
  </conditionalFormatting>
  <conditionalFormatting sqref="K149">
    <cfRule type="colorScale" priority="1138">
      <colorScale>
        <cfvo type="num" val="5"/>
        <cfvo type="num" val="10"/>
        <color rgb="FFFF494D"/>
        <color rgb="FF00FF66"/>
      </colorScale>
    </cfRule>
    <cfRule type="colorScale" priority="113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50:K163">
    <cfRule type="cellIs" dxfId="493" priority="1143" operator="between">
      <formula>9</formula>
      <formula>9.9</formula>
    </cfRule>
    <cfRule type="cellIs" dxfId="492" priority="1139" operator="between">
      <formula>6</formula>
      <formula>6.9</formula>
    </cfRule>
    <cfRule type="cellIs" dxfId="491" priority="1140" operator="between">
      <formula>10.1</formula>
      <formula>10.6</formula>
    </cfRule>
    <cfRule type="cellIs" dxfId="490" priority="1141" operator="between">
      <formula>7</formula>
      <formula>7.9</formula>
    </cfRule>
    <cfRule type="containsBlanks" dxfId="489" priority="1145" stopIfTrue="1">
      <formula>LEN(TRIM(K150))=0</formula>
    </cfRule>
    <cfRule type="cellIs" dxfId="488" priority="1144" stopIfTrue="1" operator="between">
      <formula>10</formula>
      <formula>10</formula>
    </cfRule>
    <cfRule type="cellIs" dxfId="487" priority="1142" stopIfTrue="1" operator="between">
      <formula>8</formula>
      <formula>8.9</formula>
    </cfRule>
  </conditionalFormatting>
  <conditionalFormatting sqref="K165">
    <cfRule type="colorScale" priority="10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1">
      <colorScale>
        <cfvo type="num" val="5"/>
        <cfvo type="num" val="10"/>
        <color rgb="FFFF494D"/>
        <color rgb="FF00FF66"/>
      </colorScale>
    </cfRule>
  </conditionalFormatting>
  <conditionalFormatting sqref="K166:K173">
    <cfRule type="cellIs" dxfId="486" priority="1083" operator="between">
      <formula>6</formula>
      <formula>6.9</formula>
    </cfRule>
    <cfRule type="cellIs" dxfId="485" priority="1084" operator="between">
      <formula>10.1</formula>
      <formula>10.6</formula>
    </cfRule>
    <cfRule type="cellIs" dxfId="484" priority="1085" operator="between">
      <formula>7</formula>
      <formula>7.9</formula>
    </cfRule>
    <cfRule type="cellIs" dxfId="483" priority="1086" stopIfTrue="1" operator="between">
      <formula>8</formula>
      <formula>8.9</formula>
    </cfRule>
    <cfRule type="cellIs" dxfId="482" priority="1087" operator="between">
      <formula>9</formula>
      <formula>9.9</formula>
    </cfRule>
    <cfRule type="cellIs" dxfId="481" priority="1088" stopIfTrue="1" operator="between">
      <formula>10</formula>
      <formula>10</formula>
    </cfRule>
    <cfRule type="containsBlanks" dxfId="480" priority="1089" stopIfTrue="1">
      <formula>LEN(TRIM(K166))=0</formula>
    </cfRule>
  </conditionalFormatting>
  <conditionalFormatting sqref="K175">
    <cfRule type="colorScale" priority="10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55">
      <colorScale>
        <cfvo type="num" val="5"/>
        <cfvo type="num" val="10"/>
        <color rgb="FFFF494D"/>
        <color rgb="FF00FF66"/>
      </colorScale>
    </cfRule>
  </conditionalFormatting>
  <conditionalFormatting sqref="K176:K180">
    <cfRule type="containsBlanks" dxfId="479" priority="1062" stopIfTrue="1">
      <formula>LEN(TRIM(K176))=0</formula>
    </cfRule>
    <cfRule type="cellIs" dxfId="478" priority="1061" stopIfTrue="1" operator="between">
      <formula>10</formula>
      <formula>10</formula>
    </cfRule>
    <cfRule type="cellIs" dxfId="477" priority="1060" operator="between">
      <formula>9</formula>
      <formula>9.9</formula>
    </cfRule>
    <cfRule type="cellIs" dxfId="476" priority="1059" stopIfTrue="1" operator="between">
      <formula>8</formula>
      <formula>8.9</formula>
    </cfRule>
    <cfRule type="cellIs" dxfId="475" priority="1058" operator="between">
      <formula>7</formula>
      <formula>7.9</formula>
    </cfRule>
    <cfRule type="cellIs" dxfId="474" priority="1057" operator="between">
      <formula>10.1</formula>
      <formula>10.6</formula>
    </cfRule>
    <cfRule type="cellIs" dxfId="473" priority="1056" operator="between">
      <formula>6</formula>
      <formula>6.9</formula>
    </cfRule>
  </conditionalFormatting>
  <conditionalFormatting sqref="K182">
    <cfRule type="colorScale" priority="1044">
      <colorScale>
        <cfvo type="num" val="5"/>
        <cfvo type="num" val="10"/>
        <color rgb="FFFF494D"/>
        <color rgb="FF00FF66"/>
      </colorScale>
    </cfRule>
    <cfRule type="colorScale" priority="104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83:K187">
    <cfRule type="cellIs" dxfId="472" priority="1039" stopIfTrue="1" operator="between">
      <formula>8</formula>
      <formula>8.9</formula>
    </cfRule>
    <cfRule type="cellIs" dxfId="471" priority="1036" operator="between">
      <formula>6</formula>
      <formula>6.9</formula>
    </cfRule>
    <cfRule type="cellIs" dxfId="470" priority="1037" operator="between">
      <formula>10.1</formula>
      <formula>10.6</formula>
    </cfRule>
    <cfRule type="cellIs" dxfId="469" priority="1038" operator="between">
      <formula>7</formula>
      <formula>7.9</formula>
    </cfRule>
    <cfRule type="containsBlanks" dxfId="468" priority="1042" stopIfTrue="1">
      <formula>LEN(TRIM(K183))=0</formula>
    </cfRule>
    <cfRule type="cellIs" dxfId="467" priority="1041" stopIfTrue="1" operator="between">
      <formula>10</formula>
      <formula>10</formula>
    </cfRule>
    <cfRule type="cellIs" dxfId="466" priority="1040" operator="between">
      <formula>9</formula>
      <formula>9.9</formula>
    </cfRule>
  </conditionalFormatting>
  <conditionalFormatting sqref="K189">
    <cfRule type="colorScale" priority="9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95">
      <colorScale>
        <cfvo type="num" val="5"/>
        <cfvo type="num" val="10"/>
        <color rgb="FFFF494D"/>
        <color rgb="FF00FF66"/>
      </colorScale>
    </cfRule>
  </conditionalFormatting>
  <conditionalFormatting sqref="K190:K197">
    <cfRule type="containsBlanks" dxfId="465" priority="1002" stopIfTrue="1">
      <formula>LEN(TRIM(K190))=0</formula>
    </cfRule>
    <cfRule type="cellIs" dxfId="464" priority="997" operator="between">
      <formula>10.1</formula>
      <formula>10.6</formula>
    </cfRule>
    <cfRule type="cellIs" dxfId="463" priority="996" operator="between">
      <formula>6</formula>
      <formula>6.9</formula>
    </cfRule>
    <cfRule type="cellIs" dxfId="462" priority="998" operator="between">
      <formula>7</formula>
      <formula>7.9</formula>
    </cfRule>
    <cfRule type="cellIs" dxfId="461" priority="999" stopIfTrue="1" operator="between">
      <formula>8</formula>
      <formula>8.9</formula>
    </cfRule>
    <cfRule type="cellIs" dxfId="460" priority="1000" operator="between">
      <formula>9</formula>
      <formula>9.9</formula>
    </cfRule>
    <cfRule type="cellIs" dxfId="459" priority="1001" stopIfTrue="1" operator="between">
      <formula>10</formula>
      <formula>10</formula>
    </cfRule>
  </conditionalFormatting>
  <conditionalFormatting sqref="K199">
    <cfRule type="colorScale" priority="975">
      <colorScale>
        <cfvo type="num" val="5"/>
        <cfvo type="num" val="10"/>
        <color rgb="FFFF494D"/>
        <color rgb="FF00FF66"/>
      </colorScale>
    </cfRule>
    <cfRule type="colorScale" priority="97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00:K206">
    <cfRule type="cellIs" dxfId="458" priority="971" operator="between">
      <formula>9</formula>
      <formula>9.9</formula>
    </cfRule>
    <cfRule type="containsBlanks" dxfId="457" priority="973" stopIfTrue="1">
      <formula>LEN(TRIM(K200))=0</formula>
    </cfRule>
    <cfRule type="cellIs" dxfId="456" priority="967" operator="between">
      <formula>6</formula>
      <formula>6.9</formula>
    </cfRule>
    <cfRule type="cellIs" dxfId="455" priority="968" operator="between">
      <formula>10.1</formula>
      <formula>10.6</formula>
    </cfRule>
    <cfRule type="cellIs" dxfId="454" priority="969" operator="between">
      <formula>7</formula>
      <formula>7.9</formula>
    </cfRule>
    <cfRule type="cellIs" dxfId="453" priority="970" stopIfTrue="1" operator="between">
      <formula>8</formula>
      <formula>8.9</formula>
    </cfRule>
    <cfRule type="cellIs" dxfId="452" priority="972" stopIfTrue="1" operator="between">
      <formula>10</formula>
      <formula>10</formula>
    </cfRule>
  </conditionalFormatting>
  <conditionalFormatting sqref="K208">
    <cfRule type="colorScale" priority="936">
      <colorScale>
        <cfvo type="num" val="5"/>
        <cfvo type="num" val="10"/>
        <color rgb="FFFF494D"/>
        <color rgb="FF00FF66"/>
      </colorScale>
    </cfRule>
    <cfRule type="colorScale" priority="93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09:K217">
    <cfRule type="cellIs" dxfId="451" priority="937" operator="between">
      <formula>6</formula>
      <formula>6.9</formula>
    </cfRule>
    <cfRule type="cellIs" dxfId="450" priority="938" operator="between">
      <formula>10.1</formula>
      <formula>11</formula>
    </cfRule>
    <cfRule type="cellIs" dxfId="449" priority="939" operator="between">
      <formula>7</formula>
      <formula>7.9</formula>
    </cfRule>
    <cfRule type="cellIs" dxfId="448" priority="940" stopIfTrue="1" operator="between">
      <formula>8</formula>
      <formula>8.9</formula>
    </cfRule>
    <cfRule type="cellIs" dxfId="447" priority="941" operator="between">
      <formula>9</formula>
      <formula>9.9</formula>
    </cfRule>
    <cfRule type="cellIs" dxfId="446" priority="942" stopIfTrue="1" operator="between">
      <formula>10</formula>
      <formula>10</formula>
    </cfRule>
    <cfRule type="containsBlanks" dxfId="445" priority="943" stopIfTrue="1">
      <formula>LEN(TRIM(K209))=0</formula>
    </cfRule>
  </conditionalFormatting>
  <conditionalFormatting sqref="K219">
    <cfRule type="colorScale" priority="892">
      <colorScale>
        <cfvo type="num" val="5"/>
        <cfvo type="num" val="10"/>
        <color rgb="FFFF494D"/>
        <color rgb="FF00FF66"/>
      </colorScale>
    </cfRule>
    <cfRule type="colorScale" priority="89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20:K235">
    <cfRule type="containsBlanks" dxfId="444" priority="890" stopIfTrue="1">
      <formula>LEN(TRIM(K220))=0</formula>
    </cfRule>
    <cfRule type="cellIs" dxfId="443" priority="889" stopIfTrue="1" operator="between">
      <formula>10</formula>
      <formula>10</formula>
    </cfRule>
    <cfRule type="cellIs" dxfId="442" priority="888" operator="between">
      <formula>9</formula>
      <formula>9.9</formula>
    </cfRule>
    <cfRule type="cellIs" dxfId="441" priority="887" stopIfTrue="1" operator="between">
      <formula>8</formula>
      <formula>8.9</formula>
    </cfRule>
    <cfRule type="cellIs" dxfId="440" priority="886" operator="between">
      <formula>7</formula>
      <formula>7.9</formula>
    </cfRule>
    <cfRule type="cellIs" dxfId="439" priority="885" operator="between">
      <formula>10.1</formula>
      <formula>10.6</formula>
    </cfRule>
    <cfRule type="cellIs" dxfId="438" priority="884" operator="between">
      <formula>6</formula>
      <formula>6.9</formula>
    </cfRule>
  </conditionalFormatting>
  <conditionalFormatting sqref="K237">
    <cfRule type="colorScale" priority="829">
      <colorScale>
        <cfvo type="num" val="5"/>
        <cfvo type="num" val="10"/>
        <color rgb="FFFF494D"/>
        <color rgb="FF00FF66"/>
      </colorScale>
    </cfRule>
    <cfRule type="colorScale" priority="82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38:K250">
    <cfRule type="cellIs" dxfId="437" priority="824" stopIfTrue="1" operator="between">
      <formula>8</formula>
      <formula>8.9</formula>
    </cfRule>
    <cfRule type="cellIs" dxfId="436" priority="822" operator="between">
      <formula>10.1</formula>
      <formula>10.6</formula>
    </cfRule>
    <cfRule type="containsBlanks" dxfId="435" priority="827" stopIfTrue="1">
      <formula>LEN(TRIM(K238))=0</formula>
    </cfRule>
    <cfRule type="cellIs" dxfId="434" priority="826" stopIfTrue="1" operator="between">
      <formula>10</formula>
      <formula>10</formula>
    </cfRule>
    <cfRule type="cellIs" dxfId="433" priority="825" operator="between">
      <formula>9</formula>
      <formula>9.9</formula>
    </cfRule>
    <cfRule type="cellIs" dxfId="432" priority="821" operator="between">
      <formula>6</formula>
      <formula>6.9</formula>
    </cfRule>
    <cfRule type="cellIs" dxfId="431" priority="823" operator="between">
      <formula>7</formula>
      <formula>7.9</formula>
    </cfRule>
  </conditionalFormatting>
  <conditionalFormatting sqref="K252">
    <cfRule type="colorScale" priority="784">
      <colorScale>
        <cfvo type="num" val="5"/>
        <cfvo type="num" val="10"/>
        <color rgb="FFFF494D"/>
        <color rgb="FF00FF66"/>
      </colorScale>
    </cfRule>
    <cfRule type="colorScale" priority="78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53:K262">
    <cfRule type="containsBlanks" dxfId="430" priority="782" stopIfTrue="1">
      <formula>LEN(TRIM(K253))=0</formula>
    </cfRule>
    <cfRule type="cellIs" dxfId="429" priority="781" stopIfTrue="1" operator="between">
      <formula>10</formula>
      <formula>10</formula>
    </cfRule>
    <cfRule type="cellIs" dxfId="428" priority="780" operator="between">
      <formula>9</formula>
      <formula>9.9</formula>
    </cfRule>
    <cfRule type="cellIs" dxfId="427" priority="779" stopIfTrue="1" operator="between">
      <formula>8</formula>
      <formula>8.9</formula>
    </cfRule>
    <cfRule type="cellIs" dxfId="426" priority="778" operator="between">
      <formula>7</formula>
      <formula>7.9</formula>
    </cfRule>
    <cfRule type="cellIs" dxfId="425" priority="777" operator="between">
      <formula>10.1</formula>
      <formula>10.6</formula>
    </cfRule>
    <cfRule type="cellIs" dxfId="424" priority="776" operator="between">
      <formula>6</formula>
      <formula>6.9</formula>
    </cfRule>
  </conditionalFormatting>
  <conditionalFormatting sqref="K264">
    <cfRule type="colorScale" priority="746">
      <colorScale>
        <cfvo type="num" val="5"/>
        <cfvo type="num" val="10"/>
        <color rgb="FFFF494D"/>
        <color rgb="FF00FF66"/>
      </colorScale>
    </cfRule>
    <cfRule type="colorScale" priority="74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65:K274">
    <cfRule type="containsBlanks" dxfId="423" priority="753" stopIfTrue="1">
      <formula>LEN(TRIM(K265))=0</formula>
    </cfRule>
    <cfRule type="cellIs" dxfId="422" priority="752" stopIfTrue="1" operator="between">
      <formula>10</formula>
      <formula>10</formula>
    </cfRule>
    <cfRule type="cellIs" dxfId="421" priority="751" operator="between">
      <formula>9</formula>
      <formula>9.9</formula>
    </cfRule>
    <cfRule type="cellIs" dxfId="420" priority="750" stopIfTrue="1" operator="between">
      <formula>8</formula>
      <formula>8.9</formula>
    </cfRule>
    <cfRule type="cellIs" dxfId="419" priority="749" operator="between">
      <formula>7</formula>
      <formula>7.9</formula>
    </cfRule>
    <cfRule type="cellIs" dxfId="418" priority="748" operator="between">
      <formula>10.1</formula>
      <formula>10.6</formula>
    </cfRule>
    <cfRule type="cellIs" dxfId="417" priority="747" operator="between">
      <formula>6</formula>
      <formula>6.9</formula>
    </cfRule>
  </conditionalFormatting>
  <conditionalFormatting sqref="K276">
    <cfRule type="colorScale" priority="7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2">
      <colorScale>
        <cfvo type="num" val="5"/>
        <cfvo type="num" val="10"/>
        <color rgb="FFFF494D"/>
        <color rgb="FF00FF66"/>
      </colorScale>
    </cfRule>
  </conditionalFormatting>
  <conditionalFormatting sqref="K277:K284">
    <cfRule type="cellIs" dxfId="416" priority="695" operator="between">
      <formula>10.1</formula>
      <formula>10.6</formula>
    </cfRule>
    <cfRule type="cellIs" dxfId="415" priority="694" operator="between">
      <formula>6</formula>
      <formula>6.9</formula>
    </cfRule>
    <cfRule type="containsBlanks" dxfId="414" priority="700" stopIfTrue="1">
      <formula>LEN(TRIM(K277))=0</formula>
    </cfRule>
    <cfRule type="cellIs" dxfId="413" priority="699" stopIfTrue="1" operator="between">
      <formula>10</formula>
      <formula>10</formula>
    </cfRule>
    <cfRule type="cellIs" dxfId="412" priority="698" operator="between">
      <formula>9</formula>
      <formula>9.9</formula>
    </cfRule>
    <cfRule type="cellIs" dxfId="411" priority="697" stopIfTrue="1" operator="between">
      <formula>8</formula>
      <formula>8.9</formula>
    </cfRule>
    <cfRule type="cellIs" dxfId="410" priority="696" operator="between">
      <formula>7</formula>
      <formula>7.9</formula>
    </cfRule>
  </conditionalFormatting>
  <conditionalFormatting sqref="K286">
    <cfRule type="colorScale" priority="6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54">
      <colorScale>
        <cfvo type="num" val="5"/>
        <cfvo type="num" val="10"/>
        <color rgb="FFFF494D"/>
        <color rgb="FF00FF66"/>
      </colorScale>
    </cfRule>
  </conditionalFormatting>
  <conditionalFormatting sqref="K287:K294">
    <cfRule type="cellIs" dxfId="409" priority="650" operator="between">
      <formula>9</formula>
      <formula>9.9</formula>
    </cfRule>
    <cfRule type="cellIs" dxfId="408" priority="648" operator="between">
      <formula>7</formula>
      <formula>7.9</formula>
    </cfRule>
    <cfRule type="cellIs" dxfId="407" priority="651" stopIfTrue="1" operator="between">
      <formula>10</formula>
      <formula>10</formula>
    </cfRule>
    <cfRule type="containsBlanks" dxfId="406" priority="652" stopIfTrue="1">
      <formula>LEN(TRIM(K287))=0</formula>
    </cfRule>
    <cfRule type="cellIs" dxfId="405" priority="646" operator="between">
      <formula>6</formula>
      <formula>6.9</formula>
    </cfRule>
    <cfRule type="cellIs" dxfId="404" priority="649" stopIfTrue="1" operator="between">
      <formula>8</formula>
      <formula>8.9</formula>
    </cfRule>
    <cfRule type="cellIs" dxfId="403" priority="647" operator="between">
      <formula>10.1</formula>
      <formula>10.6</formula>
    </cfRule>
  </conditionalFormatting>
  <conditionalFormatting sqref="K296">
    <cfRule type="colorScale" priority="6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6">
      <colorScale>
        <cfvo type="num" val="5"/>
        <cfvo type="num" val="10"/>
        <color rgb="FFFF494D"/>
        <color rgb="FF00FF66"/>
      </colorScale>
    </cfRule>
  </conditionalFormatting>
  <conditionalFormatting sqref="K297:K302">
    <cfRule type="cellIs" dxfId="402" priority="610" operator="between">
      <formula>10.1</formula>
      <formula>10.6</formula>
    </cfRule>
    <cfRule type="cellIs" dxfId="401" priority="609" operator="between">
      <formula>5</formula>
      <formula>6.9</formula>
    </cfRule>
    <cfRule type="containsBlanks" dxfId="400" priority="606" stopIfTrue="1">
      <formula>LEN(TRIM(K297))=0</formula>
    </cfRule>
    <cfRule type="cellIs" dxfId="399" priority="607" operator="lessThan">
      <formula>2</formula>
    </cfRule>
    <cfRule type="cellIs" dxfId="398" priority="608" operator="between">
      <formula>2</formula>
      <formula>4.9</formula>
    </cfRule>
    <cfRule type="cellIs" dxfId="397" priority="614" stopIfTrue="1" operator="between">
      <formula>10</formula>
      <formula>10</formula>
    </cfRule>
    <cfRule type="cellIs" dxfId="396" priority="613" operator="between">
      <formula>9</formula>
      <formula>9.9</formula>
    </cfRule>
    <cfRule type="cellIs" dxfId="395" priority="612" stopIfTrue="1" operator="between">
      <formula>8</formula>
      <formula>8.9</formula>
    </cfRule>
    <cfRule type="cellIs" dxfId="394" priority="611" operator="between">
      <formula>7</formula>
      <formula>7.9</formula>
    </cfRule>
  </conditionalFormatting>
  <conditionalFormatting sqref="K304">
    <cfRule type="colorScale" priority="5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85">
      <colorScale>
        <cfvo type="num" val="5"/>
        <cfvo type="num" val="10"/>
        <color rgb="FFFF494D"/>
        <color rgb="FF00FF66"/>
      </colorScale>
    </cfRule>
  </conditionalFormatting>
  <conditionalFormatting sqref="K305:K316">
    <cfRule type="cellIs" dxfId="393" priority="582" operator="between">
      <formula>9</formula>
      <formula>9.9</formula>
    </cfRule>
    <cfRule type="cellIs" dxfId="392" priority="583" stopIfTrue="1" operator="between">
      <formula>10</formula>
      <formula>10</formula>
    </cfRule>
    <cfRule type="cellIs" dxfId="391" priority="581" stopIfTrue="1" operator="between">
      <formula>8</formula>
      <formula>8.9</formula>
    </cfRule>
    <cfRule type="containsBlanks" dxfId="390" priority="575" stopIfTrue="1">
      <formula>LEN(TRIM(K305))=0</formula>
    </cfRule>
    <cfRule type="cellIs" dxfId="389" priority="576" operator="lessThan">
      <formula>2</formula>
    </cfRule>
    <cfRule type="cellIs" dxfId="388" priority="577" operator="between">
      <formula>2</formula>
      <formula>4.9</formula>
    </cfRule>
    <cfRule type="cellIs" dxfId="387" priority="580" operator="between">
      <formula>7</formula>
      <formula>7.9</formula>
    </cfRule>
    <cfRule type="cellIs" dxfId="386" priority="579" operator="between">
      <formula>10.1</formula>
      <formula>10.6</formula>
    </cfRule>
    <cfRule type="cellIs" dxfId="385" priority="578" operator="between">
      <formula>5</formula>
      <formula>6.9</formula>
    </cfRule>
  </conditionalFormatting>
  <conditionalFormatting sqref="K318">
    <cfRule type="colorScale" priority="512">
      <colorScale>
        <cfvo type="num" val="5"/>
        <cfvo type="num" val="10"/>
        <color rgb="FFFF494D"/>
        <color rgb="FF00FF66"/>
      </colorScale>
    </cfRule>
    <cfRule type="colorScale" priority="51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19:K326">
    <cfRule type="cellIs" dxfId="384" priority="519" stopIfTrue="1" operator="between">
      <formula>8</formula>
      <formula>8.9</formula>
    </cfRule>
    <cfRule type="cellIs" dxfId="383" priority="520" operator="between">
      <formula>9</formula>
      <formula>9.9</formula>
    </cfRule>
    <cfRule type="cellIs" dxfId="382" priority="517" operator="between">
      <formula>10.1</formula>
      <formula>10.6</formula>
    </cfRule>
    <cfRule type="cellIs" dxfId="381" priority="516" operator="between">
      <formula>5</formula>
      <formula>6.9</formula>
    </cfRule>
    <cfRule type="cellIs" dxfId="380" priority="521" stopIfTrue="1" operator="between">
      <formula>10</formula>
      <formula>10</formula>
    </cfRule>
    <cfRule type="containsBlanks" dxfId="379" priority="513" stopIfTrue="1">
      <formula>LEN(TRIM(K319))=0</formula>
    </cfRule>
    <cfRule type="cellIs" dxfId="378" priority="514" operator="lessThan">
      <formula>2</formula>
    </cfRule>
    <cfRule type="cellIs" dxfId="377" priority="515" operator="between">
      <formula>2</formula>
      <formula>4.9</formula>
    </cfRule>
    <cfRule type="cellIs" dxfId="376" priority="518" operator="between">
      <formula>7</formula>
      <formula>7.9</formula>
    </cfRule>
  </conditionalFormatting>
  <conditionalFormatting sqref="K328">
    <cfRule type="colorScale" priority="4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8">
      <colorScale>
        <cfvo type="num" val="5"/>
        <cfvo type="num" val="10"/>
        <color rgb="FFFF494D"/>
        <color rgb="FF00FF66"/>
      </colorScale>
    </cfRule>
  </conditionalFormatting>
  <conditionalFormatting sqref="K329:K338">
    <cfRule type="cellIs" dxfId="375" priority="471" operator="between">
      <formula>2</formula>
      <formula>4.9</formula>
    </cfRule>
    <cfRule type="cellIs" dxfId="374" priority="477" stopIfTrue="1" operator="between">
      <formula>10</formula>
      <formula>10</formula>
    </cfRule>
    <cfRule type="cellIs" dxfId="373" priority="476" operator="between">
      <formula>9</formula>
      <formula>9.9</formula>
    </cfRule>
    <cfRule type="cellIs" dxfId="372" priority="475" stopIfTrue="1" operator="between">
      <formula>8</formula>
      <formula>8.9</formula>
    </cfRule>
    <cfRule type="cellIs" dxfId="371" priority="474" operator="between">
      <formula>7</formula>
      <formula>7.9</formula>
    </cfRule>
    <cfRule type="cellIs" dxfId="370" priority="473" operator="between">
      <formula>10.1</formula>
      <formula>10.6</formula>
    </cfRule>
    <cfRule type="cellIs" dxfId="369" priority="472" operator="between">
      <formula>5</formula>
      <formula>6.9</formula>
    </cfRule>
    <cfRule type="containsBlanks" dxfId="368" priority="469" stopIfTrue="1">
      <formula>LEN(TRIM(K329))=0</formula>
    </cfRule>
    <cfRule type="cellIs" dxfId="367" priority="470" operator="lessThan">
      <formula>2</formula>
    </cfRule>
  </conditionalFormatting>
  <conditionalFormatting sqref="K340">
    <cfRule type="colorScale" priority="413">
      <colorScale>
        <cfvo type="num" val="5"/>
        <cfvo type="num" val="10"/>
        <color rgb="FFFF494D"/>
        <color rgb="FF00FF66"/>
      </colorScale>
    </cfRule>
    <cfRule type="colorScale" priority="41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41:K354">
    <cfRule type="cellIs" dxfId="366" priority="420" stopIfTrue="1" operator="between">
      <formula>8</formula>
      <formula>8.9</formula>
    </cfRule>
    <cfRule type="containsBlanks" dxfId="365" priority="414" stopIfTrue="1">
      <formula>LEN(TRIM(K341))=0</formula>
    </cfRule>
    <cfRule type="cellIs" dxfId="364" priority="415" operator="lessThan">
      <formula>2</formula>
    </cfRule>
    <cfRule type="cellIs" dxfId="363" priority="416" operator="between">
      <formula>2</formula>
      <formula>4.9</formula>
    </cfRule>
    <cfRule type="cellIs" dxfId="362" priority="417" operator="between">
      <formula>5</formula>
      <formula>6.9</formula>
    </cfRule>
    <cfRule type="cellIs" dxfId="361" priority="418" operator="between">
      <formula>10.1</formula>
      <formula>10.6</formula>
    </cfRule>
    <cfRule type="cellIs" dxfId="360" priority="419" operator="between">
      <formula>7</formula>
      <formula>7.9</formula>
    </cfRule>
    <cfRule type="cellIs" dxfId="359" priority="422" stopIfTrue="1" operator="between">
      <formula>10</formula>
      <formula>10</formula>
    </cfRule>
    <cfRule type="cellIs" dxfId="358" priority="421" operator="between">
      <formula>9</formula>
      <formula>9.9</formula>
    </cfRule>
  </conditionalFormatting>
  <conditionalFormatting sqref="K356">
    <cfRule type="colorScale" priority="3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69">
      <colorScale>
        <cfvo type="num" val="5"/>
        <cfvo type="num" val="10"/>
        <color rgb="FFFF494D"/>
        <color rgb="FF00FF66"/>
      </colorScale>
    </cfRule>
  </conditionalFormatting>
  <conditionalFormatting sqref="K357:K363">
    <cfRule type="cellIs" dxfId="357" priority="376" stopIfTrue="1" operator="between">
      <formula>8</formula>
      <formula>8.9</formula>
    </cfRule>
    <cfRule type="cellIs" dxfId="356" priority="373" operator="between">
      <formula>5</formula>
      <formula>6.9</formula>
    </cfRule>
    <cfRule type="cellIs" dxfId="355" priority="371" operator="lessThan">
      <formula>2</formula>
    </cfRule>
    <cfRule type="containsBlanks" dxfId="354" priority="370" stopIfTrue="1">
      <formula>LEN(TRIM(K357))=0</formula>
    </cfRule>
    <cfRule type="cellIs" dxfId="353" priority="374" operator="between">
      <formula>10.1</formula>
      <formula>10.6</formula>
    </cfRule>
    <cfRule type="cellIs" dxfId="352" priority="375" operator="between">
      <formula>7</formula>
      <formula>7.9</formula>
    </cfRule>
    <cfRule type="cellIs" dxfId="351" priority="377" operator="between">
      <formula>9</formula>
      <formula>9.9</formula>
    </cfRule>
    <cfRule type="cellIs" dxfId="350" priority="378" stopIfTrue="1" operator="between">
      <formula>10</formula>
      <formula>10</formula>
    </cfRule>
    <cfRule type="cellIs" dxfId="349" priority="372" operator="between">
      <formula>2</formula>
      <formula>4.9</formula>
    </cfRule>
  </conditionalFormatting>
  <conditionalFormatting sqref="K365">
    <cfRule type="colorScale" priority="3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3">
      <colorScale>
        <cfvo type="num" val="5"/>
        <cfvo type="num" val="10"/>
        <color rgb="FFFF494D"/>
        <color rgb="FF00FF66"/>
      </colorScale>
    </cfRule>
  </conditionalFormatting>
  <conditionalFormatting sqref="K366:K378">
    <cfRule type="cellIs" dxfId="348" priority="336" operator="between">
      <formula>5</formula>
      <formula>6.9</formula>
    </cfRule>
    <cfRule type="cellIs" dxfId="347" priority="335" operator="between">
      <formula>2</formula>
      <formula>4.9</formula>
    </cfRule>
    <cfRule type="cellIs" dxfId="346" priority="334" operator="lessThan">
      <formula>2</formula>
    </cfRule>
    <cfRule type="containsBlanks" dxfId="345" priority="333" stopIfTrue="1">
      <formula>LEN(TRIM(K366))=0</formula>
    </cfRule>
    <cfRule type="cellIs" dxfId="344" priority="337" operator="between">
      <formula>10.1</formula>
      <formula>10.6</formula>
    </cfRule>
    <cfRule type="cellIs" dxfId="343" priority="338" operator="between">
      <formula>7</formula>
      <formula>7.9</formula>
    </cfRule>
    <cfRule type="cellIs" dxfId="342" priority="339" stopIfTrue="1" operator="between">
      <formula>8</formula>
      <formula>8.9</formula>
    </cfRule>
    <cfRule type="cellIs" dxfId="341" priority="340" operator="between">
      <formula>9</formula>
      <formula>9.9</formula>
    </cfRule>
    <cfRule type="cellIs" dxfId="340" priority="341" stopIfTrue="1" operator="between">
      <formula>10</formula>
      <formula>10</formula>
    </cfRule>
  </conditionalFormatting>
  <conditionalFormatting sqref="K380">
    <cfRule type="colorScale" priority="265">
      <colorScale>
        <cfvo type="num" val="5"/>
        <cfvo type="num" val="10"/>
        <color rgb="FFFF494D"/>
        <color rgb="FF00FF66"/>
      </colorScale>
    </cfRule>
    <cfRule type="colorScale" priority="26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81:K389">
    <cfRule type="cellIs" dxfId="339" priority="262" operator="between">
      <formula>9</formula>
      <formula>9.9</formula>
    </cfRule>
    <cfRule type="cellIs" dxfId="338" priority="263" stopIfTrue="1" operator="between">
      <formula>10</formula>
      <formula>10</formula>
    </cfRule>
    <cfRule type="cellIs" dxfId="337" priority="261" stopIfTrue="1" operator="between">
      <formula>8</formula>
      <formula>8.9</formula>
    </cfRule>
    <cfRule type="cellIs" dxfId="336" priority="257" operator="between">
      <formula>2</formula>
      <formula>4.9</formula>
    </cfRule>
    <cfRule type="cellIs" dxfId="335" priority="258" operator="between">
      <formula>5</formula>
      <formula>6.9</formula>
    </cfRule>
    <cfRule type="containsBlanks" dxfId="334" priority="255" stopIfTrue="1">
      <formula>LEN(TRIM(K381))=0</formula>
    </cfRule>
    <cfRule type="cellIs" dxfId="333" priority="260" operator="between">
      <formula>7</formula>
      <formula>7.9</formula>
    </cfRule>
    <cfRule type="cellIs" dxfId="332" priority="259" operator="between">
      <formula>10.1</formula>
      <formula>10.6</formula>
    </cfRule>
    <cfRule type="cellIs" dxfId="331" priority="256" operator="lessThan">
      <formula>2</formula>
    </cfRule>
  </conditionalFormatting>
  <conditionalFormatting sqref="K391">
    <cfRule type="colorScale" priority="1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9">
      <colorScale>
        <cfvo type="num" val="5"/>
        <cfvo type="num" val="10"/>
        <color rgb="FFFF494D"/>
        <color rgb="FF00FF66"/>
      </colorScale>
    </cfRule>
  </conditionalFormatting>
  <conditionalFormatting sqref="K392:K397">
    <cfRule type="cellIs" dxfId="330" priority="195" stopIfTrue="1" operator="between">
      <formula>8</formula>
      <formula>8.9</formula>
    </cfRule>
    <cfRule type="cellIs" dxfId="329" priority="197" stopIfTrue="1" operator="between">
      <formula>10</formula>
      <formula>10</formula>
    </cfRule>
    <cfRule type="cellIs" dxfId="328" priority="196" operator="between">
      <formula>9</formula>
      <formula>9.9</formula>
    </cfRule>
    <cfRule type="cellIs" dxfId="327" priority="191" operator="between">
      <formula>2</formula>
      <formula>4.9</formula>
    </cfRule>
    <cfRule type="cellIs" dxfId="326" priority="192" operator="between">
      <formula>5</formula>
      <formula>6.9</formula>
    </cfRule>
    <cfRule type="cellIs" dxfId="325" priority="193" operator="between">
      <formula>10.1</formula>
      <formula>10.6</formula>
    </cfRule>
    <cfRule type="cellIs" dxfId="324" priority="194" operator="between">
      <formula>7</formula>
      <formula>7.9</formula>
    </cfRule>
    <cfRule type="cellIs" dxfId="323" priority="190" operator="lessThan">
      <formula>2</formula>
    </cfRule>
    <cfRule type="containsBlanks" dxfId="322" priority="189" stopIfTrue="1">
      <formula>LEN(TRIM(K392))=0</formula>
    </cfRule>
  </conditionalFormatting>
  <conditionalFormatting sqref="K399">
    <cfRule type="colorScale" priority="177">
      <colorScale>
        <cfvo type="num" val="5"/>
        <cfvo type="num" val="10"/>
        <color rgb="FFFF494D"/>
        <color rgb="FF00FF66"/>
      </colorScale>
    </cfRule>
    <cfRule type="colorScale" priority="17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00:K410">
    <cfRule type="cellIs" dxfId="321" priority="175" stopIfTrue="1" operator="between">
      <formula>10</formula>
      <formula>10</formula>
    </cfRule>
    <cfRule type="cellIs" dxfId="320" priority="171" operator="between">
      <formula>10.1</formula>
      <formula>10.6</formula>
    </cfRule>
    <cfRule type="cellIs" dxfId="319" priority="174" operator="between">
      <formula>9</formula>
      <formula>9.9</formula>
    </cfRule>
    <cfRule type="cellIs" dxfId="318" priority="170" operator="between">
      <formula>5</formula>
      <formula>6.9</formula>
    </cfRule>
    <cfRule type="cellIs" dxfId="317" priority="169" operator="between">
      <formula>2</formula>
      <formula>4.9</formula>
    </cfRule>
    <cfRule type="containsBlanks" dxfId="316" priority="167" stopIfTrue="1">
      <formula>LEN(TRIM(K400))=0</formula>
    </cfRule>
    <cfRule type="cellIs" dxfId="315" priority="168" operator="lessThan">
      <formula>2</formula>
    </cfRule>
    <cfRule type="cellIs" dxfId="314" priority="172" operator="between">
      <formula>7</formula>
      <formula>7.9</formula>
    </cfRule>
    <cfRule type="cellIs" dxfId="313" priority="173" stopIfTrue="1" operator="between">
      <formula>8</formula>
      <formula>8.9</formula>
    </cfRule>
  </conditionalFormatting>
  <conditionalFormatting sqref="K412">
    <cfRule type="colorScale" priority="113">
      <colorScale>
        <cfvo type="num" val="5"/>
        <cfvo type="num" val="10"/>
        <color rgb="FFFF494D"/>
        <color rgb="FF00FF66"/>
      </colorScale>
    </cfRule>
    <cfRule type="colorScale" priority="11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13:K419">
    <cfRule type="cellIs" dxfId="312" priority="121" operator="between">
      <formula>9</formula>
      <formula>9.9</formula>
    </cfRule>
    <cfRule type="cellIs" dxfId="311" priority="117" operator="between">
      <formula>5</formula>
      <formula>6.9</formula>
    </cfRule>
    <cfRule type="cellIs" dxfId="310" priority="118" operator="between">
      <formula>10.1</formula>
      <formula>10.6</formula>
    </cfRule>
    <cfRule type="cellIs" dxfId="309" priority="122" stopIfTrue="1" operator="between">
      <formula>10</formula>
      <formula>10</formula>
    </cfRule>
    <cfRule type="cellIs" dxfId="308" priority="115" operator="lessThan">
      <formula>2</formula>
    </cfRule>
    <cfRule type="cellIs" dxfId="307" priority="120" stopIfTrue="1" operator="between">
      <formula>8</formula>
      <formula>8.9</formula>
    </cfRule>
    <cfRule type="cellIs" dxfId="306" priority="119" operator="between">
      <formula>7</formula>
      <formula>7.9</formula>
    </cfRule>
    <cfRule type="cellIs" dxfId="305" priority="116" operator="between">
      <formula>2</formula>
      <formula>4.9</formula>
    </cfRule>
    <cfRule type="containsBlanks" dxfId="304" priority="114" stopIfTrue="1">
      <formula>LEN(TRIM(K413))=0</formula>
    </cfRule>
  </conditionalFormatting>
  <conditionalFormatting sqref="K421">
    <cfRule type="colorScale" priority="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">
      <colorScale>
        <cfvo type="num" val="5"/>
        <cfvo type="num" val="10"/>
        <color rgb="FFFF494D"/>
        <color rgb="FF00FF66"/>
      </colorScale>
    </cfRule>
  </conditionalFormatting>
  <conditionalFormatting sqref="K422:K429">
    <cfRule type="cellIs" dxfId="303" priority="46" stopIfTrue="1" operator="between">
      <formula>10</formula>
      <formula>10</formula>
    </cfRule>
    <cfRule type="cellIs" dxfId="302" priority="42" operator="between">
      <formula>10.1</formula>
      <formula>10.6</formula>
    </cfRule>
    <cfRule type="cellIs" dxfId="301" priority="40" operator="between">
      <formula>2</formula>
      <formula>4.9</formula>
    </cfRule>
    <cfRule type="cellIs" dxfId="300" priority="44" stopIfTrue="1" operator="between">
      <formula>8</formula>
      <formula>8.9</formula>
    </cfRule>
    <cfRule type="cellIs" dxfId="299" priority="41" operator="between">
      <formula>5</formula>
      <formula>6.9</formula>
    </cfRule>
    <cfRule type="cellIs" dxfId="298" priority="39" operator="lessThan">
      <formula>2</formula>
    </cfRule>
    <cfRule type="containsBlanks" dxfId="297" priority="38" stopIfTrue="1">
      <formula>LEN(TRIM(K422))=0</formula>
    </cfRule>
    <cfRule type="cellIs" dxfId="296" priority="43" operator="between">
      <formula>7</formula>
      <formula>7.9</formula>
    </cfRule>
    <cfRule type="cellIs" dxfId="295" priority="45" operator="between">
      <formula>9</formula>
      <formula>9.9</formula>
    </cfRule>
  </conditionalFormatting>
  <conditionalFormatting sqref="M28">
    <cfRule type="colorScale" priority="20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12">
      <colorScale>
        <cfvo type="num" val="5"/>
        <cfvo type="num" val="10"/>
        <color rgb="FFFF494D"/>
        <color rgb="FF00FF66"/>
      </colorScale>
    </cfRule>
  </conditionalFormatting>
  <conditionalFormatting sqref="M39">
    <cfRule type="colorScale" priority="1983">
      <colorScale>
        <cfvo type="num" val="5"/>
        <cfvo type="num" val="10"/>
        <color rgb="FFFF494D"/>
        <color rgb="FF00FF66"/>
      </colorScale>
    </cfRule>
    <cfRule type="colorScale" priority="198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:N12">
    <cfRule type="cellIs" dxfId="294" priority="1608" operator="between">
      <formula>10.1</formula>
      <formula>10.6</formula>
    </cfRule>
    <cfRule type="cellIs" dxfId="293" priority="1609" operator="between">
      <formula>7</formula>
      <formula>7.9</formula>
    </cfRule>
    <cfRule type="cellIs" dxfId="292" priority="1610" stopIfTrue="1" operator="between">
      <formula>8</formula>
      <formula>8.9</formula>
    </cfRule>
    <cfRule type="cellIs" dxfId="291" priority="1611" operator="between">
      <formula>9</formula>
      <formula>9.9</formula>
    </cfRule>
    <cfRule type="cellIs" dxfId="290" priority="1612" stopIfTrue="1" operator="between">
      <formula>10</formula>
      <formula>10</formula>
    </cfRule>
    <cfRule type="containsBlanks" dxfId="289" priority="1613" stopIfTrue="1">
      <formula>LEN(TRIM(N3))=0</formula>
    </cfRule>
  </conditionalFormatting>
  <conditionalFormatting sqref="N15:N26">
    <cfRule type="cellIs" dxfId="288" priority="1743" stopIfTrue="1" operator="between">
      <formula>10</formula>
      <formula>10</formula>
    </cfRule>
    <cfRule type="cellIs" dxfId="287" priority="1741" stopIfTrue="1" operator="between">
      <formula>8</formula>
      <formula>8.9</formula>
    </cfRule>
    <cfRule type="cellIs" dxfId="286" priority="1740" operator="between">
      <formula>7</formula>
      <formula>7.9</formula>
    </cfRule>
    <cfRule type="cellIs" dxfId="285" priority="1742" operator="between">
      <formula>9</formula>
      <formula>9.9</formula>
    </cfRule>
  </conditionalFormatting>
  <conditionalFormatting sqref="N28">
    <cfRule type="colorScale" priority="1506">
      <colorScale>
        <cfvo type="num" val="5"/>
        <cfvo type="num" val="10"/>
        <color rgb="FFFF494D"/>
        <color rgb="FF00FF66"/>
      </colorScale>
    </cfRule>
    <cfRule type="colorScale" priority="150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9:N37">
    <cfRule type="cellIs" dxfId="284" priority="1746" operator="between">
      <formula>9</formula>
      <formula>9.9</formula>
    </cfRule>
    <cfRule type="cellIs" dxfId="283" priority="1747" stopIfTrue="1" operator="between">
      <formula>10</formula>
      <formula>10</formula>
    </cfRule>
    <cfRule type="cellIs" dxfId="282" priority="1744" operator="between">
      <formula>7</formula>
      <formula>7.9</formula>
    </cfRule>
    <cfRule type="cellIs" dxfId="281" priority="1745" stopIfTrue="1" operator="between">
      <formula>8</formula>
      <formula>8.9</formula>
    </cfRule>
  </conditionalFormatting>
  <conditionalFormatting sqref="N39">
    <cfRule type="colorScale" priority="19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79">
      <colorScale>
        <cfvo type="num" val="5"/>
        <cfvo type="num" val="10"/>
        <color rgb="FFFF494D"/>
        <color rgb="FF00FF66"/>
      </colorScale>
    </cfRule>
  </conditionalFormatting>
  <conditionalFormatting sqref="N40:N52">
    <cfRule type="containsBlanks" dxfId="280" priority="1553" stopIfTrue="1">
      <formula>LEN(TRIM(N40))=0</formula>
    </cfRule>
    <cfRule type="cellIs" dxfId="279" priority="1552" stopIfTrue="1" operator="between">
      <formula>10</formula>
      <formula>10</formula>
    </cfRule>
    <cfRule type="cellIs" dxfId="278" priority="1551" operator="between">
      <formula>9</formula>
      <formula>9.9</formula>
    </cfRule>
    <cfRule type="cellIs" dxfId="277" priority="1550" stopIfTrue="1" operator="between">
      <formula>8</formula>
      <formula>8.9</formula>
    </cfRule>
    <cfRule type="cellIs" dxfId="276" priority="1549" operator="between">
      <formula>7</formula>
      <formula>7.9</formula>
    </cfRule>
    <cfRule type="cellIs" dxfId="275" priority="1548" operator="between">
      <formula>10.1</formula>
      <formula>10.6</formula>
    </cfRule>
  </conditionalFormatting>
  <conditionalFormatting sqref="N54">
    <cfRule type="colorScale" priority="1537">
      <colorScale>
        <cfvo type="num" val="5"/>
        <cfvo type="num" val="10"/>
        <color rgb="FFFF494D"/>
        <color rgb="FF00FF66"/>
      </colorScale>
    </cfRule>
    <cfRule type="colorScale" priority="153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5:N65">
    <cfRule type="cellIs" dxfId="274" priority="1532" stopIfTrue="1" operator="between">
      <formula>8</formula>
      <formula>8.9</formula>
    </cfRule>
    <cfRule type="cellIs" dxfId="273" priority="1530" operator="between">
      <formula>10.1</formula>
      <formula>10.6</formula>
    </cfRule>
    <cfRule type="cellIs" dxfId="272" priority="1531" operator="between">
      <formula>7</formula>
      <formula>7.9</formula>
    </cfRule>
    <cfRule type="cellIs" dxfId="271" priority="1533" operator="between">
      <formula>9</formula>
      <formula>9.9</formula>
    </cfRule>
    <cfRule type="cellIs" dxfId="270" priority="1534" stopIfTrue="1" operator="between">
      <formula>10</formula>
      <formula>10</formula>
    </cfRule>
    <cfRule type="containsBlanks" dxfId="269" priority="1535" stopIfTrue="1">
      <formula>LEN(TRIM(N55))=0</formula>
    </cfRule>
  </conditionalFormatting>
  <conditionalFormatting sqref="N67">
    <cfRule type="colorScale" priority="14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88">
      <colorScale>
        <cfvo type="num" val="5"/>
        <cfvo type="num" val="10"/>
        <color rgb="FFFF494D"/>
        <color rgb="FF00FF66"/>
      </colorScale>
    </cfRule>
  </conditionalFormatting>
  <conditionalFormatting sqref="N68:N77">
    <cfRule type="cellIs" dxfId="268" priority="1481" operator="between">
      <formula>10.1</formula>
      <formula>10.6</formula>
    </cfRule>
    <cfRule type="containsBlanks" dxfId="267" priority="1486" stopIfTrue="1">
      <formula>LEN(TRIM(N68))=0</formula>
    </cfRule>
    <cfRule type="cellIs" dxfId="266" priority="1485" stopIfTrue="1" operator="between">
      <formula>10</formula>
      <formula>10</formula>
    </cfRule>
    <cfRule type="cellIs" dxfId="265" priority="1484" operator="between">
      <formula>9</formula>
      <formula>9.9</formula>
    </cfRule>
    <cfRule type="cellIs" dxfId="264" priority="1482" operator="between">
      <formula>7</formula>
      <formula>7.9</formula>
    </cfRule>
    <cfRule type="cellIs" dxfId="263" priority="1483" stopIfTrue="1" operator="between">
      <formula>8</formula>
      <formula>8.9</formula>
    </cfRule>
  </conditionalFormatting>
  <conditionalFormatting sqref="N79">
    <cfRule type="colorScale" priority="1419">
      <colorScale>
        <cfvo type="num" val="5"/>
        <cfvo type="num" val="10"/>
        <color rgb="FFFF494D"/>
        <color rgb="FF00FF66"/>
      </colorScale>
    </cfRule>
    <cfRule type="colorScale" priority="141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80:N91">
    <cfRule type="cellIs" dxfId="262" priority="1412" operator="between">
      <formula>10.1</formula>
      <formula>10.6</formula>
    </cfRule>
    <cfRule type="cellIs" dxfId="261" priority="1413" operator="between">
      <formula>7</formula>
      <formula>7.9</formula>
    </cfRule>
    <cfRule type="cellIs" dxfId="260" priority="1414" stopIfTrue="1" operator="between">
      <formula>8</formula>
      <formula>8.9</formula>
    </cfRule>
    <cfRule type="cellIs" dxfId="259" priority="1415" operator="between">
      <formula>9</formula>
      <formula>9.9</formula>
    </cfRule>
    <cfRule type="containsBlanks" dxfId="258" priority="1417" stopIfTrue="1">
      <formula>LEN(TRIM(N80))=0</formula>
    </cfRule>
    <cfRule type="cellIs" dxfId="257" priority="1416" stopIfTrue="1" operator="between">
      <formula>10</formula>
      <formula>10</formula>
    </cfRule>
  </conditionalFormatting>
  <conditionalFormatting sqref="N93">
    <cfRule type="colorScale" priority="13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4">
      <colorScale>
        <cfvo type="num" val="5"/>
        <cfvo type="num" val="10"/>
        <color rgb="FFFF494D"/>
        <color rgb="FF00FF66"/>
      </colorScale>
    </cfRule>
  </conditionalFormatting>
  <conditionalFormatting sqref="N94:N110">
    <cfRule type="cellIs" dxfId="256" priority="1375" operator="between">
      <formula>10.1</formula>
      <formula>10.6</formula>
    </cfRule>
    <cfRule type="cellIs" dxfId="255" priority="1376" operator="between">
      <formula>7</formula>
      <formula>7.9</formula>
    </cfRule>
    <cfRule type="cellIs" dxfId="254" priority="1377" stopIfTrue="1" operator="between">
      <formula>8</formula>
      <formula>8.9</formula>
    </cfRule>
    <cfRule type="cellIs" dxfId="253" priority="1378" operator="between">
      <formula>9</formula>
      <formula>9.9</formula>
    </cfRule>
    <cfRule type="cellIs" dxfId="252" priority="1379" stopIfTrue="1" operator="between">
      <formula>10</formula>
      <formula>10</formula>
    </cfRule>
    <cfRule type="containsBlanks" dxfId="251" priority="1380" stopIfTrue="1">
      <formula>LEN(TRIM(N94))=0</formula>
    </cfRule>
  </conditionalFormatting>
  <conditionalFormatting sqref="N112">
    <cfRule type="colorScale" priority="13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08">
      <colorScale>
        <cfvo type="num" val="5"/>
        <cfvo type="num" val="10"/>
        <color rgb="FFFF494D"/>
        <color rgb="FF00FF66"/>
      </colorScale>
    </cfRule>
  </conditionalFormatting>
  <conditionalFormatting sqref="N113:N125">
    <cfRule type="containsBlanks" dxfId="250" priority="1306" stopIfTrue="1">
      <formula>LEN(TRIM(N113))=0</formula>
    </cfRule>
    <cfRule type="cellIs" dxfId="249" priority="1301" operator="between">
      <formula>10.1</formula>
      <formula>10.6</formula>
    </cfRule>
    <cfRule type="cellIs" dxfId="248" priority="1302" operator="between">
      <formula>7</formula>
      <formula>7.9</formula>
    </cfRule>
    <cfRule type="cellIs" dxfId="247" priority="1303" stopIfTrue="1" operator="between">
      <formula>8</formula>
      <formula>8.9</formula>
    </cfRule>
    <cfRule type="cellIs" dxfId="246" priority="1304" operator="between">
      <formula>9</formula>
      <formula>9.9</formula>
    </cfRule>
    <cfRule type="cellIs" dxfId="245" priority="1305" stopIfTrue="1" operator="between">
      <formula>10</formula>
      <formula>10</formula>
    </cfRule>
  </conditionalFormatting>
  <conditionalFormatting sqref="N127">
    <cfRule type="colorScale" priority="12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41">
      <colorScale>
        <cfvo type="num" val="5"/>
        <cfvo type="num" val="10"/>
        <color rgb="FFFF494D"/>
        <color rgb="FF00FF66"/>
      </colorScale>
    </cfRule>
  </conditionalFormatting>
  <conditionalFormatting sqref="N128:N135">
    <cfRule type="cellIs" dxfId="244" priority="1236" stopIfTrue="1" operator="between">
      <formula>8</formula>
      <formula>8.9</formula>
    </cfRule>
    <cfRule type="containsBlanks" dxfId="243" priority="1239" stopIfTrue="1">
      <formula>LEN(TRIM(N128))=0</formula>
    </cfRule>
    <cfRule type="cellIs" dxfId="242" priority="1227" operator="between">
      <formula>6</formula>
      <formula>6.9</formula>
    </cfRule>
    <cfRule type="cellIs" dxfId="241" priority="1228" operator="between">
      <formula>10.1</formula>
      <formula>10.6</formula>
    </cfRule>
    <cfRule type="cellIs" dxfId="240" priority="1229" operator="between">
      <formula>7</formula>
      <formula>7.9</formula>
    </cfRule>
    <cfRule type="cellIs" dxfId="239" priority="1230" stopIfTrue="1" operator="between">
      <formula>8</formula>
      <formula>8.9</formula>
    </cfRule>
    <cfRule type="cellIs" dxfId="238" priority="1231" operator="between">
      <formula>9</formula>
      <formula>9.9</formula>
    </cfRule>
    <cfRule type="cellIs" dxfId="237" priority="1232" stopIfTrue="1" operator="between">
      <formula>10</formula>
      <formula>10</formula>
    </cfRule>
    <cfRule type="containsBlanks" dxfId="236" priority="1233" stopIfTrue="1">
      <formula>LEN(TRIM(N128))=0</formula>
    </cfRule>
    <cfRule type="cellIs" dxfId="235" priority="1234" operator="between">
      <formula>10.1</formula>
      <formula>10.6</formula>
    </cfRule>
    <cfRule type="cellIs" dxfId="234" priority="1235" operator="between">
      <formula>7</formula>
      <formula>7.9</formula>
    </cfRule>
    <cfRule type="cellIs" dxfId="233" priority="1237" operator="between">
      <formula>9</formula>
      <formula>9.9</formula>
    </cfRule>
    <cfRule type="cellIs" dxfId="232" priority="1238" stopIfTrue="1" operator="between">
      <formula>10</formula>
      <formula>10</formula>
    </cfRule>
  </conditionalFormatting>
  <conditionalFormatting sqref="N137">
    <cfRule type="colorScale" priority="11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99">
      <colorScale>
        <cfvo type="num" val="5"/>
        <cfvo type="num" val="10"/>
        <color rgb="FFFF494D"/>
        <color rgb="FF00FF66"/>
      </colorScale>
    </cfRule>
  </conditionalFormatting>
  <conditionalFormatting sqref="N138:N142">
    <cfRule type="cellIs" dxfId="231" priority="1196" stopIfTrue="1" operator="between">
      <formula>10</formula>
      <formula>10</formula>
    </cfRule>
    <cfRule type="cellIs" dxfId="230" priority="1193" operator="between">
      <formula>7</formula>
      <formula>7.9</formula>
    </cfRule>
    <cfRule type="cellIs" dxfId="229" priority="1194" stopIfTrue="1" operator="between">
      <formula>8</formula>
      <formula>8.9</formula>
    </cfRule>
    <cfRule type="cellIs" dxfId="228" priority="1192" operator="between">
      <formula>10.1</formula>
      <formula>10.6</formula>
    </cfRule>
    <cfRule type="cellIs" dxfId="227" priority="1191" operator="between">
      <formula>6</formula>
      <formula>6.9</formula>
    </cfRule>
    <cfRule type="cellIs" dxfId="226" priority="1195" operator="between">
      <formula>9</formula>
      <formula>9.9</formula>
    </cfRule>
    <cfRule type="containsBlanks" dxfId="225" priority="1197" stopIfTrue="1">
      <formula>LEN(TRIM(N138))=0</formula>
    </cfRule>
  </conditionalFormatting>
  <conditionalFormatting sqref="N144">
    <cfRule type="colorScale" priority="1190">
      <colorScale>
        <cfvo type="num" val="5"/>
        <cfvo type="num" val="10"/>
        <color rgb="FFFF494D"/>
        <color rgb="FF00FF66"/>
      </colorScale>
    </cfRule>
    <cfRule type="colorScale" priority="118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45:N150">
    <cfRule type="cellIs" dxfId="224" priority="1185" stopIfTrue="1" operator="between">
      <formula>8</formula>
      <formula>8.9</formula>
    </cfRule>
    <cfRule type="cellIs" dxfId="223" priority="1182" operator="between">
      <formula>6</formula>
      <formula>6.9</formula>
    </cfRule>
    <cfRule type="cellIs" dxfId="222" priority="1183" operator="between">
      <formula>10.1</formula>
      <formula>10.6</formula>
    </cfRule>
    <cfRule type="cellIs" dxfId="221" priority="1184" operator="between">
      <formula>7</formula>
      <formula>7.9</formula>
    </cfRule>
    <cfRule type="containsBlanks" dxfId="220" priority="1188" stopIfTrue="1">
      <formula>LEN(TRIM(N145))=0</formula>
    </cfRule>
    <cfRule type="cellIs" dxfId="219" priority="1187" stopIfTrue="1" operator="between">
      <formula>10</formula>
      <formula>10</formula>
    </cfRule>
    <cfRule type="cellIs" dxfId="218" priority="1186" operator="between">
      <formula>9</formula>
      <formula>9.9</formula>
    </cfRule>
  </conditionalFormatting>
  <conditionalFormatting sqref="N152">
    <cfRule type="colorScale" priority="1136">
      <colorScale>
        <cfvo type="num" val="5"/>
        <cfvo type="num" val="10"/>
        <color rgb="FFFF494D"/>
        <color rgb="FF00FF66"/>
      </colorScale>
    </cfRule>
    <cfRule type="colorScale" priority="113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53:N159">
    <cfRule type="cellIs" dxfId="217" priority="1129" operator="between">
      <formula>10.1</formula>
      <formula>10.6</formula>
    </cfRule>
    <cfRule type="cellIs" dxfId="216" priority="1133" stopIfTrue="1" operator="between">
      <formula>10</formula>
      <formula>10</formula>
    </cfRule>
    <cfRule type="containsBlanks" dxfId="215" priority="1134" stopIfTrue="1">
      <formula>LEN(TRIM(N153))=0</formula>
    </cfRule>
    <cfRule type="cellIs" dxfId="214" priority="1128" operator="between">
      <formula>6</formula>
      <formula>6.9</formula>
    </cfRule>
    <cfRule type="cellIs" dxfId="213" priority="1132" operator="between">
      <formula>9</formula>
      <formula>9.9</formula>
    </cfRule>
    <cfRule type="cellIs" dxfId="212" priority="1131" stopIfTrue="1" operator="between">
      <formula>8</formula>
      <formula>8.9</formula>
    </cfRule>
    <cfRule type="cellIs" dxfId="211" priority="1130" operator="between">
      <formula>7</formula>
      <formula>7.9</formula>
    </cfRule>
  </conditionalFormatting>
  <conditionalFormatting sqref="N161">
    <cfRule type="colorScale" priority="11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11">
      <colorScale>
        <cfvo type="num" val="5"/>
        <cfvo type="num" val="10"/>
        <color rgb="FFFF494D"/>
        <color rgb="FF00FF66"/>
      </colorScale>
    </cfRule>
  </conditionalFormatting>
  <conditionalFormatting sqref="N162:N180 N183">
    <cfRule type="cellIs" dxfId="210" priority="1116" operator="between">
      <formula>9</formula>
      <formula>9.9</formula>
    </cfRule>
    <cfRule type="cellIs" dxfId="209" priority="1112" operator="between">
      <formula>6</formula>
      <formula>6.9</formula>
    </cfRule>
    <cfRule type="cellIs" dxfId="208" priority="1113" operator="between">
      <formula>10.1</formula>
      <formula>10.6</formula>
    </cfRule>
    <cfRule type="cellIs" dxfId="207" priority="1114" operator="between">
      <formula>7</formula>
      <formula>7.9</formula>
    </cfRule>
    <cfRule type="cellIs" dxfId="206" priority="1115" stopIfTrue="1" operator="between">
      <formula>8</formula>
      <formula>8.9</formula>
    </cfRule>
    <cfRule type="containsBlanks" dxfId="205" priority="1118" stopIfTrue="1">
      <formula>LEN(TRIM(N162))=0</formula>
    </cfRule>
    <cfRule type="cellIs" dxfId="204" priority="1117" stopIfTrue="1" operator="between">
      <formula>10</formula>
      <formula>10</formula>
    </cfRule>
  </conditionalFormatting>
  <conditionalFormatting sqref="N182">
    <cfRule type="colorScale" priority="10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4">
      <colorScale>
        <cfvo type="num" val="5"/>
        <cfvo type="num" val="10"/>
        <color rgb="FFFF494D"/>
        <color rgb="FF00FF66"/>
      </colorScale>
    </cfRule>
  </conditionalFormatting>
  <conditionalFormatting sqref="N185">
    <cfRule type="colorScale" priority="10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11">
      <colorScale>
        <cfvo type="num" val="5"/>
        <cfvo type="num" val="10"/>
        <color rgb="FFFF494D"/>
        <color rgb="FF00FF66"/>
      </colorScale>
    </cfRule>
  </conditionalFormatting>
  <conditionalFormatting sqref="N186:N209">
    <cfRule type="containsBlanks" dxfId="203" priority="1009" stopIfTrue="1">
      <formula>LEN(TRIM(N186))=0</formula>
    </cfRule>
    <cfRule type="cellIs" dxfId="202" priority="1008" stopIfTrue="1" operator="between">
      <formula>10</formula>
      <formula>10</formula>
    </cfRule>
    <cfRule type="cellIs" dxfId="201" priority="1003" operator="between">
      <formula>6</formula>
      <formula>6.9</formula>
    </cfRule>
    <cfRule type="cellIs" dxfId="200" priority="1004" operator="between">
      <formula>10.1</formula>
      <formula>10.6</formula>
    </cfRule>
    <cfRule type="cellIs" dxfId="199" priority="1005" operator="between">
      <formula>7</formula>
      <formula>7.9</formula>
    </cfRule>
    <cfRule type="cellIs" dxfId="198" priority="1006" stopIfTrue="1" operator="between">
      <formula>8</formula>
      <formula>8.9</formula>
    </cfRule>
    <cfRule type="cellIs" dxfId="197" priority="1007" operator="between">
      <formula>9</formula>
      <formula>9.9</formula>
    </cfRule>
  </conditionalFormatting>
  <conditionalFormatting sqref="N211">
    <cfRule type="colorScale" priority="928">
      <colorScale>
        <cfvo type="num" val="5"/>
        <cfvo type="num" val="10"/>
        <color rgb="FFFF494D"/>
        <color rgb="FF00FF66"/>
      </colorScale>
    </cfRule>
    <cfRule type="colorScale" priority="92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12:N226">
    <cfRule type="containsBlanks" dxfId="196" priority="926" stopIfTrue="1">
      <formula>LEN(TRIM(N212))=0</formula>
    </cfRule>
    <cfRule type="cellIs" dxfId="195" priority="925" stopIfTrue="1" operator="between">
      <formula>10</formula>
      <formula>10</formula>
    </cfRule>
    <cfRule type="cellIs" dxfId="194" priority="924" operator="between">
      <formula>9</formula>
      <formula>9.9</formula>
    </cfRule>
    <cfRule type="cellIs" dxfId="193" priority="923" stopIfTrue="1" operator="between">
      <formula>8</formula>
      <formula>8.9</formula>
    </cfRule>
    <cfRule type="cellIs" dxfId="192" priority="922" operator="between">
      <formula>7</formula>
      <formula>7.9</formula>
    </cfRule>
    <cfRule type="cellIs" dxfId="191" priority="921" operator="between">
      <formula>10.1</formula>
      <formula>11</formula>
    </cfRule>
    <cfRule type="cellIs" dxfId="190" priority="920" operator="between">
      <formula>6</formula>
      <formula>6.9</formula>
    </cfRule>
  </conditionalFormatting>
  <conditionalFormatting sqref="N228">
    <cfRule type="colorScale" priority="865">
      <colorScale>
        <cfvo type="num" val="5"/>
        <cfvo type="num" val="10"/>
        <color rgb="FFFF494D"/>
        <color rgb="FF00FF66"/>
      </colorScale>
    </cfRule>
    <cfRule type="colorScale" priority="86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29:N238">
    <cfRule type="cellIs" dxfId="189" priority="870" operator="between">
      <formula>9</formula>
      <formula>9.9</formula>
    </cfRule>
    <cfRule type="cellIs" dxfId="188" priority="869" stopIfTrue="1" operator="between">
      <formula>8</formula>
      <formula>8.9</formula>
    </cfRule>
    <cfRule type="cellIs" dxfId="187" priority="868" operator="between">
      <formula>7</formula>
      <formula>7.9</formula>
    </cfRule>
    <cfRule type="cellIs" dxfId="186" priority="867" operator="between">
      <formula>10.1</formula>
      <formula>11</formula>
    </cfRule>
    <cfRule type="cellIs" dxfId="185" priority="866" operator="between">
      <formula>6</formula>
      <formula>6.9</formula>
    </cfRule>
    <cfRule type="cellIs" dxfId="184" priority="871" stopIfTrue="1" operator="between">
      <formula>10</formula>
      <formula>10</formula>
    </cfRule>
    <cfRule type="containsBlanks" dxfId="183" priority="872" stopIfTrue="1">
      <formula>LEN(TRIM(N229))=0</formula>
    </cfRule>
  </conditionalFormatting>
  <conditionalFormatting sqref="N240">
    <cfRule type="colorScale" priority="8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0">
      <colorScale>
        <cfvo type="num" val="5"/>
        <cfvo type="num" val="10"/>
        <color rgb="FFFF494D"/>
        <color rgb="FF00FF66"/>
      </colorScale>
    </cfRule>
  </conditionalFormatting>
  <conditionalFormatting sqref="N241:N247">
    <cfRule type="cellIs" dxfId="182" priority="817" stopIfTrue="1" operator="between">
      <formula>10</formula>
      <formula>10</formula>
    </cfRule>
    <cfRule type="containsBlanks" dxfId="181" priority="818" stopIfTrue="1">
      <formula>LEN(TRIM(N241))=0</formula>
    </cfRule>
    <cfRule type="cellIs" dxfId="180" priority="816" operator="between">
      <formula>9</formula>
      <formula>9.9</formula>
    </cfRule>
    <cfRule type="cellIs" dxfId="179" priority="815" stopIfTrue="1" operator="between">
      <formula>8</formula>
      <formula>8.9</formula>
    </cfRule>
    <cfRule type="cellIs" dxfId="178" priority="814" operator="between">
      <formula>7</formula>
      <formula>7.9</formula>
    </cfRule>
    <cfRule type="cellIs" dxfId="177" priority="813" operator="between">
      <formula>10.1</formula>
      <formula>10.6</formula>
    </cfRule>
    <cfRule type="cellIs" dxfId="176" priority="812" operator="between">
      <formula>6</formula>
      <formula>6.9</formula>
    </cfRule>
  </conditionalFormatting>
  <conditionalFormatting sqref="N249">
    <cfRule type="colorScale" priority="7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3">
      <colorScale>
        <cfvo type="num" val="5"/>
        <cfvo type="num" val="10"/>
        <color rgb="FFFF494D"/>
        <color rgb="FF00FF66"/>
      </colorScale>
    </cfRule>
  </conditionalFormatting>
  <conditionalFormatting sqref="N250:N275">
    <cfRule type="cellIs" dxfId="175" priority="786" operator="between">
      <formula>10.1</formula>
      <formula>10.6</formula>
    </cfRule>
    <cfRule type="cellIs" dxfId="174" priority="787" operator="between">
      <formula>7</formula>
      <formula>7.9</formula>
    </cfRule>
    <cfRule type="cellIs" dxfId="173" priority="788" stopIfTrue="1" operator="between">
      <formula>8</formula>
      <formula>8.9</formula>
    </cfRule>
    <cfRule type="cellIs" dxfId="172" priority="789" operator="between">
      <formula>9</formula>
      <formula>9.9</formula>
    </cfRule>
    <cfRule type="cellIs" dxfId="171" priority="790" stopIfTrue="1" operator="between">
      <formula>10</formula>
      <formula>10</formula>
    </cfRule>
    <cfRule type="containsBlanks" dxfId="170" priority="791" stopIfTrue="1">
      <formula>LEN(TRIM(N250))=0</formula>
    </cfRule>
    <cfRule type="cellIs" dxfId="169" priority="785" operator="between">
      <formula>6</formula>
      <formula>6.9</formula>
    </cfRule>
  </conditionalFormatting>
  <conditionalFormatting sqref="N277">
    <cfRule type="colorScale" priority="683">
      <colorScale>
        <cfvo type="num" val="5"/>
        <cfvo type="num" val="10"/>
        <color rgb="FFFF494D"/>
        <color rgb="FF00FF66"/>
      </colorScale>
    </cfRule>
    <cfRule type="colorScale" priority="68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78:N282">
    <cfRule type="containsBlanks" dxfId="168" priority="681" stopIfTrue="1">
      <formula>LEN(TRIM(N278))=0</formula>
    </cfRule>
    <cfRule type="cellIs" dxfId="167" priority="680" stopIfTrue="1" operator="between">
      <formula>10</formula>
      <formula>10</formula>
    </cfRule>
    <cfRule type="cellIs" dxfId="166" priority="679" operator="between">
      <formula>9</formula>
      <formula>9.9</formula>
    </cfRule>
    <cfRule type="cellIs" dxfId="165" priority="678" stopIfTrue="1" operator="between">
      <formula>8</formula>
      <formula>8.9</formula>
    </cfRule>
    <cfRule type="cellIs" dxfId="164" priority="677" operator="between">
      <formula>7</formula>
      <formula>7.9</formula>
    </cfRule>
    <cfRule type="cellIs" dxfId="163" priority="676" operator="between">
      <formula>10.1</formula>
      <formula>10.6</formula>
    </cfRule>
    <cfRule type="cellIs" dxfId="162" priority="675" operator="between">
      <formula>6</formula>
      <formula>6.9</formula>
    </cfRule>
  </conditionalFormatting>
  <conditionalFormatting sqref="N284">
    <cfRule type="colorScale" priority="6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56">
      <colorScale>
        <cfvo type="num" val="5"/>
        <cfvo type="num" val="10"/>
        <color rgb="FFFF494D"/>
        <color rgb="FF00FF66"/>
      </colorScale>
    </cfRule>
  </conditionalFormatting>
  <conditionalFormatting sqref="N285:N295">
    <cfRule type="cellIs" dxfId="161" priority="658" operator="between">
      <formula>10.1</formula>
      <formula>10.6</formula>
    </cfRule>
    <cfRule type="cellIs" dxfId="160" priority="657" operator="between">
      <formula>6</formula>
      <formula>6.9</formula>
    </cfRule>
    <cfRule type="cellIs" dxfId="159" priority="659" operator="between">
      <formula>7</formula>
      <formula>7.9</formula>
    </cfRule>
    <cfRule type="cellIs" dxfId="158" priority="660" stopIfTrue="1" operator="between">
      <formula>8</formula>
      <formula>8.9</formula>
    </cfRule>
    <cfRule type="cellIs" dxfId="157" priority="661" operator="between">
      <formula>9</formula>
      <formula>9.9</formula>
    </cfRule>
    <cfRule type="cellIs" dxfId="156" priority="662" stopIfTrue="1" operator="between">
      <formula>10</formula>
      <formula>10</formula>
    </cfRule>
    <cfRule type="containsBlanks" dxfId="155" priority="663" stopIfTrue="1">
      <formula>LEN(TRIM(N285))=0</formula>
    </cfRule>
  </conditionalFormatting>
  <conditionalFormatting sqref="N297">
    <cfRule type="colorScale" priority="6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05">
      <colorScale>
        <cfvo type="num" val="5"/>
        <cfvo type="num" val="10"/>
        <color rgb="FFFF494D"/>
        <color rgb="FF00FF66"/>
      </colorScale>
    </cfRule>
  </conditionalFormatting>
  <conditionalFormatting sqref="N298:N304">
    <cfRule type="cellIs" dxfId="154" priority="600" operator="between">
      <formula>7</formula>
      <formula>7.9</formula>
    </cfRule>
    <cfRule type="cellIs" dxfId="153" priority="597" operator="between">
      <formula>2</formula>
      <formula>4.9</formula>
    </cfRule>
    <cfRule type="containsBlanks" dxfId="152" priority="595" stopIfTrue="1">
      <formula>LEN(TRIM(N298))=0</formula>
    </cfRule>
    <cfRule type="cellIs" dxfId="151" priority="598" operator="between">
      <formula>5</formula>
      <formula>6.9</formula>
    </cfRule>
    <cfRule type="cellIs" dxfId="150" priority="603" stopIfTrue="1" operator="between">
      <formula>10</formula>
      <formula>10</formula>
    </cfRule>
    <cfRule type="cellIs" dxfId="149" priority="602" operator="between">
      <formula>9</formula>
      <formula>9.9</formula>
    </cfRule>
    <cfRule type="cellIs" dxfId="148" priority="596" operator="lessThan">
      <formula>2</formula>
    </cfRule>
    <cfRule type="cellIs" dxfId="147" priority="599" operator="between">
      <formula>10.1</formula>
      <formula>10.6</formula>
    </cfRule>
    <cfRule type="cellIs" dxfId="146" priority="601" stopIfTrue="1" operator="between">
      <formula>8</formula>
      <formula>8.9</formula>
    </cfRule>
  </conditionalFormatting>
  <conditionalFormatting sqref="N306">
    <cfRule type="colorScale" priority="574">
      <colorScale>
        <cfvo type="num" val="5"/>
        <cfvo type="num" val="10"/>
        <color rgb="FFFF494D"/>
        <color rgb="FF00FF66"/>
      </colorScale>
    </cfRule>
    <cfRule type="colorScale" priority="57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07:N316">
    <cfRule type="cellIs" dxfId="145" priority="568" operator="between">
      <formula>10.1</formula>
      <formula>10.6</formula>
    </cfRule>
    <cfRule type="cellIs" dxfId="144" priority="565" operator="lessThan">
      <formula>2</formula>
    </cfRule>
    <cfRule type="cellIs" dxfId="143" priority="571" operator="between">
      <formula>9</formula>
      <formula>9.9</formula>
    </cfRule>
    <cfRule type="cellIs" dxfId="142" priority="570" stopIfTrue="1" operator="between">
      <formula>8</formula>
      <formula>8.9</formula>
    </cfRule>
    <cfRule type="cellIs" dxfId="141" priority="569" operator="between">
      <formula>7</formula>
      <formula>7.9</formula>
    </cfRule>
    <cfRule type="cellIs" dxfId="140" priority="572" stopIfTrue="1" operator="between">
      <formula>10</formula>
      <formula>10</formula>
    </cfRule>
    <cfRule type="cellIs" dxfId="139" priority="567" operator="between">
      <formula>5</formula>
      <formula>6.9</formula>
    </cfRule>
    <cfRule type="cellIs" dxfId="138" priority="566" operator="between">
      <formula>2</formula>
      <formula>4.9</formula>
    </cfRule>
    <cfRule type="containsBlanks" dxfId="137" priority="564" stopIfTrue="1">
      <formula>LEN(TRIM(N307))=0</formula>
    </cfRule>
  </conditionalFormatting>
  <conditionalFormatting sqref="N318">
    <cfRule type="colorScale" priority="510">
      <colorScale>
        <cfvo type="num" val="5"/>
        <cfvo type="num" val="10"/>
        <color rgb="FFFF494D"/>
        <color rgb="FF00FF66"/>
      </colorScale>
    </cfRule>
    <cfRule type="colorScale" priority="50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19:N326">
    <cfRule type="cellIs" dxfId="136" priority="504" operator="between">
      <formula>10.1</formula>
      <formula>10.6</formula>
    </cfRule>
    <cfRule type="cellIs" dxfId="135" priority="507" operator="between">
      <formula>9</formula>
      <formula>9.9</formula>
    </cfRule>
    <cfRule type="cellIs" dxfId="134" priority="508" stopIfTrue="1" operator="between">
      <formula>10</formula>
      <formula>10</formula>
    </cfRule>
    <cfRule type="cellIs" dxfId="133" priority="501" operator="lessThan">
      <formula>2</formula>
    </cfRule>
    <cfRule type="cellIs" dxfId="132" priority="502" operator="between">
      <formula>2</formula>
      <formula>4.9</formula>
    </cfRule>
    <cfRule type="containsBlanks" dxfId="131" priority="500" stopIfTrue="1">
      <formula>LEN(TRIM(N319))=0</formula>
    </cfRule>
    <cfRule type="cellIs" dxfId="130" priority="503" operator="between">
      <formula>5</formula>
      <formula>6.9</formula>
    </cfRule>
    <cfRule type="cellIs" dxfId="129" priority="506" stopIfTrue="1" operator="between">
      <formula>8</formula>
      <formula>8.9</formula>
    </cfRule>
    <cfRule type="cellIs" dxfId="128" priority="505" operator="between">
      <formula>7</formula>
      <formula>7.9</formula>
    </cfRule>
  </conditionalFormatting>
  <conditionalFormatting sqref="N328">
    <cfRule type="colorScale" priority="4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6">
      <colorScale>
        <cfvo type="num" val="5"/>
        <cfvo type="num" val="10"/>
        <color rgb="FFFF494D"/>
        <color rgb="FF00FF66"/>
      </colorScale>
    </cfRule>
  </conditionalFormatting>
  <conditionalFormatting sqref="N329:N336">
    <cfRule type="cellIs" dxfId="127" priority="463" operator="between">
      <formula>9</formula>
      <formula>9.9</formula>
    </cfRule>
    <cfRule type="cellIs" dxfId="126" priority="462" stopIfTrue="1" operator="between">
      <formula>8</formula>
      <formula>8.9</formula>
    </cfRule>
    <cfRule type="cellIs" dxfId="125" priority="461" operator="between">
      <formula>7</formula>
      <formula>7.9</formula>
    </cfRule>
    <cfRule type="cellIs" dxfId="124" priority="460" operator="between">
      <formula>10.1</formula>
      <formula>10.6</formula>
    </cfRule>
    <cfRule type="cellIs" dxfId="123" priority="459" operator="between">
      <formula>5</formula>
      <formula>6.9</formula>
    </cfRule>
    <cfRule type="cellIs" dxfId="122" priority="457" operator="lessThan">
      <formula>2</formula>
    </cfRule>
    <cfRule type="containsBlanks" dxfId="121" priority="456" stopIfTrue="1">
      <formula>LEN(TRIM(N329))=0</formula>
    </cfRule>
    <cfRule type="cellIs" dxfId="120" priority="464" stopIfTrue="1" operator="between">
      <formula>10</formula>
      <formula>10</formula>
    </cfRule>
    <cfRule type="cellIs" dxfId="119" priority="458" operator="between">
      <formula>2</formula>
      <formula>4.9</formula>
    </cfRule>
  </conditionalFormatting>
  <conditionalFormatting sqref="N338">
    <cfRule type="colorScale" priority="444">
      <colorScale>
        <cfvo type="num" val="5"/>
        <cfvo type="num" val="10"/>
        <color rgb="FFFF494D"/>
        <color rgb="FF00FF66"/>
      </colorScale>
    </cfRule>
    <cfRule type="colorScale" priority="44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39:N353">
    <cfRule type="cellIs" dxfId="118" priority="436" operator="between">
      <formula>2</formula>
      <formula>4.9</formula>
    </cfRule>
    <cfRule type="cellIs" dxfId="117" priority="442" stopIfTrue="1" operator="between">
      <formula>10</formula>
      <formula>10</formula>
    </cfRule>
    <cfRule type="cellIs" dxfId="116" priority="441" operator="between">
      <formula>9</formula>
      <formula>9.9</formula>
    </cfRule>
    <cfRule type="cellIs" dxfId="115" priority="440" stopIfTrue="1" operator="between">
      <formula>8</formula>
      <formula>8.9</formula>
    </cfRule>
    <cfRule type="cellIs" dxfId="114" priority="439" operator="between">
      <formula>7</formula>
      <formula>7.9</formula>
    </cfRule>
    <cfRule type="cellIs" dxfId="113" priority="438" operator="between">
      <formula>10.1</formula>
      <formula>10.6</formula>
    </cfRule>
    <cfRule type="cellIs" dxfId="112" priority="437" operator="between">
      <formula>5</formula>
      <formula>6.9</formula>
    </cfRule>
    <cfRule type="cellIs" dxfId="111" priority="435" operator="lessThan">
      <formula>2</formula>
    </cfRule>
    <cfRule type="containsBlanks" dxfId="110" priority="434" stopIfTrue="1">
      <formula>LEN(TRIM(N339))=0</formula>
    </cfRule>
  </conditionalFormatting>
  <conditionalFormatting sqref="N355">
    <cfRule type="colorScale" priority="380">
      <colorScale>
        <cfvo type="num" val="5"/>
        <cfvo type="num" val="10"/>
        <color rgb="FFFF494D"/>
        <color rgb="FF00FF66"/>
      </colorScale>
    </cfRule>
    <cfRule type="colorScale" priority="37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56:N365">
    <cfRule type="cellIs" dxfId="109" priority="382" operator="lessThan">
      <formula>2</formula>
    </cfRule>
    <cfRule type="containsBlanks" dxfId="108" priority="381" stopIfTrue="1">
      <formula>LEN(TRIM(N356))=0</formula>
    </cfRule>
    <cfRule type="cellIs" dxfId="107" priority="389" stopIfTrue="1" operator="between">
      <formula>10</formula>
      <formula>10</formula>
    </cfRule>
    <cfRule type="cellIs" dxfId="106" priority="388" operator="between">
      <formula>9</formula>
      <formula>9.9</formula>
    </cfRule>
    <cfRule type="cellIs" dxfId="105" priority="387" stopIfTrue="1" operator="between">
      <formula>8</formula>
      <formula>8.9</formula>
    </cfRule>
    <cfRule type="cellIs" dxfId="104" priority="386" operator="between">
      <formula>7</formula>
      <formula>7.9</formula>
    </cfRule>
    <cfRule type="cellIs" dxfId="103" priority="385" operator="between">
      <formula>10.1</formula>
      <formula>10.6</formula>
    </cfRule>
    <cfRule type="cellIs" dxfId="102" priority="384" operator="between">
      <formula>5</formula>
      <formula>6.9</formula>
    </cfRule>
    <cfRule type="cellIs" dxfId="101" priority="383" operator="between">
      <formula>2</formula>
      <formula>4.9</formula>
    </cfRule>
  </conditionalFormatting>
  <conditionalFormatting sqref="N367">
    <cfRule type="colorScale" priority="323">
      <colorScale>
        <cfvo type="num" val="5"/>
        <cfvo type="num" val="10"/>
        <color rgb="FFFF494D"/>
        <color rgb="FF00FF66"/>
      </colorScale>
    </cfRule>
    <cfRule type="colorScale" priority="32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68:N372">
    <cfRule type="cellIs" dxfId="100" priority="331" operator="between">
      <formula>9</formula>
      <formula>9.9</formula>
    </cfRule>
    <cfRule type="cellIs" dxfId="99" priority="330" stopIfTrue="1" operator="between">
      <formula>8</formula>
      <formula>8.9</formula>
    </cfRule>
    <cfRule type="cellIs" dxfId="98" priority="329" operator="between">
      <formula>7</formula>
      <formula>7.9</formula>
    </cfRule>
    <cfRule type="cellIs" dxfId="97" priority="328" operator="between">
      <formula>10.1</formula>
      <formula>10.6</formula>
    </cfRule>
    <cfRule type="cellIs" dxfId="96" priority="327" operator="between">
      <formula>5</formula>
      <formula>6.9</formula>
    </cfRule>
    <cfRule type="cellIs" dxfId="95" priority="326" operator="between">
      <formula>2</formula>
      <formula>4.9</formula>
    </cfRule>
    <cfRule type="cellIs" dxfId="94" priority="325" operator="lessThan">
      <formula>2</formula>
    </cfRule>
    <cfRule type="containsBlanks" dxfId="93" priority="324" stopIfTrue="1">
      <formula>LEN(TRIM(N368))=0</formula>
    </cfRule>
    <cfRule type="cellIs" dxfId="92" priority="332" stopIfTrue="1" operator="between">
      <formula>10</formula>
      <formula>10</formula>
    </cfRule>
  </conditionalFormatting>
  <conditionalFormatting sqref="N374">
    <cfRule type="colorScale" priority="2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7">
      <colorScale>
        <cfvo type="num" val="5"/>
        <cfvo type="num" val="10"/>
        <color rgb="FFFF494D"/>
        <color rgb="FF00FF66"/>
      </colorScale>
    </cfRule>
  </conditionalFormatting>
  <conditionalFormatting sqref="N375:N382">
    <cfRule type="cellIs" dxfId="91" priority="288" operator="lessThan">
      <formula>2</formula>
    </cfRule>
    <cfRule type="cellIs" dxfId="90" priority="295" stopIfTrue="1" operator="between">
      <formula>10</formula>
      <formula>10</formula>
    </cfRule>
    <cfRule type="cellIs" dxfId="89" priority="294" operator="between">
      <formula>9</formula>
      <formula>9.9</formula>
    </cfRule>
    <cfRule type="cellIs" dxfId="88" priority="293" stopIfTrue="1" operator="between">
      <formula>8</formula>
      <formula>8.9</formula>
    </cfRule>
    <cfRule type="cellIs" dxfId="87" priority="292" operator="between">
      <formula>7</formula>
      <formula>7.9</formula>
    </cfRule>
    <cfRule type="cellIs" dxfId="86" priority="291" operator="between">
      <formula>10.1</formula>
      <formula>10.6</formula>
    </cfRule>
    <cfRule type="cellIs" dxfId="85" priority="290" operator="between">
      <formula>5</formula>
      <formula>6.9</formula>
    </cfRule>
    <cfRule type="cellIs" dxfId="84" priority="289" operator="between">
      <formula>2</formula>
      <formula>4.9</formula>
    </cfRule>
    <cfRule type="containsBlanks" dxfId="83" priority="287" stopIfTrue="1">
      <formula>LEN(TRIM(N375))=0</formula>
    </cfRule>
  </conditionalFormatting>
  <conditionalFormatting sqref="N384">
    <cfRule type="colorScale" priority="2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3">
      <colorScale>
        <cfvo type="num" val="5"/>
        <cfvo type="num" val="10"/>
        <color rgb="FFFF494D"/>
        <color rgb="FF00FF66"/>
      </colorScale>
    </cfRule>
  </conditionalFormatting>
  <conditionalFormatting sqref="N385:N395">
    <cfRule type="cellIs" dxfId="82" priority="237" operator="between">
      <formula>10.1</formula>
      <formula>10.6</formula>
    </cfRule>
    <cfRule type="cellIs" dxfId="81" priority="236" operator="between">
      <formula>5</formula>
      <formula>6.9</formula>
    </cfRule>
    <cfRule type="cellIs" dxfId="80" priority="235" operator="between">
      <formula>2</formula>
      <formula>4.9</formula>
    </cfRule>
    <cfRule type="cellIs" dxfId="79" priority="238" operator="between">
      <formula>7</formula>
      <formula>7.9</formula>
    </cfRule>
    <cfRule type="cellIs" dxfId="78" priority="239" stopIfTrue="1" operator="between">
      <formula>8</formula>
      <formula>8.9</formula>
    </cfRule>
    <cfRule type="cellIs" dxfId="77" priority="240" operator="between">
      <formula>9</formula>
      <formula>9.9</formula>
    </cfRule>
    <cfRule type="cellIs" dxfId="76" priority="241" stopIfTrue="1" operator="between">
      <formula>10</formula>
      <formula>10</formula>
    </cfRule>
    <cfRule type="cellIs" dxfId="75" priority="234" operator="lessThan">
      <formula>2</formula>
    </cfRule>
    <cfRule type="containsBlanks" dxfId="74" priority="233" stopIfTrue="1">
      <formula>LEN(TRIM(N385))=0</formula>
    </cfRule>
  </conditionalFormatting>
  <conditionalFormatting sqref="N397">
    <cfRule type="colorScale" priority="1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8">
      <colorScale>
        <cfvo type="num" val="5"/>
        <cfvo type="num" val="10"/>
        <color rgb="FFFF494D"/>
        <color rgb="FF00FF66"/>
      </colorScale>
    </cfRule>
  </conditionalFormatting>
  <conditionalFormatting sqref="N398:N410">
    <cfRule type="cellIs" dxfId="73" priority="179" operator="lessThan">
      <formula>2</formula>
    </cfRule>
    <cfRule type="cellIs" dxfId="72" priority="181" operator="between">
      <formula>5</formula>
      <formula>6.9</formula>
    </cfRule>
    <cfRule type="cellIs" dxfId="71" priority="182" operator="between">
      <formula>10.1</formula>
      <formula>10.6</formula>
    </cfRule>
    <cfRule type="cellIs" dxfId="70" priority="183" operator="between">
      <formula>7</formula>
      <formula>7.9</formula>
    </cfRule>
    <cfRule type="cellIs" dxfId="69" priority="184" stopIfTrue="1" operator="between">
      <formula>8</formula>
      <formula>8.9</formula>
    </cfRule>
    <cfRule type="cellIs" dxfId="68" priority="185" operator="between">
      <formula>9</formula>
      <formula>9.9</formula>
    </cfRule>
    <cfRule type="cellIs" dxfId="67" priority="180" operator="between">
      <formula>2</formula>
      <formula>4.9</formula>
    </cfRule>
    <cfRule type="cellIs" dxfId="66" priority="186" stopIfTrue="1" operator="between">
      <formula>10</formula>
      <formula>10</formula>
    </cfRule>
    <cfRule type="containsBlanks" dxfId="65" priority="178" stopIfTrue="1">
      <formula>LEN(TRIM(N398))=0</formula>
    </cfRule>
  </conditionalFormatting>
  <conditionalFormatting sqref="N412">
    <cfRule type="colorScale" priority="1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1">
      <colorScale>
        <cfvo type="num" val="5"/>
        <cfvo type="num" val="10"/>
        <color rgb="FFFF494D"/>
        <color rgb="FF00FF66"/>
      </colorScale>
    </cfRule>
  </conditionalFormatting>
  <conditionalFormatting sqref="N413:N415">
    <cfRule type="cellIs" dxfId="64" priority="106" operator="between">
      <formula>10.1</formula>
      <formula>10.6</formula>
    </cfRule>
    <cfRule type="containsBlanks" dxfId="63" priority="102" stopIfTrue="1">
      <formula>LEN(TRIM(N413))=0</formula>
    </cfRule>
    <cfRule type="cellIs" dxfId="62" priority="109" operator="between">
      <formula>9</formula>
      <formula>9.9</formula>
    </cfRule>
    <cfRule type="cellIs" dxfId="61" priority="103" operator="lessThan">
      <formula>2</formula>
    </cfRule>
    <cfRule type="cellIs" dxfId="60" priority="110" stopIfTrue="1" operator="between">
      <formula>10</formula>
      <formula>10</formula>
    </cfRule>
    <cfRule type="cellIs" dxfId="59" priority="104" operator="between">
      <formula>2</formula>
      <formula>4.9</formula>
    </cfRule>
    <cfRule type="cellIs" dxfId="58" priority="105" operator="between">
      <formula>5</formula>
      <formula>6.9</formula>
    </cfRule>
    <cfRule type="cellIs" dxfId="57" priority="108" stopIfTrue="1" operator="between">
      <formula>8</formula>
      <formula>8.9</formula>
    </cfRule>
    <cfRule type="cellIs" dxfId="56" priority="107" operator="between">
      <formula>7</formula>
      <formula>7.9</formula>
    </cfRule>
  </conditionalFormatting>
  <conditionalFormatting sqref="N417">
    <cfRule type="colorScale" priority="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9">
      <colorScale>
        <cfvo type="num" val="5"/>
        <cfvo type="num" val="10"/>
        <color rgb="FFFF494D"/>
        <color rgb="FF00FF66"/>
      </colorScale>
    </cfRule>
  </conditionalFormatting>
  <conditionalFormatting sqref="N418:N428">
    <cfRule type="cellIs" dxfId="55" priority="65" operator="between">
      <formula>7</formula>
      <formula>7.9</formula>
    </cfRule>
    <cfRule type="cellIs" dxfId="54" priority="64" operator="between">
      <formula>10.1</formula>
      <formula>10.6</formula>
    </cfRule>
    <cfRule type="cellIs" dxfId="53" priority="63" operator="between">
      <formula>5</formula>
      <formula>6.9</formula>
    </cfRule>
    <cfRule type="cellIs" dxfId="52" priority="62" operator="between">
      <formula>2</formula>
      <formula>4.9</formula>
    </cfRule>
    <cfRule type="cellIs" dxfId="51" priority="66" stopIfTrue="1" operator="between">
      <formula>8</formula>
      <formula>8.9</formula>
    </cfRule>
    <cfRule type="cellIs" dxfId="50" priority="67" operator="between">
      <formula>9</formula>
      <formula>9.9</formula>
    </cfRule>
    <cfRule type="cellIs" dxfId="49" priority="68" stopIfTrue="1" operator="between">
      <formula>10</formula>
      <formula>10</formula>
    </cfRule>
    <cfRule type="cellIs" dxfId="48" priority="61" operator="lessThan">
      <formula>2</formula>
    </cfRule>
    <cfRule type="containsBlanks" dxfId="47" priority="60" stopIfTrue="1">
      <formula>LEN(TRIM(N418))=0</formula>
    </cfRule>
  </conditionalFormatting>
  <conditionalFormatting sqref="AM3:AM11">
    <cfRule type="cellIs" dxfId="46" priority="1676" operator="between">
      <formula>7</formula>
      <formula>7.9</formula>
    </cfRule>
    <cfRule type="cellIs" dxfId="45" priority="1677" operator="between">
      <formula>8</formula>
      <formula>8.9</formula>
    </cfRule>
    <cfRule type="cellIs" dxfId="44" priority="1678" operator="between">
      <formula>9</formula>
      <formula>9.9</formula>
    </cfRule>
    <cfRule type="cellIs" dxfId="43" priority="1679" operator="between">
      <formula>10</formula>
      <formula>10</formula>
    </cfRule>
  </conditionalFormatting>
  <conditionalFormatting sqref="N430">
    <cfRule type="colorScale" priority="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">
      <colorScale>
        <cfvo type="num" val="5"/>
        <cfvo type="num" val="10"/>
        <color rgb="FFFF494D"/>
        <color rgb="FF00FF66"/>
      </colorScale>
    </cfRule>
  </conditionalFormatting>
  <conditionalFormatting sqref="N431:N441">
    <cfRule type="containsBlanks" dxfId="0" priority="1" stopIfTrue="1">
      <formula>LEN(TRIM(N431))=0</formula>
    </cfRule>
    <cfRule type="cellIs" dxfId="1" priority="2" operator="lessThan">
      <formula>2</formula>
    </cfRule>
    <cfRule type="cellIs" dxfId="5" priority="3" operator="between">
      <formula>2</formula>
      <formula>4.9</formula>
    </cfRule>
    <cfRule type="cellIs" dxfId="6" priority="4" operator="between">
      <formula>5</formula>
      <formula>6.9</formula>
    </cfRule>
    <cfRule type="cellIs" dxfId="7" priority="5" operator="between">
      <formula>10.1</formula>
      <formula>10.6</formula>
    </cfRule>
    <cfRule type="cellIs" dxfId="8" priority="6" operator="between">
      <formula>7</formula>
      <formula>7.9</formula>
    </cfRule>
    <cfRule type="cellIs" dxfId="4" priority="7" stopIfTrue="1" operator="between">
      <formula>8</formula>
      <formula>8.9</formula>
    </cfRule>
    <cfRule type="cellIs" dxfId="3" priority="8" operator="between">
      <formula>9</formula>
      <formula>9.9</formula>
    </cfRule>
    <cfRule type="cellIs" dxfId="2" priority="9" stopIfTrue="1" operator="between">
      <formula>10</formula>
      <formula>10</formula>
    </cfRule>
  </conditionalFormatting>
  <pageMargins left="0.7" right="0.7" top="0.75" bottom="0.75" header="0.3" footer="0.3"/>
  <pageSetup paperSize="9" scale="17" orientation="landscape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77038-44B4-604C-ADE9-4BEEFAB1594C}">
  <sheetPr>
    <pageSetUpPr fitToPage="1"/>
  </sheetPr>
  <dimension ref="A1:P59"/>
  <sheetViews>
    <sheetView showGridLines="0" zoomScale="70" zoomScaleNormal="70" workbookViewId="0">
      <selection activeCell="G53" sqref="G53"/>
    </sheetView>
  </sheetViews>
  <sheetFormatPr baseColWidth="10" defaultColWidth="11.1640625" defaultRowHeight="16" x14ac:dyDescent="0.2"/>
  <cols>
    <col min="1" max="1" width="3.83203125" customWidth="1"/>
    <col min="2" max="2" width="31.6640625" customWidth="1"/>
    <col min="3" max="3" width="10.83203125" customWidth="1"/>
    <col min="4" max="4" width="3.83203125" customWidth="1"/>
    <col min="5" max="5" width="31.5" customWidth="1"/>
    <col min="7" max="7" width="3.83203125" customWidth="1"/>
    <col min="8" max="8" width="31.5" customWidth="1"/>
    <col min="9" max="9" width="10.83203125" customWidth="1"/>
    <col min="10" max="10" width="3.83203125" customWidth="1"/>
    <col min="11" max="11" width="31.5" customWidth="1"/>
    <col min="12" max="12" width="10.83203125" customWidth="1"/>
    <col min="13" max="13" width="3.83203125" customWidth="1"/>
    <col min="14" max="14" width="31.5" customWidth="1"/>
    <col min="16" max="16" width="3.83203125" customWidth="1"/>
  </cols>
  <sheetData>
    <row r="1" spans="1:16" ht="13" customHeight="1" x14ac:dyDescent="0.2">
      <c r="A1" s="24"/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3"/>
    </row>
    <row r="2" spans="1:16" s="22" customFormat="1" ht="13" customHeight="1" x14ac:dyDescent="0.25">
      <c r="A2" s="24"/>
      <c r="B2" s="25" t="s">
        <v>142</v>
      </c>
      <c r="C2" s="31">
        <f>ROUND(SUM(C3:C17)/COUNT(C3:C17), 2)</f>
        <v>9.5</v>
      </c>
      <c r="D2" s="24"/>
      <c r="E2" s="25" t="s">
        <v>224</v>
      </c>
      <c r="F2" s="31">
        <f>ROUND(SUM(F3:F15)/COUNT(F3:F15), 2)</f>
        <v>9.08</v>
      </c>
      <c r="G2" s="24"/>
      <c r="H2" s="25" t="s">
        <v>225</v>
      </c>
      <c r="I2" s="32">
        <f>ROUND(SUM(I3:I15)/COUNT(I3:I15), 2)</f>
        <v>8.6199999999999992</v>
      </c>
      <c r="J2" s="24"/>
      <c r="K2" s="25" t="s">
        <v>226</v>
      </c>
      <c r="L2" s="32">
        <f>ROUND(SUM(L3:L15)/COUNT(L3:L15), 2)</f>
        <v>8.65</v>
      </c>
      <c r="M2" s="24"/>
      <c r="N2" s="25" t="s">
        <v>227</v>
      </c>
      <c r="O2" s="32">
        <f>ROUND(SUM(O3:O14)/COUNT(O3:O14), 2)</f>
        <v>9.67</v>
      </c>
      <c r="P2" s="23"/>
    </row>
    <row r="3" spans="1:16" ht="13" customHeight="1" x14ac:dyDescent="0.2">
      <c r="A3" s="24"/>
      <c r="B3" s="24" t="s">
        <v>143</v>
      </c>
      <c r="C3" s="26">
        <v>10</v>
      </c>
      <c r="D3" s="24"/>
      <c r="E3" s="24" t="s">
        <v>221</v>
      </c>
      <c r="F3" s="26">
        <v>10</v>
      </c>
      <c r="G3" s="24"/>
      <c r="H3" s="24" t="s">
        <v>22</v>
      </c>
      <c r="I3" s="26">
        <v>8.5</v>
      </c>
      <c r="J3" s="24"/>
      <c r="K3" s="24" t="s">
        <v>163</v>
      </c>
      <c r="L3" s="26">
        <v>8.5</v>
      </c>
      <c r="M3" s="24"/>
      <c r="N3" s="24" t="s">
        <v>0</v>
      </c>
      <c r="O3" s="26">
        <v>10</v>
      </c>
      <c r="P3" s="3"/>
    </row>
    <row r="4" spans="1:16" ht="13" customHeight="1" x14ac:dyDescent="0.2">
      <c r="A4" s="24"/>
      <c r="B4" s="24" t="s">
        <v>144</v>
      </c>
      <c r="C4" s="26">
        <v>10</v>
      </c>
      <c r="D4" s="24"/>
      <c r="E4" s="24" t="s">
        <v>176</v>
      </c>
      <c r="F4" s="26">
        <v>9.5</v>
      </c>
      <c r="G4" s="24"/>
      <c r="H4" s="24" t="s">
        <v>23</v>
      </c>
      <c r="I4" s="26">
        <v>9</v>
      </c>
      <c r="J4" s="24"/>
      <c r="K4" s="24" t="s">
        <v>164</v>
      </c>
      <c r="L4" s="26">
        <v>9</v>
      </c>
      <c r="M4" s="24"/>
      <c r="N4" s="27" t="s">
        <v>1</v>
      </c>
      <c r="O4" s="33"/>
      <c r="P4" s="3"/>
    </row>
    <row r="5" spans="1:16" ht="13" customHeight="1" x14ac:dyDescent="0.2">
      <c r="A5" s="24"/>
      <c r="B5" s="24" t="s">
        <v>145</v>
      </c>
      <c r="C5" s="26">
        <v>10</v>
      </c>
      <c r="D5" s="24"/>
      <c r="E5" s="24" t="s">
        <v>177</v>
      </c>
      <c r="F5" s="26">
        <v>9</v>
      </c>
      <c r="G5" s="24"/>
      <c r="H5" s="24" t="s">
        <v>24</v>
      </c>
      <c r="I5" s="26">
        <v>8</v>
      </c>
      <c r="J5" s="24"/>
      <c r="K5" s="24" t="s">
        <v>165</v>
      </c>
      <c r="L5" s="26">
        <v>8.5</v>
      </c>
      <c r="M5" s="24"/>
      <c r="N5" s="24" t="s">
        <v>2</v>
      </c>
      <c r="O5" s="26">
        <v>9.5</v>
      </c>
      <c r="P5" s="3"/>
    </row>
    <row r="6" spans="1:16" ht="13" customHeight="1" x14ac:dyDescent="0.2">
      <c r="A6" s="24"/>
      <c r="B6" s="27" t="s">
        <v>200</v>
      </c>
      <c r="C6" s="33"/>
      <c r="D6" s="24"/>
      <c r="E6" s="24" t="s">
        <v>178</v>
      </c>
      <c r="F6" s="26">
        <v>10</v>
      </c>
      <c r="G6" s="24"/>
      <c r="H6" s="24" t="s">
        <v>25</v>
      </c>
      <c r="I6" s="26">
        <v>9.5</v>
      </c>
      <c r="J6" s="24"/>
      <c r="K6" s="24" t="s">
        <v>166</v>
      </c>
      <c r="L6" s="26">
        <v>10</v>
      </c>
      <c r="M6" s="24"/>
      <c r="N6" s="27" t="s">
        <v>3</v>
      </c>
      <c r="O6" s="33"/>
      <c r="P6" s="3"/>
    </row>
    <row r="7" spans="1:16" ht="13" customHeight="1" x14ac:dyDescent="0.2">
      <c r="A7" s="24"/>
      <c r="B7" s="24" t="s">
        <v>201</v>
      </c>
      <c r="C7" s="26">
        <v>10</v>
      </c>
      <c r="D7" s="24"/>
      <c r="E7" s="24" t="s">
        <v>179</v>
      </c>
      <c r="F7" s="26">
        <v>8.5</v>
      </c>
      <c r="G7" s="24"/>
      <c r="H7" s="24" t="s">
        <v>26</v>
      </c>
      <c r="I7" s="26">
        <v>10</v>
      </c>
      <c r="J7" s="24"/>
      <c r="K7" s="24" t="s">
        <v>167</v>
      </c>
      <c r="L7" s="26">
        <v>9</v>
      </c>
      <c r="M7" s="24"/>
      <c r="N7" s="24" t="s">
        <v>4</v>
      </c>
      <c r="O7" s="26">
        <v>10</v>
      </c>
      <c r="P7" s="3"/>
    </row>
    <row r="8" spans="1:16" ht="13" customHeight="1" x14ac:dyDescent="0.2">
      <c r="A8" s="24"/>
      <c r="B8" s="27" t="s">
        <v>202</v>
      </c>
      <c r="C8" s="33"/>
      <c r="D8" s="24"/>
      <c r="E8" s="24" t="s">
        <v>222</v>
      </c>
      <c r="F8" s="26">
        <v>8</v>
      </c>
      <c r="G8" s="24"/>
      <c r="H8" s="24" t="s">
        <v>27</v>
      </c>
      <c r="I8" s="26">
        <v>9.5</v>
      </c>
      <c r="J8" s="24"/>
      <c r="K8" s="24" t="s">
        <v>160</v>
      </c>
      <c r="L8" s="26">
        <v>8</v>
      </c>
      <c r="M8" s="24"/>
      <c r="N8" s="24" t="s">
        <v>5</v>
      </c>
      <c r="O8" s="26">
        <v>10</v>
      </c>
      <c r="P8" s="3"/>
    </row>
    <row r="9" spans="1:16" ht="13" customHeight="1" x14ac:dyDescent="0.2">
      <c r="A9" s="24"/>
      <c r="B9" s="24" t="s">
        <v>203</v>
      </c>
      <c r="C9" s="26">
        <v>8.5</v>
      </c>
      <c r="D9" s="24"/>
      <c r="E9" s="24" t="s">
        <v>181</v>
      </c>
      <c r="F9" s="26">
        <v>8.5</v>
      </c>
      <c r="G9" s="24"/>
      <c r="H9" s="24" t="s">
        <v>28</v>
      </c>
      <c r="I9" s="26">
        <v>9</v>
      </c>
      <c r="J9" s="24"/>
      <c r="K9" s="24" t="s">
        <v>168</v>
      </c>
      <c r="L9" s="26">
        <v>9</v>
      </c>
      <c r="M9" s="24"/>
      <c r="N9" s="24" t="s">
        <v>6</v>
      </c>
      <c r="O9" s="26">
        <v>9</v>
      </c>
      <c r="P9" s="3"/>
    </row>
    <row r="10" spans="1:16" ht="13" customHeight="1" x14ac:dyDescent="0.2">
      <c r="A10" s="24"/>
      <c r="B10" s="27" t="s">
        <v>204</v>
      </c>
      <c r="C10" s="33"/>
      <c r="D10" s="24"/>
      <c r="E10" s="24" t="s">
        <v>223</v>
      </c>
      <c r="F10" s="26">
        <v>8.5</v>
      </c>
      <c r="G10" s="24"/>
      <c r="H10" s="24" t="s">
        <v>29</v>
      </c>
      <c r="I10" s="26">
        <v>7.5</v>
      </c>
      <c r="J10" s="24"/>
      <c r="K10" s="24" t="s">
        <v>169</v>
      </c>
      <c r="L10" s="26">
        <v>8.5</v>
      </c>
      <c r="M10" s="24"/>
      <c r="N10" s="24" t="s">
        <v>7</v>
      </c>
      <c r="O10" s="26">
        <v>10</v>
      </c>
      <c r="P10" s="3"/>
    </row>
    <row r="11" spans="1:16" ht="13" customHeight="1" x14ac:dyDescent="0.2">
      <c r="A11" s="24"/>
      <c r="B11" s="24" t="s">
        <v>205</v>
      </c>
      <c r="C11" s="26">
        <v>9</v>
      </c>
      <c r="D11" s="24"/>
      <c r="E11" s="24" t="s">
        <v>183</v>
      </c>
      <c r="F11" s="26">
        <v>10</v>
      </c>
      <c r="G11" s="24"/>
      <c r="H11" s="24" t="s">
        <v>30</v>
      </c>
      <c r="I11" s="26">
        <v>7.5</v>
      </c>
      <c r="J11" s="24"/>
      <c r="K11" s="24" t="s">
        <v>170</v>
      </c>
      <c r="L11" s="26">
        <v>8</v>
      </c>
      <c r="M11" s="24"/>
      <c r="N11" s="24" t="s">
        <v>8</v>
      </c>
      <c r="O11" s="26">
        <v>9</v>
      </c>
      <c r="P11" s="3"/>
    </row>
    <row r="12" spans="1:16" ht="13" customHeight="1" x14ac:dyDescent="0.2">
      <c r="A12" s="24"/>
      <c r="B12" s="27" t="s">
        <v>206</v>
      </c>
      <c r="C12" s="33"/>
      <c r="D12" s="24"/>
      <c r="E12" s="27" t="s">
        <v>184</v>
      </c>
      <c r="F12" s="33"/>
      <c r="G12" s="24"/>
      <c r="H12" s="24" t="s">
        <v>31</v>
      </c>
      <c r="I12" s="26">
        <v>7.5</v>
      </c>
      <c r="J12" s="24"/>
      <c r="K12" s="24" t="s">
        <v>171</v>
      </c>
      <c r="L12" s="26">
        <v>10</v>
      </c>
      <c r="M12" s="24"/>
      <c r="N12" s="24" t="s">
        <v>9</v>
      </c>
      <c r="O12" s="26">
        <v>10</v>
      </c>
      <c r="P12" s="3"/>
    </row>
    <row r="13" spans="1:16" ht="13" customHeight="1" x14ac:dyDescent="0.2">
      <c r="A13" s="24"/>
      <c r="B13" s="24" t="s">
        <v>207</v>
      </c>
      <c r="C13" s="26">
        <v>10</v>
      </c>
      <c r="D13" s="24"/>
      <c r="E13" s="24" t="s">
        <v>185</v>
      </c>
      <c r="F13" s="26">
        <v>8</v>
      </c>
      <c r="G13" s="24"/>
      <c r="H13" s="24" t="s">
        <v>32</v>
      </c>
      <c r="I13" s="26">
        <v>9</v>
      </c>
      <c r="J13" s="24"/>
      <c r="K13" s="24" t="s">
        <v>172</v>
      </c>
      <c r="L13" s="26">
        <v>8.5</v>
      </c>
      <c r="M13" s="24"/>
      <c r="N13" s="24" t="s">
        <v>10</v>
      </c>
      <c r="O13" s="26">
        <v>9.5</v>
      </c>
      <c r="P13" s="3"/>
    </row>
    <row r="14" spans="1:16" ht="13" customHeight="1" x14ac:dyDescent="0.2">
      <c r="A14" s="24"/>
      <c r="B14" s="27" t="s">
        <v>208</v>
      </c>
      <c r="C14" s="33"/>
      <c r="D14" s="24"/>
      <c r="E14" s="24" t="s">
        <v>186</v>
      </c>
      <c r="F14" s="26">
        <v>9</v>
      </c>
      <c r="G14" s="24"/>
      <c r="H14" s="24" t="s">
        <v>33</v>
      </c>
      <c r="I14" s="26">
        <v>8.5</v>
      </c>
      <c r="J14" s="24"/>
      <c r="K14" s="24" t="s">
        <v>173</v>
      </c>
      <c r="L14" s="26">
        <v>8</v>
      </c>
      <c r="M14" s="24"/>
      <c r="N14" s="27" t="s">
        <v>11</v>
      </c>
      <c r="O14" s="33"/>
      <c r="P14" s="3"/>
    </row>
    <row r="15" spans="1:16" ht="13" customHeight="1" x14ac:dyDescent="0.2">
      <c r="A15" s="24"/>
      <c r="B15" s="24" t="s">
        <v>209</v>
      </c>
      <c r="C15" s="26">
        <v>9.5</v>
      </c>
      <c r="D15" s="24"/>
      <c r="E15" s="24" t="s">
        <v>187</v>
      </c>
      <c r="F15" s="26">
        <v>10</v>
      </c>
      <c r="G15" s="24"/>
      <c r="H15" s="24" t="s">
        <v>34</v>
      </c>
      <c r="I15" s="26">
        <v>8.5</v>
      </c>
      <c r="J15" s="24"/>
      <c r="K15" s="24" t="s">
        <v>174</v>
      </c>
      <c r="L15" s="26">
        <v>7.5</v>
      </c>
      <c r="M15" s="24"/>
      <c r="N15" s="24"/>
      <c r="O15" s="24"/>
      <c r="P15" s="3"/>
    </row>
    <row r="16" spans="1:16" ht="13" customHeight="1" x14ac:dyDescent="0.2">
      <c r="A16" s="24"/>
      <c r="B16" s="27" t="s">
        <v>210</v>
      </c>
      <c r="C16" s="33"/>
      <c r="D16" s="24"/>
      <c r="E16" s="24"/>
      <c r="F16" s="24"/>
      <c r="G16" s="24"/>
      <c r="H16" s="24"/>
      <c r="I16" s="24"/>
      <c r="J16" s="24"/>
      <c r="K16" s="24"/>
      <c r="L16" s="26"/>
      <c r="M16" s="24"/>
      <c r="N16" s="25" t="s">
        <v>247</v>
      </c>
      <c r="O16" s="32">
        <f>ROUND(SUM(O17:O27)/COUNT(O17:O27), 2)</f>
        <v>8.68</v>
      </c>
      <c r="P16" s="3"/>
    </row>
    <row r="17" spans="1:16" ht="13" customHeight="1" x14ac:dyDescent="0.2">
      <c r="A17" s="24"/>
      <c r="B17" s="24" t="s">
        <v>211</v>
      </c>
      <c r="C17" s="26">
        <v>8.5</v>
      </c>
      <c r="D17" s="24"/>
      <c r="E17" s="25" t="s">
        <v>228</v>
      </c>
      <c r="F17" s="32">
        <f>ROUND(SUM(F18:F30)/COUNT(F18:F30), 2)</f>
        <v>8.2899999999999991</v>
      </c>
      <c r="G17" s="24"/>
      <c r="H17" s="28" t="s">
        <v>229</v>
      </c>
      <c r="I17" s="32">
        <f>ROUND(SUM(I18:I29)/COUNT(I18:I29), 2)</f>
        <v>8.67</v>
      </c>
      <c r="J17" s="24"/>
      <c r="K17" s="25" t="s">
        <v>230</v>
      </c>
      <c r="L17" s="32">
        <f>ROUND(SUM(L18:L30)/COUNT(L18:L30), 2)</f>
        <v>9.0399999999999991</v>
      </c>
      <c r="M17" s="24"/>
      <c r="N17" s="24" t="s">
        <v>76</v>
      </c>
      <c r="O17" s="26">
        <v>10</v>
      </c>
      <c r="P17" s="3"/>
    </row>
    <row r="18" spans="1:16" ht="13" customHeight="1" x14ac:dyDescent="0.2">
      <c r="A18" s="24"/>
      <c r="B18" s="24"/>
      <c r="C18" s="24"/>
      <c r="D18" s="24"/>
      <c r="E18" s="24" t="s">
        <v>113</v>
      </c>
      <c r="F18" s="26">
        <v>9.5</v>
      </c>
      <c r="G18" s="24"/>
      <c r="H18" s="24" t="s">
        <v>96</v>
      </c>
      <c r="I18" s="26">
        <v>8.5</v>
      </c>
      <c r="J18" s="24"/>
      <c r="K18" s="24" t="s">
        <v>63</v>
      </c>
      <c r="L18" s="26">
        <v>9</v>
      </c>
      <c r="M18" s="24"/>
      <c r="N18" s="24" t="s">
        <v>77</v>
      </c>
      <c r="O18" s="26">
        <v>8.5</v>
      </c>
      <c r="P18" s="3"/>
    </row>
    <row r="19" spans="1:16" ht="13" customHeight="1" x14ac:dyDescent="0.2">
      <c r="A19" s="24"/>
      <c r="B19" s="25" t="s">
        <v>231</v>
      </c>
      <c r="C19" s="32">
        <f>ROUND(SUM(C20:C31)/COUNT(C20:C31), 2)</f>
        <v>9.41</v>
      </c>
      <c r="D19" s="24"/>
      <c r="E19" s="24" t="s">
        <v>114</v>
      </c>
      <c r="F19" s="26">
        <v>9</v>
      </c>
      <c r="G19" s="24"/>
      <c r="H19" s="24" t="s">
        <v>97</v>
      </c>
      <c r="I19" s="26">
        <v>10</v>
      </c>
      <c r="J19" s="24"/>
      <c r="K19" s="24" t="s">
        <v>64</v>
      </c>
      <c r="L19" s="26">
        <v>10</v>
      </c>
      <c r="M19" s="24"/>
      <c r="N19" s="24" t="s">
        <v>78</v>
      </c>
      <c r="O19" s="26">
        <v>10</v>
      </c>
      <c r="P19" s="3"/>
    </row>
    <row r="20" spans="1:16" ht="13" customHeight="1" x14ac:dyDescent="0.2">
      <c r="A20" s="24"/>
      <c r="B20" s="24" t="s">
        <v>146</v>
      </c>
      <c r="C20" s="26">
        <v>9</v>
      </c>
      <c r="D20" s="24"/>
      <c r="E20" s="24" t="s">
        <v>115</v>
      </c>
      <c r="F20" s="26">
        <v>8.5</v>
      </c>
      <c r="G20" s="24"/>
      <c r="H20" s="24" t="s">
        <v>98</v>
      </c>
      <c r="I20" s="26">
        <v>8</v>
      </c>
      <c r="J20" s="24"/>
      <c r="K20" s="24" t="s">
        <v>65</v>
      </c>
      <c r="L20" s="26">
        <v>10</v>
      </c>
      <c r="M20" s="24"/>
      <c r="N20" s="24" t="s">
        <v>79</v>
      </c>
      <c r="O20" s="26">
        <v>9</v>
      </c>
      <c r="P20" s="3"/>
    </row>
    <row r="21" spans="1:16" ht="13" customHeight="1" x14ac:dyDescent="0.2">
      <c r="A21" s="24"/>
      <c r="B21" s="24" t="s">
        <v>147</v>
      </c>
      <c r="C21" s="26">
        <v>10</v>
      </c>
      <c r="D21" s="24"/>
      <c r="E21" s="24" t="s">
        <v>116</v>
      </c>
      <c r="F21" s="26">
        <v>8.5</v>
      </c>
      <c r="G21" s="24"/>
      <c r="H21" s="24" t="s">
        <v>99</v>
      </c>
      <c r="I21" s="26">
        <v>8.5</v>
      </c>
      <c r="J21" s="24"/>
      <c r="K21" s="24" t="s">
        <v>66</v>
      </c>
      <c r="L21" s="26">
        <v>9.5</v>
      </c>
      <c r="M21" s="24"/>
      <c r="N21" s="24" t="s">
        <v>80</v>
      </c>
      <c r="O21" s="26">
        <v>8</v>
      </c>
      <c r="P21" s="3"/>
    </row>
    <row r="22" spans="1:16" ht="13" customHeight="1" x14ac:dyDescent="0.2">
      <c r="A22" s="24"/>
      <c r="B22" s="24" t="s">
        <v>148</v>
      </c>
      <c r="C22" s="26">
        <v>9.5</v>
      </c>
      <c r="D22" s="24"/>
      <c r="E22" s="24" t="s">
        <v>117</v>
      </c>
      <c r="F22" s="26">
        <v>9</v>
      </c>
      <c r="G22" s="24"/>
      <c r="H22" s="24" t="s">
        <v>100</v>
      </c>
      <c r="I22" s="26">
        <v>8.5</v>
      </c>
      <c r="J22" s="24"/>
      <c r="K22" s="24" t="s">
        <v>67</v>
      </c>
      <c r="L22" s="26">
        <v>8.5</v>
      </c>
      <c r="M22" s="24"/>
      <c r="N22" s="24" t="s">
        <v>81</v>
      </c>
      <c r="O22" s="26">
        <v>8.5</v>
      </c>
      <c r="P22" s="3"/>
    </row>
    <row r="23" spans="1:16" ht="13" customHeight="1" x14ac:dyDescent="0.2">
      <c r="A23" s="24"/>
      <c r="B23" s="24" t="s">
        <v>149</v>
      </c>
      <c r="C23" s="26">
        <v>9.5</v>
      </c>
      <c r="D23" s="24"/>
      <c r="E23" s="24" t="s">
        <v>118</v>
      </c>
      <c r="F23" s="26">
        <v>8.5</v>
      </c>
      <c r="G23" s="24"/>
      <c r="H23" s="24" t="s">
        <v>101</v>
      </c>
      <c r="I23" s="26">
        <v>7.5</v>
      </c>
      <c r="J23" s="24"/>
      <c r="K23" s="27" t="s">
        <v>68</v>
      </c>
      <c r="L23" s="33"/>
      <c r="M23" s="24"/>
      <c r="N23" s="24" t="s">
        <v>82</v>
      </c>
      <c r="O23" s="26">
        <v>8</v>
      </c>
      <c r="P23" s="3"/>
    </row>
    <row r="24" spans="1:16" ht="13" customHeight="1" x14ac:dyDescent="0.2">
      <c r="A24" s="24"/>
      <c r="B24" s="24" t="s">
        <v>150</v>
      </c>
      <c r="C24" s="26">
        <v>10</v>
      </c>
      <c r="D24" s="24"/>
      <c r="E24" s="24" t="s">
        <v>119</v>
      </c>
      <c r="F24" s="26">
        <v>7.5</v>
      </c>
      <c r="G24" s="24"/>
      <c r="H24" s="24" t="s">
        <v>102</v>
      </c>
      <c r="I24" s="26">
        <v>10</v>
      </c>
      <c r="J24" s="24"/>
      <c r="K24" s="24" t="s">
        <v>69</v>
      </c>
      <c r="L24" s="26">
        <v>9</v>
      </c>
      <c r="M24" s="24"/>
      <c r="N24" s="24" t="s">
        <v>83</v>
      </c>
      <c r="O24" s="26">
        <v>9.5</v>
      </c>
      <c r="P24" s="3"/>
    </row>
    <row r="25" spans="1:16" ht="13" customHeight="1" x14ac:dyDescent="0.2">
      <c r="A25" s="24"/>
      <c r="B25" s="24" t="s">
        <v>151</v>
      </c>
      <c r="C25" s="26">
        <v>9.5</v>
      </c>
      <c r="D25" s="24"/>
      <c r="E25" s="24" t="s">
        <v>120</v>
      </c>
      <c r="F25" s="26">
        <v>9</v>
      </c>
      <c r="G25" s="24"/>
      <c r="H25" s="24" t="s">
        <v>103</v>
      </c>
      <c r="I25" s="26">
        <v>9</v>
      </c>
      <c r="J25" s="24"/>
      <c r="K25" s="24" t="s">
        <v>70</v>
      </c>
      <c r="L25" s="26">
        <v>8</v>
      </c>
      <c r="M25" s="24"/>
      <c r="N25" s="24" t="s">
        <v>84</v>
      </c>
      <c r="O25" s="26">
        <v>7.5</v>
      </c>
      <c r="P25" s="3"/>
    </row>
    <row r="26" spans="1:16" ht="13" customHeight="1" x14ac:dyDescent="0.2">
      <c r="A26" s="24"/>
      <c r="B26" s="27" t="s">
        <v>152</v>
      </c>
      <c r="C26" s="33"/>
      <c r="D26" s="24"/>
      <c r="E26" s="24" t="s">
        <v>121</v>
      </c>
      <c r="F26" s="26">
        <v>8</v>
      </c>
      <c r="G26" s="24"/>
      <c r="H26" s="24" t="s">
        <v>104</v>
      </c>
      <c r="I26" s="26">
        <v>8.5</v>
      </c>
      <c r="J26" s="24"/>
      <c r="K26" s="24" t="s">
        <v>71</v>
      </c>
      <c r="L26" s="26">
        <v>10</v>
      </c>
      <c r="M26" s="24"/>
      <c r="N26" s="24" t="s">
        <v>85</v>
      </c>
      <c r="O26" s="26">
        <v>8.5</v>
      </c>
      <c r="P26" s="3"/>
    </row>
    <row r="27" spans="1:16" ht="13" customHeight="1" x14ac:dyDescent="0.2">
      <c r="A27" s="24"/>
      <c r="B27" s="24" t="s">
        <v>153</v>
      </c>
      <c r="C27" s="26">
        <v>8.5</v>
      </c>
      <c r="D27" s="24"/>
      <c r="E27" s="24" t="s">
        <v>122</v>
      </c>
      <c r="F27" s="26">
        <v>7</v>
      </c>
      <c r="G27" s="24"/>
      <c r="H27" s="24" t="s">
        <v>105</v>
      </c>
      <c r="I27" s="26">
        <v>7.5</v>
      </c>
      <c r="J27" s="24"/>
      <c r="K27" s="24" t="s">
        <v>72</v>
      </c>
      <c r="L27" s="26">
        <v>8.5</v>
      </c>
      <c r="M27" s="24"/>
      <c r="N27" s="24" t="s">
        <v>86</v>
      </c>
      <c r="O27" s="26">
        <v>8</v>
      </c>
      <c r="P27" s="3"/>
    </row>
    <row r="28" spans="1:16" ht="13" customHeight="1" x14ac:dyDescent="0.2">
      <c r="A28" s="24"/>
      <c r="B28" s="24" t="s">
        <v>154</v>
      </c>
      <c r="C28" s="26">
        <v>9.5</v>
      </c>
      <c r="D28" s="24"/>
      <c r="E28" s="27" t="s">
        <v>123</v>
      </c>
      <c r="F28" s="33"/>
      <c r="G28" s="24"/>
      <c r="H28" s="24" t="s">
        <v>106</v>
      </c>
      <c r="I28" s="26">
        <v>9</v>
      </c>
      <c r="J28" s="24"/>
      <c r="K28" s="24" t="s">
        <v>73</v>
      </c>
      <c r="L28" s="26">
        <v>9.5</v>
      </c>
      <c r="M28" s="24"/>
      <c r="N28" s="24"/>
      <c r="O28" s="24"/>
      <c r="P28" s="3"/>
    </row>
    <row r="29" spans="1:16" ht="13" customHeight="1" x14ac:dyDescent="0.2">
      <c r="A29" s="24"/>
      <c r="B29" s="24" t="s">
        <v>155</v>
      </c>
      <c r="C29" s="26">
        <v>9.5</v>
      </c>
      <c r="D29" s="24"/>
      <c r="E29" s="24" t="s">
        <v>124</v>
      </c>
      <c r="F29" s="26">
        <v>7.5</v>
      </c>
      <c r="G29" s="24"/>
      <c r="H29" s="24" t="s">
        <v>107</v>
      </c>
      <c r="I29" s="26">
        <v>9</v>
      </c>
      <c r="J29" s="24"/>
      <c r="K29" s="24" t="s">
        <v>74</v>
      </c>
      <c r="L29" s="26">
        <v>7.5</v>
      </c>
      <c r="M29" s="24"/>
      <c r="N29" s="25" t="s">
        <v>232</v>
      </c>
      <c r="O29" s="32">
        <f>ROUND(SUM(O30:O39)/COUNT(O30:O39), 2)</f>
        <v>9.4</v>
      </c>
      <c r="P29" s="3"/>
    </row>
    <row r="30" spans="1:16" ht="13" customHeight="1" x14ac:dyDescent="0.2">
      <c r="A30" s="24"/>
      <c r="B30" s="24" t="s">
        <v>156</v>
      </c>
      <c r="C30" s="26">
        <v>10</v>
      </c>
      <c r="D30" s="24"/>
      <c r="E30" s="24" t="s">
        <v>125</v>
      </c>
      <c r="F30" s="26">
        <v>7.5</v>
      </c>
      <c r="G30" s="24"/>
      <c r="H30" s="24"/>
      <c r="I30" s="24"/>
      <c r="J30" s="24"/>
      <c r="K30" s="24" t="s">
        <v>75</v>
      </c>
      <c r="L30" s="26">
        <v>9</v>
      </c>
      <c r="M30" s="24"/>
      <c r="N30" s="24" t="s">
        <v>12</v>
      </c>
      <c r="O30" s="26">
        <v>9.5</v>
      </c>
      <c r="P30" s="3"/>
    </row>
    <row r="31" spans="1:16" ht="13" customHeight="1" x14ac:dyDescent="0.2">
      <c r="A31" s="24"/>
      <c r="B31" s="24" t="s">
        <v>157</v>
      </c>
      <c r="C31" s="26">
        <v>8.5</v>
      </c>
      <c r="D31" s="24"/>
      <c r="E31" s="24"/>
      <c r="F31" s="24"/>
      <c r="G31" s="24"/>
      <c r="H31" s="25" t="s">
        <v>233</v>
      </c>
      <c r="I31" s="32">
        <f>ROUND(SUM(I32:I41)/COUNT(I32:I41), 2)</f>
        <v>9</v>
      </c>
      <c r="J31" s="24"/>
      <c r="K31" s="24"/>
      <c r="L31" s="24"/>
      <c r="M31" s="24"/>
      <c r="N31" s="24" t="s">
        <v>13</v>
      </c>
      <c r="O31" s="26">
        <v>9</v>
      </c>
      <c r="P31" s="3"/>
    </row>
    <row r="32" spans="1:16" ht="13" customHeight="1" x14ac:dyDescent="0.2">
      <c r="A32" s="24"/>
      <c r="B32" s="24"/>
      <c r="C32" s="24"/>
      <c r="D32" s="24"/>
      <c r="E32" s="25" t="s">
        <v>239</v>
      </c>
      <c r="F32" s="32">
        <f>ROUND(SUM(F33:F41)/COUNT(F33:F41), 2)</f>
        <v>8.89</v>
      </c>
      <c r="G32" s="24"/>
      <c r="H32" s="24" t="s">
        <v>35</v>
      </c>
      <c r="I32" s="26">
        <v>9.5</v>
      </c>
      <c r="J32" s="24"/>
      <c r="K32" s="25" t="s">
        <v>234</v>
      </c>
      <c r="L32" s="32">
        <f>ROUND(SUM(L33:L44)/COUNT(L33:L44), 2)</f>
        <v>8.3800000000000008</v>
      </c>
      <c r="M32" s="24"/>
      <c r="N32" s="24" t="s">
        <v>14</v>
      </c>
      <c r="O32" s="26">
        <v>10</v>
      </c>
      <c r="P32" s="3"/>
    </row>
    <row r="33" spans="1:16" ht="13" customHeight="1" x14ac:dyDescent="0.2">
      <c r="A33" s="24"/>
      <c r="B33" s="29" t="s">
        <v>235</v>
      </c>
      <c r="C33" s="32">
        <f>ROUND(SUM(C34:C42)/COUNT(C34:C42), 2)</f>
        <v>8.7799999999999994</v>
      </c>
      <c r="D33" s="24"/>
      <c r="E33" s="24" t="s">
        <v>133</v>
      </c>
      <c r="F33" s="26">
        <v>10</v>
      </c>
      <c r="G33" s="24"/>
      <c r="H33" s="24" t="s">
        <v>36</v>
      </c>
      <c r="I33" s="26">
        <v>9.5</v>
      </c>
      <c r="J33" s="24"/>
      <c r="K33" s="24" t="s">
        <v>189</v>
      </c>
      <c r="L33" s="26">
        <v>9</v>
      </c>
      <c r="M33" s="24"/>
      <c r="N33" s="24" t="s">
        <v>16</v>
      </c>
      <c r="O33" s="26">
        <v>10</v>
      </c>
      <c r="P33" s="3"/>
    </row>
    <row r="34" spans="1:16" ht="13" customHeight="1" x14ac:dyDescent="0.2">
      <c r="A34" s="24"/>
      <c r="B34" s="24" t="s">
        <v>87</v>
      </c>
      <c r="C34" s="26">
        <v>9</v>
      </c>
      <c r="D34" s="24"/>
      <c r="E34" s="24" t="s">
        <v>134</v>
      </c>
      <c r="F34" s="26">
        <v>9</v>
      </c>
      <c r="G34" s="24"/>
      <c r="H34" s="24" t="s">
        <v>37</v>
      </c>
      <c r="I34" s="26">
        <v>8.5</v>
      </c>
      <c r="J34" s="24"/>
      <c r="K34" s="24" t="s">
        <v>190</v>
      </c>
      <c r="L34" s="26">
        <v>8.5</v>
      </c>
      <c r="M34" s="24"/>
      <c r="N34" s="24" t="s">
        <v>15</v>
      </c>
      <c r="O34" s="26">
        <v>9.5</v>
      </c>
      <c r="P34" s="3"/>
    </row>
    <row r="35" spans="1:16" ht="13" customHeight="1" x14ac:dyDescent="0.2">
      <c r="A35" s="24"/>
      <c r="B35" s="24" t="s">
        <v>88</v>
      </c>
      <c r="C35" s="26">
        <v>10</v>
      </c>
      <c r="D35" s="24"/>
      <c r="E35" s="24" t="s">
        <v>135</v>
      </c>
      <c r="F35" s="26">
        <v>8</v>
      </c>
      <c r="G35" s="24"/>
      <c r="H35" s="24" t="s">
        <v>38</v>
      </c>
      <c r="I35" s="26">
        <v>8</v>
      </c>
      <c r="J35" s="24"/>
      <c r="K35" s="24" t="s">
        <v>191</v>
      </c>
      <c r="L35" s="26">
        <v>9</v>
      </c>
      <c r="M35" s="24"/>
      <c r="N35" s="24" t="s">
        <v>17</v>
      </c>
      <c r="O35" s="26">
        <v>8.5</v>
      </c>
      <c r="P35" s="3"/>
    </row>
    <row r="36" spans="1:16" ht="13" customHeight="1" x14ac:dyDescent="0.2">
      <c r="A36" s="24"/>
      <c r="B36" s="24" t="s">
        <v>89</v>
      </c>
      <c r="C36" s="26">
        <v>9.5</v>
      </c>
      <c r="D36" s="24"/>
      <c r="E36" s="24" t="s">
        <v>136</v>
      </c>
      <c r="F36" s="26">
        <v>8.5</v>
      </c>
      <c r="G36" s="24"/>
      <c r="H36" s="24" t="s">
        <v>39</v>
      </c>
      <c r="I36" s="26">
        <v>10</v>
      </c>
      <c r="J36" s="24"/>
      <c r="K36" s="24" t="s">
        <v>192</v>
      </c>
      <c r="L36" s="26">
        <v>9.5</v>
      </c>
      <c r="M36" s="24"/>
      <c r="N36" s="24" t="s">
        <v>18</v>
      </c>
      <c r="O36" s="26">
        <v>10</v>
      </c>
      <c r="P36" s="3"/>
    </row>
    <row r="37" spans="1:16" ht="13" customHeight="1" x14ac:dyDescent="0.2">
      <c r="A37" s="24"/>
      <c r="B37" s="24" t="s">
        <v>90</v>
      </c>
      <c r="C37" s="26">
        <v>8.5</v>
      </c>
      <c r="D37" s="24"/>
      <c r="E37" s="24" t="s">
        <v>137</v>
      </c>
      <c r="F37" s="26">
        <v>9</v>
      </c>
      <c r="G37" s="24"/>
      <c r="H37" s="24" t="s">
        <v>220</v>
      </c>
      <c r="I37" s="26">
        <v>8.5</v>
      </c>
      <c r="J37" s="24"/>
      <c r="K37" s="24" t="s">
        <v>193</v>
      </c>
      <c r="L37" s="26">
        <v>7.5</v>
      </c>
      <c r="M37" s="24"/>
      <c r="N37" s="24" t="s">
        <v>19</v>
      </c>
      <c r="O37" s="26">
        <v>9.5</v>
      </c>
      <c r="P37" s="3"/>
    </row>
    <row r="38" spans="1:16" ht="13" customHeight="1" x14ac:dyDescent="0.2">
      <c r="A38" s="24"/>
      <c r="B38" s="24" t="s">
        <v>91</v>
      </c>
      <c r="C38" s="26">
        <v>7.5</v>
      </c>
      <c r="D38" s="24"/>
      <c r="E38" s="24" t="s">
        <v>138</v>
      </c>
      <c r="F38" s="26">
        <v>8</v>
      </c>
      <c r="G38" s="24"/>
      <c r="H38" s="24" t="s">
        <v>41</v>
      </c>
      <c r="I38" s="26">
        <v>9</v>
      </c>
      <c r="J38" s="24"/>
      <c r="K38" s="24" t="s">
        <v>194</v>
      </c>
      <c r="L38" s="26">
        <v>10</v>
      </c>
      <c r="M38" s="24"/>
      <c r="N38" s="24" t="s">
        <v>20</v>
      </c>
      <c r="O38" s="26">
        <v>10</v>
      </c>
      <c r="P38" s="3"/>
    </row>
    <row r="39" spans="1:16" ht="13" customHeight="1" x14ac:dyDescent="0.2">
      <c r="A39" s="24"/>
      <c r="B39" s="24" t="s">
        <v>92</v>
      </c>
      <c r="C39" s="26">
        <v>8</v>
      </c>
      <c r="D39" s="24"/>
      <c r="E39" s="24" t="s">
        <v>139</v>
      </c>
      <c r="F39" s="26">
        <v>9</v>
      </c>
      <c r="G39" s="24"/>
      <c r="H39" s="24" t="s">
        <v>42</v>
      </c>
      <c r="I39" s="26">
        <v>9</v>
      </c>
      <c r="J39" s="24"/>
      <c r="K39" s="24" t="s">
        <v>195</v>
      </c>
      <c r="L39" s="26">
        <v>8</v>
      </c>
      <c r="M39" s="24"/>
      <c r="N39" s="24" t="s">
        <v>21</v>
      </c>
      <c r="O39" s="26">
        <v>8</v>
      </c>
      <c r="P39" s="3"/>
    </row>
    <row r="40" spans="1:16" ht="13" customHeight="1" x14ac:dyDescent="0.2">
      <c r="A40" s="24"/>
      <c r="B40" s="24" t="s">
        <v>93</v>
      </c>
      <c r="C40" s="26">
        <v>8.5</v>
      </c>
      <c r="D40" s="24"/>
      <c r="E40" s="24" t="s">
        <v>140</v>
      </c>
      <c r="F40" s="26">
        <v>8.5</v>
      </c>
      <c r="G40" s="24"/>
      <c r="H40" s="24" t="s">
        <v>43</v>
      </c>
      <c r="I40" s="26">
        <v>8.5</v>
      </c>
      <c r="J40" s="24"/>
      <c r="K40" s="24" t="s">
        <v>162</v>
      </c>
      <c r="L40" s="26">
        <v>7.5</v>
      </c>
      <c r="M40" s="24"/>
      <c r="N40" s="24"/>
      <c r="O40" s="24"/>
      <c r="P40" s="3"/>
    </row>
    <row r="41" spans="1:16" ht="13" customHeight="1" x14ac:dyDescent="0.2">
      <c r="A41" s="24"/>
      <c r="B41" s="24" t="s">
        <v>94</v>
      </c>
      <c r="C41" s="26">
        <v>8</v>
      </c>
      <c r="D41" s="24"/>
      <c r="E41" s="24" t="s">
        <v>141</v>
      </c>
      <c r="F41" s="26">
        <v>10</v>
      </c>
      <c r="G41" s="24"/>
      <c r="H41" s="24" t="s">
        <v>44</v>
      </c>
      <c r="I41" s="26">
        <v>9.5</v>
      </c>
      <c r="J41" s="24"/>
      <c r="K41" s="24" t="s">
        <v>196</v>
      </c>
      <c r="L41" s="26">
        <v>7</v>
      </c>
      <c r="M41" s="24"/>
      <c r="N41" s="25" t="s">
        <v>236</v>
      </c>
      <c r="O41" s="32">
        <f>ROUND(SUM(O42:O51)/COUNT(O42:O51), 2)</f>
        <v>9.2200000000000006</v>
      </c>
      <c r="P41" s="3"/>
    </row>
    <row r="42" spans="1:16" ht="13" customHeight="1" x14ac:dyDescent="0.2">
      <c r="A42" s="24"/>
      <c r="B42" s="24" t="s">
        <v>95</v>
      </c>
      <c r="C42" s="26">
        <v>10</v>
      </c>
      <c r="D42" s="24"/>
      <c r="E42" s="24"/>
      <c r="F42" s="24"/>
      <c r="G42" s="24"/>
      <c r="H42" s="24"/>
      <c r="I42" s="24"/>
      <c r="J42" s="24"/>
      <c r="K42" s="24" t="s">
        <v>197</v>
      </c>
      <c r="L42" s="26">
        <v>7</v>
      </c>
      <c r="M42" s="24"/>
      <c r="N42" s="27" t="s">
        <v>45</v>
      </c>
      <c r="O42" s="33"/>
      <c r="P42" s="3"/>
    </row>
    <row r="43" spans="1:16" ht="13" customHeight="1" x14ac:dyDescent="0.2">
      <c r="A43" s="24"/>
      <c r="B43" s="24"/>
      <c r="C43" s="24"/>
      <c r="D43" s="24"/>
      <c r="E43" s="25" t="s">
        <v>241</v>
      </c>
      <c r="F43" s="32">
        <f>ROUND(SUM(F44:F51)/COUNT(F44:F51), 2)</f>
        <v>9.25</v>
      </c>
      <c r="G43" s="24"/>
      <c r="H43" s="25" t="s">
        <v>240</v>
      </c>
      <c r="I43" s="32">
        <f>ROUND(SUM(I44:I51)/COUNT(I44:I51), 2)</f>
        <v>9.06</v>
      </c>
      <c r="J43" s="24"/>
      <c r="K43" s="24" t="s">
        <v>198</v>
      </c>
      <c r="L43" s="26">
        <v>7.5</v>
      </c>
      <c r="M43" s="24"/>
      <c r="N43" s="24" t="s">
        <v>46</v>
      </c>
      <c r="O43" s="26">
        <v>9</v>
      </c>
      <c r="P43" s="3"/>
    </row>
    <row r="44" spans="1:16" ht="13" customHeight="1" x14ac:dyDescent="0.2">
      <c r="A44" s="24"/>
      <c r="B44" s="25" t="s">
        <v>237</v>
      </c>
      <c r="C44" s="32">
        <f>ROUND(SUM(C45:C51)/COUNT(C45:C51), 2)</f>
        <v>9</v>
      </c>
      <c r="D44" s="24"/>
      <c r="E44" s="24" t="s">
        <v>212</v>
      </c>
      <c r="F44" s="26">
        <v>9.5</v>
      </c>
      <c r="G44" s="24"/>
      <c r="H44" s="24" t="s">
        <v>55</v>
      </c>
      <c r="I44" s="26">
        <v>9</v>
      </c>
      <c r="J44" s="24"/>
      <c r="K44" s="24" t="s">
        <v>199</v>
      </c>
      <c r="L44" s="26">
        <v>10</v>
      </c>
      <c r="M44" s="24"/>
      <c r="N44" s="24" t="s">
        <v>47</v>
      </c>
      <c r="O44" s="26">
        <v>8</v>
      </c>
      <c r="P44" s="3"/>
    </row>
    <row r="45" spans="1:16" ht="13" customHeight="1" x14ac:dyDescent="0.2">
      <c r="A45" s="24"/>
      <c r="B45" s="24" t="s">
        <v>126</v>
      </c>
      <c r="C45" s="26">
        <v>8.5</v>
      </c>
      <c r="D45" s="24"/>
      <c r="E45" s="24" t="s">
        <v>213</v>
      </c>
      <c r="F45" s="26">
        <v>9.5</v>
      </c>
      <c r="G45" s="24"/>
      <c r="H45" s="24" t="s">
        <v>56</v>
      </c>
      <c r="I45" s="26">
        <v>10</v>
      </c>
      <c r="J45" s="24"/>
      <c r="K45" s="24"/>
      <c r="L45" s="24"/>
      <c r="M45" s="24"/>
      <c r="N45" s="24" t="s">
        <v>48</v>
      </c>
      <c r="O45" s="26">
        <v>10</v>
      </c>
      <c r="P45" s="3"/>
    </row>
    <row r="46" spans="1:16" ht="13" customHeight="1" x14ac:dyDescent="0.2">
      <c r="A46" s="24"/>
      <c r="B46" s="24" t="s">
        <v>127</v>
      </c>
      <c r="C46" s="26">
        <v>9.5</v>
      </c>
      <c r="D46" s="24"/>
      <c r="E46" s="24" t="s">
        <v>214</v>
      </c>
      <c r="F46" s="26">
        <v>9.5</v>
      </c>
      <c r="G46" s="24"/>
      <c r="H46" s="24" t="s">
        <v>57</v>
      </c>
      <c r="I46" s="26">
        <v>8.5</v>
      </c>
      <c r="J46" s="24"/>
      <c r="K46" s="25" t="s">
        <v>238</v>
      </c>
      <c r="L46" s="32">
        <f>ROUND(SUM(L47:L51)/COUNT(L47:L51), 2)</f>
        <v>9.1999999999999993</v>
      </c>
      <c r="M46" s="24"/>
      <c r="N46" s="24" t="s">
        <v>49</v>
      </c>
      <c r="O46" s="26">
        <v>10</v>
      </c>
      <c r="P46" s="3"/>
    </row>
    <row r="47" spans="1:16" ht="13" customHeight="1" x14ac:dyDescent="0.2">
      <c r="A47" s="24"/>
      <c r="B47" s="24" t="s">
        <v>128</v>
      </c>
      <c r="C47" s="26">
        <v>9</v>
      </c>
      <c r="D47" s="24"/>
      <c r="E47" s="24" t="s">
        <v>215</v>
      </c>
      <c r="F47" s="26">
        <v>10</v>
      </c>
      <c r="G47" s="24"/>
      <c r="H47" s="24" t="s">
        <v>58</v>
      </c>
      <c r="I47" s="26">
        <v>9.5</v>
      </c>
      <c r="J47" s="24"/>
      <c r="K47" s="24" t="s">
        <v>108</v>
      </c>
      <c r="L47" s="26">
        <v>9.5</v>
      </c>
      <c r="M47" s="24"/>
      <c r="N47" s="24" t="s">
        <v>50</v>
      </c>
      <c r="O47" s="26">
        <v>9.5</v>
      </c>
      <c r="P47" s="3"/>
    </row>
    <row r="48" spans="1:16" ht="13" customHeight="1" x14ac:dyDescent="0.2">
      <c r="A48" s="24"/>
      <c r="B48" s="24" t="s">
        <v>129</v>
      </c>
      <c r="C48" s="26">
        <v>10</v>
      </c>
      <c r="D48" s="24"/>
      <c r="E48" s="24" t="s">
        <v>216</v>
      </c>
      <c r="F48" s="26">
        <v>8.5</v>
      </c>
      <c r="G48" s="24"/>
      <c r="H48" s="24" t="s">
        <v>59</v>
      </c>
      <c r="I48" s="26">
        <v>8.5</v>
      </c>
      <c r="J48" s="24"/>
      <c r="K48" s="24" t="s">
        <v>109</v>
      </c>
      <c r="L48" s="26">
        <v>9</v>
      </c>
      <c r="M48" s="24"/>
      <c r="N48" s="24" t="s">
        <v>51</v>
      </c>
      <c r="O48" s="26">
        <v>9.5</v>
      </c>
      <c r="P48" s="3"/>
    </row>
    <row r="49" spans="1:16" ht="13" customHeight="1" x14ac:dyDescent="0.2">
      <c r="A49" s="24"/>
      <c r="B49" s="24" t="s">
        <v>130</v>
      </c>
      <c r="C49" s="26">
        <v>9.5</v>
      </c>
      <c r="D49" s="24"/>
      <c r="E49" s="24" t="s">
        <v>217</v>
      </c>
      <c r="F49" s="26">
        <v>8</v>
      </c>
      <c r="G49" s="24"/>
      <c r="H49" s="24" t="s">
        <v>60</v>
      </c>
      <c r="I49" s="26">
        <v>9</v>
      </c>
      <c r="J49" s="24"/>
      <c r="K49" s="24" t="s">
        <v>110</v>
      </c>
      <c r="L49" s="26">
        <v>10</v>
      </c>
      <c r="M49" s="24"/>
      <c r="N49" s="24" t="s">
        <v>52</v>
      </c>
      <c r="O49" s="26">
        <v>8.5</v>
      </c>
      <c r="P49" s="3"/>
    </row>
    <row r="50" spans="1:16" ht="13" customHeight="1" x14ac:dyDescent="0.2">
      <c r="A50" s="24"/>
      <c r="B50" s="24" t="s">
        <v>131</v>
      </c>
      <c r="C50" s="26">
        <v>8</v>
      </c>
      <c r="D50" s="24"/>
      <c r="E50" s="24" t="s">
        <v>218</v>
      </c>
      <c r="F50" s="26">
        <v>9</v>
      </c>
      <c r="G50" s="24"/>
      <c r="H50" s="24" t="s">
        <v>61</v>
      </c>
      <c r="I50" s="26">
        <v>10</v>
      </c>
      <c r="J50" s="24"/>
      <c r="K50" s="24" t="s">
        <v>111</v>
      </c>
      <c r="L50" s="26">
        <v>8.5</v>
      </c>
      <c r="M50" s="24"/>
      <c r="N50" s="24" t="s">
        <v>53</v>
      </c>
      <c r="O50" s="26">
        <v>9</v>
      </c>
      <c r="P50" s="3"/>
    </row>
    <row r="51" spans="1:16" ht="13" customHeight="1" x14ac:dyDescent="0.2">
      <c r="A51" s="24"/>
      <c r="B51" s="24" t="s">
        <v>132</v>
      </c>
      <c r="C51" s="26">
        <v>8.5</v>
      </c>
      <c r="D51" s="24"/>
      <c r="E51" s="24" t="s">
        <v>219</v>
      </c>
      <c r="F51" s="26">
        <v>10</v>
      </c>
      <c r="G51" s="24"/>
      <c r="H51" s="24" t="s">
        <v>62</v>
      </c>
      <c r="I51" s="26">
        <v>8</v>
      </c>
      <c r="J51" s="24"/>
      <c r="K51" s="24" t="s">
        <v>112</v>
      </c>
      <c r="L51" s="26">
        <v>9</v>
      </c>
      <c r="M51" s="24"/>
      <c r="N51" s="24" t="s">
        <v>54</v>
      </c>
      <c r="O51" s="26">
        <v>9.5</v>
      </c>
      <c r="P51" s="3"/>
    </row>
    <row r="52" spans="1:16" ht="13" customHeight="1" x14ac:dyDescent="0.2">
      <c r="A52" s="24"/>
      <c r="B52" s="24"/>
      <c r="C52" s="26"/>
      <c r="D52" s="24"/>
      <c r="E52" s="24"/>
      <c r="F52" s="24"/>
      <c r="G52" s="24"/>
      <c r="H52" s="24"/>
      <c r="I52" s="24"/>
      <c r="J52" s="24"/>
      <c r="K52" s="24"/>
      <c r="L52" s="26"/>
      <c r="M52" s="24"/>
      <c r="N52" s="24"/>
      <c r="O52" s="24"/>
      <c r="P52" s="3"/>
    </row>
    <row r="53" spans="1:16" ht="16" customHeight="1" x14ac:dyDescent="0.2">
      <c r="A53" s="24"/>
      <c r="B53" s="24"/>
      <c r="C53" s="24"/>
      <c r="D53" s="24"/>
      <c r="E53" s="24"/>
      <c r="F53" s="24"/>
      <c r="G53" s="24"/>
      <c r="H53" s="24"/>
      <c r="I53" s="24"/>
      <c r="J53" s="24"/>
      <c r="K53" s="24"/>
      <c r="L53" s="24"/>
      <c r="M53" s="24"/>
      <c r="N53" s="24"/>
      <c r="O53" s="24"/>
      <c r="P53" s="3"/>
    </row>
    <row r="54" spans="1:16" ht="16" customHeight="1" x14ac:dyDescent="0.2">
      <c r="A54" s="30"/>
      <c r="B54" s="30"/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0"/>
    </row>
    <row r="55" spans="1:16" ht="16" customHeight="1" x14ac:dyDescent="0.2"/>
    <row r="56" spans="1:16" ht="16" customHeight="1" x14ac:dyDescent="0.2"/>
    <row r="57" spans="1:16" ht="16" customHeight="1" x14ac:dyDescent="0.2"/>
    <row r="58" spans="1:16" ht="16" customHeight="1" x14ac:dyDescent="0.2"/>
    <row r="59" spans="1:16" ht="16" customHeight="1" x14ac:dyDescent="0.2"/>
  </sheetData>
  <conditionalFormatting sqref="B33">
    <cfRule type="colorScale" priority="231">
      <colorScale>
        <cfvo type="num" val="5"/>
        <cfvo type="num" val="10"/>
        <color rgb="FFFF494D"/>
        <color rgb="FF00FF66"/>
      </colorScale>
    </cfRule>
    <cfRule type="colorScale" priority="23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4">
    <cfRule type="colorScale" priority="226">
      <colorScale>
        <cfvo type="num" val="5"/>
        <cfvo type="num" val="10"/>
        <color rgb="FFFF494D"/>
        <color rgb="FF00FF66"/>
      </colorScale>
    </cfRule>
    <cfRule type="colorScale" priority="2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C3:C5 C7 C9 C11 C13 C15 C17">
    <cfRule type="colorScale" priority="55">
      <colorScale>
        <cfvo type="num" val="5"/>
        <cfvo type="num" val="10"/>
        <color rgb="FFFF494D"/>
        <color rgb="FF00FF66"/>
      </colorScale>
    </cfRule>
    <cfRule type="colorScale" priority="5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C3:C17">
    <cfRule type="cellIs" dxfId="42" priority="17" operator="equal">
      <formula>10</formula>
    </cfRule>
  </conditionalFormatting>
  <conditionalFormatting sqref="C6">
    <cfRule type="containsBlanks" dxfId="41" priority="18">
      <formula>LEN(TRIM(C6))=0</formula>
    </cfRule>
  </conditionalFormatting>
  <conditionalFormatting sqref="C8">
    <cfRule type="containsBlanks" dxfId="40" priority="20">
      <formula>LEN(TRIM(C8))=0</formula>
    </cfRule>
  </conditionalFormatting>
  <conditionalFormatting sqref="C10">
    <cfRule type="containsBlanks" dxfId="39" priority="22">
      <formula>LEN(TRIM(C10))=0</formula>
    </cfRule>
  </conditionalFormatting>
  <conditionalFormatting sqref="C12">
    <cfRule type="containsBlanks" dxfId="38" priority="24">
      <formula>LEN(TRIM(C12))=0</formula>
    </cfRule>
  </conditionalFormatting>
  <conditionalFormatting sqref="C14">
    <cfRule type="containsBlanks" dxfId="37" priority="26">
      <formula>LEN(TRIM(C14))=0</formula>
    </cfRule>
  </conditionalFormatting>
  <conditionalFormatting sqref="C16">
    <cfRule type="containsBlanks" dxfId="36" priority="232">
      <formula>LEN(TRIM(C16))=0</formula>
    </cfRule>
  </conditionalFormatting>
  <conditionalFormatting sqref="C20:C25 C27:C31">
    <cfRule type="colorScale" priority="91">
      <colorScale>
        <cfvo type="num" val="5"/>
        <cfvo type="num" val="10"/>
        <color rgb="FFFF494D"/>
        <color rgb="FF00FF66"/>
      </colorScale>
    </cfRule>
    <cfRule type="colorScale" priority="9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C20:C31">
    <cfRule type="cellIs" dxfId="35" priority="3" operator="equal">
      <formula>10</formula>
    </cfRule>
  </conditionalFormatting>
  <conditionalFormatting sqref="C26">
    <cfRule type="containsBlanks" dxfId="34" priority="4">
      <formula>LEN(TRIM(C26))=0</formula>
    </cfRule>
  </conditionalFormatting>
  <conditionalFormatting sqref="C34:C42">
    <cfRule type="colorScale" priority="88">
      <colorScale>
        <cfvo type="num" val="5"/>
        <cfvo type="num" val="10"/>
        <color rgb="FFFF494D"/>
        <color rgb="FF00FF66"/>
      </colorScale>
    </cfRule>
    <cfRule type="cellIs" dxfId="33" priority="86" operator="equal">
      <formula>10</formula>
    </cfRule>
    <cfRule type="colorScale" priority="8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C45:C52">
    <cfRule type="colorScale" priority="73">
      <colorScale>
        <cfvo type="num" val="5"/>
        <cfvo type="num" val="10"/>
        <color rgb="FFFF494D"/>
        <color rgb="FF00FF66"/>
      </colorScale>
    </cfRule>
    <cfRule type="cellIs" dxfId="32" priority="71" operator="equal">
      <formula>10</formula>
    </cfRule>
    <cfRule type="colorScale" priority="7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7">
    <cfRule type="colorScale" priority="2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2">
      <colorScale>
        <cfvo type="num" val="5"/>
        <cfvo type="num" val="10"/>
        <color rgb="FFFF494D"/>
        <color rgb="FF00FF66"/>
      </colorScale>
    </cfRule>
  </conditionalFormatting>
  <conditionalFormatting sqref="E32">
    <cfRule type="colorScale" priority="203">
      <colorScale>
        <cfvo type="num" val="5"/>
        <cfvo type="num" val="10"/>
        <color rgb="FFFF494D"/>
        <color rgb="FF00FF66"/>
      </colorScale>
    </cfRule>
    <cfRule type="colorScale" priority="2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F3:F11 F13:F15">
    <cfRule type="colorScale" priority="1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">
      <colorScale>
        <cfvo type="num" val="5"/>
        <cfvo type="num" val="10"/>
        <color rgb="FFFF494D"/>
        <color rgb="FF00FF66"/>
      </colorScale>
    </cfRule>
  </conditionalFormatting>
  <conditionalFormatting sqref="F3:F15">
    <cfRule type="cellIs" dxfId="31" priority="15" operator="equal">
      <formula>10</formula>
    </cfRule>
  </conditionalFormatting>
  <conditionalFormatting sqref="F12">
    <cfRule type="containsBlanks" dxfId="30" priority="16">
      <formula>LEN(TRIM(F12))=0</formula>
    </cfRule>
  </conditionalFormatting>
  <conditionalFormatting sqref="F18:F27 F29:F30">
    <cfRule type="colorScale" priority="94">
      <colorScale>
        <cfvo type="num" val="5"/>
        <cfvo type="num" val="10"/>
        <color rgb="FFFF494D"/>
        <color rgb="FF00FF66"/>
      </colorScale>
    </cfRule>
    <cfRule type="colorScale" priority="9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F18:F30">
    <cfRule type="cellIs" dxfId="29" priority="5" operator="equal">
      <formula>10</formula>
    </cfRule>
  </conditionalFormatting>
  <conditionalFormatting sqref="F28">
    <cfRule type="containsBlanks" dxfId="28" priority="6">
      <formula>LEN(TRIM(F28))=0</formula>
    </cfRule>
  </conditionalFormatting>
  <conditionalFormatting sqref="F33:F41">
    <cfRule type="cellIs" dxfId="27" priority="83" operator="equal">
      <formula>10</formula>
    </cfRule>
    <cfRule type="colorScale" priority="85">
      <colorScale>
        <cfvo type="num" val="5"/>
        <cfvo type="num" val="10"/>
        <color rgb="FFFF494D"/>
        <color rgb="FF00FF66"/>
      </colorScale>
    </cfRule>
    <cfRule type="colorScale" priority="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F44:F51">
    <cfRule type="colorScale" priority="70">
      <colorScale>
        <cfvo type="num" val="5"/>
        <cfvo type="num" val="10"/>
        <color rgb="FFFF494D"/>
        <color rgb="FF00FF66"/>
      </colorScale>
    </cfRule>
    <cfRule type="colorScale" priority="69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6" priority="68" operator="equal">
      <formula>10</formula>
    </cfRule>
  </conditionalFormatting>
  <conditionalFormatting sqref="H17">
    <cfRule type="colorScale" priority="1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">
      <colorScale>
        <cfvo type="num" val="5"/>
        <cfvo type="num" val="10"/>
        <color rgb="FFFF494D"/>
        <color rgb="FF00FF66"/>
      </colorScale>
    </cfRule>
  </conditionalFormatting>
  <conditionalFormatting sqref="H31">
    <cfRule type="colorScale" priority="186">
      <colorScale>
        <cfvo type="num" val="5"/>
        <cfvo type="num" val="10"/>
        <color rgb="FFFF494D"/>
        <color rgb="FF00FF66"/>
      </colorScale>
    </cfRule>
    <cfRule type="colorScale" priority="18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3">
    <cfRule type="colorScale" priority="1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">
      <colorScale>
        <cfvo type="num" val="5"/>
        <cfvo type="num" val="10"/>
        <color rgb="FFFF494D"/>
        <color rgb="FF00FF66"/>
      </colorScale>
    </cfRule>
  </conditionalFormatting>
  <conditionalFormatting sqref="I3:I15">
    <cfRule type="cellIs" dxfId="25" priority="110" operator="equal">
      <formula>10</formula>
    </cfRule>
    <cfRule type="colorScale" priority="112">
      <colorScale>
        <cfvo type="num" val="5"/>
        <cfvo type="num" val="10"/>
        <color rgb="FFFF494D"/>
        <color rgb="FF00FF66"/>
      </colorScale>
    </cfRule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I18:I29">
    <cfRule type="cellIs" dxfId="24" priority="95" operator="equal">
      <formula>10</formula>
    </cfRule>
    <cfRule type="colorScale" priority="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7">
      <colorScale>
        <cfvo type="num" val="5"/>
        <cfvo type="num" val="10"/>
        <color rgb="FFFF494D"/>
        <color rgb="FF00FF66"/>
      </colorScale>
    </cfRule>
  </conditionalFormatting>
  <conditionalFormatting sqref="I32:I41">
    <cfRule type="colorScale" priority="82">
      <colorScale>
        <cfvo type="num" val="5"/>
        <cfvo type="num" val="10"/>
        <color rgb="FFFF494D"/>
        <color rgb="FF00FF66"/>
      </colorScale>
    </cfRule>
    <cfRule type="colorScale" priority="81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3" priority="80" operator="equal">
      <formula>10</formula>
    </cfRule>
  </conditionalFormatting>
  <conditionalFormatting sqref="I44:I51">
    <cfRule type="colorScale" priority="67">
      <colorScale>
        <cfvo type="num" val="5"/>
        <cfvo type="num" val="10"/>
        <color rgb="FFFF494D"/>
        <color rgb="FF00FF66"/>
      </colorScale>
    </cfRule>
    <cfRule type="colorScale" priority="66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2" priority="65" operator="equal">
      <formula>10</formula>
    </cfRule>
  </conditionalFormatting>
  <conditionalFormatting sqref="K17">
    <cfRule type="colorScale" priority="147">
      <colorScale>
        <cfvo type="num" val="5"/>
        <cfvo type="num" val="10"/>
        <color rgb="FFFF494D"/>
        <color rgb="FF00FF66"/>
      </colorScale>
    </cfRule>
    <cfRule type="colorScale" priority="1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6">
    <cfRule type="colorScale" priority="152">
      <colorScale>
        <cfvo type="num" val="5"/>
        <cfvo type="num" val="10"/>
        <color rgb="FFFF494D"/>
        <color rgb="FF00FF66"/>
      </colorScale>
    </cfRule>
    <cfRule type="colorScale" priority="15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L3:L16">
    <cfRule type="colorScale" priority="1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">
      <colorScale>
        <cfvo type="num" val="5"/>
        <cfvo type="num" val="10"/>
        <color rgb="FFFF494D"/>
        <color rgb="FF00FF66"/>
      </colorScale>
    </cfRule>
    <cfRule type="cellIs" dxfId="21" priority="107" operator="equal">
      <formula>10</formula>
    </cfRule>
  </conditionalFormatting>
  <conditionalFormatting sqref="L18:L22 L24:L30">
    <cfRule type="colorScale" priority="100">
      <colorScale>
        <cfvo type="num" val="5"/>
        <cfvo type="num" val="10"/>
        <color rgb="FFFF494D"/>
        <color rgb="FF00FF66"/>
      </colorScale>
    </cfRule>
    <cfRule type="colorScale" priority="9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L18:L30">
    <cfRule type="cellIs" dxfId="20" priority="1" operator="equal">
      <formula>10</formula>
    </cfRule>
  </conditionalFormatting>
  <conditionalFormatting sqref="L23">
    <cfRule type="containsBlanks" dxfId="19" priority="2">
      <formula>LEN(TRIM(L23))=0</formula>
    </cfRule>
  </conditionalFormatting>
  <conditionalFormatting sqref="L33:L44">
    <cfRule type="colorScale" priority="79">
      <colorScale>
        <cfvo type="num" val="5"/>
        <cfvo type="num" val="10"/>
        <color rgb="FFFF494D"/>
        <color rgb="FF00FF66"/>
      </colorScale>
    </cfRule>
    <cfRule type="cellIs" dxfId="18" priority="77" operator="equal">
      <formula>10</formula>
    </cfRule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L47:L52">
    <cfRule type="cellIs" dxfId="17" priority="62" operator="equal">
      <formula>10</formula>
    </cfRule>
    <cfRule type="colorScale" priority="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">
      <colorScale>
        <cfvo type="num" val="5"/>
        <cfvo type="num" val="10"/>
        <color rgb="FFFF494D"/>
        <color rgb="FF00FF66"/>
      </colorScale>
    </cfRule>
  </conditionalFormatting>
  <conditionalFormatting sqref="N2">
    <cfRule type="colorScale" priority="1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">
      <colorScale>
        <cfvo type="num" val="5"/>
        <cfvo type="num" val="10"/>
        <color rgb="FFFF494D"/>
        <color rgb="FF00FF66"/>
      </colorScale>
    </cfRule>
  </conditionalFormatting>
  <conditionalFormatting sqref="N16"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">
      <colorScale>
        <cfvo type="num" val="5"/>
        <cfvo type="num" val="10"/>
        <color rgb="FFFF494D"/>
        <color rgb="FF00FF66"/>
      </colorScale>
    </cfRule>
  </conditionalFormatting>
  <conditionalFormatting sqref="N29">
    <cfRule type="colorScale" priority="142">
      <colorScale>
        <cfvo type="num" val="5"/>
        <cfvo type="num" val="10"/>
        <color rgb="FFFF494D"/>
        <color rgb="FF00FF66"/>
      </colorScale>
    </cfRule>
    <cfRule type="colorScale" priority="1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1">
    <cfRule type="colorScale" priority="137">
      <colorScale>
        <cfvo type="num" val="5"/>
        <cfvo type="num" val="10"/>
        <color rgb="FFFF494D"/>
        <color rgb="FF00FF66"/>
      </colorScale>
    </cfRule>
    <cfRule type="colorScale" priority="13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O3:O14">
    <cfRule type="cellIs" dxfId="16" priority="9" operator="equal">
      <formula>10</formula>
    </cfRule>
  </conditionalFormatting>
  <conditionalFormatting sqref="O4">
    <cfRule type="containsBlanks" dxfId="15" priority="12">
      <formula>LEN(TRIM(O4))=0</formula>
    </cfRule>
  </conditionalFormatting>
  <conditionalFormatting sqref="O6">
    <cfRule type="containsBlanks" dxfId="14" priority="14">
      <formula>LEN(TRIM(O6))=0</formula>
    </cfRule>
  </conditionalFormatting>
  <conditionalFormatting sqref="O7:O13 O3 O5">
    <cfRule type="colorScale" priority="1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">
      <colorScale>
        <cfvo type="num" val="5"/>
        <cfvo type="num" val="10"/>
        <color rgb="FFFF494D"/>
        <color rgb="FF00FF66"/>
      </colorScale>
    </cfRule>
  </conditionalFormatting>
  <conditionalFormatting sqref="O14">
    <cfRule type="containsBlanks" dxfId="13" priority="10">
      <formula>LEN(TRIM(O14))=0</formula>
    </cfRule>
  </conditionalFormatting>
  <conditionalFormatting sqref="O17:O27">
    <cfRule type="cellIs" dxfId="12" priority="101" operator="equal">
      <formula>10</formula>
    </cfRule>
    <cfRule type="colorScale" priority="1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">
      <colorScale>
        <cfvo type="num" val="5"/>
        <cfvo type="num" val="10"/>
        <color rgb="FFFF494D"/>
        <color rgb="FF00FF66"/>
      </colorScale>
    </cfRule>
  </conditionalFormatting>
  <conditionalFormatting sqref="O30:O39">
    <cfRule type="colorScale" priority="76">
      <colorScale>
        <cfvo type="num" val="5"/>
        <cfvo type="num" val="10"/>
        <color rgb="FFFF494D"/>
        <color rgb="FF00FF66"/>
      </colorScale>
    </cfRule>
    <cfRule type="colorScale" priority="75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1" priority="74" operator="equal">
      <formula>10</formula>
    </cfRule>
  </conditionalFormatting>
  <conditionalFormatting sqref="O42">
    <cfRule type="containsBlanks" dxfId="10" priority="8">
      <formula>LEN(TRIM(O42))=0</formula>
    </cfRule>
  </conditionalFormatting>
  <conditionalFormatting sqref="O42:O51">
    <cfRule type="cellIs" dxfId="9" priority="7" operator="equal">
      <formula>10</formula>
    </cfRule>
  </conditionalFormatting>
  <conditionalFormatting sqref="O43:O51">
    <cfRule type="colorScale" priority="61">
      <colorScale>
        <cfvo type="num" val="5"/>
        <cfvo type="num" val="10"/>
        <color rgb="FFFF494D"/>
        <color rgb="FF00FF66"/>
      </colorScale>
    </cfRule>
    <cfRule type="colorScale" priority="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pageMargins left="0.25" right="0.25" top="0.75" bottom="0.75" header="0.3" footer="0.3"/>
  <pageSetup paperSize="9" scale="58" orientation="landscape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2026-05-16T15:45:41Z</dcterms:modified>
</cp:coreProperties>
</file>