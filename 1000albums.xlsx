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CC1C5F6F-397E-4C43-AB33-33551CA6F713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8" i="4" l="1"/>
  <c r="E328" i="4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<sst xmlns="http://schemas.openxmlformats.org/spreadsheetml/2006/main" count="2793" uniqueCount="2205">
  <si>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</si>
  <si>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</si>
  <si>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</si>
  <si>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</si>
  <si>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</si>
  <si>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</si>
  <si>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</si>
  <si>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</si>
  <si>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</si>
  <si>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</si>
  <si>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</si>
  <si>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</si>
  <si>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</si>
  <si>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</si>
  <si>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</si>
  <si>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</si>
  <si>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</si>
  <si>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</si>
  <si>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</si>
  <si>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</si>
  <si>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</si>
  <si>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</si>
  <si>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</si>
  <si>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</si>
  <si>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</si>
  <si>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</si>
  <si>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</si>
  <si>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</si>
  <si>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</si>
  <si>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</si>
  <si>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</si>
  <si>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</si>
  <si>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</si>
  <si>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</si>
  <si>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</si>
  <si>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</si>
  <si>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</si>
  <si>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</si>
  <si>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</si>
  <si>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</si>
  <si>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</si>
  <si>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</si>
  <si>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</si>
  <si>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</si>
  <si>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</si>
  <si>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</si>
  <si>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</si>
  <si>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</si>
  <si>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</si>
  <si>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</si>
  <si>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</si>
  <si>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</si>
  <si>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</si>
  <si>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</si>
  <si>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</si>
  <si>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</si>
  <si>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</si>
  <si>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</si>
  <si>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</si>
  <si>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</si>
  <si>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</si>
  <si>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</si>
  <si>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</si>
  <si>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</si>
  <si>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</si>
  <si>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</si>
  <si>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</si>
  <si>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</si>
  <si>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</si>
  <si>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</si>
  <si>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</si>
  <si>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</si>
  <si>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</si>
  <si>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</si>
  <si>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</si>
  <si>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</si>
  <si>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</si>
  <si>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</si>
  <si>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</si>
  <si>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</si>
  <si>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</si>
  <si>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</si>
  <si>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</si>
  <si>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</si>
  <si>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</si>
  <si>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</si>
  <si>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</si>
  <si>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</si>
  <si>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</si>
  <si>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</si>
  <si>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</si>
  <si>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</si>
  <si>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</si>
  <si>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</si>
  <si>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</si>
  <si>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</si>
  <si>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</si>
  <si>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</si>
  <si>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</si>
  <si>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</si>
  <si>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</si>
  <si>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</si>
  <si>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</si>
  <si>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</si>
  <si>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</si>
  <si>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</si>
  <si>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</si>
  <si>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</si>
  <si>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</si>
  <si>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</si>
  <si>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</si>
  <si>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</si>
  <si>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</si>
  <si>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</si>
  <si>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</si>
  <si>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</si>
  <si>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</si>
  <si>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</si>
  <si>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</si>
  <si>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</si>
  <si>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</si>
  <si>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</si>
  <si>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</si>
  <si>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</si>
  <si>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</si>
  <si>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</si>
  <si>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</si>
  <si>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</si>
  <si>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</si>
  <si>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</si>
  <si>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</si>
  <si>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</si>
  <si>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</si>
  <si>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</si>
  <si>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</si>
  <si>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</si>
  <si>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</si>
  <si>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</si>
  <si>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</si>
  <si>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</si>
  <si>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</si>
  <si>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</si>
  <si>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</si>
  <si>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</si>
  <si>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</si>
  <si>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</si>
  <si>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</si>
  <si>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</si>
  <si>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</si>
  <si>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</si>
  <si>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</si>
  <si>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</si>
  <si>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</si>
  <si>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</si>
  <si>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</si>
  <si>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</si>
  <si>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</si>
  <si>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</si>
  <si>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</si>
  <si>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</si>
  <si>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</si>
  <si>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</si>
  <si>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</si>
  <si>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</si>
  <si>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</si>
  <si>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</si>
  <si>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</si>
  <si>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</si>
  <si>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</si>
  <si>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</si>
  <si>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</si>
  <si>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</si>
  <si>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</si>
  <si>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</si>
  <si>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</si>
  <si>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</si>
  <si>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</si>
  <si>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</si>
  <si>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</si>
  <si>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</si>
  <si>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</si>
  <si>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</si>
  <si>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</si>
  <si>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</si>
  <si>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</si>
  <si>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</si>
  <si>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</si>
  <si>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</si>
  <si>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</si>
  <si>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</si>
  <si>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</si>
  <si>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</si>
  <si>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</si>
  <si>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</si>
  <si>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</si>
  <si>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</si>
  <si>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</si>
  <si>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</si>
  <si>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</si>
  <si>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</si>
  <si>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</si>
  <si>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</si>
  <si>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</si>
  <si>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</si>
  <si>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</si>
  <si>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</si>
  <si>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</si>
  <si>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</si>
  <si>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</si>
  <si>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</si>
  <si>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</si>
  <si>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</si>
  <si>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</si>
  <si>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</si>
  <si>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</si>
  <si>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</si>
  <si>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</si>
  <si>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</si>
  <si>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</si>
  <si>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</si>
  <si>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</si>
  <si>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</si>
  <si>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</si>
  <si>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</si>
  <si>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</si>
  <si>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</si>
  <si>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</si>
  <si>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</si>
  <si>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</si>
  <si>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</si>
  <si>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</si>
  <si>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</si>
  <si>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</si>
  <si>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</si>
  <si>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</si>
  <si>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</si>
  <si>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</si>
  <si>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</si>
  <si>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</si>
  <si>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</si>
  <si>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</si>
  <si>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</si>
  <si>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</si>
  <si>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</si>
  <si>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</si>
  <si>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</si>
  <si>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</si>
  <si>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</si>
  <si>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</si>
  <si>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</si>
  <si>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</si>
  <si>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</si>
  <si>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</si>
  <si>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</si>
  <si>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</si>
  <si>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</si>
  <si>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</si>
  <si>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</si>
  <si>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</si>
  <si>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</si>
  <si>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</si>
  <si>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</si>
  <si>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</si>
  <si>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</si>
  <si>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</si>
  <si>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</si>
  <si>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</si>
  <si>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</si>
  <si>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</si>
  <si>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</si>
  <si>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</si>
  <si>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</si>
  <si>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</si>
  <si>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</si>
  <si>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</si>
  <si>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</si>
  <si>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</si>
  <si>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</si>
  <si>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</si>
  <si>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</si>
  <si>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</si>
  <si>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</si>
  <si>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</si>
  <si>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</si>
  <si>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</si>
  <si>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</si>
  <si>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</si>
  <si>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</si>
  <si>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</si>
  <si>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</si>
  <si>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</si>
  <si>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</si>
  <si>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</si>
  <si>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</si>
  <si>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</si>
  <si>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</si>
  <si>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</si>
  <si>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</si>
  <si>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</si>
  <si>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</si>
  <si>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</si>
  <si>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</si>
  <si>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</si>
  <si>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</si>
  <si>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</si>
  <si>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</si>
  <si>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</si>
  <si>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</si>
  <si>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</si>
  <si>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</si>
  <si>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</si>
  <si>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</si>
  <si>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</si>
  <si>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</si>
  <si>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</si>
  <si>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</si>
  <si>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</si>
  <si>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</si>
  <si>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</si>
  <si>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</si>
  <si>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</si>
  <si>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</si>
  <si>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</si>
  <si>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</si>
  <si>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</si>
  <si>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</si>
  <si>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</si>
  <si>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</si>
  <si>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</si>
  <si>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</si>
  <si>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</si>
  <si>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</si>
  <si>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</si>
  <si>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</si>
  <si>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</si>
  <si>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</si>
  <si>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</si>
  <si>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</si>
  <si>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</si>
  <si>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</si>
  <si>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</si>
  <si>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</si>
  <si>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</si>
  <si>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</si>
  <si>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</si>
  <si>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</si>
  <si>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</si>
  <si>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</si>
  <si>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</si>
  <si>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</si>
  <si>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</si>
  <si>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</si>
  <si>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</si>
  <si>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</si>
  <si>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</si>
  <si>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</si>
  <si>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</si>
  <si>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</si>
  <si>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</si>
  <si>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</si>
  <si>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</si>
  <si>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</si>
  <si>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</si>
  <si>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</si>
  <si>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</si>
  <si>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</si>
  <si>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</si>
  <si>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</si>
  <si>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</si>
  <si>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</si>
  <si>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</si>
  <si>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</si>
  <si>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</si>
  <si>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</si>
  <si>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</si>
  <si>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</si>
  <si>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</si>
  <si>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</si>
  <si>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</si>
  <si>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</si>
  <si>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</si>
  <si>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</si>
  <si>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</si>
  <si>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</si>
  <si>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</si>
  <si>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</si>
  <si>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</si>
  <si>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</si>
  <si>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</si>
  <si>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</si>
  <si>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</si>
  <si>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</si>
  <si>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</si>
  <si>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</si>
  <si>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</si>
  <si>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</si>
  <si>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</si>
  <si>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</si>
  <si>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</si>
  <si>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</si>
  <si>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</si>
  <si>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</si>
  <si>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</si>
  <si>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</si>
  <si>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</si>
  <si>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</si>
  <si>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</si>
  <si>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</si>
  <si>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</si>
  <si>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</si>
  <si>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</si>
  <si>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</si>
  <si>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</si>
  <si>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</si>
  <si>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</si>
  <si>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</si>
  <si>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</si>
  <si>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</si>
  <si>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</si>
  <si>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</si>
  <si>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</si>
  <si>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</si>
  <si>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</si>
  <si>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</si>
  <si>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</si>
  <si>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</si>
  <si>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</si>
  <si>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</si>
  <si>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</si>
  <si>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</si>
  <si>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</si>
  <si>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</si>
  <si>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</si>
  <si>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</si>
  <si>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</si>
  <si>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</si>
  <si>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</si>
  <si>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</si>
  <si>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</si>
  <si>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</si>
  <si>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</si>
  <si>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</si>
  <si>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</si>
  <si>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</si>
  <si>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</si>
  <si>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</si>
  <si>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</si>
  <si>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</si>
  <si>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</si>
  <si>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</si>
  <si>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</si>
  <si>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</si>
  <si>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</si>
  <si>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</si>
  <si>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</si>
  <si>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</si>
  <si>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</si>
  <si>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</si>
  <si>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</si>
  <si>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</si>
  <si>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</si>
  <si>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</si>
  <si>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</si>
  <si>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</si>
  <si>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</si>
  <si>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</si>
  <si>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</si>
  <si>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</si>
  <si>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</si>
  <si>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</si>
  <si>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</si>
  <si>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</si>
  <si>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</si>
  <si>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</si>
  <si>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</si>
  <si>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</si>
  <si>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</si>
  <si>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</si>
  <si>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</si>
  <si>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</si>
  <si>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</si>
  <si>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</si>
  <si>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</si>
  <si>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</si>
  <si>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</si>
  <si>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</si>
  <si>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</si>
  <si>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</si>
  <si>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</si>
  <si>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</si>
  <si>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</si>
  <si>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</si>
  <si>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</si>
  <si>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</si>
  <si>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</si>
  <si>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</si>
  <si>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</si>
  <si>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</si>
  <si>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</si>
  <si>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</si>
  <si>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</si>
  <si>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</si>
  <si>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</si>
  <si>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</si>
  <si>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</si>
  <si>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</si>
  <si>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</si>
  <si>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</si>
  <si>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</si>
  <si>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</si>
  <si>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</si>
  <si>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</si>
  <si>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</si>
  <si>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</si>
  <si>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</si>
  <si>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</si>
  <si>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</si>
  <si>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</si>
  <si>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</si>
  <si>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</si>
  <si>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</si>
  <si>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</si>
  <si>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</si>
  <si>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</si>
  <si>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</si>
  <si>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</si>
  <si>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</si>
  <si>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</si>
  <si>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</si>
  <si>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</si>
  <si>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</si>
  <si>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</si>
  <si>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</si>
  <si>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</si>
  <si>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</si>
  <si>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</si>
  <si>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</si>
  <si>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</si>
  <si>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</si>
  <si>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</si>
  <si>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</si>
  <si>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</si>
  <si>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</si>
  <si>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</si>
  <si>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</si>
  <si>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</si>
  <si>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</si>
  <si>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</si>
  <si>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</si>
  <si>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</si>
  <si>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</si>
  <si>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</si>
  <si>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</si>
  <si>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</si>
  <si>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</si>
  <si>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</si>
  <si>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</si>
  <si>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</si>
  <si>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</si>
  <si>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</si>
  <si>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</si>
  <si>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</si>
  <si>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</si>
  <si>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</si>
  <si>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</si>
  <si>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</si>
  <si>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</si>
  <si>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</si>
  <si>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</si>
  <si>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</si>
  <si>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</si>
  <si>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</si>
  <si>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</si>
  <si>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</si>
  <si>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</si>
  <si>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</si>
  <si>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</si>
  <si>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</si>
  <si>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</si>
  <si>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</si>
  <si>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</si>
  <si>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</si>
  <si>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</si>
  <si>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</si>
  <si>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</si>
  <si>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</si>
  <si>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</si>
  <si>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</si>
  <si>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</si>
  <si>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</si>
  <si>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</si>
  <si>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</si>
  <si>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</si>
  <si>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</si>
  <si>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</si>
  <si>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</si>
  <si>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</si>
  <si>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</si>
  <si>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</si>
  <si>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</si>
  <si>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</si>
  <si>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</si>
  <si>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</si>
  <si>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</si>
  <si>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</si>
  <si>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</si>
  <si>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</si>
  <si>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</si>
  <si>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</si>
  <si>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</si>
  <si>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</si>
  <si>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</si>
  <si>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</si>
  <si>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</si>
  <si>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</si>
  <si>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</si>
  <si>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</si>
  <si>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</si>
  <si>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</si>
  <si>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</si>
  <si>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</si>
  <si>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</si>
  <si>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</si>
  <si>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</si>
  <si>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</si>
  <si>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</si>
  <si>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</si>
  <si>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</si>
  <si>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</si>
  <si>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</si>
  <si>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</si>
  <si>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</si>
  <si>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</si>
  <si>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</si>
  <si>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</si>
  <si>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</si>
  <si>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</si>
  <si>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</si>
  <si>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</si>
  <si>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</si>
  <si>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</si>
  <si>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</si>
  <si>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</si>
  <si>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</si>
  <si>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</si>
  <si>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</si>
  <si>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</si>
  <si>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</si>
  <si>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</si>
  <si>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</si>
  <si>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</si>
  <si>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</si>
  <si>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</si>
  <si>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</si>
  <si>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</si>
  <si>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</si>
  <si>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</si>
  <si>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</si>
  <si>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</si>
  <si>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</si>
  <si>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</si>
  <si>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</si>
  <si>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</si>
  <si>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</si>
  <si>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</si>
  <si>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</si>
  <si>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</si>
  <si>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</si>
  <si>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</si>
  <si>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</si>
  <si>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</si>
  <si>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</si>
  <si>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</si>
  <si>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</si>
  <si>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</si>
  <si>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</si>
  <si>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</si>
  <si>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</si>
  <si>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</si>
  <si>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</si>
  <si>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</si>
  <si>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</si>
  <si>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</si>
  <si>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</si>
  <si>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</si>
  <si>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</si>
  <si>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</si>
  <si>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</si>
  <si>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</si>
  <si>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</si>
  <si>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</si>
  <si>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</si>
  <si>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</si>
  <si>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</si>
  <si>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</si>
  <si>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</si>
  <si>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</si>
  <si>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</si>
  <si>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</si>
  <si>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</si>
  <si>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</si>
  <si>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</si>
  <si>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</si>
  <si>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</si>
  <si>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</si>
  <si>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</si>
  <si>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</si>
  <si>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</si>
  <si>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</si>
  <si>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</si>
  <si>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</si>
  <si>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</si>
  <si>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</si>
  <si>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</si>
  <si>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</si>
  <si>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</si>
  <si>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</si>
  <si>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</si>
  <si>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</si>
  <si>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</si>
  <si>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</si>
  <si>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</si>
  <si>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</si>
  <si>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</si>
  <si>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</si>
  <si>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</si>
  <si>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</si>
  <si>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</si>
  <si>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</si>
  <si>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</si>
  <si>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</si>
  <si>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</si>
  <si>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</si>
  <si>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</si>
  <si>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</si>
  <si>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</si>
  <si>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</si>
  <si>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</si>
  <si>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</si>
  <si>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</si>
  <si>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</si>
  <si>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</si>
  <si>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</si>
  <si>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</si>
  <si>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</si>
  <si>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</si>
  <si>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</si>
  <si>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</si>
  <si>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</si>
  <si>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</si>
  <si>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</si>
  <si>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</si>
  <si>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</si>
  <si>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</si>
  <si>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</si>
  <si>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</si>
  <si>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</si>
  <si>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</si>
  <si>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</si>
  <si>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</si>
  <si>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</si>
  <si>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</si>
  <si>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</si>
  <si>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</si>
  <si>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</si>
  <si>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</si>
  <si>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</si>
  <si>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</si>
  <si>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</si>
  <si>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</si>
  <si>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</si>
  <si>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</si>
  <si>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</si>
  <si>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</si>
  <si>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</si>
  <si>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</si>
  <si>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</si>
  <si>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</si>
  <si>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</si>
  <si>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</si>
  <si>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</si>
  <si>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</si>
  <si>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</si>
  <si>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</si>
  <si>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</si>
  <si>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</si>
  <si>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</si>
  <si>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</si>
  <si>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</si>
  <si>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</si>
  <si>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</si>
  <si>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</si>
  <si>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</si>
  <si>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</si>
  <si>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</si>
  <si>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</si>
  <si>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</si>
  <si>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</si>
  <si>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</si>
  <si>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</si>
  <si>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</si>
  <si>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</si>
  <si>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</si>
  <si>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</si>
  <si>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</si>
  <si>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</si>
  <si>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</si>
  <si>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</si>
  <si>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</si>
  <si>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</si>
  <si>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</si>
  <si>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</si>
  <si>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</si>
  <si>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</si>
  <si>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</si>
  <si>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</si>
  <si>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</si>
  <si>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</si>
  <si>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</si>
  <si>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</si>
  <si>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</si>
  <si>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</si>
  <si>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</si>
  <si>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</si>
  <si>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</si>
  <si>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</si>
  <si>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</si>
  <si>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</si>
  <si>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</si>
  <si>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</si>
  <si>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</si>
  <si>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</si>
  <si>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</si>
  <si>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</si>
  <si>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</si>
  <si>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</si>
  <si>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</si>
  <si>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</si>
  <si>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</si>
  <si>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</si>
  <si>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</si>
  <si>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</si>
  <si>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</si>
  <si>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</si>
  <si>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</si>
  <si>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</si>
  <si>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</si>
  <si>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</si>
  <si>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</si>
  <si>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</si>
  <si>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</si>
  <si>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</si>
  <si>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</si>
  <si>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</si>
  <si>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</si>
  <si>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</si>
  <si>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</si>
  <si>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</si>
  <si>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</si>
  <si>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</si>
  <si>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</si>
  <si>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</si>
  <si>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</si>
  <si>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</si>
  <si>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</si>
  <si>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</si>
  <si>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</si>
  <si>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</si>
  <si>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</si>
  <si>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</si>
  <si>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</si>
  <si>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</si>
  <si>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</si>
  <si>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</si>
  <si>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</si>
  <si>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</si>
  <si>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</si>
  <si>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</si>
  <si>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</si>
  <si>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</si>
  <si>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</si>
  <si>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</si>
  <si>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</si>
  <si>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</si>
  <si>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</si>
  <si>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</si>
  <si>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</si>
  <si>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</si>
  <si>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</si>
  <si>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</si>
  <si>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</si>
  <si>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</si>
  <si>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</si>
  <si>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</si>
  <si>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</si>
  <si>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</si>
  <si>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</si>
  <si>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</si>
  <si>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</si>
  <si>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</si>
  <si>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</si>
  <si>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</si>
  <si>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</si>
  <si>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</si>
  <si>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</si>
  <si>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</si>
  <si>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</si>
  <si>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</si>
  <si>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</si>
  <si>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</si>
  <si>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</si>
  <si>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</si>
  <si>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</si>
  <si>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</si>
  <si>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</si>
  <si>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</si>
  <si>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</si>
  <si>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</si>
  <si>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</si>
  <si>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</si>
  <si>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</si>
  <si>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</si>
  <si>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</si>
  <si>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</si>
  <si>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</si>
  <si>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</si>
  <si>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</si>
  <si>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</si>
  <si>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</si>
  <si>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</si>
  <si>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</si>
  <si>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</si>
  <si>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</si>
  <si>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</si>
  <si>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</si>
  <si>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</si>
  <si>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</si>
  <si>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</si>
  <si>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</si>
  <si>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</si>
  <si>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</si>
  <si>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</si>
  <si>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</si>
  <si>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</si>
  <si>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</si>
  <si>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</si>
  <si>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</si>
  <si>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</si>
  <si>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</si>
  <si>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</si>
  <si>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</si>
  <si>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</si>
  <si>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</si>
  <si>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</si>
  <si>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</si>
  <si>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</si>
  <si>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</si>
  <si>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</si>
  <si>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</si>
  <si>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</si>
  <si>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</si>
  <si>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</si>
  <si>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</si>
  <si>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</si>
  <si>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</si>
  <si>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</si>
  <si>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</si>
  <si>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</si>
  <si>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</si>
  <si>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</si>
  <si>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</si>
  <si>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</si>
  <si>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</si>
  <si>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</si>
  <si>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</si>
  <si>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</si>
  <si>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</si>
  <si>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</si>
  <si>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</si>
  <si>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</si>
  <si>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</si>
  <si>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</si>
  <si>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</si>
  <si>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</si>
  <si>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</si>
  <si>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</si>
  <si>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</si>
  <si>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</si>
  <si>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</si>
  <si>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</si>
  <si>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</si>
  <si>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</si>
  <si>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</si>
  <si>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</si>
  <si>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</si>
  <si>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</si>
  <si>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</si>
  <si>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</si>
  <si>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</si>
  <si>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</si>
  <si>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</si>
  <si>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</si>
  <si>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</si>
  <si>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</si>
  <si>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</si>
  <si>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</si>
  <si>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</si>
  <si>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</si>
  <si>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</si>
  <si>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</si>
  <si>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</si>
  <si>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</si>
  <si>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</si>
  <si>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</si>
  <si>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</si>
  <si>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</si>
  <si>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</si>
  <si>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</si>
  <si>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</si>
  <si>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</si>
  <si>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</si>
  <si>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</si>
  <si>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</si>
  <si>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</si>
  <si>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</si>
  <si>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</si>
  <si>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</si>
  <si>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</si>
  <si>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</si>
  <si>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</si>
  <si>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</si>
  <si>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</si>
  <si>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</si>
  <si>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</si>
  <si>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</si>
  <si>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</si>
  <si>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</si>
  <si>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</si>
  <si>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</si>
  <si>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</si>
  <si>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</si>
  <si>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</si>
  <si>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</si>
  <si>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</si>
  <si>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</si>
  <si>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</si>
  <si>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</si>
  <si>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</si>
  <si>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</si>
  <si>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</si>
  <si>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</si>
  <si>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</si>
  <si>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</si>
  <si>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</si>
  <si>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</si>
  <si>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</si>
  <si>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</si>
  <si>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</si>
  <si>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</si>
  <si>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</si>
  <si>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</si>
  <si>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</si>
  <si>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</si>
  <si>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</si>
  <si>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</si>
  <si>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</si>
  <si>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</si>
  <si>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</si>
  <si>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</si>
  <si>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</si>
  <si>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</si>
  <si>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</si>
  <si>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</si>
  <si>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</si>
  <si>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</si>
  <si>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</si>
  <si>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</si>
  <si>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</si>
  <si>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</si>
  <si>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</si>
  <si>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</si>
  <si>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</si>
  <si>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</si>
  <si>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</si>
  <si>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</si>
  <si>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</si>
  <si>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</si>
  <si>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</si>
  <si>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</si>
  <si>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</si>
  <si>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</si>
  <si>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</si>
  <si>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</si>
  <si>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</si>
  <si>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</si>
  <si>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</si>
  <si>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</si>
  <si>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</si>
  <si>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</si>
  <si>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</si>
  <si>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</si>
  <si>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</si>
  <si>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</si>
  <si>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</si>
  <si>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</si>
  <si>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</si>
  <si>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</si>
  <si>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</si>
  <si>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</si>
  <si>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</si>
  <si>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</si>
  <si>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</si>
  <si>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</si>
  <si>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</si>
  <si>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</si>
  <si>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</si>
  <si>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</si>
  <si>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</si>
  <si>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</si>
  <si>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</si>
  <si>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</si>
  <si>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</si>
  <si>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</si>
  <si>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</si>
  <si>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</si>
  <si>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</si>
  <si>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</si>
  <si>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</si>
  <si>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</si>
  <si>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</si>
  <si>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</si>
  <si>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</si>
  <si>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</si>
  <si>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</si>
  <si>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</si>
  <si>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</si>
  <si>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</si>
  <si>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</si>
  <si>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</si>
  <si>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</si>
  <si>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</si>
  <si>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</si>
  <si>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</si>
  <si>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</si>
  <si>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</si>
  <si>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</si>
  <si>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</si>
  <si>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</si>
  <si>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</si>
  <si>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</si>
  <si>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</si>
  <si>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</si>
  <si>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</si>
  <si>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</si>
  <si>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</si>
  <si>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</si>
  <si>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</si>
  <si>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</si>
  <si>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</si>
  <si>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</si>
  <si>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</si>
  <si>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</si>
  <si>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</si>
  <si>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</si>
  <si>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</si>
  <si>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</si>
  <si>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</si>
  <si>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</si>
  <si>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</si>
  <si>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</si>
  <si>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</si>
  <si>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</si>
  <si>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</si>
  <si>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</si>
  <si>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</si>
  <si>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</si>
  <si>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</si>
  <si>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</si>
  <si>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</si>
  <si>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</si>
  <si>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</si>
  <si>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</si>
  <si>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</si>
  <si>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</si>
  <si>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</si>
  <si>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</si>
  <si>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</si>
  <si>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</si>
  <si>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</si>
  <si>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</si>
  <si>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</si>
  <si>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</si>
  <si>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</si>
  <si>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</si>
  <si>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</si>
  <si>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</si>
  <si>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</si>
  <si>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</si>
  <si>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</si>
  <si>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</si>
  <si>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</si>
  <si>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</si>
  <si>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</si>
  <si>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</si>
  <si>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</si>
  <si>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</si>
  <si>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</si>
  <si>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</si>
  <si>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</si>
  <si>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</si>
  <si>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</si>
  <si>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</si>
  <si>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</si>
  <si>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</si>
  <si>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</si>
  <si>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</si>
  <si>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</si>
  <si>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</si>
  <si>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</si>
  <si>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</si>
  <si>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</si>
  <si>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</si>
  <si>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</si>
  <si>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</si>
  <si>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</si>
  <si>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</si>
  <si>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</si>
  <si>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</si>
  <si>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</si>
  <si>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</si>
  <si>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</si>
  <si>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</si>
  <si>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</si>
  <si>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</si>
  <si>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</si>
  <si>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</si>
  <si>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</si>
  <si>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</si>
  <si>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</si>
  <si>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</si>
  <si>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</si>
  <si>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</si>
  <si>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</si>
  <si>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</si>
  <si>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</si>
  <si>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</si>
  <si>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</si>
  <si>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</si>
  <si>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</si>
  <si>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</si>
  <si>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</si>
  <si>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</si>
  <si>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</si>
  <si>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</si>
  <si>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</si>
  <si>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</si>
  <si>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</si>
  <si>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</si>
  <si>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</si>
  <si>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</si>
  <si>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</si>
  <si>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</si>
  <si>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</si>
  <si>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</si>
  <si>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</si>
  <si>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</si>
  <si>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</si>
  <si>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</si>
  <si>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</si>
  <si>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</si>
  <si>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</si>
  <si>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</si>
  <si>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</si>
  <si>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</si>
  <si>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</si>
  <si>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</si>
  <si>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</si>
  <si>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</si>
  <si>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</si>
  <si>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</si>
  <si>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</si>
  <si>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</si>
  <si>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</si>
  <si>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</si>
  <si>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</si>
  <si>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</si>
  <si>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</si>
  <si>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</si>
  <si>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</si>
  <si>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</si>
  <si>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</si>
  <si>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</si>
  <si>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</si>
  <si>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</si>
  <si>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</si>
  <si>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</si>
  <si>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</si>
  <si>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</si>
  <si>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</si>
  <si>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</si>
  <si>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</si>
  <si>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</si>
  <si>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</si>
  <si>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</si>
  <si>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</si>
  <si>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</si>
  <si>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</si>
  <si>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</si>
  <si>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</si>
  <si>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</si>
  <si>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</si>
  <si>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</si>
  <si>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</si>
  <si>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</si>
  <si>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</si>
  <si>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</si>
  <si>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</si>
  <si>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</si>
  <si>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</si>
  <si>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</si>
  <si>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</si>
  <si>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</si>
  <si>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</si>
  <si>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</si>
  <si>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</si>
  <si>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</si>
  <si>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</si>
  <si>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</si>
  <si>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</si>
  <si>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</si>
  <si>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</si>
  <si>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</si>
  <si>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</si>
  <si>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</si>
  <si>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</si>
  <si>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</si>
  <si>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</si>
  <si>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</si>
  <si>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</si>
  <si>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</si>
  <si>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</si>
  <si>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</si>
  <si>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</si>
  <si>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</si>
  <si>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</si>
  <si>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</si>
  <si>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</si>
  <si>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</si>
  <si>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</si>
  <si>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</si>
  <si>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</si>
  <si>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</si>
  <si>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</si>
  <si>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</si>
  <si>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</si>
  <si>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</si>
  <si>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</si>
  <si>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</si>
  <si>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</si>
  <si>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</si>
  <si>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</si>
  <si>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</si>
  <si>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</si>
  <si>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</si>
  <si>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</si>
  <si>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</si>
  <si>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</si>
  <si>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</si>
  <si>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</si>
  <si>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</si>
  <si>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</si>
  <si>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</si>
  <si>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</si>
  <si>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</si>
  <si>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</si>
  <si>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</si>
  <si>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</si>
  <si>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</si>
  <si>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</si>
  <si>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</si>
  <si>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</si>
  <si>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</si>
  <si>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</si>
  <si>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</si>
  <si>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</si>
  <si>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</si>
  <si>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</si>
  <si>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</si>
  <si>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</si>
  <si>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</si>
  <si>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</si>
  <si>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</si>
  <si>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</si>
  <si>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</si>
  <si>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</si>
  <si>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</si>
  <si>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</si>
  <si>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</si>
  <si>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</si>
  <si>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</si>
  <si>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</si>
  <si>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</si>
  <si>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</si>
  <si>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</si>
  <si>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</si>
  <si>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</si>
  <si>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</si>
  <si>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</si>
  <si>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</si>
  <si>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</si>
  <si>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</si>
  <si>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</si>
  <si>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</si>
  <si>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</si>
  <si>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</si>
  <si>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</si>
  <si>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</si>
  <si>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</si>
  <si>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</si>
  <si>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</si>
  <si>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</si>
  <si>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</si>
  <si>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</si>
  <si>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</si>
  <si>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</si>
  <si>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</si>
  <si>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</si>
  <si>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</si>
  <si>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</si>
  <si>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</si>
  <si>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</si>
  <si>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</si>
  <si>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</si>
  <si>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</si>
  <si>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</si>
  <si>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</si>
  <si>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</si>
  <si>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</si>
  <si>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</si>
  <si>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</si>
  <si>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</si>
  <si>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</si>
  <si>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</si>
  <si>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</si>
  <si>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</si>
  <si>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</si>
  <si>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</si>
  <si>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</si>
  <si>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</si>
  <si>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</si>
  <si>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</si>
  <si>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</si>
  <si>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</si>
  <si>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</si>
  <si>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</si>
  <si>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</si>
  <si>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</si>
  <si>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</si>
  <si>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</si>
  <si>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</si>
  <si>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</si>
  <si>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</si>
  <si>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</si>
  <si>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</si>
  <si>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</si>
  <si>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</si>
  <si>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</si>
  <si>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</si>
  <si>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</si>
  <si>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</si>
  <si>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</si>
  <si>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</si>
  <si>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</si>
  <si>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</si>
  <si>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</si>
  <si>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</si>
  <si>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</si>
  <si>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</si>
  <si>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</si>
  <si>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</si>
  <si>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</si>
  <si>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</si>
  <si>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</si>
  <si>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</si>
  <si>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</si>
  <si>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</si>
  <si>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</si>
  <si>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</si>
  <si>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</si>
  <si>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</si>
  <si>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</si>
  <si>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</si>
  <si>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</si>
  <si>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</si>
  <si>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</si>
  <si>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</si>
  <si>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</si>
  <si>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</si>
  <si>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</si>
  <si>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</si>
  <si>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</si>
  <si>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</si>
  <si>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</si>
  <si>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</si>
  <si>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</si>
  <si>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</si>
  <si>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</si>
  <si>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</si>
  <si>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</si>
  <si>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</si>
  <si>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</si>
  <si>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</si>
  <si>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</si>
  <si>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</si>
  <si>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</si>
  <si>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</si>
  <si>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</si>
  <si>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</si>
  <si>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</si>
  <si>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</si>
  <si>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</si>
  <si>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</si>
  <si>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</si>
  <si>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</si>
  <si>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</si>
  <si>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</si>
  <si>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</si>
  <si>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</si>
  <si>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</si>
  <si>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</si>
  <si>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</si>
  <si>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</si>
  <si>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</si>
  <si>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</si>
  <si>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</si>
  <si>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</si>
  <si>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</si>
  <si>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</si>
  <si>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</si>
  <si>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</si>
  <si>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</si>
  <si>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</si>
  <si>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</si>
  <si>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</si>
  <si>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</si>
  <si>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</si>
  <si>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</si>
  <si>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</si>
  <si>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</si>
  <si>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</si>
  <si>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</si>
  <si>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</si>
  <si>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</si>
  <si>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</si>
  <si>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</si>
  <si>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</si>
  <si>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</si>
  <si>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</si>
  <si>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</si>
  <si>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</si>
  <si>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</si>
  <si>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</si>
  <si>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</si>
  <si>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</si>
  <si>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</si>
  <si>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</si>
  <si>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</si>
  <si>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</si>
  <si>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</si>
  <si>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</si>
  <si>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</si>
  <si>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</si>
  <si>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</si>
  <si>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</si>
  <si>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</si>
  <si>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</si>
  <si>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</si>
  <si>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</si>
  <si>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</si>
  <si>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</si>
  <si>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</si>
  <si>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</si>
  <si>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</si>
  <si>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</si>
  <si>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</si>
  <si>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</si>
  <si>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</si>
  <si>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</si>
  <si>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</si>
  <si>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</si>
  <si>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</si>
  <si>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</si>
  <si>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</si>
  <si>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</si>
  <si>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</si>
  <si>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</si>
  <si>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</si>
  <si>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</si>
  <si>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</si>
  <si>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</si>
  <si>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</si>
  <si>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</si>
  <si>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</si>
  <si>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</si>
  <si>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</si>
  <si>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</si>
  <si>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</si>
  <si>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</si>
  <si>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</si>
  <si>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</si>
  <si>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</si>
  <si>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</si>
  <si>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</si>
  <si>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</si>
  <si>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</si>
  <si>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</si>
  <si>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</si>
  <si>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</si>
  <si>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</si>
  <si>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</si>
  <si>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</si>
  <si>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</si>
  <si>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</si>
  <si>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</si>
  <si>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</si>
  <si>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</si>
  <si>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</si>
  <si>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</si>
  <si>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</si>
  <si>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</si>
  <si>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</si>
  <si>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</si>
  <si>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</si>
  <si>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</si>
  <si>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</si>
  <si>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</si>
  <si>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</si>
  <si>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</si>
  <si>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</si>
  <si>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</si>
  <si>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</si>
  <si>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</si>
  <si>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</si>
  <si>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</si>
  <si>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</si>
  <si>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</si>
  <si>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</si>
  <si>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</si>
  <si>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</si>
  <si>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</si>
  <si>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</si>
  <si>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</si>
  <si>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</si>
  <si>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</si>
  <si>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</si>
  <si>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</si>
  <si>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</si>
  <si>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</si>
  <si>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</si>
  <si>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</si>
  <si>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</si>
  <si>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</si>
  <si>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</si>
  <si>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</si>
  <si>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</si>
  <si>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</si>
  <si>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</si>
  <si>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</si>
  <si>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</si>
  <si>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</si>
  <si>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</si>
  <si>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</si>
  <si>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</si>
  <si>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</si>
  <si>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</si>
  <si>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</si>
  <si>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</si>
  <si>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</si>
  <si>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</si>
  <si>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</si>
  <si>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</si>
  <si>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</si>
  <si>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</si>
  <si>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</si>
  <si>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</si>
  <si>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</si>
  <si>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</si>
  <si>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</si>
  <si>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</si>
  <si>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</si>
  <si>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</si>
  <si>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</si>
  <si>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</si>
  <si>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</si>
  <si>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</si>
  <si>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</si>
  <si>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</si>
  <si>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</si>
  <si>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</si>
  <si>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</si>
  <si>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</si>
  <si>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</si>
  <si>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</si>
  <si>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</si>
  <si>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</si>
  <si>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</si>
  <si>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</si>
  <si>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</si>
  <si>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</si>
  <si>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</si>
  <si>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</si>
  <si>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</si>
  <si>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</si>
  <si>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</si>
  <si>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</si>
  <si>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</si>
  <si>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</si>
  <si>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</si>
  <si>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</si>
  <si>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</si>
  <si>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</si>
  <si>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</si>
  <si>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</si>
  <si>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</si>
  <si>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</si>
  <si>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</si>
  <si>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</si>
  <si>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</si>
  <si>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</si>
  <si>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</si>
  <si>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</si>
  <si>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</si>
  <si>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</si>
  <si>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</si>
  <si>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</si>
  <si>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</si>
  <si>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</si>
  <si>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</si>
  <si>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</si>
  <si>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</si>
  <si>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</si>
  <si>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</si>
  <si>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</si>
  <si>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</si>
  <si>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</si>
  <si>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</si>
  <si>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</si>
  <si>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</si>
  <si>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</si>
  <si>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</si>
  <si>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</si>
  <si>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</si>
  <si>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</si>
  <si>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</si>
  <si>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</si>
  <si>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</si>
  <si>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</si>
  <si>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</si>
  <si>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</si>
  <si>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</si>
  <si>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</si>
  <si>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</si>
  <si>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</si>
  <si>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</si>
  <si>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</si>
  <si>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</si>
  <si>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</si>
  <si>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</si>
  <si>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</si>
  <si>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</si>
  <si>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</si>
  <si>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</si>
  <si>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</si>
  <si>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</si>
  <si>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</si>
  <si>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</si>
  <si>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</si>
  <si>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</si>
  <si>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</si>
  <si>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</si>
  <si>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</si>
  <si>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</si>
  <si>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</si>
  <si>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</si>
  <si>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</si>
  <si>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</si>
  <si>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</si>
  <si>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</si>
  <si>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</si>
  <si>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</si>
  <si>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</si>
  <si>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</si>
  <si>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</si>
  <si>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</si>
  <si>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</si>
  <si>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</si>
  <si>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</si>
  <si>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</si>
  <si>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</si>
  <si>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</si>
  <si>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</si>
  <si>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</si>
  <si>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</si>
  <si>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</si>
  <si>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</si>
  <si>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</si>
  <si>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</si>
  <si>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</si>
  <si>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</si>
  <si>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</si>
  <si>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</si>
  <si>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</si>
  <si>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</si>
  <si>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</si>
  <si>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</si>
  <si>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</si>
  <si>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</si>
  <si>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</si>
  <si>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</si>
  <si>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</si>
  <si>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</si>
  <si>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</si>
  <si>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</si>
  <si>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</si>
  <si>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</si>
  <si>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</si>
  <si>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</si>
  <si>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</si>
  <si>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</si>
  <si>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</si>
  <si>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</si>
  <si>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</si>
  <si>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</si>
  <si>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</si>
  <si>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</si>
  <si>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</si>
  <si>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</si>
  <si>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</si>
  <si>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</si>
  <si>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</si>
  <si>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</si>
  <si>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</si>
  <si>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</si>
  <si>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</si>
  <si>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</si>
  <si>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</si>
  <si>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</si>
  <si>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</si>
  <si>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</si>
  <si>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</si>
  <si>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</si>
  <si>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</si>
  <si>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</si>
  <si>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</si>
  <si>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</si>
  <si>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</si>
  <si>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</si>
  <si>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</si>
  <si>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</si>
  <si>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</si>
  <si>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</si>
  <si>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</si>
  <si>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</si>
  <si>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</si>
  <si>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</si>
  <si>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</si>
  <si>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</si>
  <si>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</si>
  <si>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</si>
  <si>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</si>
  <si>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</si>
  <si>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</si>
  <si>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</si>
  <si>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</si>
  <si>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</si>
  <si>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</si>
  <si>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</si>
  <si>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</si>
  <si>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</si>
  <si>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</si>
  <si>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</si>
  <si>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</si>
  <si>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</si>
  <si>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</si>
  <si>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</si>
  <si>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</si>
  <si>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</si>
  <si>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</si>
  <si>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</si>
  <si>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</si>
  <si>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</si>
  <si>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</si>
  <si>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</si>
  <si>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</si>
  <si>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</si>
  <si>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</si>
  <si>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</si>
  <si>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</si>
  <si>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</si>
  <si>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</si>
  <si>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</si>
  <si>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</si>
  <si>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</si>
  <si>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</si>
  <si>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</si>
  <si>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</si>
  <si>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</si>
  <si>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</si>
  <si>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</si>
  <si>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</si>
  <si>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</si>
  <si>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</si>
  <si>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</si>
  <si>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</si>
  <si>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</si>
  <si>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</si>
  <si>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</si>
  <si>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</si>
  <si>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</si>
  <si>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</si>
  <si>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</si>
  <si>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</si>
  <si>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</si>
  <si>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</si>
  <si>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</si>
  <si>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</si>
  <si>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</si>
  <si>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</si>
  <si>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</si>
  <si>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</si>
  <si>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</si>
  <si>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</si>
  <si>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</si>
  <si>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</si>
  <si>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</si>
  <si>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</si>
  <si>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</si>
  <si>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</si>
  <si>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</si>
  <si>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</si>
  <si>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</si>
  <si>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</si>
  <si>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</si>
  <si>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</si>
  <si>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</si>
  <si>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</si>
  <si>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</si>
  <si>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</si>
  <si>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</si>
  <si>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</si>
  <si>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</si>
  <si>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</si>
  <si>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</si>
  <si>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</si>
  <si>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</si>
  <si>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</si>
  <si>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</si>
  <si>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</si>
  <si>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</si>
  <si>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</si>
  <si>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</si>
  <si>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</si>
  <si>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</si>
  <si>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</si>
  <si>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</si>
  <si>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</si>
  <si>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</si>
  <si>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</si>
  <si>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</si>
  <si>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</si>
  <si>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</si>
  <si>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</si>
  <si>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</si>
  <si>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</si>
  <si>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</si>
  <si>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</si>
  <si>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</si>
  <si>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</si>
  <si>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</si>
  <si>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</si>
  <si>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</si>
  <si>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</si>
  <si>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</si>
  <si>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</si>
  <si>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</si>
  <si>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</si>
  <si>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</si>
  <si>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</si>
  <si>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</si>
  <si>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</si>
  <si>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</si>
  <si>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</si>
  <si>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</si>
  <si>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</si>
  <si>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</si>
  <si>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</si>
  <si>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</si>
  <si>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</si>
  <si>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</si>
  <si>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</si>
  <si>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</si>
  <si>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</si>
  <si>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</si>
  <si>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</si>
  <si>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</si>
  <si>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</si>
  <si>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</si>
  <si>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</si>
  <si>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</si>
  <si>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</si>
  <si>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</si>
  <si>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</si>
  <si>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</si>
  <si>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</si>
  <si>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</si>
  <si>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</si>
  <si>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</si>
  <si>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</si>
  <si>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</si>
  <si>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</si>
  <si>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</si>
  <si>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</si>
  <si>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</si>
  <si>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</si>
  <si>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</si>
  <si>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</si>
  <si>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</si>
  <si>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</si>
  <si>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</si>
  <si>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</si>
  <si>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</si>
  <si>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</si>
  <si>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</si>
  <si>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</si>
  <si>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</si>
  <si>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</si>
  <si>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</si>
  <si>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</si>
  <si>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</si>
  <si>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</si>
  <si>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</si>
  <si>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</si>
  <si>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</si>
  <si>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</si>
  <si>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</si>
  <si>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</si>
  <si>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</si>
  <si>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</si>
  <si>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</si>
  <si>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</si>
  <si>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</si>
  <si>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</si>
  <si>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</si>
  <si>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</si>
  <si>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</si>
  <si>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</si>
  <si>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</si>
  <si>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</si>
  <si>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</si>
  <si>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</si>
  <si>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</si>
  <si>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</si>
  <si>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</si>
  <si>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</si>
  <si>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</si>
  <si>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</si>
  <si>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</si>
  <si>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</si>
  <si>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</si>
  <si>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</si>
  <si>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</si>
  <si>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</si>
  <si>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</si>
  <si>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</si>
  <si>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</si>
  <si>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</si>
  <si>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</si>
  <si>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t>15 (8.99)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</si>
  <si>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</si>
  <si>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</si>
  <si>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</si>
  <si>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</si>
  <si>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</si>
  <si>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</si>
  <si>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</si>
  <si>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</si>
  <si>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</si>
  <si>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</si>
  <si>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</si>
  <si>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</si>
  <si>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</si>
  <si>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</si>
  <si>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</si>
  <si>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</si>
  <si>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</si>
  <si>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</si>
  <si>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</si>
  <si>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</si>
  <si>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</si>
  <si>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</si>
  <si>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</si>
  <si>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</si>
  <si>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r=-0.182 · ≈ nula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</si>
  <si>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</si>
  <si>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</si>
  <si>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</si>
  <si>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</si>
  <si>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</si>
  <si>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</si>
  <si>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</si>
  <si>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</si>
  <si>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</si>
  <si>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</si>
  <si>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</si>
  <si>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</si>
  <si>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</si>
  <si>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</si>
  <si>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</si>
  <si>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</si>
  <si>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</si>
  <si>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</si>
  <si>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</si>
  <si>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</si>
  <si>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</si>
  <si>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</si>
  <si>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3 (8.86)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</si>
  <si>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</si>
  <si>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</si>
  <si>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</si>
  <si>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</si>
  <si>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</si>
  <si>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</si>
  <si>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</si>
  <si>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</si>
  <si>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</si>
  <si>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</si>
  <si>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</si>
  <si>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</si>
  <si>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</si>
  <si>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</si>
  <si>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</si>
  <si>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</si>
  <si>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</si>
  <si>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</si>
  <si>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</si>
  <si>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</si>
  <si>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</si>
  <si>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</si>
  <si>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</si>
  <si>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</si>
  <si>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</si>
  <si>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</si>
  <si>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</si>
  <si>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</si>
  <si>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</si>
  <si>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</si>
  <si>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</si>
  <si>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</si>
  <si>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</si>
  <si>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8 (0.59%)</t>
  </si>
  <si>
    <t>2 (8.59)</t>
  </si>
  <si>
    <t>gangsta rap</t>
  </si>
  <si>
    <t>27 álbumes · media 8.68</t>
  </si>
  <si>
    <t>r=-0.158 · ≈ nula</t>
  </si>
  <si>
    <t>r=0.589 · ↑ moderada</t>
  </si>
  <si>
    <t>Notas ≥10 (r=0.589)</t>
  </si>
  <si>
    <t>2h 20m</t>
  </si>
  <si>
    <r>
      <t xml:space="preserve">* Led Zeppelin - </t>
    </r>
    <r>
      <rPr>
        <b/>
        <sz val="12"/>
        <color theme="1"/>
        <rFont val="Aptos Narrow"/>
        <family val="2"/>
        <scheme val="minor"/>
      </rPr>
      <t>Led Zeppelin III</t>
    </r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</si>
  <si>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</si>
  <si>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</si>
  <si>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</si>
  <si>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</si>
  <si>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</si>
  <si>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</si>
  <si>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</si>
  <si>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</si>
  <si>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</si>
  <si>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</si>
  <si>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</si>
  <si>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</si>
  <si>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</si>
  <si>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8 (×292)</t>
  </si>
  <si>
    <t>-0.79 ← sesgo alto</t>
  </si>
  <si>
    <t>3.95 ← colas pesadas</t>
  </si>
  <si>
    <t>24 (1.76%)</t>
  </si>
  <si>
    <t>195 (14.29%)</t>
  </si>
  <si>
    <t>572 (41.9%)</t>
  </si>
  <si>
    <t>324 (23.74%)</t>
  </si>
  <si>
    <t>242 (17.73%)</t>
  </si>
  <si>
    <t>3 (8.7)</t>
  </si>
  <si>
    <t>23 álbumes · media 8.62</t>
  </si>
  <si>
    <t>C418 - Minecraft Volume Beta [OST] (2h 20m)</t>
  </si>
  <si>
    <t>r=0.154 · ≈ nula</t>
  </si>
  <si>
    <t>r=0.148 · ≈ nula</t>
  </si>
  <si>
    <t>folk rock, hard rock</t>
  </si>
  <si>
    <t>classic rock, folk rock, hard rock</t>
  </si>
  <si>
    <t>1970 - 1971</t>
  </si>
  <si>
    <t>131 de 131</t>
  </si>
  <si>
    <t>psychedelic rock (9.23)</t>
  </si>
  <si>
    <t>2 (8.96)</t>
  </si>
  <si>
    <t>folk rock</t>
  </si>
  <si>
    <t>14 álbumes · media 9.05</t>
  </si>
  <si>
    <t>r=-0.266 · ↓ débil</t>
  </si>
  <si>
    <t>r=0.021 · ≈ nula</t>
  </si>
  <si>
    <t>Duración (r=0.021)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</si>
</sst>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</fonts>
  <fills count="20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26" fillId="171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2" borderId="1" xfId="0" applyFont="1" applyFill="1" applyBorder="1" applyAlignment="1">
      <alignment vertical="center"/>
    </xf>
    <xf numFmtId="0" fontId="26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5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7" borderId="0" xfId="0" applyFont="1" applyFill="1" applyAlignment="1">
      <alignment horizontal="center"/>
    </xf>
    <xf numFmtId="0" fontId="26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6" borderId="1" xfId="0" applyFont="1" applyFill="1" applyBorder="1" applyAlignment="1">
      <alignment vertical="center"/>
    </xf>
    <xf numFmtId="0" fontId="64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9" borderId="1" xfId="0" applyFont="1" applyFill="1" applyBorder="1" applyAlignment="1">
      <alignment vertical="center"/>
    </xf>
    <xf numFmtId="0" fontId="26" fillId="180" borderId="0" xfId="0" applyFont="1" applyFill="1" applyAlignment="1">
      <alignment horizontal="center"/>
    </xf>
    <xf numFmtId="0" fontId="26" fillId="181" borderId="0" xfId="0" applyFont="1" applyFill="1" applyAlignment="1">
      <alignment horizontal="center"/>
    </xf>
    <xf numFmtId="0" fontId="193" fillId="182" borderId="1" xfId="0" applyFont="1" applyFill="1" applyBorder="1" applyAlignment="1">
      <alignment vertical="center"/>
    </xf>
    <xf numFmtId="0" fontId="195" fillId="183" borderId="1" xfId="0" applyFont="1" applyFill="1" applyBorder="1" applyAlignment="1">
      <alignment vertical="center"/>
    </xf>
    <xf numFmtId="0" fontId="197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6" fillId="191" borderId="0" xfId="0" applyFont="1" applyFill="1" applyAlignment="1">
      <alignment horizontal="center"/>
    </xf>
    <xf numFmtId="0" fontId="26" fillId="192" borderId="0" xfId="0" applyFont="1" applyFill="1" applyAlignment="1">
      <alignment horizontal="center"/>
    </xf>
    <xf numFmtId="0" fontId="203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48" fillId="197" borderId="1" xfId="0" applyFont="1" applyFill="1" applyBorder="1" applyAlignment="1">
      <alignment vertical="center"/>
    </xf>
    <xf numFmtId="0" fontId="208" fillId="198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128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201" borderId="1" xfId="0" applyFill="1" applyBorder="1" applyAlignment="1">
      <alignment vertical="center"/>
    </xf>
    <xf numFmtId="0" fontId="26" fillId="202" borderId="0" xfId="0" applyFont="1" applyFill="1" applyAlignment="1">
      <alignment horizontal="center"/>
    </xf>
  </cellXfs>
  <cellStyles count="1">
    <cellStyle name="Normal" xfId="0" builtinId="0"/>
  </cellStyles>
  <dxfs count="923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FFFE7"/>
      <color rgb="FFFD5E1F"/>
      <color rgb="FFC00000"/>
      <color rgb="FFFD698C"/>
      <color rgb="FFFF6699"/>
      <color rgb="FF00002E"/>
      <color rgb="FFD9A601"/>
      <color rgb="FFE8D4C2"/>
      <color rgb="FF534E7E"/>
      <color rgb="FF3020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929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zoomScale="70" zoomScaleNormal="70" workbookViewId="0">
      <pane ySplit="1" topLeftCell="A309" activePane="bottomLeft" state="frozen"/>
      <selection pane="bottomLeft" activeCell="N335" sqref="N33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6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8.0976562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1" t="s">
        <v>1355</v>
      </c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G1" s="301" t="s">
        <v>1045</v>
      </c>
      <c r="AH1" s="301"/>
    </row>
    <row r="2" spans="1:41" ht="16.05" customHeight="1" thickBot="1">
      <c r="A2" s="112" t="s">
        <v>905</v>
      </c>
      <c r="B2" s="3">
        <f>ROUND(SUM(B3:B14)/COUNT(B3:B14), 2)</f>
        <v>9.89</v>
      </c>
      <c r="C2" s="4"/>
      <c r="D2" s="113" t="s">
        <v>906</v>
      </c>
      <c r="E2" s="14">
        <f>ROUND(SUM(E3:E12)/COUNT(E3:E12), 2)</f>
        <v>9.6999999999999993</v>
      </c>
      <c r="F2" s="4"/>
      <c r="G2" s="143" t="s">
        <v>1197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2075</v>
      </c>
      <c r="W2" s="51" t="s">
        <v>524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784</v>
      </c>
      <c r="AC2" s="51" t="s">
        <v>1995</v>
      </c>
      <c r="AD2" s="51" t="s">
        <v>1996</v>
      </c>
      <c r="AG2" s="135" t="s">
        <v>1046</v>
      </c>
      <c r="AH2" s="135"/>
    </row>
    <row r="3" spans="1:41" ht="16.05" customHeight="1">
      <c r="A3" s="6" t="s">
        <v>0</v>
      </c>
      <c r="B3" s="262">
        <v>10</v>
      </c>
      <c r="C3" s="4"/>
      <c r="D3" s="6" t="s">
        <v>12</v>
      </c>
      <c r="E3" s="262">
        <v>10</v>
      </c>
      <c r="F3" s="4"/>
      <c r="G3" s="6" t="s">
        <v>22</v>
      </c>
      <c r="H3" s="262">
        <v>8.5</v>
      </c>
      <c r="I3" s="4"/>
      <c r="J3" s="6" t="s">
        <v>35</v>
      </c>
      <c r="K3" s="262">
        <v>9.5</v>
      </c>
      <c r="L3" s="4"/>
      <c r="M3" s="6" t="s">
        <v>45</v>
      </c>
      <c r="N3" s="262"/>
      <c r="O3" s="22"/>
      <c r="R3" s="60">
        <v>1</v>
      </c>
      <c r="S3" s="52" t="s">
        <v>1010</v>
      </c>
      <c r="T3" s="52" t="s">
        <v>1008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1011</v>
      </c>
      <c r="AC3" s="69">
        <v>1996</v>
      </c>
      <c r="AD3" s="69" t="s">
        <v>1947</v>
      </c>
      <c r="AG3" s="68" t="s">
        <v>1047</v>
      </c>
      <c r="AH3" s="136">
        <v>131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3"/>
      <c r="C4" s="4"/>
      <c r="D4" s="6" t="s">
        <v>13</v>
      </c>
      <c r="E4" s="263">
        <v>9</v>
      </c>
      <c r="F4" s="4"/>
      <c r="G4" s="6" t="s">
        <v>23</v>
      </c>
      <c r="H4" s="263">
        <v>9</v>
      </c>
      <c r="I4" s="4"/>
      <c r="J4" s="6" t="s">
        <v>36</v>
      </c>
      <c r="K4" s="263">
        <v>10</v>
      </c>
      <c r="L4" s="4"/>
      <c r="M4" s="6" t="s">
        <v>46</v>
      </c>
      <c r="N4" s="263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765</v>
      </c>
      <c r="AC4" s="70">
        <v>2001</v>
      </c>
      <c r="AD4" s="70" t="s">
        <v>1948</v>
      </c>
      <c r="AG4" s="52" t="s">
        <v>1048</v>
      </c>
      <c r="AH4" s="137">
        <v>84</v>
      </c>
      <c r="AK4" s="43"/>
      <c r="AL4" s="42">
        <v>10</v>
      </c>
      <c r="AM4" s="2" t="s">
        <v>1817</v>
      </c>
      <c r="AN4" t="s">
        <v>249</v>
      </c>
    </row>
    <row r="5" spans="1:41" ht="16.05" customHeight="1">
      <c r="A5" s="6" t="s">
        <v>2</v>
      </c>
      <c r="B5" s="263">
        <v>9.5</v>
      </c>
      <c r="C5" s="4"/>
      <c r="D5" s="6" t="s">
        <v>14</v>
      </c>
      <c r="E5" s="263">
        <v>10.5</v>
      </c>
      <c r="F5" s="4"/>
      <c r="G5" s="6" t="s">
        <v>24</v>
      </c>
      <c r="H5" s="263">
        <v>8</v>
      </c>
      <c r="I5" s="4"/>
      <c r="J5" s="6" t="s">
        <v>37</v>
      </c>
      <c r="K5" s="263">
        <v>8.5</v>
      </c>
      <c r="L5" s="4"/>
      <c r="M5" s="6" t="s">
        <v>47</v>
      </c>
      <c r="N5" s="263">
        <v>7.5</v>
      </c>
      <c r="O5" s="22"/>
      <c r="R5" s="62">
        <v>3</v>
      </c>
      <c r="S5" s="52" t="s">
        <v>341</v>
      </c>
      <c r="T5" s="52" t="s">
        <v>1041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767</v>
      </c>
      <c r="AC5" s="69">
        <v>1975</v>
      </c>
      <c r="AD5" s="69" t="s">
        <v>1949</v>
      </c>
      <c r="AG5" s="68" t="s">
        <v>1049</v>
      </c>
      <c r="AH5" s="136">
        <v>1428</v>
      </c>
      <c r="AK5" s="47"/>
      <c r="AL5" s="42" t="s">
        <v>243</v>
      </c>
      <c r="AM5" s="2" t="s">
        <v>1818</v>
      </c>
      <c r="AN5" t="s">
        <v>250</v>
      </c>
    </row>
    <row r="6" spans="1:41" ht="16.05" customHeight="1">
      <c r="A6" s="6" t="s">
        <v>3</v>
      </c>
      <c r="B6" s="263"/>
      <c r="C6" s="4"/>
      <c r="D6" s="6" t="s">
        <v>16</v>
      </c>
      <c r="E6" s="263">
        <v>10.5</v>
      </c>
      <c r="F6" s="4"/>
      <c r="G6" s="6" t="s">
        <v>25</v>
      </c>
      <c r="H6" s="263">
        <v>9.5</v>
      </c>
      <c r="I6" s="4"/>
      <c r="J6" s="6" t="s">
        <v>38</v>
      </c>
      <c r="K6" s="263">
        <v>8</v>
      </c>
      <c r="L6" s="4"/>
      <c r="M6" s="6" t="s">
        <v>48</v>
      </c>
      <c r="N6" s="263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766</v>
      </c>
      <c r="AC6" s="70">
        <v>2007</v>
      </c>
      <c r="AD6" s="70" t="s">
        <v>1950</v>
      </c>
      <c r="AG6" s="52" t="s">
        <v>1050</v>
      </c>
      <c r="AH6" s="137">
        <v>1365</v>
      </c>
      <c r="AK6" s="46"/>
      <c r="AL6" s="42" t="s">
        <v>244</v>
      </c>
      <c r="AM6" s="2" t="s">
        <v>1819</v>
      </c>
      <c r="AN6" t="s">
        <v>251</v>
      </c>
    </row>
    <row r="7" spans="1:41" ht="16.05" customHeight="1">
      <c r="A7" s="6" t="s">
        <v>4</v>
      </c>
      <c r="B7" s="263">
        <v>10.5</v>
      </c>
      <c r="C7" s="4"/>
      <c r="D7" s="6" t="s">
        <v>15</v>
      </c>
      <c r="E7" s="263">
        <v>10</v>
      </c>
      <c r="F7" s="4"/>
      <c r="G7" s="6" t="s">
        <v>26</v>
      </c>
      <c r="H7" s="263">
        <v>10.5</v>
      </c>
      <c r="I7" s="4"/>
      <c r="J7" s="6" t="s">
        <v>39</v>
      </c>
      <c r="K7" s="263">
        <v>10.5</v>
      </c>
      <c r="L7" s="4"/>
      <c r="M7" s="6" t="s">
        <v>49</v>
      </c>
      <c r="N7" s="263">
        <v>10.5</v>
      </c>
      <c r="O7" s="22"/>
      <c r="R7" s="59">
        <v>5</v>
      </c>
      <c r="S7" s="52" t="s">
        <v>686</v>
      </c>
      <c r="T7" s="52" t="s">
        <v>687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1823</v>
      </c>
      <c r="AC7" s="69">
        <v>2026</v>
      </c>
      <c r="AD7" s="69" t="s">
        <v>1947</v>
      </c>
      <c r="AG7" s="68" t="s">
        <v>334</v>
      </c>
      <c r="AH7" s="136">
        <v>63</v>
      </c>
      <c r="AK7" s="44"/>
      <c r="AL7" s="42" t="s">
        <v>245</v>
      </c>
      <c r="AM7" s="2" t="s">
        <v>1820</v>
      </c>
      <c r="AN7" t="s">
        <v>252</v>
      </c>
    </row>
    <row r="8" spans="1:41" ht="16.05" customHeight="1">
      <c r="A8" s="6" t="s">
        <v>5</v>
      </c>
      <c r="B8" s="263">
        <v>10.5</v>
      </c>
      <c r="C8" s="4"/>
      <c r="D8" s="6" t="s">
        <v>17</v>
      </c>
      <c r="E8" s="263">
        <v>8.5</v>
      </c>
      <c r="F8" s="4"/>
      <c r="G8" s="6" t="s">
        <v>27</v>
      </c>
      <c r="H8" s="263">
        <v>10</v>
      </c>
      <c r="I8" s="4"/>
      <c r="J8" s="6" t="s">
        <v>40</v>
      </c>
      <c r="K8" s="263">
        <v>8.5</v>
      </c>
      <c r="L8" s="4"/>
      <c r="M8" s="6" t="s">
        <v>50</v>
      </c>
      <c r="N8" s="263">
        <v>10</v>
      </c>
      <c r="O8" s="22"/>
      <c r="R8" s="59">
        <v>6</v>
      </c>
      <c r="S8" s="68" t="s">
        <v>335</v>
      </c>
      <c r="T8" s="68" t="s">
        <v>569</v>
      </c>
      <c r="U8" s="70">
        <v>9.61</v>
      </c>
      <c r="V8" s="203">
        <v>9.99</v>
      </c>
      <c r="W8" s="68">
        <v>10</v>
      </c>
      <c r="X8" s="68">
        <v>0.74</v>
      </c>
      <c r="Y8" s="68">
        <v>5</v>
      </c>
      <c r="Z8" s="68">
        <v>11</v>
      </c>
      <c r="AA8" s="68">
        <v>2</v>
      </c>
      <c r="AB8" s="68" t="s">
        <v>765</v>
      </c>
      <c r="AC8" s="70">
        <v>2006</v>
      </c>
      <c r="AD8" s="70" t="s">
        <v>1951</v>
      </c>
      <c r="AG8" s="52" t="s">
        <v>1051</v>
      </c>
      <c r="AH8" s="137">
        <v>10.9</v>
      </c>
      <c r="AK8" s="50"/>
      <c r="AL8" s="42" t="s">
        <v>323</v>
      </c>
      <c r="AM8" s="2" t="s">
        <v>1821</v>
      </c>
      <c r="AN8" t="s">
        <v>324</v>
      </c>
    </row>
    <row r="9" spans="1:41" ht="16.05" customHeight="1">
      <c r="A9" s="6" t="s">
        <v>6</v>
      </c>
      <c r="B9" s="263">
        <v>9</v>
      </c>
      <c r="C9" s="4"/>
      <c r="D9" s="6" t="s">
        <v>18</v>
      </c>
      <c r="E9" s="263">
        <v>10.5</v>
      </c>
      <c r="F9" s="4"/>
      <c r="G9" s="6" t="s">
        <v>28</v>
      </c>
      <c r="H9" s="263">
        <v>9</v>
      </c>
      <c r="I9" s="4"/>
      <c r="J9" s="6" t="s">
        <v>41</v>
      </c>
      <c r="K9" s="263">
        <v>9</v>
      </c>
      <c r="L9" s="4"/>
      <c r="M9" s="6" t="s">
        <v>51</v>
      </c>
      <c r="N9" s="263">
        <v>9.5</v>
      </c>
      <c r="O9" s="22"/>
      <c r="R9" s="59">
        <v>7</v>
      </c>
      <c r="S9" s="52" t="s">
        <v>335</v>
      </c>
      <c r="T9" s="52" t="s">
        <v>158</v>
      </c>
      <c r="U9" s="69">
        <v>9.61</v>
      </c>
      <c r="V9" s="204">
        <v>9.9600000000000009</v>
      </c>
      <c r="W9" s="52">
        <v>10</v>
      </c>
      <c r="X9" s="52">
        <v>0.74</v>
      </c>
      <c r="Y9" s="52">
        <v>5</v>
      </c>
      <c r="Z9" s="52">
        <v>15</v>
      </c>
      <c r="AA9" s="52">
        <v>6</v>
      </c>
      <c r="AB9" s="52" t="s">
        <v>765</v>
      </c>
      <c r="AC9" s="69">
        <v>1996</v>
      </c>
      <c r="AD9" s="69" t="s">
        <v>1952</v>
      </c>
      <c r="AG9" s="68" t="s">
        <v>1052</v>
      </c>
      <c r="AH9" s="166">
        <v>4.41E-2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3">
        <v>10.5</v>
      </c>
      <c r="C10" s="4"/>
      <c r="D10" s="6" t="s">
        <v>19</v>
      </c>
      <c r="E10" s="263">
        <v>9.5</v>
      </c>
      <c r="F10" s="4"/>
      <c r="G10" s="6" t="s">
        <v>29</v>
      </c>
      <c r="H10" s="263">
        <v>7.5</v>
      </c>
      <c r="I10" s="4"/>
      <c r="J10" s="6" t="s">
        <v>42</v>
      </c>
      <c r="K10" s="263">
        <v>9</v>
      </c>
      <c r="L10" s="4"/>
      <c r="M10" s="6" t="s">
        <v>52</v>
      </c>
      <c r="N10" s="263">
        <v>8.5</v>
      </c>
      <c r="O10" s="22"/>
      <c r="R10" s="59">
        <v>8</v>
      </c>
      <c r="S10" s="68" t="s">
        <v>336</v>
      </c>
      <c r="T10" s="68" t="s">
        <v>338</v>
      </c>
      <c r="U10" s="70">
        <v>9.5500000000000007</v>
      </c>
      <c r="V10" s="205">
        <v>9.81</v>
      </c>
      <c r="W10" s="68">
        <v>9.5</v>
      </c>
      <c r="X10" s="68">
        <v>0.57999999999999996</v>
      </c>
      <c r="Y10" s="68">
        <v>3</v>
      </c>
      <c r="Z10" s="68">
        <v>12</v>
      </c>
      <c r="AA10" s="68">
        <v>1</v>
      </c>
      <c r="AB10" s="68" t="s">
        <v>766</v>
      </c>
      <c r="AC10" s="70">
        <v>1997</v>
      </c>
      <c r="AD10" s="70" t="s">
        <v>1953</v>
      </c>
    </row>
    <row r="11" spans="1:41" ht="16.05" customHeight="1">
      <c r="A11" s="6" t="s">
        <v>8</v>
      </c>
      <c r="B11" s="263">
        <v>9</v>
      </c>
      <c r="C11" s="4"/>
      <c r="D11" s="6" t="s">
        <v>20</v>
      </c>
      <c r="E11" s="263">
        <v>10.5</v>
      </c>
      <c r="F11" s="4"/>
      <c r="G11" s="6" t="s">
        <v>30</v>
      </c>
      <c r="H11" s="263">
        <v>7.5</v>
      </c>
      <c r="I11" s="4"/>
      <c r="J11" s="6" t="s">
        <v>43</v>
      </c>
      <c r="K11" s="263">
        <v>8.5</v>
      </c>
      <c r="L11" s="4"/>
      <c r="M11" s="6" t="s">
        <v>53</v>
      </c>
      <c r="N11" s="263">
        <v>9.5</v>
      </c>
      <c r="O11" s="22"/>
      <c r="R11" s="59">
        <v>9</v>
      </c>
      <c r="S11" s="52" t="s">
        <v>335</v>
      </c>
      <c r="T11" s="52" t="s">
        <v>1263</v>
      </c>
      <c r="U11" s="69">
        <v>9.36</v>
      </c>
      <c r="V11" s="206">
        <v>9.73</v>
      </c>
      <c r="W11" s="52">
        <v>10</v>
      </c>
      <c r="X11" s="52">
        <v>1.1200000000000001</v>
      </c>
      <c r="Y11" s="52">
        <v>4</v>
      </c>
      <c r="Z11" s="52">
        <v>10</v>
      </c>
      <c r="AA11" s="52">
        <v>3</v>
      </c>
      <c r="AB11" s="52" t="s">
        <v>1276</v>
      </c>
      <c r="AC11" s="69">
        <v>2019</v>
      </c>
      <c r="AD11" s="69" t="s">
        <v>1954</v>
      </c>
      <c r="AG11" s="135" t="s">
        <v>1053</v>
      </c>
      <c r="AH11" s="135"/>
      <c r="AI11" s="78"/>
      <c r="AK11" s="17" t="s">
        <v>163</v>
      </c>
      <c r="AL11" s="17"/>
      <c r="AO11" s="18">
        <f>ROUND(CORREL(V3:V123,Z3:Z123),3)</f>
        <v>-0.21299999999999999</v>
      </c>
    </row>
    <row r="12" spans="1:41" ht="16.05" customHeight="1" thickBot="1">
      <c r="A12" s="6" t="s">
        <v>9</v>
      </c>
      <c r="B12" s="263">
        <v>10.5</v>
      </c>
      <c r="C12" s="4"/>
      <c r="D12" s="9" t="s">
        <v>21</v>
      </c>
      <c r="E12" s="264">
        <v>8</v>
      </c>
      <c r="F12" s="4"/>
      <c r="G12" s="6" t="s">
        <v>31</v>
      </c>
      <c r="H12" s="263">
        <v>8</v>
      </c>
      <c r="I12" s="4"/>
      <c r="J12" s="9" t="s">
        <v>44</v>
      </c>
      <c r="K12" s="264">
        <v>10</v>
      </c>
      <c r="L12" s="4"/>
      <c r="M12" s="9" t="s">
        <v>54</v>
      </c>
      <c r="N12" s="264">
        <v>10</v>
      </c>
      <c r="O12" s="22"/>
      <c r="R12" s="59">
        <v>10</v>
      </c>
      <c r="S12" s="68" t="s">
        <v>341</v>
      </c>
      <c r="T12" s="68" t="s">
        <v>342</v>
      </c>
      <c r="U12" s="70">
        <v>9.44</v>
      </c>
      <c r="V12" s="207">
        <v>9.7200000000000006</v>
      </c>
      <c r="W12" s="68">
        <v>9.5</v>
      </c>
      <c r="X12" s="68">
        <v>0.93</v>
      </c>
      <c r="Y12" s="68">
        <v>4</v>
      </c>
      <c r="Z12" s="68">
        <v>10</v>
      </c>
      <c r="AA12" s="68">
        <v>1</v>
      </c>
      <c r="AB12" s="68" t="s">
        <v>768</v>
      </c>
      <c r="AC12" s="70">
        <v>1973</v>
      </c>
      <c r="AD12" s="70" t="s">
        <v>1950</v>
      </c>
      <c r="AG12" s="52" t="s">
        <v>1054</v>
      </c>
      <c r="AH12" s="137">
        <v>8.6</v>
      </c>
      <c r="AK12" s="17" t="s">
        <v>1815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3">
        <v>9.5</v>
      </c>
      <c r="C13" s="4"/>
      <c r="D13" s="4"/>
      <c r="E13" s="4"/>
      <c r="F13" s="4"/>
      <c r="G13" s="6" t="s">
        <v>32</v>
      </c>
      <c r="H13" s="263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781</v>
      </c>
      <c r="U13" s="69">
        <v>9.4</v>
      </c>
      <c r="V13" s="208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768</v>
      </c>
      <c r="AC13" s="69">
        <v>1977</v>
      </c>
      <c r="AD13" s="69" t="s">
        <v>1955</v>
      </c>
      <c r="AG13" s="68" t="s">
        <v>1055</v>
      </c>
      <c r="AH13" s="136">
        <v>8.5</v>
      </c>
      <c r="AK13" t="s">
        <v>1816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4"/>
      <c r="C14" s="4"/>
      <c r="D14" s="108" t="s">
        <v>901</v>
      </c>
      <c r="E14" s="3">
        <f>ROUND(SUM(E15:E28)/COUNT(E15:E28), 2)</f>
        <v>9</v>
      </c>
      <c r="F14" s="4"/>
      <c r="G14" s="6" t="s">
        <v>33</v>
      </c>
      <c r="H14" s="263">
        <v>8.5</v>
      </c>
      <c r="I14" s="11"/>
      <c r="J14" s="110" t="s">
        <v>903</v>
      </c>
      <c r="K14" s="3">
        <f>ROUND(SUM(K15:K23)/COUNT(K15:K23), 2)</f>
        <v>8.83</v>
      </c>
      <c r="L14" s="4"/>
      <c r="M14" s="111" t="s">
        <v>904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9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773</v>
      </c>
      <c r="AC14" s="70">
        <v>1971</v>
      </c>
      <c r="AD14" s="70" t="s">
        <v>1950</v>
      </c>
      <c r="AG14" s="52" t="s">
        <v>1056</v>
      </c>
      <c r="AH14" s="137" t="s">
        <v>2181</v>
      </c>
    </row>
    <row r="15" spans="1:41" ht="16.05" customHeight="1" thickBot="1">
      <c r="A15" s="11"/>
      <c r="B15" s="11"/>
      <c r="C15" s="4"/>
      <c r="D15" s="13" t="s">
        <v>63</v>
      </c>
      <c r="E15" s="262">
        <v>9</v>
      </c>
      <c r="F15" s="4"/>
      <c r="G15" s="9" t="s">
        <v>34</v>
      </c>
      <c r="H15" s="264">
        <v>8.5</v>
      </c>
      <c r="I15" s="11"/>
      <c r="J15" s="6" t="s">
        <v>87</v>
      </c>
      <c r="K15" s="262">
        <v>9</v>
      </c>
      <c r="L15" s="4"/>
      <c r="M15" s="6" t="s">
        <v>96</v>
      </c>
      <c r="N15" s="262">
        <v>8.5</v>
      </c>
      <c r="O15" s="22"/>
      <c r="R15" s="59">
        <v>13</v>
      </c>
      <c r="S15" s="52" t="s">
        <v>340</v>
      </c>
      <c r="T15" s="52" t="s">
        <v>1200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767</v>
      </c>
      <c r="AC15" s="69">
        <v>1969</v>
      </c>
      <c r="AD15" s="69" t="s">
        <v>1956</v>
      </c>
      <c r="AK15" t="s">
        <v>384</v>
      </c>
    </row>
    <row r="16" spans="1:41" ht="16.05" customHeight="1" thickBot="1">
      <c r="A16" s="109" t="s">
        <v>902</v>
      </c>
      <c r="B16" s="3">
        <f>ROUND(SUM(B17:B24)/COUNT(B17:B24), 2)</f>
        <v>9.25</v>
      </c>
      <c r="C16" s="4"/>
      <c r="D16" s="6" t="s">
        <v>64</v>
      </c>
      <c r="E16" s="263">
        <v>10.5</v>
      </c>
      <c r="F16" s="11"/>
      <c r="G16" s="11"/>
      <c r="H16" s="11"/>
      <c r="I16" s="11"/>
      <c r="J16" s="6" t="s">
        <v>88</v>
      </c>
      <c r="K16" s="263">
        <v>10</v>
      </c>
      <c r="L16" s="4"/>
      <c r="M16" s="6" t="s">
        <v>97</v>
      </c>
      <c r="N16" s="263">
        <v>10</v>
      </c>
      <c r="O16" s="22"/>
      <c r="R16" s="59">
        <v>14</v>
      </c>
      <c r="S16" s="68" t="s">
        <v>2099</v>
      </c>
      <c r="T16" s="68" t="s">
        <v>2092</v>
      </c>
      <c r="U16" s="70">
        <v>9.31</v>
      </c>
      <c r="V16" s="296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2103</v>
      </c>
      <c r="AC16" s="70">
        <v>1970</v>
      </c>
      <c r="AD16" s="70" t="s">
        <v>1955</v>
      </c>
      <c r="AG16" s="135" t="s">
        <v>1057</v>
      </c>
      <c r="AH16" s="135"/>
    </row>
    <row r="17" spans="1:37" ht="16.05" customHeight="1" thickBot="1">
      <c r="A17" s="6" t="s">
        <v>55</v>
      </c>
      <c r="B17" s="262">
        <v>9.5</v>
      </c>
      <c r="C17" s="4"/>
      <c r="D17" s="6" t="s">
        <v>65</v>
      </c>
      <c r="E17" s="263">
        <v>10</v>
      </c>
      <c r="F17" s="12"/>
      <c r="G17" s="144" t="s">
        <v>1198</v>
      </c>
      <c r="H17" s="3">
        <f>ROUND(SUM(H18:H28)/COUNT(H18:H28), 2)</f>
        <v>8.68</v>
      </c>
      <c r="I17" s="11"/>
      <c r="J17" s="6" t="s">
        <v>89</v>
      </c>
      <c r="K17" s="263">
        <v>9.5</v>
      </c>
      <c r="L17" s="4"/>
      <c r="M17" s="6" t="s">
        <v>98</v>
      </c>
      <c r="N17" s="263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10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789</v>
      </c>
      <c r="AC17" s="69">
        <v>1986</v>
      </c>
      <c r="AD17" s="69" t="s">
        <v>1957</v>
      </c>
      <c r="AG17" s="68" t="s">
        <v>1058</v>
      </c>
      <c r="AH17" s="136">
        <v>1.06</v>
      </c>
    </row>
    <row r="18" spans="1:37" ht="16.05" customHeight="1">
      <c r="A18" s="6" t="s">
        <v>56</v>
      </c>
      <c r="B18" s="263">
        <v>10</v>
      </c>
      <c r="C18" s="4"/>
      <c r="D18" s="6" t="s">
        <v>66</v>
      </c>
      <c r="E18" s="263">
        <v>9.5</v>
      </c>
      <c r="F18" s="12"/>
      <c r="G18" s="6" t="s">
        <v>76</v>
      </c>
      <c r="H18" s="262">
        <v>10</v>
      </c>
      <c r="I18" s="11"/>
      <c r="J18" s="6" t="s">
        <v>90</v>
      </c>
      <c r="K18" s="263">
        <v>8.5</v>
      </c>
      <c r="L18" s="4"/>
      <c r="M18" s="6" t="s">
        <v>99</v>
      </c>
      <c r="N18" s="263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10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870</v>
      </c>
      <c r="AC18" s="70">
        <v>2000</v>
      </c>
      <c r="AD18" s="70" t="s">
        <v>1958</v>
      </c>
      <c r="AG18" s="52" t="s">
        <v>1059</v>
      </c>
      <c r="AH18" s="138">
        <v>0.1235</v>
      </c>
    </row>
    <row r="19" spans="1:37" ht="16.05" customHeight="1">
      <c r="A19" s="6" t="s">
        <v>57</v>
      </c>
      <c r="B19" s="263">
        <v>8.5</v>
      </c>
      <c r="C19" s="4"/>
      <c r="D19" s="6" t="s">
        <v>67</v>
      </c>
      <c r="E19" s="263">
        <v>8.5</v>
      </c>
      <c r="F19" s="12"/>
      <c r="G19" s="6" t="s">
        <v>77</v>
      </c>
      <c r="H19" s="263">
        <v>8.5</v>
      </c>
      <c r="I19" s="11"/>
      <c r="J19" s="6" t="s">
        <v>91</v>
      </c>
      <c r="K19" s="263">
        <v>7.5</v>
      </c>
      <c r="L19" s="4"/>
      <c r="M19" s="6" t="s">
        <v>100</v>
      </c>
      <c r="N19" s="263">
        <v>8.5</v>
      </c>
      <c r="O19" s="22"/>
      <c r="R19" s="59">
        <v>17</v>
      </c>
      <c r="S19" s="52" t="s">
        <v>340</v>
      </c>
      <c r="T19" s="52" t="s">
        <v>1019</v>
      </c>
      <c r="U19" s="69">
        <v>9.3000000000000007</v>
      </c>
      <c r="V19" s="211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767</v>
      </c>
      <c r="AC19" s="69">
        <v>2024</v>
      </c>
      <c r="AD19" s="69" t="s">
        <v>1959</v>
      </c>
      <c r="AG19" s="68" t="s">
        <v>1060</v>
      </c>
      <c r="AH19" s="136" t="s">
        <v>1838</v>
      </c>
    </row>
    <row r="20" spans="1:37" ht="16.05" customHeight="1">
      <c r="A20" s="6" t="s">
        <v>58</v>
      </c>
      <c r="B20" s="263">
        <v>10</v>
      </c>
      <c r="C20" s="4"/>
      <c r="D20" s="6" t="s">
        <v>68</v>
      </c>
      <c r="E20" s="263"/>
      <c r="F20" s="12"/>
      <c r="G20" s="6" t="s">
        <v>78</v>
      </c>
      <c r="H20" s="263">
        <v>10</v>
      </c>
      <c r="I20" s="11"/>
      <c r="J20" s="6" t="s">
        <v>92</v>
      </c>
      <c r="K20" s="263">
        <v>8</v>
      </c>
      <c r="L20" s="4"/>
      <c r="M20" s="6" t="s">
        <v>101</v>
      </c>
      <c r="N20" s="263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2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770</v>
      </c>
      <c r="AC20" s="70">
        <v>2008</v>
      </c>
      <c r="AD20" s="70" t="s">
        <v>1960</v>
      </c>
      <c r="AG20" s="52" t="s">
        <v>1061</v>
      </c>
      <c r="AH20" s="137" t="s">
        <v>1874</v>
      </c>
    </row>
    <row r="21" spans="1:37" ht="16.05" customHeight="1">
      <c r="A21" s="6" t="s">
        <v>59</v>
      </c>
      <c r="B21" s="263">
        <v>8.5</v>
      </c>
      <c r="C21" s="4"/>
      <c r="D21" s="6" t="s">
        <v>69</v>
      </c>
      <c r="E21" s="263">
        <v>9</v>
      </c>
      <c r="F21" s="12"/>
      <c r="G21" s="6" t="s">
        <v>79</v>
      </c>
      <c r="H21" s="263">
        <v>9</v>
      </c>
      <c r="I21" s="11"/>
      <c r="J21" s="6" t="s">
        <v>93</v>
      </c>
      <c r="K21" s="263">
        <v>8.5</v>
      </c>
      <c r="L21" s="4"/>
      <c r="M21" s="6" t="s">
        <v>102</v>
      </c>
      <c r="N21" s="263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3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790</v>
      </c>
      <c r="AC21" s="69">
        <v>2001</v>
      </c>
      <c r="AD21" s="69" t="s">
        <v>1948</v>
      </c>
      <c r="AK21" t="s">
        <v>278</v>
      </c>
    </row>
    <row r="22" spans="1:37" ht="16.05" customHeight="1">
      <c r="A22" s="6" t="s">
        <v>60</v>
      </c>
      <c r="B22" s="263">
        <v>9</v>
      </c>
      <c r="C22" s="4"/>
      <c r="D22" s="6" t="s">
        <v>70</v>
      </c>
      <c r="E22" s="263">
        <v>8</v>
      </c>
      <c r="F22" s="12"/>
      <c r="G22" s="6" t="s">
        <v>80</v>
      </c>
      <c r="H22" s="263">
        <v>8</v>
      </c>
      <c r="I22" s="11"/>
      <c r="J22" s="6" t="s">
        <v>94</v>
      </c>
      <c r="K22" s="263">
        <v>8</v>
      </c>
      <c r="L22" s="4"/>
      <c r="M22" s="6" t="s">
        <v>103</v>
      </c>
      <c r="N22" s="263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767</v>
      </c>
      <c r="AC22" s="70">
        <v>1982</v>
      </c>
      <c r="AD22" s="70" t="s">
        <v>1950</v>
      </c>
      <c r="AG22" s="135" t="s">
        <v>1062</v>
      </c>
      <c r="AH22" s="135"/>
      <c r="AK22" t="s">
        <v>279</v>
      </c>
    </row>
    <row r="23" spans="1:37" ht="16.05" customHeight="1" thickBot="1">
      <c r="A23" s="6" t="s">
        <v>61</v>
      </c>
      <c r="B23" s="263">
        <v>10.5</v>
      </c>
      <c r="C23" s="4"/>
      <c r="D23" s="6" t="s">
        <v>71</v>
      </c>
      <c r="E23" s="263">
        <v>10</v>
      </c>
      <c r="F23" s="12"/>
      <c r="G23" s="6" t="s">
        <v>81</v>
      </c>
      <c r="H23" s="263">
        <v>8.5</v>
      </c>
      <c r="I23" s="11"/>
      <c r="J23" s="9" t="s">
        <v>95</v>
      </c>
      <c r="K23" s="263">
        <v>10.5</v>
      </c>
      <c r="L23" s="4"/>
      <c r="M23" s="6" t="s">
        <v>104</v>
      </c>
      <c r="N23" s="263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769</v>
      </c>
      <c r="AC23" s="69">
        <v>2007</v>
      </c>
      <c r="AD23" s="69" t="s">
        <v>1961</v>
      </c>
      <c r="AG23" s="68" t="s">
        <v>1063</v>
      </c>
      <c r="AH23" s="136" t="s">
        <v>2182</v>
      </c>
      <c r="AK23" t="s">
        <v>280</v>
      </c>
    </row>
    <row r="24" spans="1:37" ht="16.05" customHeight="1" thickBot="1">
      <c r="A24" s="9" t="s">
        <v>62</v>
      </c>
      <c r="B24" s="264">
        <v>8</v>
      </c>
      <c r="C24" s="4"/>
      <c r="D24" s="6" t="s">
        <v>72</v>
      </c>
      <c r="E24" s="263">
        <v>8.5</v>
      </c>
      <c r="F24" s="12"/>
      <c r="G24" s="6" t="s">
        <v>82</v>
      </c>
      <c r="H24" s="263">
        <v>8</v>
      </c>
      <c r="I24" s="11"/>
      <c r="J24" s="11"/>
      <c r="K24" s="11"/>
      <c r="L24" s="11"/>
      <c r="M24" s="6" t="s">
        <v>105</v>
      </c>
      <c r="N24" s="263">
        <v>7.5</v>
      </c>
      <c r="O24" s="22"/>
      <c r="R24" s="59">
        <v>22</v>
      </c>
      <c r="S24" s="68" t="s">
        <v>344</v>
      </c>
      <c r="T24" s="68" t="s">
        <v>706</v>
      </c>
      <c r="U24" s="70">
        <v>9.1300000000000008</v>
      </c>
      <c r="V24" s="214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789</v>
      </c>
      <c r="AC24" s="70">
        <v>1984</v>
      </c>
      <c r="AD24" s="70" t="s">
        <v>1958</v>
      </c>
      <c r="AG24" s="52" t="s">
        <v>1064</v>
      </c>
      <c r="AH24" s="137" t="s">
        <v>2183</v>
      </c>
    </row>
    <row r="25" spans="1:37" ht="16.05" customHeight="1" thickBot="1">
      <c r="A25" s="4"/>
      <c r="B25" s="4"/>
      <c r="C25" s="4"/>
      <c r="D25" s="6" t="s">
        <v>73</v>
      </c>
      <c r="E25" s="263">
        <v>9.5</v>
      </c>
      <c r="F25" s="12"/>
      <c r="G25" s="6" t="s">
        <v>83</v>
      </c>
      <c r="H25" s="263">
        <v>9.5</v>
      </c>
      <c r="I25" s="11"/>
      <c r="J25" s="107" t="s">
        <v>900</v>
      </c>
      <c r="K25" s="3">
        <f>ROUND(SUM(K26:K38)/COUNT(K26:K38), 2)</f>
        <v>8.42</v>
      </c>
      <c r="L25" s="4"/>
      <c r="M25" s="6" t="s">
        <v>106</v>
      </c>
      <c r="N25" s="263">
        <v>9</v>
      </c>
      <c r="O25" s="22"/>
      <c r="R25" s="59">
        <v>23</v>
      </c>
      <c r="S25" s="52" t="s">
        <v>922</v>
      </c>
      <c r="T25" s="52" t="s">
        <v>913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923</v>
      </c>
      <c r="AC25" s="69">
        <v>2021</v>
      </c>
      <c r="AD25" s="69" t="s">
        <v>1947</v>
      </c>
      <c r="AK25" t="s">
        <v>1822</v>
      </c>
    </row>
    <row r="26" spans="1:37" ht="16.05" customHeight="1" thickBot="1">
      <c r="A26" s="145" t="s">
        <v>1199</v>
      </c>
      <c r="B26" s="3">
        <f>ROUND(SUM(B27:B31)/COUNT(B27:B31), 2)</f>
        <v>9.4</v>
      </c>
      <c r="C26" s="4"/>
      <c r="D26" s="6" t="s">
        <v>74</v>
      </c>
      <c r="E26" s="263">
        <v>8</v>
      </c>
      <c r="F26" s="12"/>
      <c r="G26" s="6" t="s">
        <v>84</v>
      </c>
      <c r="H26" s="263">
        <v>7.5</v>
      </c>
      <c r="I26" s="11"/>
      <c r="J26" s="6" t="s">
        <v>113</v>
      </c>
      <c r="K26" s="262">
        <v>10</v>
      </c>
      <c r="L26" s="4"/>
      <c r="M26" s="9" t="s">
        <v>107</v>
      </c>
      <c r="N26" s="264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771</v>
      </c>
      <c r="AC26" s="70">
        <v>2001</v>
      </c>
      <c r="AD26" s="70" t="s">
        <v>1962</v>
      </c>
      <c r="AG26" s="135" t="s">
        <v>1065</v>
      </c>
      <c r="AH26" s="135"/>
      <c r="AK26" t="s">
        <v>290</v>
      </c>
    </row>
    <row r="27" spans="1:37" ht="16.05" customHeight="1" thickBot="1">
      <c r="A27" s="6" t="s">
        <v>108</v>
      </c>
      <c r="B27" s="262">
        <v>10</v>
      </c>
      <c r="C27" s="4"/>
      <c r="D27" s="6" t="s">
        <v>75</v>
      </c>
      <c r="E27" s="263">
        <v>9</v>
      </c>
      <c r="F27" s="12"/>
      <c r="G27" s="6" t="s">
        <v>85</v>
      </c>
      <c r="H27" s="263">
        <v>8.5</v>
      </c>
      <c r="I27" s="11"/>
      <c r="J27" s="6" t="s">
        <v>114</v>
      </c>
      <c r="K27" s="263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789</v>
      </c>
      <c r="AC27" s="69">
        <v>1990</v>
      </c>
      <c r="AD27" s="69" t="s">
        <v>1963</v>
      </c>
      <c r="AG27" s="68" t="s">
        <v>1066</v>
      </c>
      <c r="AH27" s="136" t="s">
        <v>2159</v>
      </c>
    </row>
    <row r="28" spans="1:37" ht="16.05" customHeight="1" thickBot="1">
      <c r="A28" s="6" t="s">
        <v>109</v>
      </c>
      <c r="B28" s="263">
        <v>9</v>
      </c>
      <c r="C28" s="11"/>
      <c r="D28" s="9" t="s">
        <v>1910</v>
      </c>
      <c r="E28" s="264">
        <v>7.5</v>
      </c>
      <c r="F28" s="11"/>
      <c r="G28" s="9" t="s">
        <v>86</v>
      </c>
      <c r="H28" s="264">
        <v>8</v>
      </c>
      <c r="I28" s="11"/>
      <c r="J28" s="6" t="s">
        <v>115</v>
      </c>
      <c r="K28" s="263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1144</v>
      </c>
      <c r="U28" s="70">
        <v>9</v>
      </c>
      <c r="V28" s="215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789</v>
      </c>
      <c r="AC28" s="70">
        <v>1988</v>
      </c>
      <c r="AD28" s="70" t="s">
        <v>1964</v>
      </c>
      <c r="AG28" s="52" t="s">
        <v>1067</v>
      </c>
      <c r="AH28" s="137" t="s">
        <v>2184</v>
      </c>
      <c r="AK28" s="15"/>
    </row>
    <row r="29" spans="1:37" ht="16.05" customHeight="1" thickBot="1">
      <c r="A29" s="6" t="s">
        <v>441</v>
      </c>
      <c r="B29" s="263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3">
        <v>8.5</v>
      </c>
      <c r="L29" s="4"/>
      <c r="M29" s="7" t="s">
        <v>133</v>
      </c>
      <c r="N29" s="262">
        <v>10</v>
      </c>
      <c r="O29" s="22"/>
      <c r="R29" s="59">
        <v>27</v>
      </c>
      <c r="S29" s="52" t="s">
        <v>491</v>
      </c>
      <c r="T29" s="52" t="s">
        <v>661</v>
      </c>
      <c r="U29" s="69">
        <v>8.94</v>
      </c>
      <c r="V29" s="216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769</v>
      </c>
      <c r="AC29" s="69">
        <v>2005</v>
      </c>
      <c r="AD29" s="69" t="s">
        <v>1965</v>
      </c>
      <c r="AG29" s="68" t="s">
        <v>1068</v>
      </c>
      <c r="AH29" s="136" t="s">
        <v>2185</v>
      </c>
      <c r="AK29" s="67" t="s">
        <v>525</v>
      </c>
    </row>
    <row r="30" spans="1:37" ht="16.05" customHeight="1" thickBot="1">
      <c r="A30" s="6" t="s">
        <v>111</v>
      </c>
      <c r="B30" s="263">
        <v>8.5</v>
      </c>
      <c r="C30" s="11"/>
      <c r="D30" s="104" t="s">
        <v>897</v>
      </c>
      <c r="E30" s="3">
        <f>ROUND(SUM(E31:E37)/COUNT(E31:E37), 2)</f>
        <v>9.2100000000000009</v>
      </c>
      <c r="F30" s="4"/>
      <c r="G30" s="102" t="s">
        <v>895</v>
      </c>
      <c r="H30" s="3">
        <f>ROUND(SUM(H31:H45)/COUNT(H31:H45), 2)</f>
        <v>9.61</v>
      </c>
      <c r="I30" s="11"/>
      <c r="J30" s="6" t="s">
        <v>117</v>
      </c>
      <c r="K30" s="263">
        <v>9.5</v>
      </c>
      <c r="L30" s="4"/>
      <c r="M30" s="8" t="s">
        <v>134</v>
      </c>
      <c r="N30" s="263">
        <v>9</v>
      </c>
      <c r="O30" s="22"/>
      <c r="R30" s="59">
        <v>28</v>
      </c>
      <c r="S30" s="68" t="s">
        <v>343</v>
      </c>
      <c r="T30" s="68" t="s">
        <v>981</v>
      </c>
      <c r="U30" s="70">
        <v>9</v>
      </c>
      <c r="V30" s="216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790</v>
      </c>
      <c r="AC30" s="70">
        <v>2005</v>
      </c>
      <c r="AD30" s="70" t="s">
        <v>1966</v>
      </c>
      <c r="AG30" s="52" t="s">
        <v>1069</v>
      </c>
      <c r="AH30" s="137" t="s">
        <v>2186</v>
      </c>
      <c r="AK30" s="15"/>
    </row>
    <row r="31" spans="1:37" ht="16.05" customHeight="1" thickBot="1">
      <c r="A31" s="9" t="s">
        <v>112</v>
      </c>
      <c r="B31" s="264">
        <v>9</v>
      </c>
      <c r="C31" s="11"/>
      <c r="D31" s="6" t="s">
        <v>126</v>
      </c>
      <c r="E31" s="262">
        <v>9</v>
      </c>
      <c r="F31" s="4"/>
      <c r="G31" s="7" t="s">
        <v>143</v>
      </c>
      <c r="H31" s="262">
        <v>10</v>
      </c>
      <c r="I31" s="11"/>
      <c r="J31" s="6" t="s">
        <v>118</v>
      </c>
      <c r="K31" s="263">
        <v>8.5</v>
      </c>
      <c r="L31" s="4"/>
      <c r="M31" s="8" t="s">
        <v>135</v>
      </c>
      <c r="N31" s="263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787</v>
      </c>
      <c r="AC31" s="69">
        <v>1995</v>
      </c>
      <c r="AD31" s="69" t="s">
        <v>1967</v>
      </c>
      <c r="AG31" s="68" t="s">
        <v>1070</v>
      </c>
      <c r="AH31" s="136" t="s">
        <v>2187</v>
      </c>
      <c r="AK31" s="54" t="s">
        <v>364</v>
      </c>
    </row>
    <row r="32" spans="1:37" ht="16.05" customHeight="1" thickBot="1">
      <c r="A32" s="4"/>
      <c r="B32" s="4"/>
      <c r="C32" s="11"/>
      <c r="D32" s="6" t="s">
        <v>127</v>
      </c>
      <c r="E32" s="263">
        <v>10</v>
      </c>
      <c r="F32" s="4"/>
      <c r="G32" s="8" t="s">
        <v>144</v>
      </c>
      <c r="H32" s="263">
        <v>10.5</v>
      </c>
      <c r="I32" s="4"/>
      <c r="J32" s="6" t="s">
        <v>119</v>
      </c>
      <c r="K32" s="263">
        <v>7.5</v>
      </c>
      <c r="L32" s="4"/>
      <c r="M32" s="8" t="s">
        <v>136</v>
      </c>
      <c r="N32" s="263">
        <v>8.5</v>
      </c>
      <c r="O32" s="22"/>
      <c r="R32" s="59">
        <v>30</v>
      </c>
      <c r="S32" s="68" t="s">
        <v>1579</v>
      </c>
      <c r="T32" s="68" t="s">
        <v>1580</v>
      </c>
      <c r="U32" s="70">
        <v>8.67</v>
      </c>
      <c r="V32" s="217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1581</v>
      </c>
      <c r="AC32" s="70">
        <v>2017</v>
      </c>
      <c r="AD32" s="70" t="s">
        <v>1956</v>
      </c>
      <c r="AG32" s="52" t="s">
        <v>1071</v>
      </c>
      <c r="AH32" s="137" t="s">
        <v>2188</v>
      </c>
      <c r="AK32" t="s">
        <v>365</v>
      </c>
    </row>
    <row r="33" spans="1:37" ht="16.05" customHeight="1" thickBot="1">
      <c r="A33" s="103" t="s">
        <v>896</v>
      </c>
      <c r="B33" s="14">
        <f>ROUND(SUM(B34:B45)/COUNT(B34:B45), 2)</f>
        <v>9.5500000000000007</v>
      </c>
      <c r="C33" s="11"/>
      <c r="D33" s="6" t="s">
        <v>128</v>
      </c>
      <c r="E33" s="263">
        <v>9</v>
      </c>
      <c r="F33" s="4"/>
      <c r="G33" s="6" t="s">
        <v>145</v>
      </c>
      <c r="H33" s="263">
        <v>10</v>
      </c>
      <c r="I33" s="4"/>
      <c r="J33" s="6" t="s">
        <v>120</v>
      </c>
      <c r="K33" s="263">
        <v>9</v>
      </c>
      <c r="L33" s="4"/>
      <c r="M33" s="8" t="s">
        <v>137</v>
      </c>
      <c r="N33" s="263">
        <v>9</v>
      </c>
      <c r="O33" s="22"/>
      <c r="R33" s="59">
        <v>31</v>
      </c>
      <c r="S33" s="52" t="s">
        <v>341</v>
      </c>
      <c r="T33" s="52" t="s">
        <v>1852</v>
      </c>
      <c r="U33" s="69">
        <v>8.92</v>
      </c>
      <c r="V33" s="276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1090</v>
      </c>
      <c r="AC33" s="69">
        <v>1971</v>
      </c>
      <c r="AD33" s="69" t="s">
        <v>1968</v>
      </c>
      <c r="AK33" t="s">
        <v>366</v>
      </c>
    </row>
    <row r="34" spans="1:37" ht="16.05" customHeight="1">
      <c r="A34" s="13" t="s">
        <v>146</v>
      </c>
      <c r="B34" s="262">
        <v>9</v>
      </c>
      <c r="C34" s="11"/>
      <c r="D34" s="6" t="s">
        <v>129</v>
      </c>
      <c r="E34" s="263">
        <v>10.5</v>
      </c>
      <c r="F34" s="4"/>
      <c r="G34" s="6" t="s">
        <v>201</v>
      </c>
      <c r="H34" s="263"/>
      <c r="I34" s="4"/>
      <c r="J34" s="6" t="s">
        <v>121</v>
      </c>
      <c r="K34" s="263">
        <v>8</v>
      </c>
      <c r="L34" s="4"/>
      <c r="M34" s="8" t="s">
        <v>138</v>
      </c>
      <c r="N34" s="263">
        <v>8</v>
      </c>
      <c r="O34" s="22"/>
      <c r="R34" s="59">
        <v>32</v>
      </c>
      <c r="S34" s="68" t="s">
        <v>354</v>
      </c>
      <c r="T34" s="68" t="s">
        <v>1646</v>
      </c>
      <c r="U34" s="70">
        <v>8.94</v>
      </c>
      <c r="V34" s="218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1664</v>
      </c>
      <c r="AC34" s="70">
        <v>2000</v>
      </c>
      <c r="AD34" s="70" t="s">
        <v>1955</v>
      </c>
      <c r="AG34" s="135" t="s">
        <v>1072</v>
      </c>
      <c r="AH34" s="135"/>
      <c r="AK34" t="s">
        <v>367</v>
      </c>
    </row>
    <row r="35" spans="1:37" ht="16.05" customHeight="1">
      <c r="A35" s="6" t="s">
        <v>147</v>
      </c>
      <c r="B35" s="263">
        <v>10.5</v>
      </c>
      <c r="C35" s="11"/>
      <c r="D35" s="6" t="s">
        <v>130</v>
      </c>
      <c r="E35" s="263">
        <v>9.5</v>
      </c>
      <c r="F35" s="4"/>
      <c r="G35" s="6" t="s">
        <v>202</v>
      </c>
      <c r="H35" s="263">
        <v>10.5</v>
      </c>
      <c r="I35" s="4"/>
      <c r="J35" s="6" t="s">
        <v>122</v>
      </c>
      <c r="K35" s="263">
        <v>7</v>
      </c>
      <c r="L35" s="4"/>
      <c r="M35" s="8" t="s">
        <v>139</v>
      </c>
      <c r="N35" s="263">
        <v>9</v>
      </c>
      <c r="O35" s="22"/>
      <c r="R35" s="59">
        <v>33</v>
      </c>
      <c r="S35" s="52" t="s">
        <v>355</v>
      </c>
      <c r="T35" s="52" t="s">
        <v>1889</v>
      </c>
      <c r="U35" s="69">
        <v>8.9600000000000009</v>
      </c>
      <c r="V35" s="281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1890</v>
      </c>
      <c r="AC35" s="69">
        <v>2003</v>
      </c>
      <c r="AD35" s="69" t="s">
        <v>1969</v>
      </c>
      <c r="AG35" s="68" t="s">
        <v>1073</v>
      </c>
      <c r="AH35" s="136" t="s">
        <v>1074</v>
      </c>
      <c r="AK35" t="s">
        <v>368</v>
      </c>
    </row>
    <row r="36" spans="1:37" ht="16.05" customHeight="1">
      <c r="A36" s="6" t="s">
        <v>148</v>
      </c>
      <c r="B36" s="263">
        <v>9.5</v>
      </c>
      <c r="C36" s="11"/>
      <c r="D36" s="6" t="s">
        <v>131</v>
      </c>
      <c r="E36" s="263">
        <v>8</v>
      </c>
      <c r="F36" s="4"/>
      <c r="G36" s="6" t="s">
        <v>203</v>
      </c>
      <c r="H36" s="263"/>
      <c r="I36" s="4"/>
      <c r="J36" s="6" t="s">
        <v>123</v>
      </c>
      <c r="K36" s="263"/>
      <c r="L36" s="4"/>
      <c r="M36" s="8" t="s">
        <v>140</v>
      </c>
      <c r="N36" s="263">
        <v>8.5</v>
      </c>
      <c r="O36" s="22"/>
      <c r="R36" s="59">
        <v>34</v>
      </c>
      <c r="S36" s="68" t="s">
        <v>1356</v>
      </c>
      <c r="T36" s="68" t="s">
        <v>1347</v>
      </c>
      <c r="U36" s="70">
        <v>8.9499999999999993</v>
      </c>
      <c r="V36" s="289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1360</v>
      </c>
      <c r="AC36" s="70">
        <v>2025</v>
      </c>
      <c r="AD36" s="70" t="s">
        <v>1973</v>
      </c>
      <c r="AG36" s="52" t="s">
        <v>1075</v>
      </c>
      <c r="AH36" s="137" t="s">
        <v>1839</v>
      </c>
      <c r="AK36" t="s">
        <v>420</v>
      </c>
    </row>
    <row r="37" spans="1:37" ht="16.05" customHeight="1" thickBot="1">
      <c r="A37" s="6" t="s">
        <v>149</v>
      </c>
      <c r="B37" s="263">
        <v>9.5</v>
      </c>
      <c r="C37" s="11"/>
      <c r="D37" s="9" t="s">
        <v>132</v>
      </c>
      <c r="E37" s="264">
        <v>8.5</v>
      </c>
      <c r="F37" s="4"/>
      <c r="G37" s="6" t="s">
        <v>204</v>
      </c>
      <c r="H37" s="263">
        <v>8.5</v>
      </c>
      <c r="I37" s="4"/>
      <c r="J37" s="6" t="s">
        <v>124</v>
      </c>
      <c r="K37" s="263">
        <v>7.5</v>
      </c>
      <c r="L37" s="4"/>
      <c r="M37" s="10" t="s">
        <v>141</v>
      </c>
      <c r="N37" s="264">
        <v>10</v>
      </c>
      <c r="O37" s="22"/>
      <c r="R37" s="59">
        <v>35</v>
      </c>
      <c r="S37" s="52" t="s">
        <v>1196</v>
      </c>
      <c r="T37" s="52" t="s">
        <v>2158</v>
      </c>
      <c r="U37" s="69">
        <v>8.7200000000000006</v>
      </c>
      <c r="V37" s="289">
        <v>8.91</v>
      </c>
      <c r="W37" s="52">
        <v>8.5</v>
      </c>
      <c r="X37" s="52">
        <v>0.85</v>
      </c>
      <c r="Y37" s="52">
        <v>5</v>
      </c>
      <c r="Z37" s="52">
        <v>30</v>
      </c>
      <c r="AA37" s="52">
        <v>1</v>
      </c>
      <c r="AB37" s="52" t="s">
        <v>1581</v>
      </c>
      <c r="AC37" s="69">
        <v>2013</v>
      </c>
      <c r="AD37" s="69" t="s">
        <v>2166</v>
      </c>
      <c r="AG37" s="68" t="s">
        <v>1076</v>
      </c>
      <c r="AH37" s="136" t="s">
        <v>2061</v>
      </c>
      <c r="AK37" t="s">
        <v>1275</v>
      </c>
    </row>
    <row r="38" spans="1:37" ht="16.05" customHeight="1" thickBot="1">
      <c r="A38" s="6" t="s">
        <v>150</v>
      </c>
      <c r="B38" s="263">
        <v>10.5</v>
      </c>
      <c r="C38" s="4"/>
      <c r="D38" s="4"/>
      <c r="E38" s="4"/>
      <c r="F38" s="4"/>
      <c r="G38" s="6" t="s">
        <v>205</v>
      </c>
      <c r="H38" s="263"/>
      <c r="I38" s="4"/>
      <c r="J38" s="9" t="s">
        <v>125</v>
      </c>
      <c r="K38" s="264">
        <v>7.5</v>
      </c>
      <c r="L38" s="4"/>
      <c r="M38" s="21"/>
      <c r="N38" s="21"/>
      <c r="O38" s="22"/>
      <c r="R38" s="59">
        <v>36</v>
      </c>
      <c r="S38" s="68" t="s">
        <v>1196</v>
      </c>
      <c r="T38" s="68" t="s">
        <v>1578</v>
      </c>
      <c r="U38" s="70">
        <v>8.7200000000000006</v>
      </c>
      <c r="V38" s="53">
        <v>8.89</v>
      </c>
      <c r="W38" s="68">
        <v>8.5</v>
      </c>
      <c r="X38" s="68">
        <v>1.03</v>
      </c>
      <c r="Y38" s="68">
        <v>5</v>
      </c>
      <c r="Z38" s="68">
        <v>24</v>
      </c>
      <c r="AA38" s="68">
        <v>1</v>
      </c>
      <c r="AB38" s="68" t="s">
        <v>1581</v>
      </c>
      <c r="AC38" s="70">
        <v>2011</v>
      </c>
      <c r="AD38" s="70" t="s">
        <v>1970</v>
      </c>
      <c r="AG38" s="52" t="s">
        <v>1077</v>
      </c>
      <c r="AH38" s="137" t="s">
        <v>1840</v>
      </c>
    </row>
    <row r="39" spans="1:37" ht="16.05" customHeight="1" thickBot="1">
      <c r="A39" s="6" t="s">
        <v>151</v>
      </c>
      <c r="B39" s="263">
        <v>9.5</v>
      </c>
      <c r="C39" s="4"/>
      <c r="D39" s="101" t="s">
        <v>894</v>
      </c>
      <c r="E39" s="3">
        <f>ROUND(SUM(E40:E52)/COUNT(E40:E52), 2)</f>
        <v>8.65</v>
      </c>
      <c r="F39" s="4"/>
      <c r="G39" s="6" t="s">
        <v>206</v>
      </c>
      <c r="H39" s="263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730</v>
      </c>
      <c r="T39" s="52" t="s">
        <v>1452</v>
      </c>
      <c r="U39" s="69">
        <v>8.8800000000000008</v>
      </c>
      <c r="V39" s="53">
        <v>8.89</v>
      </c>
      <c r="W39" s="52">
        <v>8.5</v>
      </c>
      <c r="X39" s="52">
        <v>0.74</v>
      </c>
      <c r="Y39" s="52">
        <v>2</v>
      </c>
      <c r="Z39" s="52">
        <v>15</v>
      </c>
      <c r="AA39" s="52">
        <v>2</v>
      </c>
      <c r="AB39" s="52" t="s">
        <v>1453</v>
      </c>
      <c r="AC39" s="69">
        <v>2005</v>
      </c>
      <c r="AD39" s="69" t="s">
        <v>1961</v>
      </c>
      <c r="AK39" t="s">
        <v>798</v>
      </c>
    </row>
    <row r="40" spans="1:37" ht="16.05" customHeight="1" thickBot="1">
      <c r="A40" s="6" t="s">
        <v>152</v>
      </c>
      <c r="B40" s="263"/>
      <c r="C40" s="4"/>
      <c r="D40" s="7" t="s">
        <v>164</v>
      </c>
      <c r="E40" s="262">
        <v>8.5</v>
      </c>
      <c r="F40" s="4"/>
      <c r="G40" s="6" t="s">
        <v>207</v>
      </c>
      <c r="H40" s="263"/>
      <c r="I40" s="4"/>
      <c r="J40" s="105" t="s">
        <v>898</v>
      </c>
      <c r="K40" s="14">
        <f>ROUND(SUM(K41:K52)/COUNT(K41:K52), 2)</f>
        <v>8.3800000000000008</v>
      </c>
      <c r="L40" s="4"/>
      <c r="M40" s="6" t="s">
        <v>176</v>
      </c>
      <c r="N40" s="262">
        <v>10</v>
      </c>
      <c r="O40" s="22"/>
      <c r="R40" s="59">
        <v>38</v>
      </c>
      <c r="S40" s="68" t="s">
        <v>1396</v>
      </c>
      <c r="T40" s="68" t="s">
        <v>1397</v>
      </c>
      <c r="U40" s="70">
        <v>8.82</v>
      </c>
      <c r="V40" s="219">
        <v>8.8800000000000008</v>
      </c>
      <c r="W40" s="68">
        <v>8.75</v>
      </c>
      <c r="X40" s="68">
        <v>0.92</v>
      </c>
      <c r="Y40" s="68">
        <v>3</v>
      </c>
      <c r="Z40" s="68">
        <v>16</v>
      </c>
      <c r="AA40" s="68">
        <v>2</v>
      </c>
      <c r="AB40" s="68" t="s">
        <v>1398</v>
      </c>
      <c r="AC40" s="70">
        <v>2015</v>
      </c>
      <c r="AD40" s="70" t="s">
        <v>1971</v>
      </c>
      <c r="AG40" s="135" t="s">
        <v>1078</v>
      </c>
      <c r="AH40" s="135"/>
    </row>
    <row r="41" spans="1:37" ht="16.05" customHeight="1">
      <c r="A41" s="6" t="s">
        <v>153</v>
      </c>
      <c r="B41" s="263">
        <v>9</v>
      </c>
      <c r="C41" s="4"/>
      <c r="D41" s="8" t="s">
        <v>165</v>
      </c>
      <c r="E41" s="263">
        <v>9</v>
      </c>
      <c r="F41" s="4"/>
      <c r="G41" s="6" t="s">
        <v>208</v>
      </c>
      <c r="H41" s="263">
        <v>10</v>
      </c>
      <c r="I41" s="4"/>
      <c r="J41" s="13" t="s">
        <v>190</v>
      </c>
      <c r="K41" s="262">
        <v>9</v>
      </c>
      <c r="L41" s="4"/>
      <c r="M41" s="6" t="s">
        <v>177</v>
      </c>
      <c r="N41" s="263">
        <v>9.5</v>
      </c>
      <c r="O41" s="22"/>
      <c r="R41" s="59">
        <v>39</v>
      </c>
      <c r="S41" s="52" t="s">
        <v>1516</v>
      </c>
      <c r="T41" s="52" t="s">
        <v>1517</v>
      </c>
      <c r="U41" s="69">
        <v>8.93</v>
      </c>
      <c r="V41" s="219">
        <v>8.8800000000000008</v>
      </c>
      <c r="W41" s="52">
        <v>9</v>
      </c>
      <c r="X41" s="52">
        <v>0.73</v>
      </c>
      <c r="Y41" s="52">
        <v>1</v>
      </c>
      <c r="Z41" s="52">
        <v>7</v>
      </c>
      <c r="AA41" s="52">
        <v>0</v>
      </c>
      <c r="AB41" s="52" t="s">
        <v>1520</v>
      </c>
      <c r="AC41" s="69">
        <v>2000</v>
      </c>
      <c r="AD41" s="69" t="s">
        <v>1967</v>
      </c>
      <c r="AG41" s="68" t="s">
        <v>1079</v>
      </c>
      <c r="AH41" s="136" t="s">
        <v>2197</v>
      </c>
    </row>
    <row r="42" spans="1:37" ht="16.05" customHeight="1">
      <c r="A42" s="6" t="s">
        <v>154</v>
      </c>
      <c r="B42" s="263">
        <v>9.5</v>
      </c>
      <c r="C42" s="4"/>
      <c r="D42" s="8" t="s">
        <v>166</v>
      </c>
      <c r="E42" s="263">
        <v>8.5</v>
      </c>
      <c r="F42" s="4"/>
      <c r="G42" s="6" t="s">
        <v>209</v>
      </c>
      <c r="H42" s="263"/>
      <c r="I42" s="4"/>
      <c r="J42" s="6" t="s">
        <v>191</v>
      </c>
      <c r="K42" s="263">
        <v>8.5</v>
      </c>
      <c r="L42" s="4"/>
      <c r="M42" s="6" t="s">
        <v>178</v>
      </c>
      <c r="N42" s="263">
        <v>9</v>
      </c>
      <c r="O42" s="22"/>
      <c r="R42" s="59">
        <v>40</v>
      </c>
      <c r="S42" s="68" t="s">
        <v>1620</v>
      </c>
      <c r="T42" s="68" t="s">
        <v>1621</v>
      </c>
      <c r="U42" s="70">
        <v>8.9</v>
      </c>
      <c r="V42" s="219">
        <v>8.8800000000000008</v>
      </c>
      <c r="W42" s="68">
        <v>9</v>
      </c>
      <c r="X42" s="68">
        <v>0.66</v>
      </c>
      <c r="Y42" s="68">
        <v>1</v>
      </c>
      <c r="Z42" s="68">
        <v>5</v>
      </c>
      <c r="AA42" s="68">
        <v>0</v>
      </c>
      <c r="AB42" s="68" t="s">
        <v>1622</v>
      </c>
      <c r="AC42" s="70">
        <v>1974</v>
      </c>
      <c r="AD42" s="70" t="s">
        <v>1956</v>
      </c>
      <c r="AG42" s="52" t="s">
        <v>1080</v>
      </c>
      <c r="AH42" s="137">
        <v>88</v>
      </c>
      <c r="AK42" t="s">
        <v>1017</v>
      </c>
    </row>
    <row r="43" spans="1:37" ht="16.05" customHeight="1">
      <c r="A43" s="6" t="s">
        <v>155</v>
      </c>
      <c r="B43" s="263">
        <v>9.5</v>
      </c>
      <c r="C43" s="4"/>
      <c r="D43" s="8" t="s">
        <v>167</v>
      </c>
      <c r="E43" s="263">
        <v>10</v>
      </c>
      <c r="F43" s="4"/>
      <c r="G43" s="6" t="s">
        <v>210</v>
      </c>
      <c r="H43" s="263">
        <v>9.5</v>
      </c>
      <c r="I43" s="4"/>
      <c r="J43" s="6" t="s">
        <v>192</v>
      </c>
      <c r="K43" s="263">
        <v>9</v>
      </c>
      <c r="L43" s="4"/>
      <c r="M43" s="6" t="s">
        <v>179</v>
      </c>
      <c r="N43" s="263">
        <v>10.5</v>
      </c>
      <c r="O43" s="22"/>
      <c r="R43" s="59">
        <v>41</v>
      </c>
      <c r="S43" s="52" t="s">
        <v>1775</v>
      </c>
      <c r="T43" s="52" t="s">
        <v>1776</v>
      </c>
      <c r="U43" s="69">
        <v>8.91</v>
      </c>
      <c r="V43" s="219">
        <v>8.8800000000000008</v>
      </c>
      <c r="W43" s="52">
        <v>9</v>
      </c>
      <c r="X43" s="52">
        <v>0.67</v>
      </c>
      <c r="Y43" s="52">
        <v>2</v>
      </c>
      <c r="Z43" s="52">
        <v>11</v>
      </c>
      <c r="AA43" s="52">
        <v>0</v>
      </c>
      <c r="AB43" s="52" t="s">
        <v>1110</v>
      </c>
      <c r="AC43" s="69">
        <v>1994</v>
      </c>
      <c r="AD43" s="69" t="s">
        <v>1972</v>
      </c>
      <c r="AG43" s="68" t="s">
        <v>1081</v>
      </c>
      <c r="AH43" s="136" t="s">
        <v>2073</v>
      </c>
    </row>
    <row r="44" spans="1:37" ht="16.05" customHeight="1">
      <c r="A44" s="6" t="s">
        <v>156</v>
      </c>
      <c r="B44" s="263">
        <v>10</v>
      </c>
      <c r="C44" s="4"/>
      <c r="D44" s="8" t="s">
        <v>168</v>
      </c>
      <c r="E44" s="263">
        <v>9</v>
      </c>
      <c r="F44" s="4"/>
      <c r="G44" s="6" t="s">
        <v>211</v>
      </c>
      <c r="H44" s="263"/>
      <c r="I44" s="4"/>
      <c r="J44" s="6" t="s">
        <v>193</v>
      </c>
      <c r="K44" s="263">
        <v>9.5</v>
      </c>
      <c r="L44" s="4"/>
      <c r="M44" s="6" t="s">
        <v>180</v>
      </c>
      <c r="N44" s="263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20">
        <v>8.8699999999999992</v>
      </c>
      <c r="W44" s="68">
        <v>9</v>
      </c>
      <c r="X44" s="68">
        <v>0.7</v>
      </c>
      <c r="Y44" s="68">
        <v>2</v>
      </c>
      <c r="Z44" s="68">
        <v>9</v>
      </c>
      <c r="AA44" s="68">
        <v>0</v>
      </c>
      <c r="AB44" s="68" t="s">
        <v>772</v>
      </c>
      <c r="AC44" s="70">
        <v>2020</v>
      </c>
      <c r="AD44" s="70" t="s">
        <v>1973</v>
      </c>
      <c r="AG44" s="52" t="s">
        <v>1082</v>
      </c>
      <c r="AH44" s="137" t="s">
        <v>2198</v>
      </c>
    </row>
    <row r="45" spans="1:37" ht="16.05" customHeight="1" thickBot="1">
      <c r="A45" s="9" t="s">
        <v>157</v>
      </c>
      <c r="B45" s="264">
        <v>8.5</v>
      </c>
      <c r="C45" s="4"/>
      <c r="D45" s="8" t="s">
        <v>160</v>
      </c>
      <c r="E45" s="263">
        <v>8</v>
      </c>
      <c r="F45" s="4"/>
      <c r="G45" s="6" t="s">
        <v>212</v>
      </c>
      <c r="H45" s="264">
        <v>8.5</v>
      </c>
      <c r="I45" s="4"/>
      <c r="J45" s="6" t="s">
        <v>194</v>
      </c>
      <c r="K45" s="263">
        <v>7.5</v>
      </c>
      <c r="L45" s="4"/>
      <c r="M45" s="6" t="s">
        <v>181</v>
      </c>
      <c r="N45" s="263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52">
        <v>8.5</v>
      </c>
      <c r="X45" s="52">
        <v>0.82</v>
      </c>
      <c r="Y45" s="52">
        <v>2</v>
      </c>
      <c r="Z45" s="52">
        <v>9</v>
      </c>
      <c r="AA45" s="52">
        <v>0</v>
      </c>
      <c r="AB45" s="52" t="s">
        <v>1228</v>
      </c>
      <c r="AC45" s="69">
        <v>1978</v>
      </c>
      <c r="AD45" s="69" t="s">
        <v>1955</v>
      </c>
      <c r="AG45" s="68" t="s">
        <v>1083</v>
      </c>
      <c r="AH45" s="136" t="s">
        <v>1084</v>
      </c>
    </row>
    <row r="46" spans="1:37" ht="16.05" customHeight="1" thickBot="1">
      <c r="A46" s="19"/>
      <c r="B46" s="19"/>
      <c r="C46" s="4"/>
      <c r="D46" s="8" t="s">
        <v>169</v>
      </c>
      <c r="E46" s="263">
        <v>9</v>
      </c>
      <c r="F46" s="4"/>
      <c r="G46" s="19"/>
      <c r="H46" s="19"/>
      <c r="I46" s="4"/>
      <c r="J46" s="6" t="s">
        <v>195</v>
      </c>
      <c r="K46" s="263">
        <v>10</v>
      </c>
      <c r="L46" s="4"/>
      <c r="M46" s="6" t="s">
        <v>182</v>
      </c>
      <c r="N46" s="263">
        <v>8.5</v>
      </c>
      <c r="O46" s="22"/>
      <c r="R46" s="59">
        <v>44</v>
      </c>
      <c r="S46" s="68" t="s">
        <v>354</v>
      </c>
      <c r="T46" s="68" t="s">
        <v>1006</v>
      </c>
      <c r="U46" s="70">
        <v>8.73</v>
      </c>
      <c r="V46" s="178">
        <v>8.85</v>
      </c>
      <c r="W46" s="68">
        <v>9</v>
      </c>
      <c r="X46" s="68">
        <v>0.96</v>
      </c>
      <c r="Y46" s="68">
        <v>2</v>
      </c>
      <c r="Z46" s="68">
        <v>11</v>
      </c>
      <c r="AA46" s="68">
        <v>0</v>
      </c>
      <c r="AB46" s="68" t="s">
        <v>1012</v>
      </c>
      <c r="AC46" s="70">
        <v>2002</v>
      </c>
      <c r="AD46" s="70" t="s">
        <v>1957</v>
      </c>
    </row>
    <row r="47" spans="1:37" ht="16.05" customHeight="1" thickBot="1">
      <c r="A47" s="100" t="s">
        <v>893</v>
      </c>
      <c r="B47" s="14">
        <f>ROUND(SUM(B48:B57)/COUNT(B48:B57), 2)</f>
        <v>8.7799999999999994</v>
      </c>
      <c r="C47" s="4"/>
      <c r="D47" s="8" t="s">
        <v>170</v>
      </c>
      <c r="E47" s="263">
        <v>8.5</v>
      </c>
      <c r="F47" s="22"/>
      <c r="G47" s="106" t="s">
        <v>899</v>
      </c>
      <c r="H47" s="3">
        <f>ROUND(SUM(H48:H55)/COUNT(H48:H55), 2)</f>
        <v>9.3800000000000008</v>
      </c>
      <c r="I47" s="4"/>
      <c r="J47" s="6" t="s">
        <v>196</v>
      </c>
      <c r="K47" s="263">
        <v>8</v>
      </c>
      <c r="L47" s="4"/>
      <c r="M47" s="6" t="s">
        <v>183</v>
      </c>
      <c r="N47" s="263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1">
        <v>8.84</v>
      </c>
      <c r="W47" s="52">
        <v>8.5</v>
      </c>
      <c r="X47" s="52">
        <v>0.94</v>
      </c>
      <c r="Y47" s="52">
        <v>2</v>
      </c>
      <c r="Z47" s="52">
        <v>9</v>
      </c>
      <c r="AA47" s="52">
        <v>0</v>
      </c>
      <c r="AB47" s="52" t="s">
        <v>773</v>
      </c>
      <c r="AC47" s="69">
        <v>1985</v>
      </c>
      <c r="AD47" s="69" t="s">
        <v>1957</v>
      </c>
      <c r="AG47" s="135" t="s">
        <v>1085</v>
      </c>
      <c r="AH47" s="135"/>
    </row>
    <row r="48" spans="1:37" ht="16.05" customHeight="1">
      <c r="A48" s="7" t="s">
        <v>255</v>
      </c>
      <c r="B48" s="262"/>
      <c r="C48" s="4"/>
      <c r="D48" s="8" t="s">
        <v>171</v>
      </c>
      <c r="E48" s="263">
        <v>8</v>
      </c>
      <c r="F48" s="4"/>
      <c r="G48" s="7" t="s">
        <v>213</v>
      </c>
      <c r="H48" s="262">
        <v>10</v>
      </c>
      <c r="I48" s="4"/>
      <c r="J48" s="6" t="s">
        <v>162</v>
      </c>
      <c r="K48" s="263">
        <v>7.5</v>
      </c>
      <c r="L48" s="4"/>
      <c r="M48" s="6" t="s">
        <v>184</v>
      </c>
      <c r="N48" s="263">
        <v>10</v>
      </c>
      <c r="O48" s="22"/>
      <c r="R48" s="59">
        <v>46</v>
      </c>
      <c r="S48" s="68" t="s">
        <v>1549</v>
      </c>
      <c r="T48" s="68" t="s">
        <v>1550</v>
      </c>
      <c r="U48" s="70">
        <v>8.82</v>
      </c>
      <c r="V48" s="221">
        <v>8.84</v>
      </c>
      <c r="W48" s="68">
        <v>8.5</v>
      </c>
      <c r="X48" s="68">
        <v>0.81</v>
      </c>
      <c r="Y48" s="68">
        <v>2</v>
      </c>
      <c r="Z48" s="68">
        <v>12</v>
      </c>
      <c r="AA48" s="68">
        <v>1</v>
      </c>
      <c r="AB48" s="68" t="s">
        <v>790</v>
      </c>
      <c r="AC48" s="70">
        <v>2005</v>
      </c>
      <c r="AD48" s="70" t="s">
        <v>1966</v>
      </c>
      <c r="AG48" s="52" t="s">
        <v>1086</v>
      </c>
      <c r="AH48" s="137" t="s">
        <v>1418</v>
      </c>
    </row>
    <row r="49" spans="1:34" ht="16.05" customHeight="1">
      <c r="A49" s="8" t="s">
        <v>256</v>
      </c>
      <c r="B49" s="263">
        <v>10</v>
      </c>
      <c r="C49" s="4"/>
      <c r="D49" s="8" t="s">
        <v>172</v>
      </c>
      <c r="E49" s="263">
        <v>10</v>
      </c>
      <c r="F49" s="4"/>
      <c r="G49" s="8" t="s">
        <v>214</v>
      </c>
      <c r="H49" s="263">
        <v>9.5</v>
      </c>
      <c r="I49" s="4"/>
      <c r="J49" s="6" t="s">
        <v>197</v>
      </c>
      <c r="K49" s="263">
        <v>7</v>
      </c>
      <c r="L49" s="4"/>
      <c r="M49" s="6" t="s">
        <v>185</v>
      </c>
      <c r="N49" s="263"/>
      <c r="O49" s="22"/>
      <c r="R49" s="59">
        <v>47</v>
      </c>
      <c r="S49" s="52" t="s">
        <v>1407</v>
      </c>
      <c r="T49" s="52" t="s">
        <v>1400</v>
      </c>
      <c r="U49" s="69">
        <v>8.86</v>
      </c>
      <c r="V49" s="221">
        <v>8.83</v>
      </c>
      <c r="W49" s="52">
        <v>9</v>
      </c>
      <c r="X49" s="52">
        <v>0.69</v>
      </c>
      <c r="Y49" s="52">
        <v>1</v>
      </c>
      <c r="Z49" s="52">
        <v>7</v>
      </c>
      <c r="AA49" s="52">
        <v>0</v>
      </c>
      <c r="AB49" s="52" t="s">
        <v>1409</v>
      </c>
      <c r="AC49" s="69">
        <v>1971</v>
      </c>
      <c r="AD49" s="69" t="s">
        <v>1974</v>
      </c>
      <c r="AG49" s="68" t="s">
        <v>1092</v>
      </c>
      <c r="AH49" s="136" t="s">
        <v>1152</v>
      </c>
    </row>
    <row r="50" spans="1:34" ht="16.05" customHeight="1">
      <c r="A50" s="8" t="s">
        <v>257</v>
      </c>
      <c r="B50" s="263">
        <v>9</v>
      </c>
      <c r="C50" s="4"/>
      <c r="D50" s="8" t="s">
        <v>173</v>
      </c>
      <c r="E50" s="263">
        <v>8.5</v>
      </c>
      <c r="F50" s="4"/>
      <c r="G50" s="8" t="s">
        <v>215</v>
      </c>
      <c r="H50" s="263">
        <v>9.5</v>
      </c>
      <c r="I50" s="4"/>
      <c r="J50" s="6" t="s">
        <v>198</v>
      </c>
      <c r="K50" s="263">
        <v>7</v>
      </c>
      <c r="L50" s="4"/>
      <c r="M50" s="6" t="s">
        <v>186</v>
      </c>
      <c r="N50" s="263">
        <v>8</v>
      </c>
      <c r="O50" s="22"/>
      <c r="R50" s="59">
        <v>48</v>
      </c>
      <c r="S50" s="68" t="s">
        <v>597</v>
      </c>
      <c r="T50" s="68" t="s">
        <v>598</v>
      </c>
      <c r="U50" s="70">
        <v>8.7799999999999994</v>
      </c>
      <c r="V50" s="179">
        <v>8.7899999999999991</v>
      </c>
      <c r="W50" s="68">
        <v>8.5</v>
      </c>
      <c r="X50" s="68">
        <v>0.97</v>
      </c>
      <c r="Y50" s="68">
        <v>2</v>
      </c>
      <c r="Z50" s="68">
        <v>9</v>
      </c>
      <c r="AA50" s="68">
        <v>0</v>
      </c>
      <c r="AB50" s="68" t="s">
        <v>833</v>
      </c>
      <c r="AC50" s="70">
        <v>1983</v>
      </c>
      <c r="AD50" s="70" t="s">
        <v>1958</v>
      </c>
      <c r="AG50" s="52" t="s">
        <v>1088</v>
      </c>
      <c r="AH50" s="137" t="s">
        <v>1089</v>
      </c>
    </row>
    <row r="51" spans="1:34" ht="16.05" customHeight="1">
      <c r="A51" s="8" t="s">
        <v>258</v>
      </c>
      <c r="B51" s="263">
        <v>9</v>
      </c>
      <c r="C51" s="4"/>
      <c r="D51" s="8" t="s">
        <v>174</v>
      </c>
      <c r="E51" s="263">
        <v>8</v>
      </c>
      <c r="F51" s="4"/>
      <c r="G51" s="8" t="s">
        <v>216</v>
      </c>
      <c r="H51" s="263">
        <v>10.5</v>
      </c>
      <c r="I51" s="4"/>
      <c r="J51" s="6" t="s">
        <v>199</v>
      </c>
      <c r="K51" s="263">
        <v>7.5</v>
      </c>
      <c r="L51" s="4"/>
      <c r="M51" s="6" t="s">
        <v>187</v>
      </c>
      <c r="N51" s="263">
        <v>10</v>
      </c>
      <c r="O51" s="22"/>
      <c r="R51" s="59">
        <v>49</v>
      </c>
      <c r="S51" s="52" t="s">
        <v>346</v>
      </c>
      <c r="T51" s="52" t="s">
        <v>640</v>
      </c>
      <c r="U51" s="69">
        <v>8.77</v>
      </c>
      <c r="V51" s="179">
        <v>8.7899999999999991</v>
      </c>
      <c r="W51" s="52">
        <v>8.5</v>
      </c>
      <c r="X51" s="52">
        <v>0.99</v>
      </c>
      <c r="Y51" s="52">
        <v>3</v>
      </c>
      <c r="Z51" s="52">
        <v>13</v>
      </c>
      <c r="AA51" s="52">
        <v>0</v>
      </c>
      <c r="AB51" s="52" t="s">
        <v>771</v>
      </c>
      <c r="AC51" s="69">
        <v>2013</v>
      </c>
      <c r="AD51" s="69" t="s">
        <v>1975</v>
      </c>
      <c r="AG51" s="68" t="s">
        <v>1091</v>
      </c>
      <c r="AH51" s="136" t="s">
        <v>2016</v>
      </c>
    </row>
    <row r="52" spans="1:34" ht="16.05" customHeight="1" thickBot="1">
      <c r="A52" s="8" t="s">
        <v>259</v>
      </c>
      <c r="B52" s="263">
        <v>8</v>
      </c>
      <c r="C52" s="4"/>
      <c r="D52" s="10" t="s">
        <v>175</v>
      </c>
      <c r="E52" s="264">
        <v>7.5</v>
      </c>
      <c r="F52" s="4"/>
      <c r="G52" s="8" t="s">
        <v>217</v>
      </c>
      <c r="H52" s="263">
        <v>8.5</v>
      </c>
      <c r="I52" s="4"/>
      <c r="J52" s="9" t="s">
        <v>200</v>
      </c>
      <c r="K52" s="264">
        <v>10</v>
      </c>
      <c r="L52" s="4"/>
      <c r="M52" s="9" t="s">
        <v>188</v>
      </c>
      <c r="N52" s="264">
        <v>10</v>
      </c>
      <c r="O52" s="22"/>
      <c r="R52" s="59">
        <v>50</v>
      </c>
      <c r="S52" s="68" t="s">
        <v>830</v>
      </c>
      <c r="T52" s="68" t="s">
        <v>831</v>
      </c>
      <c r="U52" s="70">
        <v>8.82</v>
      </c>
      <c r="V52" s="179">
        <v>8.7899999999999991</v>
      </c>
      <c r="W52" s="68">
        <v>9</v>
      </c>
      <c r="X52" s="68">
        <v>0.86</v>
      </c>
      <c r="Y52" s="68">
        <v>3</v>
      </c>
      <c r="Z52" s="68">
        <v>13</v>
      </c>
      <c r="AA52" s="68">
        <v>2</v>
      </c>
      <c r="AB52" s="68" t="s">
        <v>832</v>
      </c>
      <c r="AC52" s="70">
        <v>2010</v>
      </c>
      <c r="AD52" s="70" t="s">
        <v>1976</v>
      </c>
      <c r="AG52" s="52" t="s">
        <v>1114</v>
      </c>
      <c r="AH52" s="137" t="s">
        <v>1824</v>
      </c>
    </row>
    <row r="53" spans="1:34" ht="16.05" customHeight="1" thickBot="1">
      <c r="A53" s="8" t="s">
        <v>260</v>
      </c>
      <c r="B53" s="263">
        <v>8</v>
      </c>
      <c r="C53" s="4"/>
      <c r="D53" s="19"/>
      <c r="E53" s="21"/>
      <c r="F53" s="4"/>
      <c r="G53" s="8" t="s">
        <v>218</v>
      </c>
      <c r="H53" s="263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1301</v>
      </c>
      <c r="T53" s="52" t="s">
        <v>1302</v>
      </c>
      <c r="U53" s="69">
        <v>8.67</v>
      </c>
      <c r="V53" s="179">
        <v>8.7899999999999991</v>
      </c>
      <c r="W53" s="52">
        <v>9</v>
      </c>
      <c r="X53" s="52">
        <v>1.08</v>
      </c>
      <c r="Y53" s="52">
        <v>2</v>
      </c>
      <c r="Z53" s="52">
        <v>9</v>
      </c>
      <c r="AA53" s="52">
        <v>0</v>
      </c>
      <c r="AB53" s="52" t="s">
        <v>1306</v>
      </c>
      <c r="AC53" s="69">
        <v>2008</v>
      </c>
      <c r="AD53" s="69" t="s">
        <v>1977</v>
      </c>
      <c r="AG53" s="68" t="s">
        <v>1093</v>
      </c>
      <c r="AH53" s="136" t="s">
        <v>1094</v>
      </c>
    </row>
    <row r="54" spans="1:34" ht="16.05" customHeight="1" thickBot="1">
      <c r="A54" s="8" t="s">
        <v>261</v>
      </c>
      <c r="B54" s="263">
        <v>8</v>
      </c>
      <c r="C54" s="4"/>
      <c r="D54" s="99" t="s">
        <v>892</v>
      </c>
      <c r="E54" s="14">
        <f>ROUND(SUM(E55:E63)/COUNT(E55:E63), 2)</f>
        <v>9</v>
      </c>
      <c r="F54" s="4"/>
      <c r="G54" s="8" t="s">
        <v>219</v>
      </c>
      <c r="H54" s="263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891</v>
      </c>
      <c r="N54" s="14">
        <f>ROUND(SUM(N55:N65)/COUNT(N55:N65), 2)</f>
        <v>9.15</v>
      </c>
      <c r="O54" s="22"/>
      <c r="R54" s="59">
        <v>52</v>
      </c>
      <c r="S54" s="68" t="s">
        <v>1702</v>
      </c>
      <c r="T54" s="68" t="s">
        <v>1701</v>
      </c>
      <c r="U54" s="70">
        <v>8.85</v>
      </c>
      <c r="V54" s="222">
        <v>8.7799999999999994</v>
      </c>
      <c r="W54" s="68">
        <v>8.75</v>
      </c>
      <c r="X54" s="68">
        <v>0.55000000000000004</v>
      </c>
      <c r="Y54" s="68">
        <v>1</v>
      </c>
      <c r="Z54" s="68">
        <v>10</v>
      </c>
      <c r="AA54" s="68">
        <v>0</v>
      </c>
      <c r="AB54" s="68" t="s">
        <v>1703</v>
      </c>
      <c r="AC54" s="70">
        <v>2014</v>
      </c>
      <c r="AD54" s="70" t="s">
        <v>1978</v>
      </c>
      <c r="AG54" s="52" t="s">
        <v>1095</v>
      </c>
      <c r="AH54" s="137" t="s">
        <v>1094</v>
      </c>
    </row>
    <row r="55" spans="1:34" ht="16.05" customHeight="1" thickBot="1">
      <c r="A55" s="8" t="s">
        <v>262</v>
      </c>
      <c r="B55" s="263">
        <v>8</v>
      </c>
      <c r="C55" s="4"/>
      <c r="D55" s="7" t="s">
        <v>266</v>
      </c>
      <c r="E55" s="262">
        <v>10</v>
      </c>
      <c r="F55" s="4"/>
      <c r="G55" s="10" t="s">
        <v>220</v>
      </c>
      <c r="H55" s="264">
        <v>10</v>
      </c>
      <c r="I55" s="4"/>
      <c r="J55" s="7" t="s">
        <v>302</v>
      </c>
      <c r="K55" s="262">
        <v>10</v>
      </c>
      <c r="L55" s="4"/>
      <c r="M55" s="7" t="s">
        <v>291</v>
      </c>
      <c r="N55" s="262">
        <v>10</v>
      </c>
      <c r="O55" s="22"/>
      <c r="R55" s="59">
        <v>53</v>
      </c>
      <c r="S55" s="52" t="s">
        <v>340</v>
      </c>
      <c r="T55" s="52" t="s">
        <v>1417</v>
      </c>
      <c r="U55" s="69">
        <v>8.83</v>
      </c>
      <c r="V55" s="180">
        <v>8.77</v>
      </c>
      <c r="W55" s="52">
        <v>8.75</v>
      </c>
      <c r="X55" s="52">
        <v>0.62</v>
      </c>
      <c r="Y55" s="52">
        <v>1</v>
      </c>
      <c r="Z55" s="52">
        <v>6</v>
      </c>
      <c r="AA55" s="52">
        <v>0</v>
      </c>
      <c r="AB55" s="52" t="s">
        <v>1421</v>
      </c>
      <c r="AC55" s="69">
        <v>2023</v>
      </c>
      <c r="AD55" s="69" t="s">
        <v>1979</v>
      </c>
      <c r="AG55" s="68" t="s">
        <v>1087</v>
      </c>
      <c r="AH55" s="136" t="s">
        <v>1892</v>
      </c>
    </row>
    <row r="56" spans="1:34" ht="16.05" customHeight="1" thickBot="1">
      <c r="A56" s="8" t="s">
        <v>263</v>
      </c>
      <c r="B56" s="263">
        <v>10</v>
      </c>
      <c r="C56" s="4"/>
      <c r="D56" s="8" t="s">
        <v>267</v>
      </c>
      <c r="E56" s="263">
        <v>9.5</v>
      </c>
      <c r="F56" s="4"/>
      <c r="G56" s="21"/>
      <c r="H56" s="21"/>
      <c r="I56" s="4"/>
      <c r="J56" s="8" t="s">
        <v>303</v>
      </c>
      <c r="K56" s="263">
        <v>9</v>
      </c>
      <c r="L56" s="4"/>
      <c r="M56" s="8" t="s">
        <v>292</v>
      </c>
      <c r="N56" s="263">
        <v>8.5</v>
      </c>
      <c r="O56" s="22"/>
      <c r="R56" s="59">
        <v>54</v>
      </c>
      <c r="S56" s="68" t="s">
        <v>1809</v>
      </c>
      <c r="T56" s="68" t="s">
        <v>1810</v>
      </c>
      <c r="U56" s="70">
        <v>8.83</v>
      </c>
      <c r="V56" s="180">
        <v>8.77</v>
      </c>
      <c r="W56" s="68">
        <v>8.75</v>
      </c>
      <c r="X56" s="68">
        <v>0.62</v>
      </c>
      <c r="Y56" s="68">
        <v>1</v>
      </c>
      <c r="Z56" s="68">
        <v>6</v>
      </c>
      <c r="AA56" s="68">
        <v>0</v>
      </c>
      <c r="AB56" s="68" t="s">
        <v>1814</v>
      </c>
      <c r="AC56" s="70">
        <v>1991</v>
      </c>
      <c r="AD56" s="70" t="s">
        <v>1979</v>
      </c>
      <c r="AG56" s="52" t="s">
        <v>1090</v>
      </c>
      <c r="AH56" s="137" t="s">
        <v>2077</v>
      </c>
    </row>
    <row r="57" spans="1:34" ht="16.05" customHeight="1" thickBot="1">
      <c r="A57" s="10" t="s">
        <v>264</v>
      </c>
      <c r="B57" s="264">
        <v>9</v>
      </c>
      <c r="C57" s="4"/>
      <c r="D57" s="8" t="s">
        <v>268</v>
      </c>
      <c r="E57" s="263">
        <v>8</v>
      </c>
      <c r="F57" s="22"/>
      <c r="G57" s="299" t="s">
        <v>2127</v>
      </c>
      <c r="H57" s="3">
        <f>ROUND(SUM(H58:H67)/COUNT(H58:H67), 2)</f>
        <v>8.35</v>
      </c>
      <c r="I57" s="4"/>
      <c r="J57" s="8" t="s">
        <v>304</v>
      </c>
      <c r="K57" s="263">
        <v>8</v>
      </c>
      <c r="L57" s="4"/>
      <c r="M57" s="8" t="s">
        <v>293</v>
      </c>
      <c r="N57" s="263">
        <v>9</v>
      </c>
      <c r="O57" s="22"/>
      <c r="R57" s="59">
        <v>55</v>
      </c>
      <c r="S57" s="52" t="s">
        <v>355</v>
      </c>
      <c r="T57" s="52" t="s">
        <v>1201</v>
      </c>
      <c r="U57" s="69">
        <v>8.73</v>
      </c>
      <c r="V57" s="131">
        <v>8.76</v>
      </c>
      <c r="W57" s="52">
        <v>8.5</v>
      </c>
      <c r="X57" s="52">
        <v>0.87</v>
      </c>
      <c r="Y57" s="52">
        <v>2</v>
      </c>
      <c r="Z57" s="52">
        <v>13</v>
      </c>
      <c r="AA57" s="52">
        <v>0</v>
      </c>
      <c r="AB57" s="52" t="s">
        <v>1203</v>
      </c>
      <c r="AC57" s="69">
        <v>2009</v>
      </c>
      <c r="AD57" s="69" t="s">
        <v>1980</v>
      </c>
      <c r="AG57" s="68" t="s">
        <v>773</v>
      </c>
      <c r="AH57" s="136" t="s">
        <v>1153</v>
      </c>
    </row>
    <row r="58" spans="1:34" ht="16.05" customHeight="1" thickBot="1">
      <c r="A58" s="21"/>
      <c r="B58" s="21"/>
      <c r="C58" s="4"/>
      <c r="D58" s="8" t="s">
        <v>269</v>
      </c>
      <c r="E58" s="263">
        <v>8.5</v>
      </c>
      <c r="F58" s="4"/>
      <c r="G58" s="7" t="s">
        <v>313</v>
      </c>
      <c r="H58" s="262">
        <v>8</v>
      </c>
      <c r="I58" s="4"/>
      <c r="J58" s="8" t="s">
        <v>305</v>
      </c>
      <c r="K58" s="263">
        <v>7</v>
      </c>
      <c r="L58" s="4"/>
      <c r="M58" s="8" t="s">
        <v>294</v>
      </c>
      <c r="N58" s="263">
        <v>10.5</v>
      </c>
      <c r="O58" s="22"/>
      <c r="R58" s="59">
        <v>56</v>
      </c>
      <c r="S58" s="68" t="s">
        <v>351</v>
      </c>
      <c r="T58" s="68" t="s">
        <v>277</v>
      </c>
      <c r="U58" s="70">
        <v>8.7799999999999994</v>
      </c>
      <c r="V58" s="131">
        <v>8.76</v>
      </c>
      <c r="W58" s="68">
        <v>9</v>
      </c>
      <c r="X58" s="68">
        <v>0.79</v>
      </c>
      <c r="Y58" s="68">
        <v>2</v>
      </c>
      <c r="Z58" s="68">
        <v>10</v>
      </c>
      <c r="AA58" s="68">
        <v>1</v>
      </c>
      <c r="AB58" s="68" t="s">
        <v>774</v>
      </c>
      <c r="AC58" s="70">
        <v>1994</v>
      </c>
      <c r="AD58" s="70" t="s">
        <v>1979</v>
      </c>
      <c r="AG58" s="52" t="s">
        <v>2124</v>
      </c>
      <c r="AH58" s="137" t="s">
        <v>2199</v>
      </c>
    </row>
    <row r="59" spans="1:34" ht="16.05" customHeight="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3">
        <v>9</v>
      </c>
      <c r="F59" s="4"/>
      <c r="G59" s="8" t="s">
        <v>314</v>
      </c>
      <c r="H59" s="263">
        <v>10</v>
      </c>
      <c r="I59" s="4"/>
      <c r="J59" s="8" t="s">
        <v>306</v>
      </c>
      <c r="K59" s="263">
        <v>8</v>
      </c>
      <c r="L59" s="4"/>
      <c r="M59" s="8" t="s">
        <v>295</v>
      </c>
      <c r="N59" s="263">
        <v>8</v>
      </c>
      <c r="O59" s="22"/>
      <c r="R59" s="59">
        <v>57</v>
      </c>
      <c r="S59" s="52" t="s">
        <v>851</v>
      </c>
      <c r="T59" s="52" t="s">
        <v>846</v>
      </c>
      <c r="U59" s="69">
        <v>8.7100000000000009</v>
      </c>
      <c r="V59" s="131">
        <v>8.76</v>
      </c>
      <c r="W59" s="52">
        <v>8.5</v>
      </c>
      <c r="X59" s="52">
        <v>0.75</v>
      </c>
      <c r="Y59" s="52">
        <v>2</v>
      </c>
      <c r="Z59" s="52">
        <v>14</v>
      </c>
      <c r="AA59" s="52">
        <v>0</v>
      </c>
      <c r="AB59" s="52" t="s">
        <v>852</v>
      </c>
      <c r="AC59" s="69">
        <v>2005</v>
      </c>
      <c r="AD59" s="69" t="s">
        <v>1981</v>
      </c>
      <c r="AG59" s="68" t="s">
        <v>1893</v>
      </c>
      <c r="AH59" s="136" t="s">
        <v>1894</v>
      </c>
    </row>
    <row r="60" spans="1:34" ht="16.05" customHeight="1">
      <c r="A60" s="7" t="s">
        <v>281</v>
      </c>
      <c r="B60" s="262">
        <v>8</v>
      </c>
      <c r="C60" s="4"/>
      <c r="D60" s="8" t="s">
        <v>271</v>
      </c>
      <c r="E60" s="263">
        <v>9</v>
      </c>
      <c r="F60" s="4"/>
      <c r="G60" s="8" t="s">
        <v>315</v>
      </c>
      <c r="H60" s="263">
        <v>10</v>
      </c>
      <c r="I60" s="4"/>
      <c r="J60" s="8" t="s">
        <v>307</v>
      </c>
      <c r="K60" s="263">
        <v>8</v>
      </c>
      <c r="L60" s="4"/>
      <c r="M60" s="8" t="s">
        <v>296</v>
      </c>
      <c r="N60" s="263">
        <v>8.5</v>
      </c>
      <c r="O60" s="22"/>
      <c r="R60" s="59">
        <v>58</v>
      </c>
      <c r="S60" s="68" t="s">
        <v>1505</v>
      </c>
      <c r="T60" s="68" t="s">
        <v>1506</v>
      </c>
      <c r="U60" s="70">
        <v>8.73</v>
      </c>
      <c r="V60" s="131">
        <v>8.76</v>
      </c>
      <c r="W60" s="68">
        <v>8.5</v>
      </c>
      <c r="X60" s="68">
        <v>0.75</v>
      </c>
      <c r="Y60" s="68">
        <v>1</v>
      </c>
      <c r="Z60" s="68">
        <v>13</v>
      </c>
      <c r="AA60" s="68">
        <v>0</v>
      </c>
      <c r="AB60" s="68" t="s">
        <v>1507</v>
      </c>
      <c r="AC60" s="70">
        <v>1992</v>
      </c>
      <c r="AD60" s="70" t="s">
        <v>1975</v>
      </c>
      <c r="AG60" s="52" t="s">
        <v>1635</v>
      </c>
      <c r="AH60" s="137" t="s">
        <v>1636</v>
      </c>
    </row>
    <row r="61" spans="1:34" ht="16.05" customHeight="1">
      <c r="A61" s="8" t="s">
        <v>282</v>
      </c>
      <c r="B61" s="263">
        <v>7</v>
      </c>
      <c r="C61" s="4"/>
      <c r="D61" s="8" t="s">
        <v>272</v>
      </c>
      <c r="E61" s="263">
        <v>10.5</v>
      </c>
      <c r="F61" s="4"/>
      <c r="G61" s="8" t="s">
        <v>316</v>
      </c>
      <c r="H61" s="263">
        <v>9</v>
      </c>
      <c r="I61" s="4"/>
      <c r="J61" s="8" t="s">
        <v>308</v>
      </c>
      <c r="K61" s="263">
        <v>9</v>
      </c>
      <c r="L61" s="4"/>
      <c r="M61" s="8" t="s">
        <v>297</v>
      </c>
      <c r="N61" s="263">
        <v>7.5</v>
      </c>
      <c r="O61" s="22"/>
      <c r="R61" s="59">
        <v>59</v>
      </c>
      <c r="S61" s="52" t="s">
        <v>336</v>
      </c>
      <c r="T61" s="52" t="s">
        <v>570</v>
      </c>
      <c r="U61" s="69">
        <v>8.77</v>
      </c>
      <c r="V61" s="223">
        <v>8.75</v>
      </c>
      <c r="W61" s="52">
        <v>9</v>
      </c>
      <c r="X61" s="52">
        <v>0.72</v>
      </c>
      <c r="Y61" s="52">
        <v>1</v>
      </c>
      <c r="Z61" s="52">
        <v>11</v>
      </c>
      <c r="AA61" s="52">
        <v>0</v>
      </c>
      <c r="AB61" s="52" t="s">
        <v>766</v>
      </c>
      <c r="AC61" s="69">
        <v>2016</v>
      </c>
      <c r="AD61" s="69" t="s">
        <v>1977</v>
      </c>
      <c r="AG61" s="68" t="s">
        <v>1097</v>
      </c>
      <c r="AH61" s="136" t="s">
        <v>1098</v>
      </c>
    </row>
    <row r="62" spans="1:34" ht="16.05" customHeight="1">
      <c r="A62" s="8" t="s">
        <v>283</v>
      </c>
      <c r="B62" s="263">
        <v>7.5</v>
      </c>
      <c r="C62" s="4"/>
      <c r="D62" s="8" t="s">
        <v>273</v>
      </c>
      <c r="E62" s="263">
        <v>8</v>
      </c>
      <c r="F62" s="4"/>
      <c r="G62" s="8" t="s">
        <v>317</v>
      </c>
      <c r="H62" s="263">
        <v>7</v>
      </c>
      <c r="I62" s="4"/>
      <c r="J62" s="8" t="s">
        <v>309</v>
      </c>
      <c r="K62" s="263">
        <v>8</v>
      </c>
      <c r="L62" s="4"/>
      <c r="M62" s="8" t="s">
        <v>298</v>
      </c>
      <c r="N62" s="263">
        <v>10</v>
      </c>
      <c r="O62" s="22"/>
      <c r="R62" s="59">
        <v>60</v>
      </c>
      <c r="S62" s="68" t="s">
        <v>730</v>
      </c>
      <c r="T62" s="68" t="s">
        <v>726</v>
      </c>
      <c r="U62" s="70">
        <v>8.67</v>
      </c>
      <c r="V62" s="223">
        <v>8.75</v>
      </c>
      <c r="W62" s="68">
        <v>8</v>
      </c>
      <c r="X62" s="68">
        <v>1.04</v>
      </c>
      <c r="Y62" s="68">
        <v>4</v>
      </c>
      <c r="Z62" s="68">
        <v>16</v>
      </c>
      <c r="AA62" s="68">
        <v>1</v>
      </c>
      <c r="AB62" s="68" t="s">
        <v>791</v>
      </c>
      <c r="AC62" s="70">
        <v>2010</v>
      </c>
      <c r="AD62" s="70" t="s">
        <v>1982</v>
      </c>
      <c r="AG62" s="52" t="s">
        <v>1378</v>
      </c>
      <c r="AH62" s="137" t="s">
        <v>2125</v>
      </c>
    </row>
    <row r="63" spans="1:34" ht="16.05" customHeight="1" thickBot="1">
      <c r="A63" s="8" t="s">
        <v>284</v>
      </c>
      <c r="B63" s="263">
        <v>8.5</v>
      </c>
      <c r="C63" s="4"/>
      <c r="D63" s="10" t="s">
        <v>274</v>
      </c>
      <c r="E63" s="264">
        <v>8.5</v>
      </c>
      <c r="F63" s="4"/>
      <c r="G63" s="8" t="s">
        <v>318</v>
      </c>
      <c r="H63" s="263">
        <v>8.5</v>
      </c>
      <c r="I63" s="4"/>
      <c r="J63" s="8" t="s">
        <v>310</v>
      </c>
      <c r="K63" s="263">
        <v>8.5</v>
      </c>
      <c r="L63" s="4"/>
      <c r="M63" s="8" t="s">
        <v>299</v>
      </c>
      <c r="N63" s="263">
        <v>9</v>
      </c>
      <c r="O63" s="22"/>
      <c r="R63" s="59">
        <v>61</v>
      </c>
      <c r="S63" s="52" t="s">
        <v>752</v>
      </c>
      <c r="T63" s="52" t="s">
        <v>753</v>
      </c>
      <c r="U63" s="69">
        <v>8.86</v>
      </c>
      <c r="V63" s="223">
        <v>8.75</v>
      </c>
      <c r="W63" s="52">
        <v>8.5</v>
      </c>
      <c r="X63" s="52">
        <v>0.77</v>
      </c>
      <c r="Y63" s="52">
        <v>3</v>
      </c>
      <c r="Z63" s="52">
        <v>11</v>
      </c>
      <c r="AA63" s="52">
        <v>0</v>
      </c>
      <c r="AB63" s="52" t="s">
        <v>853</v>
      </c>
      <c r="AC63" s="69">
        <v>2002</v>
      </c>
      <c r="AD63" s="69" t="s">
        <v>1972</v>
      </c>
      <c r="AG63" s="68" t="s">
        <v>1419</v>
      </c>
      <c r="AH63" s="136" t="s">
        <v>1420</v>
      </c>
    </row>
    <row r="64" spans="1:34" ht="16.05" customHeight="1" thickBot="1">
      <c r="A64" s="8" t="s">
        <v>285</v>
      </c>
      <c r="B64" s="263">
        <v>9</v>
      </c>
      <c r="C64" s="4"/>
      <c r="D64" s="19"/>
      <c r="E64" s="21"/>
      <c r="F64" s="4"/>
      <c r="G64" s="8" t="s">
        <v>319</v>
      </c>
      <c r="H64" s="263">
        <v>7.5</v>
      </c>
      <c r="I64" s="4"/>
      <c r="J64" s="10" t="s">
        <v>311</v>
      </c>
      <c r="K64" s="264">
        <v>8</v>
      </c>
      <c r="L64" s="4"/>
      <c r="M64" s="8" t="s">
        <v>300</v>
      </c>
      <c r="N64" s="263">
        <v>10.5</v>
      </c>
      <c r="O64" s="22"/>
      <c r="R64" s="59">
        <v>62</v>
      </c>
      <c r="S64" s="68" t="s">
        <v>343</v>
      </c>
      <c r="T64" s="68" t="s">
        <v>911</v>
      </c>
      <c r="U64" s="70">
        <v>8.7100000000000009</v>
      </c>
      <c r="V64" s="181">
        <v>8.73</v>
      </c>
      <c r="W64" s="68">
        <v>8.5</v>
      </c>
      <c r="X64" s="68">
        <v>0.96</v>
      </c>
      <c r="Y64" s="68">
        <v>1</v>
      </c>
      <c r="Z64" s="68">
        <v>7</v>
      </c>
      <c r="AA64" s="68">
        <v>0</v>
      </c>
      <c r="AB64" s="68" t="s">
        <v>790</v>
      </c>
      <c r="AC64" s="70">
        <v>1999</v>
      </c>
      <c r="AD64" s="70" t="s">
        <v>1983</v>
      </c>
      <c r="AG64" s="52" t="s">
        <v>1104</v>
      </c>
      <c r="AH64" s="137" t="s">
        <v>1677</v>
      </c>
    </row>
    <row r="65" spans="1:34" ht="16.05" customHeight="1" thickBot="1">
      <c r="A65" s="8" t="s">
        <v>286</v>
      </c>
      <c r="B65" s="263">
        <v>9.5</v>
      </c>
      <c r="C65" s="22"/>
      <c r="D65" s="97" t="s">
        <v>890</v>
      </c>
      <c r="E65" s="3">
        <f>ROUND(SUM(E66:E78)/COUNT(E66:E78), 2)</f>
        <v>8.4600000000000009</v>
      </c>
      <c r="F65" s="4"/>
      <c r="G65" s="8" t="s">
        <v>320</v>
      </c>
      <c r="H65" s="263">
        <v>10</v>
      </c>
      <c r="I65" s="4"/>
      <c r="J65" s="21"/>
      <c r="K65" s="21"/>
      <c r="L65" s="4"/>
      <c r="M65" s="10" t="s">
        <v>301</v>
      </c>
      <c r="N65" s="264"/>
      <c r="O65" s="22"/>
      <c r="R65" s="59">
        <v>63</v>
      </c>
      <c r="S65" s="52" t="s">
        <v>406</v>
      </c>
      <c r="T65" s="52" t="s">
        <v>400</v>
      </c>
      <c r="U65" s="69">
        <v>8.6999999999999993</v>
      </c>
      <c r="V65" s="147">
        <v>8.7200000000000006</v>
      </c>
      <c r="W65" s="52">
        <v>8.5</v>
      </c>
      <c r="X65" s="52">
        <v>1.08</v>
      </c>
      <c r="Y65" s="52">
        <v>2</v>
      </c>
      <c r="Z65" s="52">
        <v>10</v>
      </c>
      <c r="AA65" s="52">
        <v>0</v>
      </c>
      <c r="AB65" s="52" t="s">
        <v>775</v>
      </c>
      <c r="AC65" s="69">
        <v>1990</v>
      </c>
      <c r="AD65" s="69" t="s">
        <v>1984</v>
      </c>
      <c r="AG65" s="68" t="s">
        <v>789</v>
      </c>
      <c r="AH65" s="136" t="s">
        <v>1154</v>
      </c>
    </row>
    <row r="66" spans="1:34" ht="16.05" customHeight="1" thickBot="1">
      <c r="A66" s="8" t="s">
        <v>287</v>
      </c>
      <c r="B66" s="263">
        <v>10</v>
      </c>
      <c r="C66" s="22"/>
      <c r="D66" s="5" t="s">
        <v>369</v>
      </c>
      <c r="E66" s="263">
        <v>8</v>
      </c>
      <c r="F66" s="4"/>
      <c r="G66" s="8" t="s">
        <v>321</v>
      </c>
      <c r="H66" s="263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1464</v>
      </c>
      <c r="T66" s="68" t="s">
        <v>1465</v>
      </c>
      <c r="U66" s="70">
        <v>8.83</v>
      </c>
      <c r="V66" s="147">
        <v>8.7200000000000006</v>
      </c>
      <c r="W66" s="68">
        <v>8.5</v>
      </c>
      <c r="X66" s="68">
        <v>0.57999999999999996</v>
      </c>
      <c r="Y66" s="68">
        <v>1</v>
      </c>
      <c r="Z66" s="68">
        <v>9</v>
      </c>
      <c r="AA66" s="68">
        <v>0</v>
      </c>
      <c r="AB66" s="68" t="s">
        <v>1468</v>
      </c>
      <c r="AC66" s="70">
        <v>2016</v>
      </c>
      <c r="AD66" s="70" t="s">
        <v>1976</v>
      </c>
      <c r="AG66" s="52" t="s">
        <v>1245</v>
      </c>
      <c r="AH66" s="137" t="s">
        <v>1246</v>
      </c>
    </row>
    <row r="67" spans="1:34" ht="16.05" customHeight="1" thickBot="1">
      <c r="A67" s="8" t="s">
        <v>288</v>
      </c>
      <c r="B67" s="263">
        <v>8</v>
      </c>
      <c r="C67" s="22"/>
      <c r="D67" s="5" t="s">
        <v>370</v>
      </c>
      <c r="E67" s="263">
        <v>10</v>
      </c>
      <c r="F67" s="4"/>
      <c r="G67" s="10" t="s">
        <v>322</v>
      </c>
      <c r="H67" s="264">
        <v>6</v>
      </c>
      <c r="I67" s="4"/>
      <c r="J67" s="7" t="s">
        <v>385</v>
      </c>
      <c r="K67" s="262"/>
      <c r="L67" s="22"/>
      <c r="M67" s="129" t="s">
        <v>1015</v>
      </c>
      <c r="N67" s="3">
        <f>ROUND(SUM(N68:N77)/COUNT(N68:N77), 2)</f>
        <v>8.6999999999999993</v>
      </c>
      <c r="O67" s="22"/>
      <c r="R67" s="59">
        <v>65</v>
      </c>
      <c r="S67" s="52" t="s">
        <v>419</v>
      </c>
      <c r="T67" s="52" t="s">
        <v>417</v>
      </c>
      <c r="U67" s="69">
        <v>8.67</v>
      </c>
      <c r="V67" s="142">
        <v>8.7100000000000009</v>
      </c>
      <c r="W67" s="52">
        <v>8.5</v>
      </c>
      <c r="X67" s="52">
        <v>0.85</v>
      </c>
      <c r="Y67" s="52">
        <v>2</v>
      </c>
      <c r="Z67" s="52">
        <v>12</v>
      </c>
      <c r="AA67" s="52">
        <v>0</v>
      </c>
      <c r="AB67" s="52" t="s">
        <v>833</v>
      </c>
      <c r="AC67" s="69">
        <v>1989</v>
      </c>
      <c r="AD67" s="69" t="s">
        <v>1985</v>
      </c>
      <c r="AG67" s="68" t="s">
        <v>1247</v>
      </c>
      <c r="AH67" s="136" t="s">
        <v>1246</v>
      </c>
    </row>
    <row r="68" spans="1:34" ht="16.05" customHeight="1" thickBot="1">
      <c r="A68" s="10" t="s">
        <v>289</v>
      </c>
      <c r="B68" s="264">
        <v>7.5</v>
      </c>
      <c r="C68" s="22"/>
      <c r="D68" s="5" t="s">
        <v>371</v>
      </c>
      <c r="E68" s="263">
        <v>9</v>
      </c>
      <c r="F68" s="4"/>
      <c r="G68" s="21"/>
      <c r="H68" s="21"/>
      <c r="I68" s="4"/>
      <c r="J68" s="8" t="s">
        <v>386</v>
      </c>
      <c r="K68" s="263">
        <v>7</v>
      </c>
      <c r="L68" s="22"/>
      <c r="M68" s="5" t="s">
        <v>396</v>
      </c>
      <c r="N68" s="263">
        <v>10.5</v>
      </c>
      <c r="O68" s="22"/>
      <c r="R68" s="59">
        <v>66</v>
      </c>
      <c r="S68" s="68" t="s">
        <v>1531</v>
      </c>
      <c r="T68" s="68" t="s">
        <v>1532</v>
      </c>
      <c r="U68" s="70">
        <v>8.75</v>
      </c>
      <c r="V68" s="148">
        <v>8.6999999999999993</v>
      </c>
      <c r="W68" s="68">
        <v>8.75</v>
      </c>
      <c r="X68" s="68">
        <v>0.75</v>
      </c>
      <c r="Y68" s="68">
        <v>2</v>
      </c>
      <c r="Z68" s="68">
        <v>10</v>
      </c>
      <c r="AA68" s="68">
        <v>0</v>
      </c>
      <c r="AB68" s="68" t="s">
        <v>1533</v>
      </c>
      <c r="AC68" s="70">
        <v>1998</v>
      </c>
      <c r="AD68" s="70" t="s">
        <v>1986</v>
      </c>
      <c r="AG68" s="52" t="s">
        <v>1423</v>
      </c>
      <c r="AH68" s="137" t="s">
        <v>1246</v>
      </c>
    </row>
    <row r="69" spans="1:34" ht="16.05" customHeight="1" thickBot="1">
      <c r="A69" s="21"/>
      <c r="B69" s="21"/>
      <c r="C69" s="22"/>
      <c r="D69" s="5" t="s">
        <v>372</v>
      </c>
      <c r="E69" s="263">
        <v>8.5</v>
      </c>
      <c r="F69" s="22"/>
      <c r="G69" s="96" t="s">
        <v>889</v>
      </c>
      <c r="H69" s="3">
        <f>ROUND(SUM(H70:H81)/COUNT(H70:H81), 2)</f>
        <v>8.67</v>
      </c>
      <c r="I69" s="4"/>
      <c r="J69" s="8" t="s">
        <v>387</v>
      </c>
      <c r="K69" s="263">
        <v>8.5</v>
      </c>
      <c r="L69" s="22"/>
      <c r="M69" s="5" t="s">
        <v>397</v>
      </c>
      <c r="N69" s="263">
        <v>9.5</v>
      </c>
      <c r="O69" s="22"/>
      <c r="R69" s="59">
        <v>67</v>
      </c>
      <c r="S69" s="52" t="s">
        <v>1725</v>
      </c>
      <c r="T69" s="52" t="s">
        <v>1721</v>
      </c>
      <c r="U69" s="69">
        <v>8.81</v>
      </c>
      <c r="V69" s="148">
        <v>8.6999999999999993</v>
      </c>
      <c r="W69" s="52">
        <v>8.5</v>
      </c>
      <c r="X69" s="52">
        <v>0.83</v>
      </c>
      <c r="Y69" s="52">
        <v>2</v>
      </c>
      <c r="Z69" s="52">
        <v>8</v>
      </c>
      <c r="AA69" s="52">
        <v>0</v>
      </c>
      <c r="AB69" s="52" t="s">
        <v>1378</v>
      </c>
      <c r="AC69" s="69">
        <v>1982</v>
      </c>
      <c r="AD69" s="69" t="s">
        <v>1963</v>
      </c>
      <c r="AG69" s="68" t="s">
        <v>1825</v>
      </c>
      <c r="AH69" s="136" t="s">
        <v>1246</v>
      </c>
    </row>
    <row r="70" spans="1:34" ht="16.05" customHeight="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3">
        <v>10</v>
      </c>
      <c r="F70" s="22"/>
      <c r="G70" s="5" t="s">
        <v>408</v>
      </c>
      <c r="H70" s="263">
        <v>8.5</v>
      </c>
      <c r="I70" s="4"/>
      <c r="J70" s="8" t="s">
        <v>388</v>
      </c>
      <c r="K70" s="263">
        <v>8.5</v>
      </c>
      <c r="L70" s="22"/>
      <c r="M70" s="5" t="s">
        <v>398</v>
      </c>
      <c r="N70" s="263">
        <v>8</v>
      </c>
      <c r="O70" s="22"/>
      <c r="R70" s="59">
        <v>68</v>
      </c>
      <c r="S70" s="68" t="s">
        <v>1484</v>
      </c>
      <c r="T70" s="68" t="s">
        <v>1489</v>
      </c>
      <c r="U70" s="70">
        <v>8.8000000000000007</v>
      </c>
      <c r="V70" s="198">
        <v>8.68</v>
      </c>
      <c r="W70" s="68">
        <v>8.5</v>
      </c>
      <c r="X70" s="68">
        <v>0.7</v>
      </c>
      <c r="Y70" s="68">
        <v>2</v>
      </c>
      <c r="Z70" s="68">
        <v>15</v>
      </c>
      <c r="AA70" s="68">
        <v>0</v>
      </c>
      <c r="AB70" s="68" t="s">
        <v>1486</v>
      </c>
      <c r="AC70" s="70">
        <v>2012</v>
      </c>
      <c r="AD70" s="70" t="s">
        <v>1962</v>
      </c>
      <c r="AG70" s="52" t="s">
        <v>1485</v>
      </c>
      <c r="AH70" s="137" t="s">
        <v>1246</v>
      </c>
    </row>
    <row r="71" spans="1:34" ht="16.05" customHeight="1">
      <c r="A71" s="13" t="s">
        <v>421</v>
      </c>
      <c r="B71" s="262">
        <v>8</v>
      </c>
      <c r="C71" s="22"/>
      <c r="D71" s="5" t="s">
        <v>374</v>
      </c>
      <c r="E71" s="263">
        <v>8</v>
      </c>
      <c r="F71" s="22"/>
      <c r="G71" s="5" t="s">
        <v>409</v>
      </c>
      <c r="H71" s="263">
        <v>9</v>
      </c>
      <c r="I71" s="4"/>
      <c r="J71" s="8" t="s">
        <v>389</v>
      </c>
      <c r="K71" s="263">
        <v>8</v>
      </c>
      <c r="L71" s="22"/>
      <c r="M71" s="5" t="s">
        <v>399</v>
      </c>
      <c r="N71" s="263">
        <v>8.5</v>
      </c>
      <c r="O71" s="22"/>
      <c r="R71" s="59">
        <v>69</v>
      </c>
      <c r="S71" s="52" t="s">
        <v>1357</v>
      </c>
      <c r="T71" s="52" t="s">
        <v>1358</v>
      </c>
      <c r="U71" s="69">
        <v>8.77</v>
      </c>
      <c r="V71" s="202">
        <v>8.65</v>
      </c>
      <c r="W71" s="52">
        <v>8.5</v>
      </c>
      <c r="X71" s="52">
        <v>0.75</v>
      </c>
      <c r="Y71" s="52">
        <v>2</v>
      </c>
      <c r="Z71" s="52">
        <v>14</v>
      </c>
      <c r="AA71" s="52">
        <v>1</v>
      </c>
      <c r="AB71" s="52" t="s">
        <v>1361</v>
      </c>
      <c r="AC71" s="69">
        <v>2002</v>
      </c>
      <c r="AD71" s="69" t="s">
        <v>1964</v>
      </c>
      <c r="AG71" s="68" t="s">
        <v>1408</v>
      </c>
      <c r="AH71" s="136" t="s">
        <v>1100</v>
      </c>
    </row>
    <row r="72" spans="1:34" ht="16.05" customHeight="1">
      <c r="A72" s="6" t="s">
        <v>422</v>
      </c>
      <c r="B72" s="263">
        <v>7</v>
      </c>
      <c r="C72" s="22"/>
      <c r="D72" s="5" t="s">
        <v>375</v>
      </c>
      <c r="E72" s="263">
        <v>7.5</v>
      </c>
      <c r="F72" s="22"/>
      <c r="G72" s="5" t="s">
        <v>410</v>
      </c>
      <c r="H72" s="263">
        <v>8.5</v>
      </c>
      <c r="I72" s="4"/>
      <c r="J72" s="8" t="s">
        <v>390</v>
      </c>
      <c r="K72" s="263">
        <v>8.5</v>
      </c>
      <c r="L72" s="22"/>
      <c r="M72" s="5" t="s">
        <v>400</v>
      </c>
      <c r="N72" s="263">
        <v>10</v>
      </c>
      <c r="O72" s="22"/>
      <c r="R72" s="59">
        <v>70</v>
      </c>
      <c r="S72" s="68" t="s">
        <v>344</v>
      </c>
      <c r="T72" s="68" t="s">
        <v>344</v>
      </c>
      <c r="U72" s="70">
        <v>8.4600000000000009</v>
      </c>
      <c r="V72" s="202">
        <v>8.65</v>
      </c>
      <c r="W72" s="68">
        <v>8.5</v>
      </c>
      <c r="X72" s="68">
        <v>1.33</v>
      </c>
      <c r="Y72" s="68">
        <v>3</v>
      </c>
      <c r="Z72" s="68">
        <v>12</v>
      </c>
      <c r="AA72" s="68">
        <v>0</v>
      </c>
      <c r="AB72" s="68" t="s">
        <v>1378</v>
      </c>
      <c r="AC72" s="70">
        <v>2021</v>
      </c>
      <c r="AD72" s="70" t="s">
        <v>1983</v>
      </c>
      <c r="AG72" s="52" t="s">
        <v>1101</v>
      </c>
      <c r="AH72" s="137" t="s">
        <v>1100</v>
      </c>
    </row>
    <row r="73" spans="1:34" ht="16.05" customHeight="1">
      <c r="A73" s="6" t="s">
        <v>423</v>
      </c>
      <c r="B73" s="263">
        <v>6.5</v>
      </c>
      <c r="C73" s="22"/>
      <c r="D73" s="5" t="s">
        <v>376</v>
      </c>
      <c r="E73" s="263">
        <v>9</v>
      </c>
      <c r="F73" s="22"/>
      <c r="G73" s="5" t="s">
        <v>411</v>
      </c>
      <c r="H73" s="263">
        <v>10</v>
      </c>
      <c r="I73" s="4"/>
      <c r="J73" s="8" t="s">
        <v>391</v>
      </c>
      <c r="K73" s="263">
        <v>8.5</v>
      </c>
      <c r="L73" s="22"/>
      <c r="M73" s="5" t="s">
        <v>401</v>
      </c>
      <c r="N73" s="263">
        <v>8.5</v>
      </c>
      <c r="O73" s="22"/>
      <c r="R73" s="59">
        <v>71</v>
      </c>
      <c r="S73" s="52" t="s">
        <v>1675</v>
      </c>
      <c r="T73" s="52" t="s">
        <v>1671</v>
      </c>
      <c r="U73" s="69">
        <v>8.75</v>
      </c>
      <c r="V73" s="202">
        <v>8.65</v>
      </c>
      <c r="W73" s="52">
        <v>8.5</v>
      </c>
      <c r="X73" s="52">
        <v>0.56000000000000005</v>
      </c>
      <c r="Y73" s="52">
        <v>1</v>
      </c>
      <c r="Z73" s="52">
        <v>9</v>
      </c>
      <c r="AA73" s="52">
        <v>1</v>
      </c>
      <c r="AB73" s="52" t="s">
        <v>1678</v>
      </c>
      <c r="AC73" s="69">
        <v>2000</v>
      </c>
      <c r="AD73" s="69" t="s">
        <v>1951</v>
      </c>
      <c r="AG73" s="68" t="s">
        <v>1262</v>
      </c>
      <c r="AH73" s="136" t="s">
        <v>1727</v>
      </c>
    </row>
    <row r="74" spans="1:34" ht="16.05" customHeight="1">
      <c r="A74" s="6" t="s">
        <v>424</v>
      </c>
      <c r="B74" s="263">
        <v>7</v>
      </c>
      <c r="C74" s="22"/>
      <c r="D74" s="5" t="s">
        <v>377</v>
      </c>
      <c r="E74" s="263">
        <v>7</v>
      </c>
      <c r="F74" s="22"/>
      <c r="G74" s="5" t="s">
        <v>412</v>
      </c>
      <c r="H74" s="263">
        <v>8.5</v>
      </c>
      <c r="I74" s="4"/>
      <c r="J74" s="8" t="s">
        <v>392</v>
      </c>
      <c r="K74" s="263">
        <v>7.5</v>
      </c>
      <c r="L74" s="22"/>
      <c r="M74" s="5" t="s">
        <v>402</v>
      </c>
      <c r="N74" s="263">
        <v>7.5</v>
      </c>
      <c r="O74" s="22"/>
      <c r="R74" s="59">
        <v>72</v>
      </c>
      <c r="S74" s="68" t="s">
        <v>1258</v>
      </c>
      <c r="T74" s="68" t="s">
        <v>1252</v>
      </c>
      <c r="U74" s="70">
        <v>8.75</v>
      </c>
      <c r="V74" s="224">
        <v>8.6300000000000008</v>
      </c>
      <c r="W74" s="68">
        <v>8.5</v>
      </c>
      <c r="X74" s="68">
        <v>0.8</v>
      </c>
      <c r="Y74" s="68">
        <v>1</v>
      </c>
      <c r="Z74" s="68">
        <v>7</v>
      </c>
      <c r="AA74" s="68">
        <v>1</v>
      </c>
      <c r="AB74" s="68" t="s">
        <v>1259</v>
      </c>
      <c r="AC74" s="70">
        <v>2013</v>
      </c>
      <c r="AD74" s="70" t="s">
        <v>1965</v>
      </c>
      <c r="AG74" s="52" t="s">
        <v>1110</v>
      </c>
      <c r="AH74" s="137" t="s">
        <v>1779</v>
      </c>
    </row>
    <row r="75" spans="1:34" ht="16.05" customHeight="1" thickBot="1">
      <c r="A75" s="6" t="s">
        <v>425</v>
      </c>
      <c r="B75" s="263">
        <v>8</v>
      </c>
      <c r="C75" s="22"/>
      <c r="D75" s="5" t="s">
        <v>378</v>
      </c>
      <c r="E75" s="263">
        <v>8.5</v>
      </c>
      <c r="F75" s="22"/>
      <c r="G75" s="5" t="s">
        <v>413</v>
      </c>
      <c r="H75" s="263">
        <v>10.5</v>
      </c>
      <c r="I75" s="4"/>
      <c r="J75" s="10" t="s">
        <v>393</v>
      </c>
      <c r="K75" s="264">
        <v>7.5</v>
      </c>
      <c r="L75" s="22"/>
      <c r="M75" s="5" t="s">
        <v>403</v>
      </c>
      <c r="N75" s="263">
        <v>8</v>
      </c>
      <c r="O75" s="22"/>
      <c r="R75" s="59">
        <v>73</v>
      </c>
      <c r="S75" s="52" t="s">
        <v>1634</v>
      </c>
      <c r="T75" s="52" t="s">
        <v>1627</v>
      </c>
      <c r="U75" s="69">
        <v>8.75</v>
      </c>
      <c r="V75" s="224">
        <v>8.6300000000000008</v>
      </c>
      <c r="W75" s="52">
        <v>8.5</v>
      </c>
      <c r="X75" s="52">
        <v>0.87</v>
      </c>
      <c r="Y75" s="52">
        <v>2</v>
      </c>
      <c r="Z75" s="52">
        <v>10</v>
      </c>
      <c r="AA75" s="52">
        <v>0</v>
      </c>
      <c r="AB75" s="52" t="s">
        <v>1637</v>
      </c>
      <c r="AC75" s="69">
        <v>1979</v>
      </c>
      <c r="AD75" s="69" t="s">
        <v>1968</v>
      </c>
      <c r="AG75" s="68" t="s">
        <v>1117</v>
      </c>
      <c r="AH75" s="136" t="s">
        <v>1490</v>
      </c>
    </row>
    <row r="76" spans="1:34" ht="16.05" customHeight="1" thickBot="1">
      <c r="A76" s="6" t="s">
        <v>426</v>
      </c>
      <c r="B76" s="263">
        <v>7.5</v>
      </c>
      <c r="C76" s="22"/>
      <c r="D76" s="5" t="s">
        <v>379</v>
      </c>
      <c r="E76" s="263">
        <v>8</v>
      </c>
      <c r="F76" s="22"/>
      <c r="G76" s="5" t="s">
        <v>414</v>
      </c>
      <c r="H76" s="263">
        <v>9</v>
      </c>
      <c r="I76" s="4"/>
      <c r="J76" s="21"/>
      <c r="K76" s="21"/>
      <c r="L76" s="22"/>
      <c r="M76" s="5" t="s">
        <v>404</v>
      </c>
      <c r="N76" s="263">
        <v>7</v>
      </c>
      <c r="O76" s="22"/>
      <c r="R76" s="59">
        <v>74</v>
      </c>
      <c r="S76" s="68" t="s">
        <v>1169</v>
      </c>
      <c r="T76" s="68" t="s">
        <v>1736</v>
      </c>
      <c r="U76" s="70">
        <v>8.57</v>
      </c>
      <c r="V76" s="224">
        <v>8.6300000000000008</v>
      </c>
      <c r="W76" s="68">
        <v>8.5</v>
      </c>
      <c r="X76" s="68">
        <v>0.78</v>
      </c>
      <c r="Y76" s="68">
        <v>3</v>
      </c>
      <c r="Z76" s="68">
        <v>28</v>
      </c>
      <c r="AA76" s="68">
        <v>1</v>
      </c>
      <c r="AB76" s="68" t="s">
        <v>1763</v>
      </c>
      <c r="AC76" s="70">
        <v>1995</v>
      </c>
      <c r="AD76" s="70" t="s">
        <v>1978</v>
      </c>
      <c r="AG76" s="52" t="s">
        <v>1107</v>
      </c>
      <c r="AH76" s="137" t="s">
        <v>1490</v>
      </c>
    </row>
    <row r="77" spans="1:34" ht="16.05" customHeight="1" thickBot="1">
      <c r="A77" s="9" t="s">
        <v>427</v>
      </c>
      <c r="B77" s="264">
        <v>7</v>
      </c>
      <c r="C77" s="22"/>
      <c r="D77" s="5" t="s">
        <v>381</v>
      </c>
      <c r="E77" s="263">
        <v>8.5</v>
      </c>
      <c r="F77" s="22"/>
      <c r="G77" s="5" t="s">
        <v>415</v>
      </c>
      <c r="H77" s="263">
        <v>8.5</v>
      </c>
      <c r="I77" s="22"/>
      <c r="J77" s="114" t="s">
        <v>907</v>
      </c>
      <c r="K77" s="3">
        <f>ROUND(SUM(K78:K88)/COUNT(K78:K88), 2)</f>
        <v>7.77</v>
      </c>
      <c r="L77" s="22"/>
      <c r="M77" s="57" t="s">
        <v>405</v>
      </c>
      <c r="N77" s="264">
        <v>9.5</v>
      </c>
      <c r="O77" s="22"/>
      <c r="R77" s="59">
        <v>75</v>
      </c>
      <c r="S77" s="52" t="s">
        <v>612</v>
      </c>
      <c r="T77" s="52" t="s">
        <v>613</v>
      </c>
      <c r="U77" s="69">
        <v>8.73</v>
      </c>
      <c r="V77" s="196">
        <v>8.6199999999999992</v>
      </c>
      <c r="W77" s="52">
        <v>8.5</v>
      </c>
      <c r="X77" s="52">
        <v>0.89</v>
      </c>
      <c r="Y77" s="52">
        <v>3</v>
      </c>
      <c r="Z77" s="52">
        <v>13</v>
      </c>
      <c r="AA77" s="52">
        <v>2</v>
      </c>
      <c r="AB77" s="52" t="s">
        <v>834</v>
      </c>
      <c r="AC77" s="69">
        <v>2015</v>
      </c>
      <c r="AD77" s="69" t="s">
        <v>1961</v>
      </c>
      <c r="AG77" s="68" t="s">
        <v>1362</v>
      </c>
      <c r="AH77" s="136" t="s">
        <v>1363</v>
      </c>
    </row>
    <row r="78" spans="1:34" ht="16.05" customHeight="1" thickBot="1">
      <c r="A78" s="21"/>
      <c r="B78" s="21"/>
      <c r="C78" s="22"/>
      <c r="D78" s="55" t="s">
        <v>380</v>
      </c>
      <c r="E78" s="264">
        <v>8</v>
      </c>
      <c r="F78" s="22"/>
      <c r="G78" s="5" t="s">
        <v>416</v>
      </c>
      <c r="H78" s="265">
        <v>7.5</v>
      </c>
      <c r="I78" s="4"/>
      <c r="J78" s="7" t="s">
        <v>430</v>
      </c>
      <c r="K78" s="262">
        <v>8.5</v>
      </c>
      <c r="L78" s="4"/>
      <c r="M78" s="21"/>
      <c r="N78" s="21"/>
      <c r="O78" s="22"/>
      <c r="R78" s="59">
        <v>76</v>
      </c>
      <c r="S78" s="68" t="s">
        <v>1464</v>
      </c>
      <c r="T78" s="68" t="s">
        <v>1713</v>
      </c>
      <c r="U78" s="70">
        <v>8.7100000000000009</v>
      </c>
      <c r="V78" s="196">
        <v>8.6199999999999992</v>
      </c>
      <c r="W78" s="68">
        <v>8.5</v>
      </c>
      <c r="X78" s="68">
        <v>0.65</v>
      </c>
      <c r="Y78" s="68">
        <v>1</v>
      </c>
      <c r="Z78" s="68">
        <v>8</v>
      </c>
      <c r="AA78" s="68">
        <v>1</v>
      </c>
      <c r="AB78" s="68" t="s">
        <v>1714</v>
      </c>
      <c r="AC78" s="70">
        <v>2016</v>
      </c>
      <c r="AD78" s="70" t="s">
        <v>1987</v>
      </c>
      <c r="AG78" s="52" t="s">
        <v>1102</v>
      </c>
      <c r="AH78" s="137" t="s">
        <v>2017</v>
      </c>
    </row>
    <row r="79" spans="1:34" ht="16.05" customHeight="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3">
        <v>8.5</v>
      </c>
      <c r="I79" s="4"/>
      <c r="J79" s="8" t="s">
        <v>431</v>
      </c>
      <c r="K79" s="263">
        <v>8.5</v>
      </c>
      <c r="L79" s="22"/>
      <c r="M79" s="128" t="s">
        <v>1014</v>
      </c>
      <c r="N79" s="3">
        <f>ROUND(SUM(N80:N91)/COUNT(N80:N91), 2)</f>
        <v>8.67</v>
      </c>
      <c r="O79" s="22"/>
      <c r="R79" s="59">
        <v>77</v>
      </c>
      <c r="S79" s="52" t="s">
        <v>2069</v>
      </c>
      <c r="T79" s="52" t="s">
        <v>2070</v>
      </c>
      <c r="U79" s="69">
        <v>8.67</v>
      </c>
      <c r="V79" s="293">
        <v>8.61</v>
      </c>
      <c r="W79" s="52">
        <v>8.75</v>
      </c>
      <c r="X79" s="52">
        <v>0.62</v>
      </c>
      <c r="Y79" s="52">
        <v>0</v>
      </c>
      <c r="Z79" s="52">
        <v>6</v>
      </c>
      <c r="AA79" s="52">
        <v>0</v>
      </c>
      <c r="AB79" s="52" t="s">
        <v>1090</v>
      </c>
      <c r="AC79" s="69">
        <v>2013</v>
      </c>
      <c r="AD79" s="69" t="s">
        <v>1957</v>
      </c>
      <c r="AG79" s="68" t="s">
        <v>1534</v>
      </c>
      <c r="AH79" s="136" t="s">
        <v>1261</v>
      </c>
    </row>
    <row r="80" spans="1:34" ht="16.05" customHeight="1" thickBot="1">
      <c r="A80" s="7" t="s">
        <v>442</v>
      </c>
      <c r="B80" s="262">
        <v>8.5</v>
      </c>
      <c r="C80" s="4"/>
      <c r="D80" s="95" t="s">
        <v>888</v>
      </c>
      <c r="E80" s="3">
        <f>ROUND(SUM(E81:E99)/COUNT(E81:E99), 2)</f>
        <v>8.18</v>
      </c>
      <c r="F80" s="22"/>
      <c r="G80" s="5" t="s">
        <v>418</v>
      </c>
      <c r="H80" s="263">
        <v>8</v>
      </c>
      <c r="I80" s="4"/>
      <c r="J80" s="8" t="s">
        <v>432</v>
      </c>
      <c r="K80" s="263">
        <v>7.5</v>
      </c>
      <c r="L80" s="22"/>
      <c r="M80" s="5" t="s">
        <v>478</v>
      </c>
      <c r="N80" s="263">
        <v>10</v>
      </c>
      <c r="O80" s="22"/>
      <c r="R80" s="59">
        <v>78</v>
      </c>
      <c r="S80" s="68" t="s">
        <v>945</v>
      </c>
      <c r="T80" s="68" t="s">
        <v>926</v>
      </c>
      <c r="U80" s="70">
        <v>8.5500000000000007</v>
      </c>
      <c r="V80" s="225">
        <v>8.6</v>
      </c>
      <c r="W80" s="68">
        <v>8.5</v>
      </c>
      <c r="X80" s="68">
        <v>0.96</v>
      </c>
      <c r="Y80" s="68">
        <v>3</v>
      </c>
      <c r="Z80" s="68">
        <v>19</v>
      </c>
      <c r="AA80" s="68">
        <v>0</v>
      </c>
      <c r="AB80" s="68" t="s">
        <v>946</v>
      </c>
      <c r="AC80" s="70">
        <v>1979</v>
      </c>
      <c r="AD80" s="70" t="s">
        <v>1964</v>
      </c>
      <c r="AG80" s="52" t="s">
        <v>1679</v>
      </c>
      <c r="AH80" s="137" t="s">
        <v>1261</v>
      </c>
    </row>
    <row r="81" spans="1:34" ht="16.05" customHeight="1" thickBot="1">
      <c r="A81" s="8" t="s">
        <v>443</v>
      </c>
      <c r="B81" s="263">
        <v>9</v>
      </c>
      <c r="C81" s="4"/>
      <c r="D81" s="13" t="s">
        <v>456</v>
      </c>
      <c r="E81" s="262">
        <v>10</v>
      </c>
      <c r="F81" s="22"/>
      <c r="G81" s="55" t="s">
        <v>301</v>
      </c>
      <c r="H81" s="264">
        <v>7.5</v>
      </c>
      <c r="I81" s="4"/>
      <c r="J81" s="8" t="s">
        <v>433</v>
      </c>
      <c r="K81" s="263">
        <v>7</v>
      </c>
      <c r="L81" s="22"/>
      <c r="M81" s="5" t="s">
        <v>479</v>
      </c>
      <c r="N81" s="263">
        <v>10</v>
      </c>
      <c r="O81" s="22"/>
      <c r="R81" s="59">
        <v>79</v>
      </c>
      <c r="S81" s="52" t="s">
        <v>352</v>
      </c>
      <c r="T81" s="52" t="s">
        <v>246</v>
      </c>
      <c r="U81" s="69">
        <v>8.68</v>
      </c>
      <c r="V81" s="183">
        <v>8.58</v>
      </c>
      <c r="W81" s="52">
        <v>8.5</v>
      </c>
      <c r="X81" s="52">
        <v>0.81</v>
      </c>
      <c r="Y81" s="52">
        <v>2</v>
      </c>
      <c r="Z81" s="52">
        <v>11</v>
      </c>
      <c r="AA81" s="52">
        <v>0</v>
      </c>
      <c r="AB81" s="52" t="s">
        <v>776</v>
      </c>
      <c r="AC81" s="69">
        <v>1998</v>
      </c>
      <c r="AD81" s="69" t="s">
        <v>1981</v>
      </c>
      <c r="AG81" s="68" t="s">
        <v>1680</v>
      </c>
      <c r="AH81" s="136" t="s">
        <v>1261</v>
      </c>
    </row>
    <row r="82" spans="1:34" ht="16.05" customHeight="1" thickBot="1">
      <c r="A82" s="8" t="s">
        <v>444</v>
      </c>
      <c r="B82" s="263">
        <v>10</v>
      </c>
      <c r="C82" s="4"/>
      <c r="D82" s="6" t="s">
        <v>457</v>
      </c>
      <c r="E82" s="263">
        <v>8</v>
      </c>
      <c r="F82" s="4"/>
      <c r="G82" s="21"/>
      <c r="H82" s="21"/>
      <c r="I82" s="4"/>
      <c r="J82" s="8" t="s">
        <v>434</v>
      </c>
      <c r="K82" s="263">
        <v>8</v>
      </c>
      <c r="L82" s="22"/>
      <c r="M82" s="5" t="s">
        <v>480</v>
      </c>
      <c r="N82" s="263">
        <v>8</v>
      </c>
      <c r="O82" s="22"/>
      <c r="R82" s="59">
        <v>80</v>
      </c>
      <c r="S82" s="68" t="s">
        <v>740</v>
      </c>
      <c r="T82" s="68" t="s">
        <v>741</v>
      </c>
      <c r="U82" s="70">
        <v>8.67</v>
      </c>
      <c r="V82" s="183">
        <v>8.58</v>
      </c>
      <c r="W82" s="68">
        <v>8.5</v>
      </c>
      <c r="X82" s="68">
        <v>0.62</v>
      </c>
      <c r="Y82" s="68">
        <v>1</v>
      </c>
      <c r="Z82" s="68">
        <v>9</v>
      </c>
      <c r="AA82" s="68">
        <v>0</v>
      </c>
      <c r="AB82" s="68" t="s">
        <v>792</v>
      </c>
      <c r="AC82" s="70">
        <v>1992</v>
      </c>
      <c r="AD82" s="70" t="s">
        <v>1973</v>
      </c>
      <c r="AG82" s="52" t="s">
        <v>1260</v>
      </c>
      <c r="AH82" s="137" t="s">
        <v>1261</v>
      </c>
    </row>
    <row r="83" spans="1:34" ht="16.05" customHeight="1" thickBot="1">
      <c r="A83" s="8" t="s">
        <v>445</v>
      </c>
      <c r="B83" s="263">
        <v>10.5</v>
      </c>
      <c r="C83" s="4"/>
      <c r="D83" s="6" t="s">
        <v>458</v>
      </c>
      <c r="E83" s="263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3">
        <v>7.5</v>
      </c>
      <c r="L83" s="22"/>
      <c r="M83" s="5" t="s">
        <v>481</v>
      </c>
      <c r="N83" s="263">
        <v>9</v>
      </c>
      <c r="O83" s="22"/>
      <c r="R83" s="59">
        <v>81</v>
      </c>
      <c r="S83" s="52" t="s">
        <v>353</v>
      </c>
      <c r="T83" s="52" t="s">
        <v>161</v>
      </c>
      <c r="U83" s="69">
        <v>8.67</v>
      </c>
      <c r="V83" s="226">
        <v>8.57</v>
      </c>
      <c r="W83" s="52">
        <v>8.5</v>
      </c>
      <c r="X83" s="52">
        <v>0.77</v>
      </c>
      <c r="Y83" s="52">
        <v>2</v>
      </c>
      <c r="Z83" s="52">
        <v>12</v>
      </c>
      <c r="AA83" s="52">
        <v>0</v>
      </c>
      <c r="AB83" s="52" t="s">
        <v>777</v>
      </c>
      <c r="AC83" s="69">
        <v>1977</v>
      </c>
      <c r="AD83" s="69" t="s">
        <v>1979</v>
      </c>
      <c r="AG83" s="68" t="s">
        <v>1638</v>
      </c>
      <c r="AH83" s="136" t="s">
        <v>1261</v>
      </c>
    </row>
    <row r="84" spans="1:34" ht="16.05" customHeight="1">
      <c r="A84" s="8" t="s">
        <v>446</v>
      </c>
      <c r="B84" s="263">
        <v>8</v>
      </c>
      <c r="C84" s="4"/>
      <c r="D84" s="6" t="s">
        <v>459</v>
      </c>
      <c r="E84" s="263">
        <v>10</v>
      </c>
      <c r="F84" s="22"/>
      <c r="G84" s="5" t="s">
        <v>494</v>
      </c>
      <c r="H84" s="262">
        <v>8</v>
      </c>
      <c r="I84" s="4"/>
      <c r="J84" s="8" t="s">
        <v>436</v>
      </c>
      <c r="K84" s="263">
        <v>7.5</v>
      </c>
      <c r="L84" s="22"/>
      <c r="M84" s="5" t="s">
        <v>482</v>
      </c>
      <c r="N84" s="263">
        <v>8</v>
      </c>
      <c r="O84" s="22"/>
      <c r="R84" s="59">
        <v>82</v>
      </c>
      <c r="S84" s="68" t="s">
        <v>491</v>
      </c>
      <c r="T84" s="68" t="s">
        <v>492</v>
      </c>
      <c r="U84" s="70">
        <v>8.67</v>
      </c>
      <c r="V84" s="226">
        <v>8.57</v>
      </c>
      <c r="W84" s="68">
        <v>8.5</v>
      </c>
      <c r="X84" s="68">
        <v>0.92</v>
      </c>
      <c r="Y84" s="68">
        <v>3</v>
      </c>
      <c r="Z84" s="68">
        <v>12</v>
      </c>
      <c r="AA84" s="68">
        <v>0</v>
      </c>
      <c r="AB84" s="68" t="s">
        <v>769</v>
      </c>
      <c r="AC84" s="70">
        <v>2002</v>
      </c>
      <c r="AD84" s="70" t="s">
        <v>1976</v>
      </c>
      <c r="AG84" s="52" t="s">
        <v>1103</v>
      </c>
      <c r="AH84" s="137" t="s">
        <v>1875</v>
      </c>
    </row>
    <row r="85" spans="1:34" ht="16.05" customHeight="1">
      <c r="A85" s="8" t="s">
        <v>447</v>
      </c>
      <c r="B85" s="263">
        <v>8.5</v>
      </c>
      <c r="C85" s="4"/>
      <c r="D85" s="6" t="s">
        <v>460</v>
      </c>
      <c r="E85" s="263">
        <v>8.5</v>
      </c>
      <c r="F85" s="22"/>
      <c r="G85" s="5" t="s">
        <v>495</v>
      </c>
      <c r="H85" s="263">
        <v>8</v>
      </c>
      <c r="I85" s="4"/>
      <c r="J85" s="8" t="s">
        <v>437</v>
      </c>
      <c r="K85" s="263">
        <v>7.5</v>
      </c>
      <c r="L85" s="22"/>
      <c r="M85" s="5" t="s">
        <v>483</v>
      </c>
      <c r="N85" s="263">
        <v>8</v>
      </c>
      <c r="O85" s="22"/>
      <c r="R85" s="59">
        <v>83</v>
      </c>
      <c r="S85" s="52" t="s">
        <v>782</v>
      </c>
      <c r="T85" s="52" t="s">
        <v>783</v>
      </c>
      <c r="U85" s="69">
        <v>8.67</v>
      </c>
      <c r="V85" s="226">
        <v>8.57</v>
      </c>
      <c r="W85" s="52">
        <v>8.5</v>
      </c>
      <c r="X85" s="52">
        <v>0.75</v>
      </c>
      <c r="Y85" s="52">
        <v>1</v>
      </c>
      <c r="Z85" s="52">
        <v>6</v>
      </c>
      <c r="AA85" s="52">
        <v>0</v>
      </c>
      <c r="AB85" s="52" t="s">
        <v>785</v>
      </c>
      <c r="AC85" s="69">
        <v>2024</v>
      </c>
      <c r="AD85" s="69" t="s">
        <v>1986</v>
      </c>
      <c r="AG85" s="68" t="s">
        <v>1096</v>
      </c>
      <c r="AH85" s="136" t="s">
        <v>1663</v>
      </c>
    </row>
    <row r="86" spans="1:34" ht="16.05" customHeight="1">
      <c r="A86" s="8" t="s">
        <v>448</v>
      </c>
      <c r="B86" s="263">
        <v>9</v>
      </c>
      <c r="C86" s="4"/>
      <c r="D86" s="6" t="s">
        <v>461</v>
      </c>
      <c r="E86" s="263">
        <v>7</v>
      </c>
      <c r="F86" s="22"/>
      <c r="G86" s="5" t="s">
        <v>496</v>
      </c>
      <c r="H86" s="263">
        <v>8</v>
      </c>
      <c r="I86" s="4"/>
      <c r="J86" s="8" t="s">
        <v>438</v>
      </c>
      <c r="K86" s="263">
        <v>7</v>
      </c>
      <c r="L86" s="22"/>
      <c r="M86" s="5" t="s">
        <v>484</v>
      </c>
      <c r="N86" s="263">
        <v>8.5</v>
      </c>
      <c r="O86" s="22"/>
      <c r="R86" s="59">
        <v>84</v>
      </c>
      <c r="S86" s="68" t="s">
        <v>354</v>
      </c>
      <c r="T86" s="68" t="s">
        <v>160</v>
      </c>
      <c r="U86" s="70">
        <v>8.65</v>
      </c>
      <c r="V86" s="132">
        <v>8.56</v>
      </c>
      <c r="W86" s="68">
        <v>8.5</v>
      </c>
      <c r="X86" s="68">
        <v>0.72</v>
      </c>
      <c r="Y86" s="68">
        <v>2</v>
      </c>
      <c r="Z86" s="68">
        <v>13</v>
      </c>
      <c r="AA86" s="68">
        <v>0</v>
      </c>
      <c r="AB86" s="68" t="s">
        <v>796</v>
      </c>
      <c r="AC86" s="70">
        <v>2005</v>
      </c>
      <c r="AD86" s="70" t="s">
        <v>1983</v>
      </c>
      <c r="AG86" s="52" t="s">
        <v>788</v>
      </c>
      <c r="AH86" s="137" t="s">
        <v>2074</v>
      </c>
    </row>
    <row r="87" spans="1:34" ht="16.05" customHeight="1">
      <c r="A87" s="8" t="s">
        <v>449</v>
      </c>
      <c r="B87" s="263">
        <v>8</v>
      </c>
      <c r="C87" s="4"/>
      <c r="D87" s="6" t="s">
        <v>462</v>
      </c>
      <c r="E87" s="263">
        <v>7.5</v>
      </c>
      <c r="F87" s="22"/>
      <c r="G87" s="5" t="s">
        <v>497</v>
      </c>
      <c r="H87" s="263">
        <v>8.5</v>
      </c>
      <c r="I87" s="4"/>
      <c r="J87" s="8" t="s">
        <v>439</v>
      </c>
      <c r="K87" s="263">
        <v>7.5</v>
      </c>
      <c r="L87" s="22"/>
      <c r="M87" s="5" t="s">
        <v>485</v>
      </c>
      <c r="N87" s="263">
        <v>9</v>
      </c>
      <c r="O87" s="22"/>
      <c r="R87" s="59">
        <v>85</v>
      </c>
      <c r="S87" s="52" t="s">
        <v>336</v>
      </c>
      <c r="T87" s="52" t="s">
        <v>869</v>
      </c>
      <c r="U87" s="69">
        <v>8.5</v>
      </c>
      <c r="V87" s="132">
        <v>8.56</v>
      </c>
      <c r="W87" s="52">
        <v>8.5</v>
      </c>
      <c r="X87" s="52">
        <v>0.96</v>
      </c>
      <c r="Y87" s="52">
        <v>2</v>
      </c>
      <c r="Z87" s="52">
        <v>14</v>
      </c>
      <c r="AA87" s="52">
        <v>1</v>
      </c>
      <c r="AB87" s="52" t="s">
        <v>766</v>
      </c>
      <c r="AC87" s="69">
        <v>2003</v>
      </c>
      <c r="AD87" s="69" t="s">
        <v>1982</v>
      </c>
      <c r="AG87" s="68" t="s">
        <v>1215</v>
      </c>
      <c r="AH87" s="136" t="s">
        <v>1105</v>
      </c>
    </row>
    <row r="88" spans="1:34" ht="16.05" customHeight="1" thickBot="1">
      <c r="A88" s="8" t="s">
        <v>450</v>
      </c>
      <c r="B88" s="263">
        <v>8.5</v>
      </c>
      <c r="C88" s="4"/>
      <c r="D88" s="6" t="s">
        <v>463</v>
      </c>
      <c r="E88" s="263">
        <v>9</v>
      </c>
      <c r="F88" s="22"/>
      <c r="G88" s="5" t="s">
        <v>498</v>
      </c>
      <c r="H88" s="263">
        <v>7</v>
      </c>
      <c r="I88" s="4"/>
      <c r="J88" s="10" t="s">
        <v>440</v>
      </c>
      <c r="K88" s="264">
        <v>9</v>
      </c>
      <c r="L88" s="22"/>
      <c r="M88" s="5" t="s">
        <v>486</v>
      </c>
      <c r="N88" s="263">
        <v>8</v>
      </c>
      <c r="O88" s="22"/>
      <c r="R88" s="59">
        <v>86</v>
      </c>
      <c r="S88" s="68" t="s">
        <v>970</v>
      </c>
      <c r="T88" s="68" t="s">
        <v>968</v>
      </c>
      <c r="U88" s="70">
        <v>8.67</v>
      </c>
      <c r="V88" s="132">
        <v>8.56</v>
      </c>
      <c r="W88" s="68">
        <v>8.5</v>
      </c>
      <c r="X88" s="68">
        <v>0.71</v>
      </c>
      <c r="Y88" s="68">
        <v>1</v>
      </c>
      <c r="Z88" s="68">
        <v>10</v>
      </c>
      <c r="AA88" s="68">
        <v>1</v>
      </c>
      <c r="AB88" s="68" t="s">
        <v>971</v>
      </c>
      <c r="AC88" s="70">
        <v>1999</v>
      </c>
      <c r="AD88" s="70" t="s">
        <v>1988</v>
      </c>
      <c r="AG88" s="52" t="s">
        <v>1518</v>
      </c>
      <c r="AH88" s="137" t="s">
        <v>1105</v>
      </c>
    </row>
    <row r="89" spans="1:34" ht="16.05" customHeight="1" thickBot="1">
      <c r="A89" s="8" t="s">
        <v>451</v>
      </c>
      <c r="B89" s="263">
        <v>9.5</v>
      </c>
      <c r="C89" s="4"/>
      <c r="D89" s="6" t="s">
        <v>464</v>
      </c>
      <c r="E89" s="263">
        <v>7</v>
      </c>
      <c r="F89" s="22"/>
      <c r="G89" s="5" t="s">
        <v>499</v>
      </c>
      <c r="H89" s="263">
        <v>8</v>
      </c>
      <c r="I89" s="4"/>
      <c r="J89" s="21"/>
      <c r="K89" s="21"/>
      <c r="L89" s="22"/>
      <c r="M89" s="5" t="s">
        <v>487</v>
      </c>
      <c r="N89" s="263">
        <v>7</v>
      </c>
      <c r="O89" s="22"/>
      <c r="R89" s="59">
        <v>87</v>
      </c>
      <c r="S89" s="52" t="s">
        <v>339</v>
      </c>
      <c r="T89" s="52" t="s">
        <v>2178</v>
      </c>
      <c r="U89" s="69">
        <v>8.6</v>
      </c>
      <c r="V89" s="306">
        <v>8.5399999999999991</v>
      </c>
      <c r="W89" s="52">
        <v>8</v>
      </c>
      <c r="X89" s="52">
        <v>1.02</v>
      </c>
      <c r="Y89" s="52">
        <v>2</v>
      </c>
      <c r="Z89" s="52">
        <v>10</v>
      </c>
      <c r="AA89" s="52">
        <v>0</v>
      </c>
      <c r="AB89" s="52" t="s">
        <v>2194</v>
      </c>
      <c r="AC89" s="69">
        <v>1970</v>
      </c>
      <c r="AD89" s="69" t="s">
        <v>1986</v>
      </c>
      <c r="AG89" s="68" t="s">
        <v>1519</v>
      </c>
      <c r="AH89" s="136" t="s">
        <v>1105</v>
      </c>
    </row>
    <row r="90" spans="1:34" ht="16.05" customHeight="1" thickBot="1">
      <c r="A90" s="8" t="s">
        <v>452</v>
      </c>
      <c r="B90" s="263">
        <v>8</v>
      </c>
      <c r="C90" s="4"/>
      <c r="D90" s="6" t="s">
        <v>465</v>
      </c>
      <c r="E90" s="263">
        <v>8</v>
      </c>
      <c r="F90" s="22"/>
      <c r="G90" s="5" t="s">
        <v>500</v>
      </c>
      <c r="H90" s="263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3">
        <v>8.5</v>
      </c>
      <c r="O90" s="22"/>
      <c r="R90" s="59">
        <v>88</v>
      </c>
      <c r="S90" s="68" t="s">
        <v>1906</v>
      </c>
      <c r="T90" s="68" t="s">
        <v>1907</v>
      </c>
      <c r="U90" s="70">
        <v>8.6</v>
      </c>
      <c r="V90" s="283">
        <v>8.52</v>
      </c>
      <c r="W90" s="68">
        <v>8.5</v>
      </c>
      <c r="X90" s="68">
        <v>0.66</v>
      </c>
      <c r="Y90" s="68">
        <v>1</v>
      </c>
      <c r="Z90" s="68">
        <v>10</v>
      </c>
      <c r="AA90" s="68">
        <v>0</v>
      </c>
      <c r="AB90" s="68" t="s">
        <v>1908</v>
      </c>
      <c r="AC90" s="70">
        <v>2024</v>
      </c>
      <c r="AD90" s="70" t="s">
        <v>1986</v>
      </c>
      <c r="AG90" s="52" t="s">
        <v>1106</v>
      </c>
      <c r="AH90" s="137" t="s">
        <v>1105</v>
      </c>
    </row>
    <row r="91" spans="1:34" ht="16.05" customHeight="1" thickBot="1">
      <c r="A91" s="10" t="s">
        <v>453</v>
      </c>
      <c r="B91" s="264">
        <v>10</v>
      </c>
      <c r="C91" s="4"/>
      <c r="D91" s="6" t="s">
        <v>466</v>
      </c>
      <c r="E91" s="263">
        <v>7.5</v>
      </c>
      <c r="F91" s="22"/>
      <c r="G91" s="5" t="s">
        <v>501</v>
      </c>
      <c r="H91" s="263">
        <v>8</v>
      </c>
      <c r="I91" s="4"/>
      <c r="J91" s="7" t="s">
        <v>509</v>
      </c>
      <c r="K91" s="262">
        <v>9.5</v>
      </c>
      <c r="L91" s="22"/>
      <c r="M91" s="55" t="s">
        <v>489</v>
      </c>
      <c r="N91" s="264">
        <v>10</v>
      </c>
      <c r="O91" s="22"/>
      <c r="R91" s="59">
        <v>89</v>
      </c>
      <c r="S91" s="52" t="s">
        <v>1661</v>
      </c>
      <c r="T91" s="52" t="s">
        <v>1662</v>
      </c>
      <c r="U91" s="69">
        <v>8.6</v>
      </c>
      <c r="V91" s="227">
        <v>8.5</v>
      </c>
      <c r="W91" s="52">
        <v>8.5</v>
      </c>
      <c r="X91" s="52">
        <v>0.83</v>
      </c>
      <c r="Y91" s="52">
        <v>1</v>
      </c>
      <c r="Z91" s="52">
        <v>10</v>
      </c>
      <c r="AA91" s="52">
        <v>0</v>
      </c>
      <c r="AB91" s="52" t="s">
        <v>775</v>
      </c>
      <c r="AC91" s="69">
        <v>1993</v>
      </c>
      <c r="AD91" s="69" t="s">
        <v>1963</v>
      </c>
      <c r="AG91" s="68" t="s">
        <v>1111</v>
      </c>
      <c r="AH91" s="136" t="s">
        <v>1535</v>
      </c>
    </row>
    <row r="92" spans="1:34" ht="16.05" customHeight="1" thickBot="1">
      <c r="A92" s="21"/>
      <c r="B92" s="21"/>
      <c r="C92" s="4"/>
      <c r="D92" s="6" t="s">
        <v>467</v>
      </c>
      <c r="E92" s="263">
        <v>8.5</v>
      </c>
      <c r="F92" s="22"/>
      <c r="G92" s="5" t="s">
        <v>502</v>
      </c>
      <c r="H92" s="263">
        <v>7</v>
      </c>
      <c r="I92" s="4"/>
      <c r="J92" s="8" t="s">
        <v>510</v>
      </c>
      <c r="K92" s="263">
        <v>8.5</v>
      </c>
      <c r="L92" s="4"/>
      <c r="M92" s="21"/>
      <c r="N92" s="21"/>
      <c r="O92" s="22"/>
      <c r="R92" s="59">
        <v>90</v>
      </c>
      <c r="S92" s="68" t="s">
        <v>1036</v>
      </c>
      <c r="T92" s="68" t="s">
        <v>1037</v>
      </c>
      <c r="U92" s="70">
        <v>8.5500000000000007</v>
      </c>
      <c r="V92" s="228">
        <v>8.4700000000000006</v>
      </c>
      <c r="W92" s="68">
        <v>8.5</v>
      </c>
      <c r="X92" s="68">
        <v>0.69</v>
      </c>
      <c r="Y92" s="68">
        <v>1</v>
      </c>
      <c r="Z92" s="68">
        <v>12</v>
      </c>
      <c r="AA92" s="68">
        <v>1</v>
      </c>
      <c r="AB92" s="68" t="s">
        <v>788</v>
      </c>
      <c r="AC92" s="70">
        <v>1999</v>
      </c>
      <c r="AD92" s="70" t="s">
        <v>1952</v>
      </c>
      <c r="AG92" s="52" t="s">
        <v>1109</v>
      </c>
      <c r="AH92" s="137" t="s">
        <v>1108</v>
      </c>
    </row>
    <row r="93" spans="1:34" ht="16.05" customHeight="1" thickBot="1">
      <c r="A93" s="115" t="s">
        <v>908</v>
      </c>
      <c r="B93" s="14">
        <f>ROUND(SUM(B94:B101)/COUNT(B94:B101), 2)</f>
        <v>8.5</v>
      </c>
      <c r="C93" s="4"/>
      <c r="D93" s="6" t="s">
        <v>468</v>
      </c>
      <c r="E93" s="263">
        <v>8</v>
      </c>
      <c r="F93" s="22"/>
      <c r="G93" s="5" t="s">
        <v>503</v>
      </c>
      <c r="H93" s="263">
        <v>8</v>
      </c>
      <c r="I93" s="4"/>
      <c r="J93" s="8" t="s">
        <v>511</v>
      </c>
      <c r="K93" s="263">
        <v>10.5</v>
      </c>
      <c r="L93" s="22"/>
      <c r="M93" s="127" t="s">
        <v>1013</v>
      </c>
      <c r="N93" s="3">
        <f>ROUND(SUM(N94:N110)/COUNT(N94:N110), 2)</f>
        <v>8.5</v>
      </c>
      <c r="O93" s="22"/>
      <c r="R93" s="59">
        <v>91</v>
      </c>
      <c r="S93" s="52" t="s">
        <v>343</v>
      </c>
      <c r="T93" s="52" t="s">
        <v>2060</v>
      </c>
      <c r="U93" s="69">
        <v>8.5</v>
      </c>
      <c r="V93" s="291">
        <v>8.4600000000000009</v>
      </c>
      <c r="W93" s="52">
        <v>8.5</v>
      </c>
      <c r="X93" s="52">
        <v>0.35</v>
      </c>
      <c r="Y93" s="52">
        <v>0</v>
      </c>
      <c r="Z93" s="52">
        <v>8</v>
      </c>
      <c r="AA93" s="52">
        <v>0</v>
      </c>
      <c r="AB93" s="52" t="s">
        <v>788</v>
      </c>
      <c r="AC93" s="69">
        <v>2024</v>
      </c>
      <c r="AD93" s="69" t="s">
        <v>1994</v>
      </c>
      <c r="AG93" s="68" t="s">
        <v>787</v>
      </c>
      <c r="AH93" s="136" t="s">
        <v>1778</v>
      </c>
    </row>
    <row r="94" spans="1:34" ht="16.05" customHeight="1">
      <c r="A94" s="13" t="s">
        <v>515</v>
      </c>
      <c r="B94" s="262">
        <v>10</v>
      </c>
      <c r="C94" s="4"/>
      <c r="D94" s="6" t="s">
        <v>469</v>
      </c>
      <c r="E94" s="263">
        <v>8</v>
      </c>
      <c r="F94" s="22"/>
      <c r="G94" s="5" t="s">
        <v>504</v>
      </c>
      <c r="H94" s="263">
        <v>6.5</v>
      </c>
      <c r="I94" s="4"/>
      <c r="J94" s="8" t="s">
        <v>512</v>
      </c>
      <c r="K94" s="263">
        <v>9</v>
      </c>
      <c r="L94" s="4"/>
      <c r="M94" s="7" t="s">
        <v>527</v>
      </c>
      <c r="N94" s="262">
        <v>8</v>
      </c>
      <c r="O94" s="22"/>
      <c r="R94" s="59">
        <v>92</v>
      </c>
      <c r="S94" s="68" t="s">
        <v>1243</v>
      </c>
      <c r="T94" s="68" t="s">
        <v>1244</v>
      </c>
      <c r="U94" s="70">
        <v>8.5299999999999994</v>
      </c>
      <c r="V94" s="252">
        <v>8.4499999999999993</v>
      </c>
      <c r="W94" s="68">
        <v>8.5</v>
      </c>
      <c r="X94" s="68">
        <v>0.96</v>
      </c>
      <c r="Y94" s="68">
        <v>3</v>
      </c>
      <c r="Z94" s="68">
        <v>15</v>
      </c>
      <c r="AA94" s="68">
        <v>0</v>
      </c>
      <c r="AB94" s="68" t="s">
        <v>1248</v>
      </c>
      <c r="AC94" s="70">
        <v>2024</v>
      </c>
      <c r="AD94" s="70" t="s">
        <v>1955</v>
      </c>
      <c r="AG94" s="52" t="s">
        <v>1202</v>
      </c>
      <c r="AH94" s="137" t="s">
        <v>2189</v>
      </c>
    </row>
    <row r="95" spans="1:34" ht="16.05" customHeight="1" thickBot="1">
      <c r="A95" s="6" t="s">
        <v>516</v>
      </c>
      <c r="B95" s="263">
        <v>9.5</v>
      </c>
      <c r="C95" s="4"/>
      <c r="D95" s="6" t="s">
        <v>470</v>
      </c>
      <c r="E95" s="263">
        <v>7</v>
      </c>
      <c r="F95" s="22"/>
      <c r="G95" s="9" t="s">
        <v>505</v>
      </c>
      <c r="H95" s="264">
        <v>8</v>
      </c>
      <c r="I95" s="4"/>
      <c r="J95" s="8" t="s">
        <v>513</v>
      </c>
      <c r="K95" s="263">
        <v>9</v>
      </c>
      <c r="L95" s="4"/>
      <c r="M95" s="8" t="s">
        <v>528</v>
      </c>
      <c r="N95" s="263">
        <v>8</v>
      </c>
      <c r="O95" s="22"/>
      <c r="R95" s="59">
        <v>93</v>
      </c>
      <c r="S95" s="52" t="s">
        <v>1800</v>
      </c>
      <c r="T95" s="52" t="s">
        <v>1801</v>
      </c>
      <c r="U95" s="69">
        <v>8.5</v>
      </c>
      <c r="V95" s="252">
        <v>8.4499999999999993</v>
      </c>
      <c r="W95" s="52">
        <v>8.5</v>
      </c>
      <c r="X95" s="52">
        <v>0.41</v>
      </c>
      <c r="Y95" s="52">
        <v>0</v>
      </c>
      <c r="Z95" s="52">
        <v>9</v>
      </c>
      <c r="AA95" s="52">
        <v>0</v>
      </c>
      <c r="AB95" s="52" t="s">
        <v>1248</v>
      </c>
      <c r="AC95" s="69">
        <v>2026</v>
      </c>
      <c r="AD95" s="69" t="s">
        <v>1989</v>
      </c>
      <c r="AG95" s="68" t="s">
        <v>1582</v>
      </c>
      <c r="AH95" s="136" t="s">
        <v>2189</v>
      </c>
    </row>
    <row r="96" spans="1:34" ht="16.05" customHeight="1" thickBot="1">
      <c r="A96" s="6" t="s">
        <v>517</v>
      </c>
      <c r="B96" s="263">
        <v>8.5</v>
      </c>
      <c r="C96" s="4"/>
      <c r="D96" s="6" t="s">
        <v>471</v>
      </c>
      <c r="E96" s="263">
        <v>8.5</v>
      </c>
      <c r="F96" s="4"/>
      <c r="G96" s="21"/>
      <c r="H96" s="21"/>
      <c r="I96" s="4"/>
      <c r="J96" s="10" t="s">
        <v>514</v>
      </c>
      <c r="K96" s="264">
        <v>8.5</v>
      </c>
      <c r="L96" s="4"/>
      <c r="M96" s="8" t="s">
        <v>529</v>
      </c>
      <c r="N96" s="263">
        <v>9</v>
      </c>
      <c r="O96" s="22"/>
      <c r="R96" s="59">
        <v>94</v>
      </c>
      <c r="S96" s="68" t="s">
        <v>544</v>
      </c>
      <c r="T96" s="68" t="s">
        <v>545</v>
      </c>
      <c r="U96" s="70">
        <v>8.5</v>
      </c>
      <c r="V96" s="229">
        <v>8.43</v>
      </c>
      <c r="W96" s="68">
        <v>8.5</v>
      </c>
      <c r="X96" s="68">
        <v>0.59</v>
      </c>
      <c r="Y96" s="68">
        <v>0</v>
      </c>
      <c r="Z96" s="68">
        <v>17</v>
      </c>
      <c r="AA96" s="68">
        <v>4</v>
      </c>
      <c r="AB96" s="68" t="s">
        <v>797</v>
      </c>
      <c r="AC96" s="70">
        <v>2016</v>
      </c>
      <c r="AD96" s="70" t="s">
        <v>1987</v>
      </c>
      <c r="AG96" s="52" t="s">
        <v>1118</v>
      </c>
      <c r="AH96" s="137" t="s">
        <v>1843</v>
      </c>
    </row>
    <row r="97" spans="1:34" ht="16.05" customHeight="1" thickBot="1">
      <c r="A97" s="6" t="s">
        <v>518</v>
      </c>
      <c r="B97" s="263">
        <v>8</v>
      </c>
      <c r="C97" s="4"/>
      <c r="D97" s="6" t="s">
        <v>472</v>
      </c>
      <c r="E97" s="263">
        <v>8.5</v>
      </c>
      <c r="F97" s="22"/>
      <c r="G97" s="71" t="s">
        <v>556</v>
      </c>
      <c r="H97" s="3">
        <f>ROUND(SUM(H98:H108)/COUNT(H98:H109), 2)</f>
        <v>8.77</v>
      </c>
      <c r="I97" s="4"/>
      <c r="J97" s="21"/>
      <c r="K97" s="21"/>
      <c r="L97" s="4"/>
      <c r="M97" s="8" t="s">
        <v>530</v>
      </c>
      <c r="N97" s="263"/>
      <c r="O97" s="22"/>
      <c r="R97" s="59">
        <v>95</v>
      </c>
      <c r="S97" s="52" t="s">
        <v>343</v>
      </c>
      <c r="T97" s="52" t="s">
        <v>523</v>
      </c>
      <c r="U97" s="69">
        <v>8.5</v>
      </c>
      <c r="V97" s="230">
        <v>8.41</v>
      </c>
      <c r="W97" s="52">
        <v>8.5</v>
      </c>
      <c r="X97" s="52">
        <v>0.94</v>
      </c>
      <c r="Y97" s="52">
        <v>1</v>
      </c>
      <c r="Z97" s="52">
        <v>8</v>
      </c>
      <c r="AA97" s="52">
        <v>0</v>
      </c>
      <c r="AB97" s="52" t="s">
        <v>790</v>
      </c>
      <c r="AC97" s="69">
        <v>2003</v>
      </c>
      <c r="AD97" s="69" t="s">
        <v>1986</v>
      </c>
      <c r="AG97" s="68" t="s">
        <v>1307</v>
      </c>
      <c r="AH97" s="136" t="s">
        <v>1113</v>
      </c>
    </row>
    <row r="98" spans="1:34" ht="16.05" customHeight="1" thickBot="1">
      <c r="A98" s="6" t="s">
        <v>519</v>
      </c>
      <c r="B98" s="263">
        <v>8.5</v>
      </c>
      <c r="C98" s="4"/>
      <c r="D98" s="6" t="s">
        <v>473</v>
      </c>
      <c r="E98" s="263">
        <v>7</v>
      </c>
      <c r="F98" s="4"/>
      <c r="G98" s="7" t="s">
        <v>546</v>
      </c>
      <c r="H98" s="262">
        <v>9.5</v>
      </c>
      <c r="I98" s="22"/>
      <c r="J98" s="72" t="s">
        <v>557</v>
      </c>
      <c r="K98" s="3">
        <f>ROUND(SUM(K99:K109)/COUNT(K99:K109), 2)</f>
        <v>9.61</v>
      </c>
      <c r="L98" s="4"/>
      <c r="M98" s="8" t="s">
        <v>531</v>
      </c>
      <c r="N98" s="263">
        <v>8.5</v>
      </c>
      <c r="O98" s="22"/>
      <c r="R98" s="59">
        <v>96</v>
      </c>
      <c r="S98" s="68" t="s">
        <v>382</v>
      </c>
      <c r="T98" s="68" t="s">
        <v>383</v>
      </c>
      <c r="U98" s="70">
        <v>8.4600000000000009</v>
      </c>
      <c r="V98" s="231">
        <v>8.39</v>
      </c>
      <c r="W98" s="68">
        <v>8.5</v>
      </c>
      <c r="X98" s="68">
        <v>0.84</v>
      </c>
      <c r="Y98" s="68">
        <v>2</v>
      </c>
      <c r="Z98" s="68">
        <v>13</v>
      </c>
      <c r="AA98" s="68">
        <v>0</v>
      </c>
      <c r="AB98" s="68" t="s">
        <v>794</v>
      </c>
      <c r="AC98" s="70">
        <v>2018</v>
      </c>
      <c r="AD98" s="70" t="s">
        <v>1970</v>
      </c>
      <c r="AG98" s="52" t="s">
        <v>792</v>
      </c>
      <c r="AH98" s="137" t="s">
        <v>1113</v>
      </c>
    </row>
    <row r="99" spans="1:34" ht="16.05" customHeight="1" thickBot="1">
      <c r="A99" s="6" t="s">
        <v>520</v>
      </c>
      <c r="B99" s="263">
        <v>7.5</v>
      </c>
      <c r="C99" s="4"/>
      <c r="D99" s="9" t="s">
        <v>474</v>
      </c>
      <c r="E99" s="264">
        <v>9</v>
      </c>
      <c r="F99" s="4"/>
      <c r="G99" s="8" t="s">
        <v>547</v>
      </c>
      <c r="H99" s="263">
        <v>8.5</v>
      </c>
      <c r="I99" s="4"/>
      <c r="J99" s="7" t="s">
        <v>558</v>
      </c>
      <c r="K99" s="262">
        <v>10.5</v>
      </c>
      <c r="L99" s="4"/>
      <c r="M99" s="8" t="s">
        <v>532</v>
      </c>
      <c r="N99" s="263">
        <v>7.5</v>
      </c>
      <c r="O99" s="22"/>
      <c r="R99" s="59">
        <v>97</v>
      </c>
      <c r="S99" s="52" t="s">
        <v>1290</v>
      </c>
      <c r="T99" s="52" t="s">
        <v>1280</v>
      </c>
      <c r="U99" s="69">
        <v>8.4499999999999993</v>
      </c>
      <c r="V99" s="185">
        <v>8.3800000000000008</v>
      </c>
      <c r="W99" s="52">
        <v>8.5</v>
      </c>
      <c r="X99" s="52">
        <v>0.78</v>
      </c>
      <c r="Y99" s="52">
        <v>1</v>
      </c>
      <c r="Z99" s="52">
        <v>11</v>
      </c>
      <c r="AA99" s="52">
        <v>0</v>
      </c>
      <c r="AB99" s="52" t="s">
        <v>1291</v>
      </c>
      <c r="AC99" s="69">
        <v>2024</v>
      </c>
      <c r="AD99" s="69" t="s">
        <v>1989</v>
      </c>
      <c r="AG99" s="68" t="s">
        <v>1115</v>
      </c>
      <c r="AH99" s="136" t="s">
        <v>1113</v>
      </c>
    </row>
    <row r="100" spans="1:34" ht="16.05" customHeight="1" thickBot="1">
      <c r="A100" s="6" t="s">
        <v>521</v>
      </c>
      <c r="B100" s="263">
        <v>9</v>
      </c>
      <c r="C100" s="4"/>
      <c r="D100" s="19"/>
      <c r="E100" s="21"/>
      <c r="F100" s="4"/>
      <c r="G100" s="8" t="s">
        <v>548</v>
      </c>
      <c r="H100" s="263">
        <v>8.5</v>
      </c>
      <c r="I100" s="4"/>
      <c r="J100" s="8" t="s">
        <v>559</v>
      </c>
      <c r="K100" s="263">
        <v>10</v>
      </c>
      <c r="L100" s="4"/>
      <c r="M100" s="8" t="s">
        <v>533</v>
      </c>
      <c r="N100" s="263">
        <v>9.5</v>
      </c>
      <c r="O100" s="22"/>
      <c r="R100" s="59">
        <v>98</v>
      </c>
      <c r="S100" s="68" t="s">
        <v>2087</v>
      </c>
      <c r="T100" s="68" t="s">
        <v>2088</v>
      </c>
      <c r="U100" s="70">
        <v>8.43</v>
      </c>
      <c r="V100" s="185">
        <v>8.3800000000000008</v>
      </c>
      <c r="W100" s="68">
        <v>8.5</v>
      </c>
      <c r="X100" s="68">
        <v>0.49</v>
      </c>
      <c r="Y100" s="68">
        <v>0</v>
      </c>
      <c r="Z100" s="68">
        <v>8</v>
      </c>
      <c r="AA100" s="68">
        <v>1</v>
      </c>
      <c r="AB100" s="68" t="s">
        <v>2089</v>
      </c>
      <c r="AC100" s="70">
        <v>2026</v>
      </c>
      <c r="AD100" s="70" t="s">
        <v>1981</v>
      </c>
      <c r="AG100" s="52" t="s">
        <v>1119</v>
      </c>
      <c r="AH100" s="137" t="s">
        <v>1911</v>
      </c>
    </row>
    <row r="101" spans="1:34" ht="16.05" customHeight="1" thickBot="1">
      <c r="A101" s="9" t="s">
        <v>522</v>
      </c>
      <c r="B101" s="264">
        <v>7</v>
      </c>
      <c r="C101" s="4"/>
      <c r="D101" s="94" t="s">
        <v>887</v>
      </c>
      <c r="E101" s="3">
        <f>ROUND(SUM(E102:E115)/COUNT(E102:E115), 2)</f>
        <v>8.31</v>
      </c>
      <c r="F101" s="4"/>
      <c r="G101" s="8" t="s">
        <v>549</v>
      </c>
      <c r="H101" s="263">
        <v>8</v>
      </c>
      <c r="I101" s="4"/>
      <c r="J101" s="8" t="s">
        <v>560</v>
      </c>
      <c r="K101" s="263">
        <v>8.5</v>
      </c>
      <c r="L101" s="4"/>
      <c r="M101" s="8" t="s">
        <v>543</v>
      </c>
      <c r="N101" s="263"/>
      <c r="O101" s="22"/>
      <c r="R101" s="59">
        <v>99</v>
      </c>
      <c r="S101" s="52" t="s">
        <v>1687</v>
      </c>
      <c r="T101" s="52" t="s">
        <v>1688</v>
      </c>
      <c r="U101" s="69">
        <v>8.4</v>
      </c>
      <c r="V101" s="232">
        <v>8.3699999999999992</v>
      </c>
      <c r="W101" s="52">
        <v>8.5</v>
      </c>
      <c r="X101" s="52">
        <v>0.37</v>
      </c>
      <c r="Y101" s="52">
        <v>0</v>
      </c>
      <c r="Z101" s="52">
        <v>5</v>
      </c>
      <c r="AA101" s="52">
        <v>0</v>
      </c>
      <c r="AB101" s="52" t="s">
        <v>1689</v>
      </c>
      <c r="AC101" s="69">
        <v>2026</v>
      </c>
      <c r="AD101" s="69" t="s">
        <v>1961</v>
      </c>
      <c r="AG101" s="68" t="s">
        <v>2200</v>
      </c>
      <c r="AH101" s="136" t="s">
        <v>1909</v>
      </c>
    </row>
    <row r="102" spans="1:34" ht="16.05" customHeight="1" thickBot="1">
      <c r="A102" s="21"/>
      <c r="B102" s="21"/>
      <c r="C102" s="22"/>
      <c r="D102" s="7" t="s">
        <v>572</v>
      </c>
      <c r="E102" s="266"/>
      <c r="F102" s="4"/>
      <c r="G102" s="8" t="s">
        <v>550</v>
      </c>
      <c r="H102" s="263">
        <v>9</v>
      </c>
      <c r="I102" s="4"/>
      <c r="J102" s="8" t="s">
        <v>561</v>
      </c>
      <c r="K102" s="263">
        <v>9.5</v>
      </c>
      <c r="L102" s="4"/>
      <c r="M102" s="8" t="s">
        <v>534</v>
      </c>
      <c r="N102" s="263">
        <v>9</v>
      </c>
      <c r="O102" s="22"/>
      <c r="R102" s="59">
        <v>100</v>
      </c>
      <c r="S102" s="68" t="s">
        <v>358</v>
      </c>
      <c r="T102" s="68" t="s">
        <v>359</v>
      </c>
      <c r="U102" s="70">
        <v>8.42</v>
      </c>
      <c r="V102" s="186">
        <v>8.34</v>
      </c>
      <c r="W102" s="68">
        <v>8.5</v>
      </c>
      <c r="X102" s="68">
        <v>0.91</v>
      </c>
      <c r="Y102" s="68">
        <v>1</v>
      </c>
      <c r="Z102" s="68">
        <v>13</v>
      </c>
      <c r="AA102" s="68">
        <v>1</v>
      </c>
      <c r="AB102" s="68" t="s">
        <v>779</v>
      </c>
      <c r="AC102" s="70">
        <v>2000</v>
      </c>
      <c r="AD102" s="70" t="s">
        <v>1984</v>
      </c>
      <c r="AG102" s="52" t="s">
        <v>1908</v>
      </c>
      <c r="AH102" s="137" t="s">
        <v>1909</v>
      </c>
    </row>
    <row r="103" spans="1:34" ht="16.05" customHeight="1" thickBot="1">
      <c r="A103" s="74" t="s">
        <v>587</v>
      </c>
      <c r="B103" s="3">
        <f>ROUND(SUM(B104:B112)/COUNT(B104:B112), 2)</f>
        <v>8.7799999999999994</v>
      </c>
      <c r="C103" s="22"/>
      <c r="D103" s="20" t="s">
        <v>573</v>
      </c>
      <c r="E103" s="263">
        <v>8</v>
      </c>
      <c r="F103" s="4"/>
      <c r="G103" s="8" t="s">
        <v>551</v>
      </c>
      <c r="H103" s="263">
        <v>8</v>
      </c>
      <c r="I103" s="4"/>
      <c r="J103" s="8" t="s">
        <v>562</v>
      </c>
      <c r="K103" s="263">
        <v>10</v>
      </c>
      <c r="L103" s="4"/>
      <c r="M103" s="8" t="s">
        <v>535</v>
      </c>
      <c r="N103" s="263"/>
      <c r="O103" s="22"/>
      <c r="R103" s="59">
        <v>101</v>
      </c>
      <c r="S103" s="52" t="s">
        <v>1549</v>
      </c>
      <c r="T103" s="52" t="s">
        <v>1605</v>
      </c>
      <c r="U103" s="69">
        <v>8.44</v>
      </c>
      <c r="V103" s="186">
        <v>8.34</v>
      </c>
      <c r="W103" s="52">
        <v>8.5</v>
      </c>
      <c r="X103" s="52">
        <v>1.28</v>
      </c>
      <c r="Y103" s="52">
        <v>2</v>
      </c>
      <c r="Z103" s="52">
        <v>10</v>
      </c>
      <c r="AA103" s="52">
        <v>1</v>
      </c>
      <c r="AB103" s="52" t="s">
        <v>1610</v>
      </c>
      <c r="AC103" s="69">
        <v>2016</v>
      </c>
      <c r="AD103" s="69" t="s">
        <v>1986</v>
      </c>
      <c r="AG103" s="68" t="s">
        <v>1120</v>
      </c>
      <c r="AH103" s="136" t="s">
        <v>1121</v>
      </c>
    </row>
    <row r="104" spans="1:34" ht="16.05" customHeight="1">
      <c r="A104" s="5" t="s">
        <v>588</v>
      </c>
      <c r="B104" s="263">
        <v>9.5</v>
      </c>
      <c r="C104" s="41"/>
      <c r="D104" s="20" t="s">
        <v>574</v>
      </c>
      <c r="E104" s="263">
        <v>9</v>
      </c>
      <c r="F104" s="4"/>
      <c r="G104" s="8" t="s">
        <v>552</v>
      </c>
      <c r="H104" s="263">
        <v>9.5</v>
      </c>
      <c r="I104" s="4"/>
      <c r="J104" s="8" t="s">
        <v>563</v>
      </c>
      <c r="K104" s="263"/>
      <c r="L104" s="4"/>
      <c r="M104" s="8" t="s">
        <v>536</v>
      </c>
      <c r="N104" s="263">
        <v>8</v>
      </c>
      <c r="O104" s="22"/>
      <c r="R104" s="59">
        <v>102</v>
      </c>
      <c r="S104" s="68" t="s">
        <v>2123</v>
      </c>
      <c r="T104" s="68" t="s">
        <v>2109</v>
      </c>
      <c r="U104" s="70">
        <v>8.3800000000000008</v>
      </c>
      <c r="V104" s="298">
        <v>8.33</v>
      </c>
      <c r="W104" s="68">
        <v>8.5</v>
      </c>
      <c r="X104" s="68">
        <v>0.78</v>
      </c>
      <c r="Y104" s="68">
        <v>2</v>
      </c>
      <c r="Z104" s="68">
        <v>19</v>
      </c>
      <c r="AA104" s="68">
        <v>2</v>
      </c>
      <c r="AB104" s="68" t="s">
        <v>2126</v>
      </c>
      <c r="AC104" s="70">
        <v>1994</v>
      </c>
      <c r="AD104" s="70" t="s">
        <v>1948</v>
      </c>
      <c r="AG104" s="52" t="s">
        <v>1487</v>
      </c>
      <c r="AH104" s="137" t="s">
        <v>2160</v>
      </c>
    </row>
    <row r="105" spans="1:34" ht="16.05" customHeight="1">
      <c r="A105" s="5" t="s">
        <v>589</v>
      </c>
      <c r="B105" s="263">
        <v>9</v>
      </c>
      <c r="C105" s="4"/>
      <c r="D105" s="8" t="s">
        <v>575</v>
      </c>
      <c r="E105" s="263">
        <v>8.5</v>
      </c>
      <c r="F105" s="4"/>
      <c r="G105" s="8" t="s">
        <v>553</v>
      </c>
      <c r="H105" s="263">
        <v>10</v>
      </c>
      <c r="I105" s="4"/>
      <c r="J105" s="8" t="s">
        <v>564</v>
      </c>
      <c r="K105" s="263">
        <v>9</v>
      </c>
      <c r="L105" s="4"/>
      <c r="M105" s="8" t="s">
        <v>537</v>
      </c>
      <c r="N105" s="263"/>
      <c r="O105" s="22"/>
      <c r="R105" s="59">
        <v>103</v>
      </c>
      <c r="S105" s="52" t="s">
        <v>1169</v>
      </c>
      <c r="T105" s="52" t="s">
        <v>1170</v>
      </c>
      <c r="U105" s="69">
        <v>8.4600000000000009</v>
      </c>
      <c r="V105" s="233">
        <v>8.27</v>
      </c>
      <c r="W105" s="52">
        <v>8</v>
      </c>
      <c r="X105" s="52">
        <v>1.1299999999999999</v>
      </c>
      <c r="Y105" s="52">
        <v>3</v>
      </c>
      <c r="Z105" s="52">
        <v>13</v>
      </c>
      <c r="AA105" s="52">
        <v>1</v>
      </c>
      <c r="AB105" s="52" t="s">
        <v>1171</v>
      </c>
      <c r="AC105" s="69">
        <v>1993</v>
      </c>
      <c r="AD105" s="69" t="s">
        <v>1983</v>
      </c>
      <c r="AG105" s="68" t="s">
        <v>1116</v>
      </c>
      <c r="AH105" s="136" t="s">
        <v>1467</v>
      </c>
    </row>
    <row r="106" spans="1:34" ht="16.05" customHeight="1">
      <c r="A106" s="5" t="s">
        <v>590</v>
      </c>
      <c r="B106" s="263">
        <v>10</v>
      </c>
      <c r="C106" s="4"/>
      <c r="D106" s="8" t="s">
        <v>576</v>
      </c>
      <c r="E106" s="263">
        <v>7.5</v>
      </c>
      <c r="F106" s="4"/>
      <c r="G106" s="8" t="s">
        <v>554</v>
      </c>
      <c r="H106" s="263">
        <v>9</v>
      </c>
      <c r="I106" s="4"/>
      <c r="J106" s="8" t="s">
        <v>565</v>
      </c>
      <c r="K106" s="263">
        <v>10.5</v>
      </c>
      <c r="L106" s="4"/>
      <c r="M106" s="8" t="s">
        <v>538</v>
      </c>
      <c r="N106" s="263">
        <v>8</v>
      </c>
      <c r="O106" s="22"/>
      <c r="R106" s="59">
        <v>104</v>
      </c>
      <c r="S106" s="68" t="s">
        <v>343</v>
      </c>
      <c r="T106" s="68" t="s">
        <v>1873</v>
      </c>
      <c r="U106" s="70">
        <v>8.2899999999999991</v>
      </c>
      <c r="V106" s="233">
        <v>8.27</v>
      </c>
      <c r="W106" s="68">
        <v>8.5</v>
      </c>
      <c r="X106" s="68">
        <v>0.45</v>
      </c>
      <c r="Y106" s="68">
        <v>0</v>
      </c>
      <c r="Z106" s="68">
        <v>9</v>
      </c>
      <c r="AA106" s="68">
        <v>2</v>
      </c>
      <c r="AB106" s="68" t="s">
        <v>790</v>
      </c>
      <c r="AC106" s="70">
        <v>1998</v>
      </c>
      <c r="AD106" s="70" t="s">
        <v>1983</v>
      </c>
      <c r="AG106" s="52" t="s">
        <v>1122</v>
      </c>
      <c r="AH106" s="137" t="s">
        <v>1912</v>
      </c>
    </row>
    <row r="107" spans="1:34" ht="16.05" customHeight="1">
      <c r="A107" s="5" t="s">
        <v>591</v>
      </c>
      <c r="B107" s="263">
        <v>8.5</v>
      </c>
      <c r="C107" s="4"/>
      <c r="D107" s="8" t="s">
        <v>577</v>
      </c>
      <c r="E107" s="263">
        <v>7.5</v>
      </c>
      <c r="F107" s="4"/>
      <c r="G107" s="8" t="s">
        <v>555</v>
      </c>
      <c r="H107" s="263">
        <v>7.5</v>
      </c>
      <c r="I107" s="4"/>
      <c r="J107" s="8" t="s">
        <v>566</v>
      </c>
      <c r="K107" s="265">
        <v>8.5</v>
      </c>
      <c r="L107" s="4"/>
      <c r="M107" s="8" t="s">
        <v>539</v>
      </c>
      <c r="N107" s="263">
        <v>9</v>
      </c>
      <c r="O107" s="22"/>
      <c r="R107" s="59">
        <v>105</v>
      </c>
      <c r="S107" s="52" t="s">
        <v>356</v>
      </c>
      <c r="T107" s="52" t="s">
        <v>162</v>
      </c>
      <c r="U107" s="69">
        <v>8.3800000000000008</v>
      </c>
      <c r="V107" s="234">
        <v>8.25</v>
      </c>
      <c r="W107" s="52">
        <v>8.25</v>
      </c>
      <c r="X107" s="52">
        <v>1.06</v>
      </c>
      <c r="Y107" s="52">
        <v>2</v>
      </c>
      <c r="Z107" s="52">
        <v>12</v>
      </c>
      <c r="AA107" s="52">
        <v>0</v>
      </c>
      <c r="AB107" s="52" t="s">
        <v>835</v>
      </c>
      <c r="AC107" s="69">
        <v>1992</v>
      </c>
      <c r="AD107" s="69" t="s">
        <v>1980</v>
      </c>
      <c r="AG107" s="68" t="s">
        <v>1112</v>
      </c>
      <c r="AH107" s="136" t="s">
        <v>1812</v>
      </c>
    </row>
    <row r="108" spans="1:34" ht="16.05" customHeight="1" thickBot="1">
      <c r="A108" s="5" t="s">
        <v>592</v>
      </c>
      <c r="B108" s="263">
        <v>8</v>
      </c>
      <c r="C108" s="4"/>
      <c r="D108" s="8" t="s">
        <v>578</v>
      </c>
      <c r="E108" s="263">
        <v>10</v>
      </c>
      <c r="F108" s="4"/>
      <c r="G108" s="10" t="s">
        <v>571</v>
      </c>
      <c r="H108" s="264">
        <v>9</v>
      </c>
      <c r="I108" s="4"/>
      <c r="J108" s="8" t="s">
        <v>567</v>
      </c>
      <c r="K108" s="263">
        <v>10</v>
      </c>
      <c r="L108" s="4"/>
      <c r="M108" s="8" t="s">
        <v>540</v>
      </c>
      <c r="N108" s="263">
        <v>9</v>
      </c>
      <c r="O108" s="22"/>
      <c r="R108" s="59">
        <v>106</v>
      </c>
      <c r="S108" s="68" t="s">
        <v>343</v>
      </c>
      <c r="T108" s="68" t="s">
        <v>1734</v>
      </c>
      <c r="U108" s="70">
        <v>8.4</v>
      </c>
      <c r="V108" s="234">
        <v>8.25</v>
      </c>
      <c r="W108" s="68">
        <v>8</v>
      </c>
      <c r="X108" s="68">
        <v>0.86</v>
      </c>
      <c r="Y108" s="68">
        <v>1</v>
      </c>
      <c r="Z108" s="68">
        <v>5</v>
      </c>
      <c r="AA108" s="68">
        <v>0</v>
      </c>
      <c r="AB108" s="68" t="s">
        <v>788</v>
      </c>
      <c r="AC108" s="70">
        <v>1996</v>
      </c>
      <c r="AD108" s="70" t="s">
        <v>1975</v>
      </c>
      <c r="AG108" s="52" t="s">
        <v>1099</v>
      </c>
      <c r="AH108" s="137" t="s">
        <v>1124</v>
      </c>
    </row>
    <row r="109" spans="1:34" ht="16.05" customHeight="1" thickBot="1">
      <c r="A109" s="5" t="s">
        <v>593</v>
      </c>
      <c r="B109" s="263">
        <v>7.5</v>
      </c>
      <c r="C109" s="4"/>
      <c r="D109" s="8" t="s">
        <v>50</v>
      </c>
      <c r="E109" s="263">
        <v>9</v>
      </c>
      <c r="F109" s="4"/>
      <c r="G109" s="21"/>
      <c r="H109" s="21"/>
      <c r="I109" s="4"/>
      <c r="J109" s="10" t="s">
        <v>568</v>
      </c>
      <c r="K109" s="264"/>
      <c r="L109" s="4"/>
      <c r="M109" s="8" t="s">
        <v>541</v>
      </c>
      <c r="N109" s="263">
        <v>9</v>
      </c>
      <c r="O109" s="22"/>
      <c r="R109" s="59">
        <v>107</v>
      </c>
      <c r="S109" s="52" t="s">
        <v>335</v>
      </c>
      <c r="T109" s="52" t="s">
        <v>319</v>
      </c>
      <c r="U109" s="69">
        <v>8.35</v>
      </c>
      <c r="V109" s="235">
        <v>8.2200000000000006</v>
      </c>
      <c r="W109" s="52">
        <v>8.25</v>
      </c>
      <c r="X109" s="52">
        <v>1.32</v>
      </c>
      <c r="Y109" s="52">
        <v>3</v>
      </c>
      <c r="Z109" s="52">
        <v>10</v>
      </c>
      <c r="AA109" s="52">
        <v>0</v>
      </c>
      <c r="AB109" s="52" t="s">
        <v>786</v>
      </c>
      <c r="AC109" s="69">
        <v>1993</v>
      </c>
      <c r="AD109" s="69" t="s">
        <v>1976</v>
      </c>
      <c r="AG109" s="68" t="s">
        <v>1123</v>
      </c>
      <c r="AH109" s="136" t="s">
        <v>1124</v>
      </c>
    </row>
    <row r="110" spans="1:34" ht="16.05" customHeight="1" thickBot="1">
      <c r="A110" s="5" t="s">
        <v>594</v>
      </c>
      <c r="B110" s="263">
        <v>8</v>
      </c>
      <c r="C110" s="4"/>
      <c r="D110" s="8" t="s">
        <v>579</v>
      </c>
      <c r="E110" s="263">
        <v>8</v>
      </c>
      <c r="F110" s="22"/>
      <c r="G110" s="93" t="s">
        <v>886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542</v>
      </c>
      <c r="N110" s="264">
        <v>8</v>
      </c>
      <c r="O110" s="22"/>
      <c r="R110" s="59">
        <v>108</v>
      </c>
      <c r="S110" s="68" t="s">
        <v>357</v>
      </c>
      <c r="T110" s="68" t="s">
        <v>312</v>
      </c>
      <c r="U110" s="70">
        <v>8.35</v>
      </c>
      <c r="V110" s="236">
        <v>8.1999999999999993</v>
      </c>
      <c r="W110" s="68">
        <v>8</v>
      </c>
      <c r="X110" s="68">
        <v>0.78</v>
      </c>
      <c r="Y110" s="68">
        <v>1</v>
      </c>
      <c r="Z110" s="68">
        <v>10</v>
      </c>
      <c r="AA110" s="68">
        <v>0</v>
      </c>
      <c r="AB110" s="68" t="s">
        <v>837</v>
      </c>
      <c r="AC110" s="70">
        <v>1979</v>
      </c>
      <c r="AD110" s="70" t="s">
        <v>1979</v>
      </c>
      <c r="AG110" s="52" t="s">
        <v>1125</v>
      </c>
      <c r="AH110" s="137" t="s">
        <v>1124</v>
      </c>
    </row>
    <row r="111" spans="1:34" ht="16.05" customHeight="1" thickBot="1">
      <c r="A111" s="5" t="s">
        <v>595</v>
      </c>
      <c r="B111" s="263">
        <v>8</v>
      </c>
      <c r="C111" s="4"/>
      <c r="D111" s="8" t="s">
        <v>580</v>
      </c>
      <c r="E111" s="263">
        <v>7.5</v>
      </c>
      <c r="F111" s="4"/>
      <c r="G111" s="7" t="s">
        <v>599</v>
      </c>
      <c r="H111" s="262">
        <v>10</v>
      </c>
      <c r="I111" s="22"/>
      <c r="J111" s="92" t="s">
        <v>885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362</v>
      </c>
      <c r="T111" s="52" t="s">
        <v>363</v>
      </c>
      <c r="U111" s="69">
        <v>8.33</v>
      </c>
      <c r="V111" s="187">
        <v>8.17</v>
      </c>
      <c r="W111" s="52">
        <v>8</v>
      </c>
      <c r="X111" s="52">
        <v>0.94</v>
      </c>
      <c r="Y111" s="52">
        <v>1</v>
      </c>
      <c r="Z111" s="52">
        <v>9</v>
      </c>
      <c r="AA111" s="52">
        <v>0</v>
      </c>
      <c r="AB111" s="52" t="s">
        <v>774</v>
      </c>
      <c r="AC111" s="69">
        <v>1993</v>
      </c>
      <c r="AD111" s="69" t="s">
        <v>1974</v>
      </c>
      <c r="AG111" s="68" t="s">
        <v>1690</v>
      </c>
      <c r="AH111" s="136" t="s">
        <v>1124</v>
      </c>
    </row>
    <row r="112" spans="1:34" ht="16.05" customHeight="1" thickBot="1">
      <c r="A112" s="57" t="s">
        <v>596</v>
      </c>
      <c r="B112" s="264">
        <v>10.5</v>
      </c>
      <c r="C112" s="4"/>
      <c r="D112" s="8" t="s">
        <v>581</v>
      </c>
      <c r="E112" s="263">
        <v>7.5</v>
      </c>
      <c r="F112" s="4"/>
      <c r="G112" s="8" t="s">
        <v>600</v>
      </c>
      <c r="H112" s="263">
        <v>8</v>
      </c>
      <c r="I112" s="22"/>
      <c r="J112" s="5" t="s">
        <v>614</v>
      </c>
      <c r="K112" s="263">
        <v>8</v>
      </c>
      <c r="L112" s="22"/>
      <c r="M112" s="76" t="s">
        <v>626</v>
      </c>
      <c r="N112" s="3">
        <f>ROUND(SUM(N113:N125)/COUNT(N113:N125), 2)</f>
        <v>8.77</v>
      </c>
      <c r="O112" s="22"/>
      <c r="R112" s="59">
        <v>110</v>
      </c>
      <c r="S112" s="68" t="s">
        <v>585</v>
      </c>
      <c r="T112" s="68" t="s">
        <v>586</v>
      </c>
      <c r="U112" s="70">
        <v>8.31</v>
      </c>
      <c r="V112" s="187">
        <v>8.16</v>
      </c>
      <c r="W112" s="68">
        <v>8</v>
      </c>
      <c r="X112" s="68">
        <v>0.89</v>
      </c>
      <c r="Y112" s="68">
        <v>2</v>
      </c>
      <c r="Z112" s="68">
        <v>14</v>
      </c>
      <c r="AA112" s="68">
        <v>1</v>
      </c>
      <c r="AB112" s="68" t="s">
        <v>778</v>
      </c>
      <c r="AC112" s="70">
        <v>2016</v>
      </c>
      <c r="AD112" s="70" t="s">
        <v>1970</v>
      </c>
      <c r="AG112" s="52" t="s">
        <v>1126</v>
      </c>
      <c r="AH112" s="137" t="s">
        <v>1127</v>
      </c>
    </row>
    <row r="113" spans="1:34" ht="16.05" customHeight="1" thickBot="1">
      <c r="A113" s="21"/>
      <c r="B113" s="21"/>
      <c r="C113" s="22"/>
      <c r="D113" s="20" t="s">
        <v>582</v>
      </c>
      <c r="E113" s="263">
        <v>8</v>
      </c>
      <c r="F113" s="4"/>
      <c r="G113" s="8" t="s">
        <v>601</v>
      </c>
      <c r="H113" s="263">
        <v>8.5</v>
      </c>
      <c r="I113" s="22"/>
      <c r="J113" s="5" t="s">
        <v>615</v>
      </c>
      <c r="K113" s="263">
        <v>10.5</v>
      </c>
      <c r="L113" s="22"/>
      <c r="M113" s="5" t="s">
        <v>627</v>
      </c>
      <c r="N113" s="263">
        <v>9</v>
      </c>
      <c r="O113" s="22"/>
      <c r="R113" s="59">
        <v>111</v>
      </c>
      <c r="S113" s="52" t="s">
        <v>815</v>
      </c>
      <c r="T113" s="52" t="s">
        <v>816</v>
      </c>
      <c r="U113" s="69">
        <v>8.33</v>
      </c>
      <c r="V113" s="187">
        <v>8.16</v>
      </c>
      <c r="W113" s="52">
        <v>8</v>
      </c>
      <c r="X113" s="52">
        <v>1.1599999999999999</v>
      </c>
      <c r="Y113" s="52">
        <v>3</v>
      </c>
      <c r="Z113" s="52">
        <v>15</v>
      </c>
      <c r="AA113" s="52">
        <v>0</v>
      </c>
      <c r="AB113" s="52" t="s">
        <v>836</v>
      </c>
      <c r="AC113" s="69">
        <v>2003</v>
      </c>
      <c r="AD113" s="69" t="s">
        <v>1990</v>
      </c>
      <c r="AG113" s="68" t="s">
        <v>1128</v>
      </c>
      <c r="AH113" s="136" t="s">
        <v>1129</v>
      </c>
    </row>
    <row r="114" spans="1:34" ht="16.05" customHeight="1" thickBot="1">
      <c r="A114" s="91" t="s">
        <v>884</v>
      </c>
      <c r="B114" s="3">
        <f>ROUND(SUM(B115:B132)/COUNT(B115:B132), 2)</f>
        <v>7.72</v>
      </c>
      <c r="C114" s="22"/>
      <c r="D114" s="20" t="s">
        <v>583</v>
      </c>
      <c r="E114" s="263">
        <v>7.5</v>
      </c>
      <c r="F114" s="4"/>
      <c r="G114" s="8" t="s">
        <v>602</v>
      </c>
      <c r="H114" s="263">
        <v>9</v>
      </c>
      <c r="I114" s="22"/>
      <c r="J114" s="5" t="s">
        <v>616</v>
      </c>
      <c r="K114" s="263">
        <v>6</v>
      </c>
      <c r="L114" s="22"/>
      <c r="M114" s="5" t="s">
        <v>628</v>
      </c>
      <c r="N114" s="263">
        <v>8.5</v>
      </c>
      <c r="O114" s="22"/>
      <c r="R114" s="59">
        <v>112</v>
      </c>
      <c r="S114" s="68" t="s">
        <v>1861</v>
      </c>
      <c r="T114" s="68" t="s">
        <v>1861</v>
      </c>
      <c r="U114" s="70">
        <v>8.2899999999999991</v>
      </c>
      <c r="V114" s="187">
        <v>8.16</v>
      </c>
      <c r="W114" s="68">
        <v>8</v>
      </c>
      <c r="X114" s="68">
        <v>0.52</v>
      </c>
      <c r="Y114" s="68">
        <v>0</v>
      </c>
      <c r="Z114" s="68">
        <v>7</v>
      </c>
      <c r="AA114" s="68">
        <v>0</v>
      </c>
      <c r="AB114" s="68" t="s">
        <v>1862</v>
      </c>
      <c r="AC114" s="70">
        <v>2018</v>
      </c>
      <c r="AD114" s="70" t="s">
        <v>1991</v>
      </c>
      <c r="AG114" s="52" t="s">
        <v>778</v>
      </c>
      <c r="AH114" s="137" t="s">
        <v>1813</v>
      </c>
    </row>
    <row r="115" spans="1:34" ht="16.05" customHeight="1" thickBot="1">
      <c r="A115" s="7" t="s">
        <v>641</v>
      </c>
      <c r="B115" s="263">
        <v>7.5</v>
      </c>
      <c r="C115" s="4"/>
      <c r="D115" s="10" t="s">
        <v>584</v>
      </c>
      <c r="E115" s="264">
        <v>10</v>
      </c>
      <c r="F115" s="4"/>
      <c r="G115" s="8" t="s">
        <v>603</v>
      </c>
      <c r="H115" s="263">
        <v>10</v>
      </c>
      <c r="I115" s="22"/>
      <c r="J115" s="5" t="s">
        <v>617</v>
      </c>
      <c r="K115" s="263">
        <v>9</v>
      </c>
      <c r="L115" s="22"/>
      <c r="M115" s="5" t="s">
        <v>629</v>
      </c>
      <c r="N115" s="263">
        <v>9</v>
      </c>
      <c r="O115" s="22"/>
      <c r="R115" s="59">
        <v>113</v>
      </c>
      <c r="S115" s="52" t="s">
        <v>336</v>
      </c>
      <c r="T115" s="52" t="s">
        <v>625</v>
      </c>
      <c r="U115" s="69">
        <v>8.0500000000000007</v>
      </c>
      <c r="V115" s="175">
        <v>8.11</v>
      </c>
      <c r="W115" s="52">
        <v>8.25</v>
      </c>
      <c r="X115" s="52">
        <v>1.19</v>
      </c>
      <c r="Y115" s="52">
        <v>1</v>
      </c>
      <c r="Z115" s="52">
        <v>11</v>
      </c>
      <c r="AA115" s="52">
        <v>1</v>
      </c>
      <c r="AB115" s="52" t="s">
        <v>766</v>
      </c>
      <c r="AC115" s="69">
        <v>2001</v>
      </c>
      <c r="AD115" s="69" t="s">
        <v>1986</v>
      </c>
      <c r="AG115" s="68" t="s">
        <v>1303</v>
      </c>
      <c r="AH115" s="136" t="s">
        <v>1304</v>
      </c>
    </row>
    <row r="116" spans="1:34" ht="16.05" customHeight="1" thickBot="1">
      <c r="A116" s="8" t="s">
        <v>642</v>
      </c>
      <c r="B116" s="263">
        <v>8</v>
      </c>
      <c r="C116" s="4"/>
      <c r="D116" s="19"/>
      <c r="E116" s="19"/>
      <c r="F116" s="4"/>
      <c r="G116" s="8" t="s">
        <v>604</v>
      </c>
      <c r="H116" s="263"/>
      <c r="I116" s="22"/>
      <c r="J116" s="5" t="s">
        <v>618</v>
      </c>
      <c r="K116" s="263">
        <v>8.5</v>
      </c>
      <c r="L116" s="22"/>
      <c r="M116" s="5" t="s">
        <v>630</v>
      </c>
      <c r="N116" s="263">
        <v>8</v>
      </c>
      <c r="O116" s="22"/>
      <c r="R116" s="59">
        <v>114</v>
      </c>
      <c r="S116" s="68" t="s">
        <v>476</v>
      </c>
      <c r="T116" s="68" t="s">
        <v>477</v>
      </c>
      <c r="U116" s="70">
        <v>8.18</v>
      </c>
      <c r="V116" s="237">
        <v>8.06</v>
      </c>
      <c r="W116" s="68">
        <v>8</v>
      </c>
      <c r="X116" s="68">
        <v>0.89</v>
      </c>
      <c r="Y116" s="68">
        <v>2</v>
      </c>
      <c r="Z116" s="68">
        <v>19</v>
      </c>
      <c r="AA116" s="68">
        <v>0</v>
      </c>
      <c r="AB116" s="68" t="s">
        <v>793</v>
      </c>
      <c r="AC116" s="70">
        <v>2023</v>
      </c>
      <c r="AD116" s="70" t="s">
        <v>1969</v>
      </c>
      <c r="AG116" s="52" t="s">
        <v>1305</v>
      </c>
      <c r="AH116" s="137" t="s">
        <v>1304</v>
      </c>
    </row>
    <row r="117" spans="1:34" ht="16.05" customHeight="1" thickBot="1">
      <c r="A117" s="8" t="s">
        <v>643</v>
      </c>
      <c r="B117" s="263">
        <v>8</v>
      </c>
      <c r="C117" s="22"/>
      <c r="D117" s="90" t="s">
        <v>883</v>
      </c>
      <c r="E117" s="3">
        <f>ROUND(SUM(E118:E131)/COUNT(E118:E131), 2)</f>
        <v>8.76</v>
      </c>
      <c r="F117" s="4"/>
      <c r="G117" s="8" t="s">
        <v>605</v>
      </c>
      <c r="H117" s="263">
        <v>10</v>
      </c>
      <c r="I117" s="22"/>
      <c r="J117" s="5" t="s">
        <v>619</v>
      </c>
      <c r="K117" s="263">
        <v>8.5</v>
      </c>
      <c r="L117" s="22"/>
      <c r="M117" s="5" t="s">
        <v>631</v>
      </c>
      <c r="N117" s="263">
        <v>10</v>
      </c>
      <c r="O117" s="22"/>
      <c r="R117" s="59">
        <v>115</v>
      </c>
      <c r="S117" s="52" t="s">
        <v>348</v>
      </c>
      <c r="T117" s="52" t="s">
        <v>1914</v>
      </c>
      <c r="U117" s="69">
        <v>8.18</v>
      </c>
      <c r="V117" s="237">
        <v>8.06</v>
      </c>
      <c r="W117" s="52">
        <v>8</v>
      </c>
      <c r="X117" s="52">
        <v>0.86</v>
      </c>
      <c r="Y117" s="52">
        <v>1</v>
      </c>
      <c r="Z117" s="52">
        <v>11</v>
      </c>
      <c r="AA117" s="52">
        <v>0</v>
      </c>
      <c r="AB117" s="52" t="s">
        <v>1924</v>
      </c>
      <c r="AC117" s="69">
        <v>2001</v>
      </c>
      <c r="AD117" s="69" t="s">
        <v>1947</v>
      </c>
      <c r="AG117" s="68" t="s">
        <v>1612</v>
      </c>
      <c r="AH117" s="136" t="s">
        <v>1613</v>
      </c>
    </row>
    <row r="118" spans="1:34" ht="16.05" customHeight="1">
      <c r="A118" s="8" t="s">
        <v>644</v>
      </c>
      <c r="B118" s="263">
        <v>7</v>
      </c>
      <c r="C118" s="22"/>
      <c r="D118" s="5" t="s">
        <v>661</v>
      </c>
      <c r="E118" s="263">
        <v>9</v>
      </c>
      <c r="F118" s="4"/>
      <c r="G118" s="8" t="s">
        <v>606</v>
      </c>
      <c r="H118" s="263">
        <v>7.5</v>
      </c>
      <c r="I118" s="22"/>
      <c r="J118" s="5" t="s">
        <v>620</v>
      </c>
      <c r="K118" s="263">
        <v>7.5</v>
      </c>
      <c r="L118" s="22"/>
      <c r="M118" s="5" t="s">
        <v>632</v>
      </c>
      <c r="N118" s="263">
        <v>9.5</v>
      </c>
      <c r="O118" s="22"/>
      <c r="R118" s="59">
        <v>116</v>
      </c>
      <c r="S118" s="68" t="s">
        <v>730</v>
      </c>
      <c r="T118" s="68" t="s">
        <v>1309</v>
      </c>
      <c r="U118" s="70">
        <v>8.11</v>
      </c>
      <c r="V118" s="188">
        <v>8</v>
      </c>
      <c r="W118" s="68">
        <v>8</v>
      </c>
      <c r="X118" s="68">
        <v>0.71</v>
      </c>
      <c r="Y118" s="68">
        <v>0</v>
      </c>
      <c r="Z118" s="68">
        <v>15</v>
      </c>
      <c r="AA118" s="68">
        <v>1</v>
      </c>
      <c r="AB118" s="68" t="s">
        <v>1325</v>
      </c>
      <c r="AC118" s="70">
        <v>2026</v>
      </c>
      <c r="AD118" s="70" t="s">
        <v>1966</v>
      </c>
      <c r="AG118" s="52" t="s">
        <v>2089</v>
      </c>
      <c r="AH118" s="137" t="s">
        <v>2100</v>
      </c>
    </row>
    <row r="119" spans="1:34" ht="16.05" customHeight="1">
      <c r="A119" s="8" t="s">
        <v>645</v>
      </c>
      <c r="B119" s="263">
        <v>7.5</v>
      </c>
      <c r="C119" s="22"/>
      <c r="D119" s="5" t="s">
        <v>662</v>
      </c>
      <c r="E119" s="263">
        <v>9.5</v>
      </c>
      <c r="F119" s="4"/>
      <c r="G119" s="8" t="s">
        <v>607</v>
      </c>
      <c r="H119" s="263"/>
      <c r="I119" s="22"/>
      <c r="J119" s="5" t="s">
        <v>621</v>
      </c>
      <c r="K119" s="263">
        <v>7</v>
      </c>
      <c r="L119" s="22"/>
      <c r="M119" s="5" t="s">
        <v>633</v>
      </c>
      <c r="N119" s="263">
        <v>10.5</v>
      </c>
      <c r="O119" s="22"/>
      <c r="R119" s="59">
        <v>117</v>
      </c>
      <c r="S119" s="52" t="s">
        <v>395</v>
      </c>
      <c r="T119" s="52" t="s">
        <v>388</v>
      </c>
      <c r="U119" s="69">
        <v>8</v>
      </c>
      <c r="V119" s="238">
        <v>7.98</v>
      </c>
      <c r="W119" s="52">
        <v>8.25</v>
      </c>
      <c r="X119" s="52">
        <v>0.56000000000000005</v>
      </c>
      <c r="Y119" s="52">
        <v>0</v>
      </c>
      <c r="Z119" s="52">
        <v>9</v>
      </c>
      <c r="AA119" s="52">
        <v>1</v>
      </c>
      <c r="AB119" s="52" t="s">
        <v>769</v>
      </c>
      <c r="AC119" s="69">
        <v>2005</v>
      </c>
      <c r="AD119" s="69" t="s">
        <v>1981</v>
      </c>
      <c r="AG119" s="68" t="s">
        <v>1133</v>
      </c>
      <c r="AH119" s="136" t="s">
        <v>1308</v>
      </c>
    </row>
    <row r="120" spans="1:34" ht="16.05" customHeight="1">
      <c r="A120" s="8" t="s">
        <v>646</v>
      </c>
      <c r="B120" s="263">
        <v>8</v>
      </c>
      <c r="C120" s="22"/>
      <c r="D120" s="5" t="s">
        <v>500</v>
      </c>
      <c r="E120" s="263">
        <v>10</v>
      </c>
      <c r="F120" s="4"/>
      <c r="G120" s="75" t="s">
        <v>608</v>
      </c>
      <c r="H120" s="263">
        <v>8</v>
      </c>
      <c r="I120" s="22"/>
      <c r="J120" s="5" t="s">
        <v>622</v>
      </c>
      <c r="K120" s="263"/>
      <c r="L120" s="22"/>
      <c r="M120" s="5" t="s">
        <v>634</v>
      </c>
      <c r="N120" s="263">
        <v>10</v>
      </c>
      <c r="O120" s="22"/>
      <c r="R120" s="59">
        <v>118</v>
      </c>
      <c r="S120" s="68" t="s">
        <v>346</v>
      </c>
      <c r="T120" s="68" t="s">
        <v>704</v>
      </c>
      <c r="U120" s="70">
        <v>8.07</v>
      </c>
      <c r="V120" s="189">
        <v>7.95</v>
      </c>
      <c r="W120" s="68">
        <v>8</v>
      </c>
      <c r="X120" s="68">
        <v>1.07</v>
      </c>
      <c r="Y120" s="68">
        <v>2</v>
      </c>
      <c r="Z120" s="68">
        <v>16</v>
      </c>
      <c r="AA120" s="68">
        <v>2</v>
      </c>
      <c r="AB120" s="68" t="s">
        <v>771</v>
      </c>
      <c r="AC120" s="70">
        <v>1997</v>
      </c>
      <c r="AD120" s="70" t="s">
        <v>1975</v>
      </c>
      <c r="AG120" s="52" t="s">
        <v>1134</v>
      </c>
      <c r="AH120" s="137" t="s">
        <v>1308</v>
      </c>
    </row>
    <row r="121" spans="1:34" ht="16.05" customHeight="1">
      <c r="A121" s="8" t="s">
        <v>647</v>
      </c>
      <c r="B121" s="263">
        <v>8</v>
      </c>
      <c r="C121" s="22"/>
      <c r="D121" s="5" t="s">
        <v>663</v>
      </c>
      <c r="E121" s="263">
        <v>8</v>
      </c>
      <c r="F121" s="4"/>
      <c r="G121" s="8" t="s">
        <v>609</v>
      </c>
      <c r="H121" s="263">
        <v>8</v>
      </c>
      <c r="I121" s="22"/>
      <c r="J121" s="5" t="s">
        <v>623</v>
      </c>
      <c r="K121" s="263">
        <v>7</v>
      </c>
      <c r="L121" s="22"/>
      <c r="M121" s="5" t="s">
        <v>635</v>
      </c>
      <c r="N121" s="263">
        <v>8.5</v>
      </c>
      <c r="O121" s="22"/>
      <c r="R121" s="59">
        <v>119</v>
      </c>
      <c r="S121" s="52" t="s">
        <v>1434</v>
      </c>
      <c r="T121" s="52" t="s">
        <v>1435</v>
      </c>
      <c r="U121" s="69">
        <v>8.0500000000000007</v>
      </c>
      <c r="V121" s="189">
        <v>7.95</v>
      </c>
      <c r="W121" s="52">
        <v>8</v>
      </c>
      <c r="X121" s="52">
        <v>0.72</v>
      </c>
      <c r="Y121" s="52">
        <v>0</v>
      </c>
      <c r="Z121" s="52">
        <v>10</v>
      </c>
      <c r="AA121" s="52">
        <v>0</v>
      </c>
      <c r="AB121" s="52" t="s">
        <v>765</v>
      </c>
      <c r="AC121" s="69">
        <v>2026</v>
      </c>
      <c r="AD121" s="69" t="s">
        <v>1981</v>
      </c>
      <c r="AG121" s="68" t="s">
        <v>2161</v>
      </c>
      <c r="AH121" s="136" t="s">
        <v>1131</v>
      </c>
    </row>
    <row r="122" spans="1:34" ht="16.05" customHeight="1" thickBot="1">
      <c r="A122" s="8" t="s">
        <v>648</v>
      </c>
      <c r="B122" s="263">
        <v>8</v>
      </c>
      <c r="C122" s="22"/>
      <c r="D122" s="5" t="s">
        <v>664</v>
      </c>
      <c r="E122" s="263">
        <v>10.5</v>
      </c>
      <c r="F122" s="4"/>
      <c r="G122" s="8" t="s">
        <v>610</v>
      </c>
      <c r="H122" s="263">
        <v>8</v>
      </c>
      <c r="I122" s="22"/>
      <c r="J122" s="9" t="s">
        <v>624</v>
      </c>
      <c r="K122" s="264">
        <v>8.5</v>
      </c>
      <c r="L122" s="22"/>
      <c r="M122" s="5" t="s">
        <v>636</v>
      </c>
      <c r="N122" s="263">
        <v>7.5</v>
      </c>
      <c r="O122" s="22"/>
      <c r="R122" s="59">
        <v>120</v>
      </c>
      <c r="S122" s="68" t="s">
        <v>343</v>
      </c>
      <c r="T122" s="68" t="s">
        <v>1789</v>
      </c>
      <c r="U122" s="70">
        <v>8.06</v>
      </c>
      <c r="V122" s="189">
        <v>7.95</v>
      </c>
      <c r="W122" s="68">
        <v>8</v>
      </c>
      <c r="X122" s="68">
        <v>0.81</v>
      </c>
      <c r="Y122" s="68">
        <v>0</v>
      </c>
      <c r="Z122" s="68">
        <v>8</v>
      </c>
      <c r="AA122" s="68">
        <v>0</v>
      </c>
      <c r="AB122" s="68" t="s">
        <v>1090</v>
      </c>
      <c r="AC122" s="70">
        <v>2014</v>
      </c>
      <c r="AD122" s="70" t="s">
        <v>1990</v>
      </c>
      <c r="AG122" s="52" t="s">
        <v>1130</v>
      </c>
      <c r="AH122" s="137" t="s">
        <v>1131</v>
      </c>
    </row>
    <row r="123" spans="1:34" ht="16.05" customHeight="1" thickBot="1">
      <c r="A123" s="8" t="s">
        <v>649</v>
      </c>
      <c r="B123" s="263">
        <v>6.5</v>
      </c>
      <c r="C123" s="22"/>
      <c r="D123" s="5" t="s">
        <v>665</v>
      </c>
      <c r="E123" s="263">
        <v>8</v>
      </c>
      <c r="F123" s="4"/>
      <c r="G123" s="10" t="s">
        <v>611</v>
      </c>
      <c r="H123" s="264">
        <v>9</v>
      </c>
      <c r="I123" s="4"/>
      <c r="J123" s="21"/>
      <c r="K123" s="21"/>
      <c r="L123" s="22"/>
      <c r="M123" s="5" t="s">
        <v>637</v>
      </c>
      <c r="N123" s="263">
        <v>8</v>
      </c>
      <c r="O123" s="22"/>
      <c r="R123" s="59">
        <v>121</v>
      </c>
      <c r="S123" s="52" t="s">
        <v>346</v>
      </c>
      <c r="T123" s="52" t="s">
        <v>1583</v>
      </c>
      <c r="U123" s="69">
        <v>8</v>
      </c>
      <c r="V123" s="239">
        <v>7.79</v>
      </c>
      <c r="W123" s="52">
        <v>7.5</v>
      </c>
      <c r="X123" s="52">
        <v>0.88</v>
      </c>
      <c r="Y123" s="52">
        <v>0</v>
      </c>
      <c r="Z123" s="52">
        <v>10</v>
      </c>
      <c r="AA123" s="52">
        <v>1</v>
      </c>
      <c r="AB123" s="52" t="s">
        <v>1594</v>
      </c>
      <c r="AC123" s="69">
        <v>2005</v>
      </c>
      <c r="AD123" s="69" t="s">
        <v>1973</v>
      </c>
      <c r="AG123" s="68" t="s">
        <v>1132</v>
      </c>
      <c r="AH123" s="136" t="s">
        <v>1131</v>
      </c>
    </row>
    <row r="124" spans="1:34" ht="16.05" customHeight="1" thickBot="1">
      <c r="A124" s="8" t="s">
        <v>650</v>
      </c>
      <c r="B124" s="263">
        <v>7.5</v>
      </c>
      <c r="C124" s="22"/>
      <c r="D124" s="5" t="s">
        <v>666</v>
      </c>
      <c r="E124" s="263">
        <v>9</v>
      </c>
      <c r="F124" s="4"/>
      <c r="G124" s="21"/>
      <c r="H124" s="21"/>
      <c r="I124" s="4"/>
      <c r="J124" s="79" t="s">
        <v>679</v>
      </c>
      <c r="K124" s="3">
        <f>ROUND(SUM(K125:K134)/COUNT(K125:K134), 2)</f>
        <v>7.06</v>
      </c>
      <c r="L124" s="22"/>
      <c r="M124" s="5" t="s">
        <v>638</v>
      </c>
      <c r="N124" s="263">
        <v>8.5</v>
      </c>
      <c r="O124" s="22"/>
      <c r="R124" s="59">
        <v>122</v>
      </c>
      <c r="S124" s="68" t="s">
        <v>336</v>
      </c>
      <c r="T124" s="68" t="s">
        <v>956</v>
      </c>
      <c r="U124" s="70">
        <v>7.88</v>
      </c>
      <c r="V124" s="240">
        <v>7.74</v>
      </c>
      <c r="W124" s="68">
        <v>7.75</v>
      </c>
      <c r="X124" s="68">
        <v>0.86</v>
      </c>
      <c r="Y124" s="68">
        <v>0</v>
      </c>
      <c r="Z124" s="68">
        <v>8</v>
      </c>
      <c r="AA124" s="68">
        <v>0</v>
      </c>
      <c r="AB124" s="68" t="s">
        <v>957</v>
      </c>
      <c r="AC124" s="70">
        <v>2011</v>
      </c>
      <c r="AD124" s="70" t="s">
        <v>1984</v>
      </c>
      <c r="AG124" s="52" t="s">
        <v>1137</v>
      </c>
      <c r="AH124" s="137" t="s">
        <v>1704</v>
      </c>
    </row>
    <row r="125" spans="1:34" ht="16.05" customHeight="1" thickBot="1">
      <c r="A125" s="8" t="s">
        <v>651</v>
      </c>
      <c r="B125" s="263">
        <v>7</v>
      </c>
      <c r="C125" s="22"/>
      <c r="D125" s="5" t="s">
        <v>667</v>
      </c>
      <c r="E125" s="263">
        <v>8.5</v>
      </c>
      <c r="F125" s="22"/>
      <c r="G125" s="151" t="s">
        <v>1257</v>
      </c>
      <c r="H125" s="3">
        <f>ROUND(SUM(H126:H129)/COUNT(H126:H129), 2)</f>
        <v>9.8800000000000008</v>
      </c>
      <c r="I125" s="4"/>
      <c r="J125" s="13" t="s">
        <v>669</v>
      </c>
      <c r="K125" s="263"/>
      <c r="L125" s="22"/>
      <c r="M125" s="55" t="s">
        <v>639</v>
      </c>
      <c r="N125" s="264">
        <v>7</v>
      </c>
      <c r="O125" s="22"/>
      <c r="R125" s="59">
        <v>123</v>
      </c>
      <c r="S125" s="52" t="s">
        <v>659</v>
      </c>
      <c r="T125" s="52" t="s">
        <v>660</v>
      </c>
      <c r="U125" s="69">
        <v>7.72</v>
      </c>
      <c r="V125" s="241">
        <v>7.7</v>
      </c>
      <c r="W125" s="52">
        <v>8</v>
      </c>
      <c r="X125" s="52">
        <v>0.57999999999999996</v>
      </c>
      <c r="Y125" s="52">
        <v>0</v>
      </c>
      <c r="Z125" s="52">
        <v>18</v>
      </c>
      <c r="AA125" s="52">
        <v>0</v>
      </c>
      <c r="AB125" s="52" t="s">
        <v>794</v>
      </c>
      <c r="AC125" s="69">
        <v>2026</v>
      </c>
      <c r="AD125" s="69" t="s">
        <v>1972</v>
      </c>
      <c r="AG125" s="68" t="s">
        <v>794</v>
      </c>
      <c r="AH125" s="136" t="s">
        <v>1135</v>
      </c>
    </row>
    <row r="126" spans="1:34" ht="16.05" customHeight="1" thickBot="1">
      <c r="A126" s="8" t="s">
        <v>652</v>
      </c>
      <c r="B126" s="263">
        <v>8</v>
      </c>
      <c r="C126" s="4"/>
      <c r="D126" s="9" t="s">
        <v>668</v>
      </c>
      <c r="E126" s="264">
        <v>8</v>
      </c>
      <c r="F126" s="4"/>
      <c r="G126" s="13" t="s">
        <v>682</v>
      </c>
      <c r="H126" s="262">
        <v>10.5</v>
      </c>
      <c r="I126" s="4"/>
      <c r="J126" s="6" t="s">
        <v>670</v>
      </c>
      <c r="K126" s="263">
        <v>7.5</v>
      </c>
      <c r="L126" s="4"/>
      <c r="M126" s="21"/>
      <c r="N126" s="21"/>
      <c r="O126" s="22"/>
      <c r="R126" s="59">
        <v>124</v>
      </c>
      <c r="S126" s="68" t="s">
        <v>506</v>
      </c>
      <c r="T126" s="68" t="s">
        <v>507</v>
      </c>
      <c r="U126" s="70">
        <v>7.67</v>
      </c>
      <c r="V126" s="242">
        <v>7.66</v>
      </c>
      <c r="W126" s="68">
        <v>8</v>
      </c>
      <c r="X126" s="68">
        <v>0.59</v>
      </c>
      <c r="Y126" s="68">
        <v>0</v>
      </c>
      <c r="Z126" s="68">
        <v>12</v>
      </c>
      <c r="AA126" s="68">
        <v>0</v>
      </c>
      <c r="AB126" s="68" t="s">
        <v>780</v>
      </c>
      <c r="AC126" s="70">
        <v>2021</v>
      </c>
      <c r="AD126" s="70" t="s">
        <v>1987</v>
      </c>
      <c r="AG126" s="52" t="s">
        <v>786</v>
      </c>
      <c r="AH126" s="137" t="s">
        <v>1844</v>
      </c>
    </row>
    <row r="127" spans="1:34" ht="16.05" customHeight="1" thickBot="1">
      <c r="A127" s="8" t="s">
        <v>653</v>
      </c>
      <c r="B127" s="263">
        <v>7</v>
      </c>
      <c r="C127" s="4"/>
      <c r="D127" s="19"/>
      <c r="E127" s="21"/>
      <c r="F127" s="4"/>
      <c r="G127" s="6" t="s">
        <v>683</v>
      </c>
      <c r="H127" s="263">
        <v>9.5</v>
      </c>
      <c r="I127" s="41"/>
      <c r="J127" s="6" t="s">
        <v>671</v>
      </c>
      <c r="K127" s="263">
        <v>7</v>
      </c>
      <c r="L127" s="22"/>
      <c r="M127" s="80" t="s">
        <v>713</v>
      </c>
      <c r="N127" s="3">
        <f>ROUND(SUM(N128:N135)/COUNT(N128:N135), 2)</f>
        <v>9.1300000000000008</v>
      </c>
      <c r="O127" s="22"/>
      <c r="R127" s="59">
        <v>125</v>
      </c>
      <c r="S127" s="52" t="s">
        <v>347</v>
      </c>
      <c r="T127" s="52" t="s">
        <v>347</v>
      </c>
      <c r="U127" s="69">
        <v>7.77</v>
      </c>
      <c r="V127" s="243">
        <v>7.64</v>
      </c>
      <c r="W127" s="52">
        <v>7.5</v>
      </c>
      <c r="X127" s="52">
        <v>0.62</v>
      </c>
      <c r="Y127" s="52">
        <v>0</v>
      </c>
      <c r="Z127" s="52">
        <v>11</v>
      </c>
      <c r="AA127" s="52">
        <v>0</v>
      </c>
      <c r="AB127" s="52" t="s">
        <v>789</v>
      </c>
      <c r="AC127" s="69">
        <v>2026</v>
      </c>
      <c r="AD127" s="69" t="s">
        <v>1958</v>
      </c>
      <c r="AG127" s="68" t="s">
        <v>1945</v>
      </c>
      <c r="AH127" s="136" t="s">
        <v>1946</v>
      </c>
    </row>
    <row r="128" spans="1:34" ht="16.05" customHeight="1" thickBot="1">
      <c r="A128" s="8" t="s">
        <v>654</v>
      </c>
      <c r="B128" s="263">
        <v>8</v>
      </c>
      <c r="C128" s="4"/>
      <c r="D128" s="89" t="s">
        <v>882</v>
      </c>
      <c r="E128" s="3">
        <f>ROUND(SUM(E129:E144)/COUNT(E129:E144), 2)</f>
        <v>8.07</v>
      </c>
      <c r="F128" s="4"/>
      <c r="G128" s="6" t="s">
        <v>684</v>
      </c>
      <c r="H128" s="263">
        <v>10.5</v>
      </c>
      <c r="I128" s="4"/>
      <c r="J128" s="6" t="s">
        <v>672</v>
      </c>
      <c r="K128" s="263">
        <v>7</v>
      </c>
      <c r="L128" s="4"/>
      <c r="M128" s="13" t="s">
        <v>705</v>
      </c>
      <c r="N128" s="262">
        <v>8.5</v>
      </c>
      <c r="O128" s="22"/>
      <c r="R128" s="59">
        <v>126</v>
      </c>
      <c r="S128" s="68" t="s">
        <v>1213</v>
      </c>
      <c r="T128" s="68" t="s">
        <v>1214</v>
      </c>
      <c r="U128" s="70">
        <v>7.71</v>
      </c>
      <c r="V128" s="190">
        <v>7.61</v>
      </c>
      <c r="W128" s="68">
        <v>7.5</v>
      </c>
      <c r="X128" s="68">
        <v>0.45</v>
      </c>
      <c r="Y128" s="68">
        <v>0</v>
      </c>
      <c r="Z128" s="68">
        <v>8</v>
      </c>
      <c r="AA128" s="68">
        <v>1</v>
      </c>
      <c r="AB128" s="68" t="s">
        <v>1216</v>
      </c>
      <c r="AC128" s="70">
        <v>2020</v>
      </c>
      <c r="AD128" s="70" t="s">
        <v>1992</v>
      </c>
      <c r="AG128" s="52" t="s">
        <v>1326</v>
      </c>
      <c r="AH128" s="137" t="s">
        <v>1327</v>
      </c>
    </row>
    <row r="129" spans="1:34" ht="16.05" customHeight="1" thickBot="1">
      <c r="A129" s="8" t="s">
        <v>655</v>
      </c>
      <c r="B129" s="263">
        <v>8.5</v>
      </c>
      <c r="C129" s="4"/>
      <c r="D129" s="13" t="s">
        <v>688</v>
      </c>
      <c r="E129" s="262">
        <v>7.5</v>
      </c>
      <c r="F129" s="4"/>
      <c r="G129" s="9" t="s">
        <v>685</v>
      </c>
      <c r="H129" s="264">
        <v>9</v>
      </c>
      <c r="I129" s="4"/>
      <c r="J129" s="6" t="s">
        <v>673</v>
      </c>
      <c r="K129" s="263">
        <v>6.5</v>
      </c>
      <c r="L129" s="4"/>
      <c r="M129" s="6" t="s">
        <v>706</v>
      </c>
      <c r="N129" s="263">
        <v>10</v>
      </c>
      <c r="O129" s="22"/>
      <c r="R129" s="59">
        <v>127</v>
      </c>
      <c r="S129" s="52" t="s">
        <v>336</v>
      </c>
      <c r="T129" s="52" t="s">
        <v>995</v>
      </c>
      <c r="U129" s="69">
        <v>7.5</v>
      </c>
      <c r="V129" s="244">
        <v>7.4</v>
      </c>
      <c r="W129" s="52">
        <v>7.5</v>
      </c>
      <c r="X129" s="52">
        <v>0.76</v>
      </c>
      <c r="Y129" s="52">
        <v>0</v>
      </c>
      <c r="Z129" s="52">
        <v>12</v>
      </c>
      <c r="AA129" s="52">
        <v>0</v>
      </c>
      <c r="AB129" s="52" t="s">
        <v>787</v>
      </c>
      <c r="AC129" s="69">
        <v>1993</v>
      </c>
      <c r="AD129" s="69" t="s">
        <v>1950</v>
      </c>
      <c r="AG129" s="68" t="s">
        <v>1596</v>
      </c>
      <c r="AH129" s="136" t="s">
        <v>1597</v>
      </c>
    </row>
    <row r="130" spans="1:34" ht="16.05" customHeight="1" thickBot="1">
      <c r="A130" s="8" t="s">
        <v>656</v>
      </c>
      <c r="B130" s="263">
        <v>8</v>
      </c>
      <c r="C130" s="4"/>
      <c r="D130" s="6" t="s">
        <v>689</v>
      </c>
      <c r="E130" s="263"/>
      <c r="F130" s="4"/>
      <c r="G130" s="21"/>
      <c r="H130" s="21"/>
      <c r="I130" s="4"/>
      <c r="J130" s="6" t="s">
        <v>674</v>
      </c>
      <c r="K130" s="263">
        <v>8</v>
      </c>
      <c r="L130" s="4"/>
      <c r="M130" s="6" t="s">
        <v>707</v>
      </c>
      <c r="N130" s="263">
        <v>10</v>
      </c>
      <c r="O130" s="22"/>
      <c r="R130" s="59">
        <v>128</v>
      </c>
      <c r="S130" s="68" t="s">
        <v>830</v>
      </c>
      <c r="T130" s="68" t="s">
        <v>1933</v>
      </c>
      <c r="U130" s="70">
        <v>7.31</v>
      </c>
      <c r="V130" s="287">
        <v>7.2</v>
      </c>
      <c r="W130" s="68">
        <v>7.25</v>
      </c>
      <c r="X130" s="68">
        <v>0.73</v>
      </c>
      <c r="Y130" s="68">
        <v>0</v>
      </c>
      <c r="Z130" s="68">
        <v>18</v>
      </c>
      <c r="AA130" s="68">
        <v>0</v>
      </c>
      <c r="AB130" s="68" t="s">
        <v>1136</v>
      </c>
      <c r="AC130" s="70">
        <v>2026</v>
      </c>
      <c r="AD130" s="70" t="s">
        <v>1950</v>
      </c>
      <c r="AG130" s="52" t="s">
        <v>1598</v>
      </c>
      <c r="AH130" s="137" t="s">
        <v>1597</v>
      </c>
    </row>
    <row r="131" spans="1:34" ht="16.05" customHeight="1" thickBot="1">
      <c r="A131" s="8" t="s">
        <v>657</v>
      </c>
      <c r="B131" s="263">
        <v>9</v>
      </c>
      <c r="C131" s="4"/>
      <c r="D131" s="6" t="s">
        <v>690</v>
      </c>
      <c r="E131" s="263">
        <v>9</v>
      </c>
      <c r="F131" s="22"/>
      <c r="G131" s="88" t="s">
        <v>881</v>
      </c>
      <c r="H131" s="3">
        <f>ROUND(SUM(H132:H147)/COUNT(H132:H147), 2)</f>
        <v>8.67</v>
      </c>
      <c r="I131" s="4"/>
      <c r="J131" s="6" t="s">
        <v>675</v>
      </c>
      <c r="K131" s="263">
        <v>6.5</v>
      </c>
      <c r="L131" s="4"/>
      <c r="M131" s="6" t="s">
        <v>708</v>
      </c>
      <c r="N131" s="263">
        <v>10.5</v>
      </c>
      <c r="O131" s="22"/>
      <c r="R131" s="59">
        <v>129</v>
      </c>
      <c r="S131" s="52" t="s">
        <v>428</v>
      </c>
      <c r="T131" s="52" t="s">
        <v>429</v>
      </c>
      <c r="U131" s="69">
        <v>7.29</v>
      </c>
      <c r="V131" s="245">
        <v>7.16</v>
      </c>
      <c r="W131" s="52">
        <v>7</v>
      </c>
      <c r="X131" s="52">
        <v>0.52</v>
      </c>
      <c r="Y131" s="52">
        <v>0</v>
      </c>
      <c r="Z131" s="52">
        <v>7</v>
      </c>
      <c r="AA131" s="52">
        <v>0</v>
      </c>
      <c r="AB131" s="52" t="s">
        <v>795</v>
      </c>
      <c r="AC131" s="69">
        <v>2021</v>
      </c>
      <c r="AD131" s="69" t="s">
        <v>1993</v>
      </c>
      <c r="AG131" s="68" t="s">
        <v>1136</v>
      </c>
      <c r="AH131" s="136" t="s">
        <v>2018</v>
      </c>
    </row>
    <row r="132" spans="1:34" ht="16.05" customHeight="1" thickBot="1">
      <c r="A132" s="8" t="s">
        <v>658</v>
      </c>
      <c r="B132" s="263">
        <v>7.5</v>
      </c>
      <c r="C132" s="4"/>
      <c r="D132" s="6" t="s">
        <v>691</v>
      </c>
      <c r="E132" s="263">
        <v>10</v>
      </c>
      <c r="F132" s="4"/>
      <c r="G132" s="13" t="s">
        <v>714</v>
      </c>
      <c r="H132" s="262"/>
      <c r="I132" s="4"/>
      <c r="J132" s="6" t="s">
        <v>676</v>
      </c>
      <c r="K132" s="263">
        <v>7</v>
      </c>
      <c r="L132" s="4"/>
      <c r="M132" s="6" t="s">
        <v>709</v>
      </c>
      <c r="N132" s="263">
        <v>8.5</v>
      </c>
      <c r="O132" s="22"/>
      <c r="R132" s="59">
        <v>130</v>
      </c>
      <c r="S132" s="68" t="s">
        <v>680</v>
      </c>
      <c r="T132" s="68" t="s">
        <v>681</v>
      </c>
      <c r="U132" s="70">
        <v>7.06</v>
      </c>
      <c r="V132" s="246">
        <v>6.99</v>
      </c>
      <c r="W132" s="68">
        <v>7</v>
      </c>
      <c r="X132" s="68">
        <v>0.44</v>
      </c>
      <c r="Y132" s="68">
        <v>0</v>
      </c>
      <c r="Z132" s="68">
        <v>10</v>
      </c>
      <c r="AA132" s="68">
        <v>1</v>
      </c>
      <c r="AB132" s="68" t="s">
        <v>788</v>
      </c>
      <c r="AC132" s="70">
        <v>2026</v>
      </c>
      <c r="AD132" s="70" t="s">
        <v>1994</v>
      </c>
      <c r="AG132" s="52" t="s">
        <v>1216</v>
      </c>
      <c r="AH132" s="137" t="s">
        <v>1227</v>
      </c>
    </row>
    <row r="133" spans="1:34" ht="16.05" customHeight="1" thickBot="1">
      <c r="A133" s="77"/>
      <c r="B133" s="19"/>
      <c r="C133" s="4"/>
      <c r="D133" s="6" t="s">
        <v>692</v>
      </c>
      <c r="E133" s="263">
        <v>8</v>
      </c>
      <c r="F133" s="4"/>
      <c r="G133" s="6" t="s">
        <v>715</v>
      </c>
      <c r="H133" s="263">
        <v>8</v>
      </c>
      <c r="I133" s="4"/>
      <c r="J133" s="6" t="s">
        <v>677</v>
      </c>
      <c r="K133" s="263">
        <v>7</v>
      </c>
      <c r="L133" s="4"/>
      <c r="M133" s="6" t="s">
        <v>710</v>
      </c>
      <c r="N133" s="263">
        <v>7.5</v>
      </c>
      <c r="O133" s="22"/>
      <c r="R133" s="59">
        <v>131</v>
      </c>
      <c r="S133" s="52" t="s">
        <v>344</v>
      </c>
      <c r="T133" s="52" t="s">
        <v>1828</v>
      </c>
      <c r="U133" s="69">
        <v>3.68</v>
      </c>
      <c r="V133" s="257">
        <v>3.37</v>
      </c>
      <c r="W133" s="52">
        <v>3</v>
      </c>
      <c r="X133" s="52">
        <v>1.37</v>
      </c>
      <c r="Y133" s="52">
        <v>0</v>
      </c>
      <c r="Z133" s="52">
        <v>11</v>
      </c>
      <c r="AA133" s="52">
        <v>0</v>
      </c>
      <c r="AB133" s="52" t="s">
        <v>786</v>
      </c>
      <c r="AC133" s="69">
        <v>2003</v>
      </c>
      <c r="AD133" s="69" t="s">
        <v>1951</v>
      </c>
      <c r="AG133" s="68" t="s">
        <v>1138</v>
      </c>
      <c r="AH133" s="136" t="s">
        <v>1139</v>
      </c>
    </row>
    <row r="134" spans="1:34" ht="16.05" customHeight="1" thickBot="1">
      <c r="A134" s="116" t="s">
        <v>909</v>
      </c>
      <c r="B134" s="3">
        <f>ROUND(SUM(B135:B143)/COUNT(B135:B143), 2)</f>
        <v>8.67</v>
      </c>
      <c r="C134" s="4"/>
      <c r="D134" s="6" t="s">
        <v>693</v>
      </c>
      <c r="E134" s="263">
        <v>8.5</v>
      </c>
      <c r="F134" s="4"/>
      <c r="G134" s="6" t="s">
        <v>716</v>
      </c>
      <c r="H134" s="263">
        <v>8</v>
      </c>
      <c r="I134" s="4"/>
      <c r="J134" s="9" t="s">
        <v>678</v>
      </c>
      <c r="K134" s="264">
        <v>7</v>
      </c>
      <c r="L134" s="4"/>
      <c r="M134" s="6" t="s">
        <v>711</v>
      </c>
      <c r="N134" s="263">
        <v>9</v>
      </c>
      <c r="O134" s="22"/>
      <c r="V134"/>
      <c r="W134"/>
      <c r="X134"/>
      <c r="Y134"/>
      <c r="Z134"/>
      <c r="AG134" s="52" t="s">
        <v>1140</v>
      </c>
      <c r="AH134" s="137" t="s">
        <v>1139</v>
      </c>
    </row>
    <row r="135" spans="1:34" ht="16.05" customHeight="1" thickBot="1">
      <c r="A135" s="13" t="s">
        <v>731</v>
      </c>
      <c r="B135" s="262">
        <v>9</v>
      </c>
      <c r="C135" s="4"/>
      <c r="D135" s="6" t="s">
        <v>694</v>
      </c>
      <c r="E135" s="263">
        <v>10</v>
      </c>
      <c r="F135" s="4"/>
      <c r="G135" s="6" t="s">
        <v>717</v>
      </c>
      <c r="H135" s="263">
        <v>10</v>
      </c>
      <c r="I135" s="4"/>
      <c r="J135" s="21"/>
      <c r="K135" s="21"/>
      <c r="L135" s="4"/>
      <c r="M135" s="9" t="s">
        <v>712</v>
      </c>
      <c r="N135" s="264">
        <v>9</v>
      </c>
      <c r="O135" s="22"/>
      <c r="R135" s="301" t="s">
        <v>1359</v>
      </c>
      <c r="S135" s="301"/>
      <c r="T135" s="301"/>
      <c r="U135" s="301"/>
      <c r="V135" s="301"/>
      <c r="W135" s="301"/>
      <c r="X135" s="301"/>
      <c r="Y135" s="301"/>
      <c r="Z135" s="301"/>
      <c r="AA135" s="301"/>
      <c r="AB135" s="301"/>
      <c r="AC135" s="301"/>
      <c r="AD135" s="301"/>
      <c r="AG135" s="68" t="s">
        <v>795</v>
      </c>
      <c r="AH135" s="136" t="s">
        <v>1141</v>
      </c>
    </row>
    <row r="136" spans="1:34" ht="16.05" customHeight="1" thickBot="1">
      <c r="A136" s="6" t="s">
        <v>732</v>
      </c>
      <c r="B136" s="263">
        <v>9</v>
      </c>
      <c r="C136" s="4"/>
      <c r="D136" s="6" t="s">
        <v>695</v>
      </c>
      <c r="E136" s="263">
        <v>8</v>
      </c>
      <c r="F136" s="4"/>
      <c r="G136" s="6" t="s">
        <v>718</v>
      </c>
      <c r="H136" s="263">
        <v>9</v>
      </c>
      <c r="I136" s="22"/>
      <c r="J136" s="259" t="s">
        <v>1841</v>
      </c>
      <c r="K136" s="14">
        <f>ROUND(SUM(K137:K147)/COUNT(K137:K147), 2)</f>
        <v>8.86</v>
      </c>
      <c r="L136" s="4"/>
      <c r="M136" s="21"/>
      <c r="N136" s="21"/>
      <c r="O136" s="22"/>
      <c r="R136" s="51" t="s">
        <v>361</v>
      </c>
      <c r="S136" s="51" t="s">
        <v>328</v>
      </c>
      <c r="T136" s="51" t="s">
        <v>526</v>
      </c>
      <c r="U136" s="51" t="s">
        <v>330</v>
      </c>
      <c r="V136" s="51" t="s">
        <v>1016</v>
      </c>
      <c r="W136" s="51" t="s">
        <v>524</v>
      </c>
      <c r="X136" s="51" t="s">
        <v>331</v>
      </c>
      <c r="Y136" s="51" t="s">
        <v>332</v>
      </c>
      <c r="Z136" s="51" t="s">
        <v>333</v>
      </c>
      <c r="AA136" s="51" t="s">
        <v>334</v>
      </c>
      <c r="AB136" s="51" t="s">
        <v>924</v>
      </c>
      <c r="AC136" s="51" t="s">
        <v>1995</v>
      </c>
      <c r="AD136" s="51" t="s">
        <v>1996</v>
      </c>
    </row>
    <row r="137" spans="1:34" ht="16.05" customHeight="1" thickBot="1">
      <c r="A137" s="6" t="s">
        <v>733</v>
      </c>
      <c r="B137" s="263">
        <v>8.5</v>
      </c>
      <c r="C137" s="4"/>
      <c r="D137" s="6" t="s">
        <v>696</v>
      </c>
      <c r="E137" s="263">
        <v>8</v>
      </c>
      <c r="F137" s="4"/>
      <c r="G137" s="6" t="s">
        <v>719</v>
      </c>
      <c r="H137" s="263">
        <v>8.5</v>
      </c>
      <c r="I137" s="22"/>
      <c r="J137" s="13" t="s">
        <v>301</v>
      </c>
      <c r="K137" s="262">
        <v>10</v>
      </c>
      <c r="L137" s="22"/>
      <c r="M137" s="87" t="s">
        <v>880</v>
      </c>
      <c r="N137" s="14">
        <f>ROUND(SUM(N138:N142)/COUNT(N138:N142), 2)</f>
        <v>9.4</v>
      </c>
      <c r="O137" s="22"/>
      <c r="R137" s="60">
        <v>1</v>
      </c>
      <c r="S137" s="52" t="s">
        <v>335</v>
      </c>
      <c r="T137" s="69">
        <v>5</v>
      </c>
      <c r="U137" s="69">
        <v>9.36</v>
      </c>
      <c r="V137" s="247">
        <v>9.68</v>
      </c>
      <c r="W137" s="52">
        <v>9.65</v>
      </c>
      <c r="X137" s="52">
        <v>0.91</v>
      </c>
      <c r="Y137" s="52">
        <v>22</v>
      </c>
      <c r="Z137" s="52">
        <v>58</v>
      </c>
      <c r="AA137" s="52">
        <v>14</v>
      </c>
      <c r="AB137" s="52" t="s">
        <v>1277</v>
      </c>
      <c r="AC137" s="52" t="s">
        <v>1998</v>
      </c>
      <c r="AD137" s="52" t="s">
        <v>1948</v>
      </c>
      <c r="AG137" s="135" t="s">
        <v>2019</v>
      </c>
      <c r="AH137" s="135"/>
    </row>
    <row r="138" spans="1:34" ht="16.05" customHeight="1">
      <c r="A138" s="6" t="s">
        <v>734</v>
      </c>
      <c r="B138" s="263">
        <v>9</v>
      </c>
      <c r="C138" s="4"/>
      <c r="D138" s="6" t="s">
        <v>697</v>
      </c>
      <c r="E138" s="263">
        <v>7</v>
      </c>
      <c r="F138" s="4"/>
      <c r="G138" s="6" t="s">
        <v>720</v>
      </c>
      <c r="H138" s="263">
        <v>10.5</v>
      </c>
      <c r="I138" s="22"/>
      <c r="J138" s="6" t="s">
        <v>742</v>
      </c>
      <c r="K138" s="263">
        <v>10</v>
      </c>
      <c r="L138" s="22"/>
      <c r="M138" s="13" t="s">
        <v>754</v>
      </c>
      <c r="N138" s="262">
        <v>8.5</v>
      </c>
      <c r="O138" s="22"/>
      <c r="R138" s="61">
        <v>2</v>
      </c>
      <c r="S138" s="68" t="s">
        <v>341</v>
      </c>
      <c r="T138" s="70">
        <v>4</v>
      </c>
      <c r="U138" s="70">
        <v>9.44</v>
      </c>
      <c r="V138" s="277">
        <v>9.66</v>
      </c>
      <c r="W138" s="68">
        <v>9.44</v>
      </c>
      <c r="X138" s="68">
        <v>0.77</v>
      </c>
      <c r="Y138" s="68">
        <v>11</v>
      </c>
      <c r="Z138" s="68">
        <v>26</v>
      </c>
      <c r="AA138" s="68">
        <v>1</v>
      </c>
      <c r="AB138" s="68" t="s">
        <v>1044</v>
      </c>
      <c r="AC138" s="68" t="s">
        <v>1997</v>
      </c>
      <c r="AD138" s="68" t="s">
        <v>1986</v>
      </c>
      <c r="AG138" s="52" t="s">
        <v>2020</v>
      </c>
      <c r="AH138" s="137" t="s">
        <v>2197</v>
      </c>
    </row>
    <row r="139" spans="1:34" ht="16.05" customHeight="1">
      <c r="A139" s="6" t="s">
        <v>735</v>
      </c>
      <c r="B139" s="263">
        <v>10</v>
      </c>
      <c r="C139" s="4"/>
      <c r="D139" s="6" t="s">
        <v>698</v>
      </c>
      <c r="E139" s="263">
        <v>6.5</v>
      </c>
      <c r="F139" s="4"/>
      <c r="G139" s="6" t="s">
        <v>721</v>
      </c>
      <c r="H139" s="263">
        <v>8</v>
      </c>
      <c r="I139" s="22"/>
      <c r="J139" s="6" t="s">
        <v>743</v>
      </c>
      <c r="K139" s="263">
        <v>8.5</v>
      </c>
      <c r="L139" s="22"/>
      <c r="M139" s="6" t="s">
        <v>755</v>
      </c>
      <c r="N139" s="263">
        <v>10.5</v>
      </c>
      <c r="O139" s="22"/>
      <c r="R139" s="62">
        <v>3</v>
      </c>
      <c r="S139" s="52" t="s">
        <v>340</v>
      </c>
      <c r="T139" s="69">
        <v>3</v>
      </c>
      <c r="U139" s="69">
        <v>9.18</v>
      </c>
      <c r="V139" s="248">
        <v>9.1999999999999993</v>
      </c>
      <c r="W139" s="52">
        <v>8.92</v>
      </c>
      <c r="X139" s="52">
        <v>0.74</v>
      </c>
      <c r="Y139" s="52">
        <v>5</v>
      </c>
      <c r="Z139" s="52">
        <v>16</v>
      </c>
      <c r="AA139" s="52">
        <v>0</v>
      </c>
      <c r="AB139" s="52" t="s">
        <v>1422</v>
      </c>
      <c r="AC139" s="52" t="s">
        <v>1999</v>
      </c>
      <c r="AD139" s="52" t="s">
        <v>1967</v>
      </c>
      <c r="AG139" s="68" t="s">
        <v>2021</v>
      </c>
      <c r="AH139" s="136">
        <v>1969</v>
      </c>
    </row>
    <row r="140" spans="1:34" ht="16.05" customHeight="1">
      <c r="A140" s="6" t="s">
        <v>736</v>
      </c>
      <c r="B140" s="263">
        <v>8</v>
      </c>
      <c r="C140" s="4"/>
      <c r="D140" s="6" t="s">
        <v>699</v>
      </c>
      <c r="E140" s="263">
        <v>7</v>
      </c>
      <c r="F140" s="4"/>
      <c r="G140" s="6" t="s">
        <v>722</v>
      </c>
      <c r="H140" s="263">
        <v>8</v>
      </c>
      <c r="I140" s="22"/>
      <c r="J140" s="6" t="s">
        <v>744</v>
      </c>
      <c r="K140" s="263">
        <v>10</v>
      </c>
      <c r="L140" s="22"/>
      <c r="M140" s="6" t="s">
        <v>756</v>
      </c>
      <c r="N140" s="263">
        <v>10</v>
      </c>
      <c r="O140" s="22"/>
      <c r="R140" s="59">
        <v>4</v>
      </c>
      <c r="S140" s="68" t="s">
        <v>339</v>
      </c>
      <c r="T140" s="70">
        <v>2</v>
      </c>
      <c r="U140" s="70">
        <v>8.99</v>
      </c>
      <c r="V140" s="216">
        <v>9.0399999999999991</v>
      </c>
      <c r="W140" s="68">
        <v>8.75</v>
      </c>
      <c r="X140" s="68">
        <v>0.9</v>
      </c>
      <c r="Y140" s="68">
        <v>5</v>
      </c>
      <c r="Z140" s="68">
        <v>18</v>
      </c>
      <c r="AA140" s="68">
        <v>0</v>
      </c>
      <c r="AB140" s="68" t="s">
        <v>2195</v>
      </c>
      <c r="AC140" s="68" t="s">
        <v>2196</v>
      </c>
      <c r="AD140" s="68" t="s">
        <v>1986</v>
      </c>
      <c r="AG140" s="52" t="s">
        <v>2022</v>
      </c>
      <c r="AH140" s="137">
        <v>2026</v>
      </c>
    </row>
    <row r="141" spans="1:34" ht="16.05" customHeight="1">
      <c r="A141" s="6" t="s">
        <v>737</v>
      </c>
      <c r="B141" s="263">
        <v>8.5</v>
      </c>
      <c r="C141" s="4"/>
      <c r="D141" s="6" t="s">
        <v>700</v>
      </c>
      <c r="E141" s="263">
        <v>7.5</v>
      </c>
      <c r="F141" s="4"/>
      <c r="G141" s="6" t="s">
        <v>723</v>
      </c>
      <c r="H141" s="263">
        <v>10.5</v>
      </c>
      <c r="I141" s="22"/>
      <c r="J141" s="6" t="s">
        <v>745</v>
      </c>
      <c r="K141" s="263">
        <v>9</v>
      </c>
      <c r="L141" s="22"/>
      <c r="M141" s="6" t="s">
        <v>757</v>
      </c>
      <c r="N141" s="263">
        <v>9.5</v>
      </c>
      <c r="O141" s="22"/>
      <c r="R141" s="59">
        <v>5</v>
      </c>
      <c r="S141" s="52" t="s">
        <v>491</v>
      </c>
      <c r="T141" s="69">
        <v>3</v>
      </c>
      <c r="U141" s="69">
        <v>8.93</v>
      </c>
      <c r="V141" s="218">
        <v>8.9499999999999993</v>
      </c>
      <c r="W141" s="52">
        <v>8.83</v>
      </c>
      <c r="X141" s="52">
        <v>0.82</v>
      </c>
      <c r="Y141" s="52">
        <v>6</v>
      </c>
      <c r="Z141" s="52">
        <v>27</v>
      </c>
      <c r="AA141" s="52">
        <v>0</v>
      </c>
      <c r="AB141" s="52" t="s">
        <v>769</v>
      </c>
      <c r="AC141" s="52" t="s">
        <v>2000</v>
      </c>
      <c r="AD141" s="52" t="s">
        <v>1965</v>
      </c>
      <c r="AG141" s="68" t="s">
        <v>2023</v>
      </c>
      <c r="AH141" s="136" t="s">
        <v>2024</v>
      </c>
    </row>
    <row r="142" spans="1:34" ht="16.05" customHeight="1" thickBot="1">
      <c r="A142" s="6" t="s">
        <v>738</v>
      </c>
      <c r="B142" s="263">
        <v>8</v>
      </c>
      <c r="C142" s="4"/>
      <c r="D142" s="6" t="s">
        <v>701</v>
      </c>
      <c r="E142" s="263">
        <v>7</v>
      </c>
      <c r="F142" s="4"/>
      <c r="G142" s="6" t="s">
        <v>724</v>
      </c>
      <c r="H142" s="263">
        <v>8</v>
      </c>
      <c r="I142" s="22"/>
      <c r="J142" s="6" t="s">
        <v>746</v>
      </c>
      <c r="K142" s="263">
        <v>8.5</v>
      </c>
      <c r="L142" s="22"/>
      <c r="M142" s="9" t="s">
        <v>758</v>
      </c>
      <c r="N142" s="264">
        <v>8.5</v>
      </c>
      <c r="O142" s="22"/>
      <c r="R142" s="59">
        <v>6</v>
      </c>
      <c r="S142" s="68" t="s">
        <v>1196</v>
      </c>
      <c r="T142" s="70">
        <v>2</v>
      </c>
      <c r="U142" s="70">
        <v>8.7200000000000006</v>
      </c>
      <c r="V142" s="289">
        <v>8.9</v>
      </c>
      <c r="W142" s="68">
        <v>8.5</v>
      </c>
      <c r="X142" s="68">
        <v>0.94</v>
      </c>
      <c r="Y142" s="68">
        <v>10</v>
      </c>
      <c r="Z142" s="68">
        <v>54</v>
      </c>
      <c r="AA142" s="68">
        <v>2</v>
      </c>
      <c r="AB142" s="68" t="s">
        <v>1581</v>
      </c>
      <c r="AC142" s="68" t="s">
        <v>2179</v>
      </c>
      <c r="AD142" s="68" t="s">
        <v>2180</v>
      </c>
      <c r="AG142" s="52" t="s">
        <v>2025</v>
      </c>
      <c r="AH142" s="137" t="s">
        <v>2026</v>
      </c>
    </row>
    <row r="143" spans="1:34" ht="16.05" customHeight="1" thickBot="1">
      <c r="A143" s="9" t="s">
        <v>739</v>
      </c>
      <c r="B143" s="264">
        <v>8</v>
      </c>
      <c r="C143" s="4"/>
      <c r="D143" s="6" t="s">
        <v>702</v>
      </c>
      <c r="E143" s="263">
        <v>9</v>
      </c>
      <c r="F143" s="4"/>
      <c r="G143" s="6" t="s">
        <v>725</v>
      </c>
      <c r="H143" s="263">
        <v>7</v>
      </c>
      <c r="I143" s="22"/>
      <c r="J143" s="6" t="s">
        <v>747</v>
      </c>
      <c r="K143" s="263">
        <v>8</v>
      </c>
      <c r="L143" s="4"/>
      <c r="M143" s="21"/>
      <c r="N143" s="21"/>
      <c r="O143" s="22"/>
      <c r="R143" s="59">
        <v>7</v>
      </c>
      <c r="S143" s="52" t="s">
        <v>350</v>
      </c>
      <c r="T143" s="69">
        <v>2</v>
      </c>
      <c r="U143" s="69">
        <v>8.83</v>
      </c>
      <c r="V143" s="178">
        <v>8.85</v>
      </c>
      <c r="W143" s="52">
        <v>8.5</v>
      </c>
      <c r="X143" s="52">
        <v>0.88</v>
      </c>
      <c r="Y143" s="52">
        <v>4</v>
      </c>
      <c r="Z143" s="52">
        <v>18</v>
      </c>
      <c r="AA143" s="52">
        <v>0</v>
      </c>
      <c r="AB143" s="52" t="s">
        <v>2076</v>
      </c>
      <c r="AC143" s="52" t="s">
        <v>2002</v>
      </c>
      <c r="AD143" s="52" t="s">
        <v>1967</v>
      </c>
    </row>
    <row r="144" spans="1:34" ht="16.05" customHeight="1" thickBot="1">
      <c r="A144" s="21"/>
      <c r="B144" s="21"/>
      <c r="C144" s="4"/>
      <c r="D144" s="9" t="s">
        <v>703</v>
      </c>
      <c r="E144" s="264"/>
      <c r="F144" s="4"/>
      <c r="G144" s="6" t="s">
        <v>726</v>
      </c>
      <c r="H144" s="263">
        <v>10</v>
      </c>
      <c r="I144" s="22"/>
      <c r="J144" s="6" t="s">
        <v>748</v>
      </c>
      <c r="K144" s="263">
        <v>8.5</v>
      </c>
      <c r="L144" s="22"/>
      <c r="M144" s="81" t="s">
        <v>799</v>
      </c>
      <c r="N144" s="14">
        <f>ROUND(SUM(N145:N150)/COUNT(N145:N150), 2)</f>
        <v>8.67</v>
      </c>
      <c r="O144" s="22"/>
      <c r="R144" s="59">
        <v>8</v>
      </c>
      <c r="S144" s="68" t="s">
        <v>355</v>
      </c>
      <c r="T144" s="70">
        <v>2</v>
      </c>
      <c r="U144" s="70">
        <v>8.85</v>
      </c>
      <c r="V144" s="221">
        <v>8.84</v>
      </c>
      <c r="W144" s="68">
        <v>8.75</v>
      </c>
      <c r="X144" s="68">
        <v>0.73</v>
      </c>
      <c r="Y144" s="68">
        <v>4</v>
      </c>
      <c r="Z144" s="68">
        <v>25</v>
      </c>
      <c r="AA144" s="68">
        <v>0</v>
      </c>
      <c r="AB144" s="68" t="s">
        <v>1891</v>
      </c>
      <c r="AC144" s="68" t="s">
        <v>2001</v>
      </c>
      <c r="AD144" s="68" t="s">
        <v>1964</v>
      </c>
      <c r="AG144" s="135" t="s">
        <v>2027</v>
      </c>
      <c r="AH144" s="135"/>
    </row>
    <row r="145" spans="1:34" ht="16.05" customHeight="1" thickBot="1">
      <c r="A145" s="86" t="s">
        <v>879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727</v>
      </c>
      <c r="H145" s="263">
        <v>8.5</v>
      </c>
      <c r="I145" s="22"/>
      <c r="J145" s="6" t="s">
        <v>749</v>
      </c>
      <c r="K145" s="263">
        <v>8</v>
      </c>
      <c r="L145" s="4"/>
      <c r="M145" s="13" t="s">
        <v>759</v>
      </c>
      <c r="N145" s="262">
        <v>10</v>
      </c>
      <c r="O145" s="22"/>
      <c r="R145" s="59">
        <v>9</v>
      </c>
      <c r="S145" s="52" t="s">
        <v>336</v>
      </c>
      <c r="T145" s="69">
        <v>9</v>
      </c>
      <c r="U145" s="69">
        <v>8.67</v>
      </c>
      <c r="V145" s="179">
        <v>8.7899999999999991</v>
      </c>
      <c r="W145" s="52">
        <v>8.69</v>
      </c>
      <c r="X145" s="52">
        <v>0.86</v>
      </c>
      <c r="Y145" s="52">
        <v>20</v>
      </c>
      <c r="Z145" s="52">
        <v>101</v>
      </c>
      <c r="AA145" s="52">
        <v>4</v>
      </c>
      <c r="AB145" s="52" t="s">
        <v>958</v>
      </c>
      <c r="AC145" s="52" t="s">
        <v>2005</v>
      </c>
      <c r="AD145" s="52" t="s">
        <v>1958</v>
      </c>
      <c r="AG145" s="68" t="s">
        <v>2028</v>
      </c>
      <c r="AH145" s="136" t="s">
        <v>2029</v>
      </c>
    </row>
    <row r="146" spans="1:34" ht="16.05" customHeight="1" thickBot="1">
      <c r="A146" s="13" t="s">
        <v>800</v>
      </c>
      <c r="B146" s="262">
        <v>8</v>
      </c>
      <c r="C146" s="22"/>
      <c r="D146" s="82" t="s">
        <v>829</v>
      </c>
      <c r="E146" s="14">
        <f>ROUND(SUM(E147:E159)/COUNT(E147:E159), 2)</f>
        <v>8.82</v>
      </c>
      <c r="F146" s="4"/>
      <c r="G146" s="6" t="s">
        <v>728</v>
      </c>
      <c r="H146" s="263">
        <v>8</v>
      </c>
      <c r="I146" s="22"/>
      <c r="J146" s="6" t="s">
        <v>750</v>
      </c>
      <c r="K146" s="263">
        <v>8</v>
      </c>
      <c r="L146" s="4"/>
      <c r="M146" s="6" t="s">
        <v>760</v>
      </c>
      <c r="N146" s="263">
        <v>8</v>
      </c>
      <c r="O146" s="22"/>
      <c r="R146" s="59">
        <v>10</v>
      </c>
      <c r="S146" s="68" t="s">
        <v>354</v>
      </c>
      <c r="T146" s="70">
        <v>3</v>
      </c>
      <c r="U146" s="70">
        <v>8.77</v>
      </c>
      <c r="V146" s="179">
        <v>8.7899999999999991</v>
      </c>
      <c r="W146" s="68">
        <v>8.67</v>
      </c>
      <c r="X146" s="68">
        <v>0.81</v>
      </c>
      <c r="Y146" s="68">
        <v>6</v>
      </c>
      <c r="Z146" s="68">
        <v>34</v>
      </c>
      <c r="AA146" s="68">
        <v>1</v>
      </c>
      <c r="AB146" s="68" t="s">
        <v>1676</v>
      </c>
      <c r="AC146" s="68" t="s">
        <v>2003</v>
      </c>
      <c r="AD146" s="68" t="s">
        <v>1977</v>
      </c>
      <c r="AG146" s="52" t="s">
        <v>2030</v>
      </c>
      <c r="AH146" s="137" t="s">
        <v>2201</v>
      </c>
    </row>
    <row r="147" spans="1:34" ht="16.05" customHeight="1" thickBot="1">
      <c r="A147" s="6" t="s">
        <v>801</v>
      </c>
      <c r="B147" s="263">
        <v>9</v>
      </c>
      <c r="C147" s="22"/>
      <c r="D147" s="13" t="s">
        <v>817</v>
      </c>
      <c r="E147" s="262">
        <v>9</v>
      </c>
      <c r="F147" s="4"/>
      <c r="G147" s="9" t="s">
        <v>729</v>
      </c>
      <c r="H147" s="264">
        <v>8</v>
      </c>
      <c r="I147" s="22"/>
      <c r="J147" s="9" t="s">
        <v>751</v>
      </c>
      <c r="K147" s="264">
        <v>9</v>
      </c>
      <c r="L147" s="4"/>
      <c r="M147" s="6" t="s">
        <v>761</v>
      </c>
      <c r="N147" s="263">
        <v>9</v>
      </c>
      <c r="O147" s="22"/>
      <c r="R147" s="59">
        <v>11</v>
      </c>
      <c r="S147" s="52" t="s">
        <v>1464</v>
      </c>
      <c r="T147" s="69">
        <v>2</v>
      </c>
      <c r="U147" s="69">
        <v>8.77</v>
      </c>
      <c r="V147" s="182">
        <v>8.67</v>
      </c>
      <c r="W147" s="52">
        <v>8.5</v>
      </c>
      <c r="X147" s="52">
        <v>0.62</v>
      </c>
      <c r="Y147" s="52">
        <v>2</v>
      </c>
      <c r="Z147" s="52">
        <v>17</v>
      </c>
      <c r="AA147" s="52">
        <v>1</v>
      </c>
      <c r="AB147" s="52" t="s">
        <v>1726</v>
      </c>
      <c r="AC147" s="52">
        <v>2016</v>
      </c>
      <c r="AD147" s="52" t="s">
        <v>2004</v>
      </c>
      <c r="AG147" s="68" t="s">
        <v>2031</v>
      </c>
      <c r="AH147" s="136" t="s">
        <v>2032</v>
      </c>
    </row>
    <row r="148" spans="1:34" ht="16.05" customHeight="1" thickBot="1">
      <c r="A148" s="6" t="s">
        <v>802</v>
      </c>
      <c r="B148" s="263">
        <v>10</v>
      </c>
      <c r="C148" s="22"/>
      <c r="D148" s="6" t="s">
        <v>818</v>
      </c>
      <c r="E148" s="263">
        <v>8.5</v>
      </c>
      <c r="F148" s="4"/>
      <c r="G148" s="21"/>
      <c r="H148" s="21"/>
      <c r="I148" s="4"/>
      <c r="J148" s="21"/>
      <c r="K148" s="21"/>
      <c r="L148" s="4"/>
      <c r="M148" s="6" t="s">
        <v>762</v>
      </c>
      <c r="N148" s="263">
        <v>8</v>
      </c>
      <c r="O148" s="22"/>
      <c r="R148" s="59">
        <v>12</v>
      </c>
      <c r="S148" s="68" t="s">
        <v>1549</v>
      </c>
      <c r="T148" s="70">
        <v>2</v>
      </c>
      <c r="U148" s="70">
        <v>8.6300000000000008</v>
      </c>
      <c r="V148" s="249">
        <v>8.59</v>
      </c>
      <c r="W148" s="68">
        <v>8.5</v>
      </c>
      <c r="X148" s="68">
        <v>1.05</v>
      </c>
      <c r="Y148" s="68">
        <v>4</v>
      </c>
      <c r="Z148" s="68">
        <v>22</v>
      </c>
      <c r="AA148" s="68">
        <v>2</v>
      </c>
      <c r="AB148" s="68" t="s">
        <v>1611</v>
      </c>
      <c r="AC148" s="68" t="s">
        <v>2006</v>
      </c>
      <c r="AD148" s="68" t="s">
        <v>1990</v>
      </c>
      <c r="AG148" s="52" t="s">
        <v>2033</v>
      </c>
      <c r="AH148" s="137" t="s">
        <v>2162</v>
      </c>
    </row>
    <row r="149" spans="1:34" ht="16.05" customHeight="1" thickBot="1">
      <c r="A149" s="6" t="s">
        <v>803</v>
      </c>
      <c r="B149" s="263">
        <v>8</v>
      </c>
      <c r="C149" s="22"/>
      <c r="D149" s="6" t="s">
        <v>819</v>
      </c>
      <c r="E149" s="263">
        <v>10</v>
      </c>
      <c r="F149" s="22"/>
      <c r="G149" s="85" t="s">
        <v>878</v>
      </c>
      <c r="H149" s="14">
        <f>ROUND(SUM(H150:H163)/COUNT(H150:H163), 2)</f>
        <v>8.7100000000000009</v>
      </c>
      <c r="I149" s="22"/>
      <c r="J149" s="83" t="s">
        <v>854</v>
      </c>
      <c r="K149" s="14">
        <f>ROUND(SUM(K150:K163)/COUNT(K150:K163), 2)</f>
        <v>8.5</v>
      </c>
      <c r="L149" s="4"/>
      <c r="M149" s="6" t="s">
        <v>763</v>
      </c>
      <c r="N149" s="263">
        <v>8</v>
      </c>
      <c r="O149" s="22"/>
      <c r="R149" s="59">
        <v>13</v>
      </c>
      <c r="S149" s="52" t="s">
        <v>343</v>
      </c>
      <c r="T149" s="69">
        <v>8</v>
      </c>
      <c r="U149" s="69">
        <v>8.58</v>
      </c>
      <c r="V149" s="184">
        <v>8.5500000000000007</v>
      </c>
      <c r="W149" s="52">
        <v>8.4700000000000006</v>
      </c>
      <c r="X149" s="52">
        <v>0.76</v>
      </c>
      <c r="Y149" s="52">
        <v>7</v>
      </c>
      <c r="Z149" s="52">
        <v>60</v>
      </c>
      <c r="AA149" s="52">
        <v>2</v>
      </c>
      <c r="AB149" s="52" t="s">
        <v>2071</v>
      </c>
      <c r="AC149" s="52" t="s">
        <v>2072</v>
      </c>
      <c r="AD149" s="52" t="s">
        <v>1962</v>
      </c>
      <c r="AG149" s="68" t="s">
        <v>2034</v>
      </c>
      <c r="AH149" s="136" t="s">
        <v>2035</v>
      </c>
    </row>
    <row r="150" spans="1:34" ht="16.05" customHeight="1" thickBot="1">
      <c r="A150" s="6" t="s">
        <v>804</v>
      </c>
      <c r="B150" s="263">
        <v>7</v>
      </c>
      <c r="C150" s="22"/>
      <c r="D150" s="6" t="s">
        <v>820</v>
      </c>
      <c r="E150" s="263"/>
      <c r="F150" s="4"/>
      <c r="G150" s="13" t="s">
        <v>838</v>
      </c>
      <c r="H150" s="262">
        <v>10</v>
      </c>
      <c r="I150" s="22"/>
      <c r="J150" s="13" t="s">
        <v>855</v>
      </c>
      <c r="K150" s="262">
        <v>10</v>
      </c>
      <c r="L150" s="4"/>
      <c r="M150" s="9" t="s">
        <v>764</v>
      </c>
      <c r="N150" s="264">
        <v>9</v>
      </c>
      <c r="O150" s="22"/>
      <c r="R150" s="59">
        <v>14</v>
      </c>
      <c r="S150" s="68" t="s">
        <v>730</v>
      </c>
      <c r="T150" s="70">
        <v>3</v>
      </c>
      <c r="U150" s="70">
        <v>8.5500000000000007</v>
      </c>
      <c r="V150" s="184">
        <v>8.5500000000000007</v>
      </c>
      <c r="W150" s="68">
        <v>8.17</v>
      </c>
      <c r="X150" s="68">
        <v>0.83</v>
      </c>
      <c r="Y150" s="68">
        <v>6</v>
      </c>
      <c r="Z150" s="68">
        <v>46</v>
      </c>
      <c r="AA150" s="68">
        <v>4</v>
      </c>
      <c r="AB150" s="68" t="s">
        <v>1466</v>
      </c>
      <c r="AC150" s="68" t="s">
        <v>2007</v>
      </c>
      <c r="AD150" s="68" t="s">
        <v>1970</v>
      </c>
      <c r="AG150" s="52" t="s">
        <v>2036</v>
      </c>
      <c r="AH150" s="137" t="s">
        <v>2190</v>
      </c>
    </row>
    <row r="151" spans="1:34" ht="16.05" customHeight="1" thickBot="1">
      <c r="A151" s="6" t="s">
        <v>805</v>
      </c>
      <c r="B151" s="263">
        <v>9.5</v>
      </c>
      <c r="C151" s="22"/>
      <c r="D151" s="6" t="s">
        <v>821</v>
      </c>
      <c r="E151" s="263">
        <v>9</v>
      </c>
      <c r="F151" s="4"/>
      <c r="G151" s="6" t="s">
        <v>839</v>
      </c>
      <c r="H151" s="263">
        <v>9</v>
      </c>
      <c r="I151" s="22"/>
      <c r="J151" s="6" t="s">
        <v>856</v>
      </c>
      <c r="K151" s="263">
        <v>9</v>
      </c>
      <c r="L151" s="4"/>
      <c r="M151" s="21"/>
      <c r="N151" s="21"/>
      <c r="O151" s="22"/>
      <c r="R151" s="59">
        <v>15</v>
      </c>
      <c r="S151" s="52" t="s">
        <v>348</v>
      </c>
      <c r="T151" s="69">
        <v>2</v>
      </c>
      <c r="U151" s="69">
        <v>8.5399999999999991</v>
      </c>
      <c r="V151" s="228">
        <v>8.4700000000000006</v>
      </c>
      <c r="W151" s="52">
        <v>8.5</v>
      </c>
      <c r="X151" s="52">
        <v>0.78</v>
      </c>
      <c r="Y151" s="52">
        <v>3</v>
      </c>
      <c r="Z151" s="52">
        <v>20</v>
      </c>
      <c r="AA151" s="52">
        <v>0</v>
      </c>
      <c r="AB151" s="52" t="s">
        <v>1944</v>
      </c>
      <c r="AC151" s="52" t="s">
        <v>2008</v>
      </c>
      <c r="AD151" s="52" t="s">
        <v>1963</v>
      </c>
      <c r="AG151" s="68" t="s">
        <v>2037</v>
      </c>
      <c r="AH151" s="136" t="s">
        <v>2101</v>
      </c>
    </row>
    <row r="152" spans="1:34" ht="16.05" customHeight="1" thickBot="1">
      <c r="A152" s="6" t="s">
        <v>806</v>
      </c>
      <c r="B152" s="263">
        <v>8.5</v>
      </c>
      <c r="C152" s="22"/>
      <c r="D152" s="6" t="s">
        <v>822</v>
      </c>
      <c r="E152" s="263">
        <v>7.5</v>
      </c>
      <c r="F152" s="4"/>
      <c r="G152" s="6" t="s">
        <v>840</v>
      </c>
      <c r="H152" s="263">
        <v>8.5</v>
      </c>
      <c r="I152" s="22"/>
      <c r="J152" s="6" t="s">
        <v>857</v>
      </c>
      <c r="K152" s="263">
        <v>9</v>
      </c>
      <c r="L152" s="22"/>
      <c r="M152" s="84" t="s">
        <v>871</v>
      </c>
      <c r="N152" s="14">
        <f>ROUND(SUM(N153:N159)/COUNT(N153:N159), 2)</f>
        <v>8.7100000000000009</v>
      </c>
      <c r="O152" s="22"/>
      <c r="R152" s="59">
        <v>16</v>
      </c>
      <c r="S152" s="68" t="s">
        <v>1169</v>
      </c>
      <c r="T152" s="70">
        <v>2</v>
      </c>
      <c r="U152" s="70">
        <v>8.52</v>
      </c>
      <c r="V152" s="252">
        <v>8.4499999999999993</v>
      </c>
      <c r="W152" s="68">
        <v>8.25</v>
      </c>
      <c r="X152" s="68">
        <v>0.96</v>
      </c>
      <c r="Y152" s="68">
        <v>6</v>
      </c>
      <c r="Z152" s="68">
        <v>41</v>
      </c>
      <c r="AA152" s="68">
        <v>2</v>
      </c>
      <c r="AB152" s="68" t="s">
        <v>1777</v>
      </c>
      <c r="AC152" s="68" t="s">
        <v>2009</v>
      </c>
      <c r="AD152" s="68" t="s">
        <v>2010</v>
      </c>
    </row>
    <row r="153" spans="1:34" ht="16.05" customHeight="1">
      <c r="A153" s="6" t="s">
        <v>807</v>
      </c>
      <c r="B153" s="263">
        <v>8</v>
      </c>
      <c r="C153" s="22"/>
      <c r="D153" s="6" t="s">
        <v>823</v>
      </c>
      <c r="E153" s="263">
        <v>8</v>
      </c>
      <c r="F153" s="4"/>
      <c r="G153" s="6" t="s">
        <v>841</v>
      </c>
      <c r="H153" s="263">
        <v>10.5</v>
      </c>
      <c r="I153" s="22"/>
      <c r="J153" s="6" t="s">
        <v>858</v>
      </c>
      <c r="K153" s="263">
        <v>8.5</v>
      </c>
      <c r="L153" s="22"/>
      <c r="M153" s="13" t="s">
        <v>872</v>
      </c>
      <c r="N153" s="262">
        <v>9</v>
      </c>
      <c r="O153" s="22"/>
      <c r="R153" s="59">
        <v>17</v>
      </c>
      <c r="S153" s="52" t="s">
        <v>346</v>
      </c>
      <c r="T153" s="69">
        <v>4</v>
      </c>
      <c r="U153" s="69">
        <v>8.4600000000000009</v>
      </c>
      <c r="V153" s="284">
        <v>8.4</v>
      </c>
      <c r="W153" s="52">
        <v>8.25</v>
      </c>
      <c r="X153" s="52">
        <v>0.95</v>
      </c>
      <c r="Y153" s="52">
        <v>8</v>
      </c>
      <c r="Z153" s="52">
        <v>53</v>
      </c>
      <c r="AA153" s="52">
        <v>4</v>
      </c>
      <c r="AB153" s="52" t="s">
        <v>1595</v>
      </c>
      <c r="AC153" s="52" t="s">
        <v>2011</v>
      </c>
      <c r="AD153" s="52" t="s">
        <v>2004</v>
      </c>
      <c r="AG153" s="135" t="s">
        <v>2038</v>
      </c>
      <c r="AH153" s="135"/>
    </row>
    <row r="154" spans="1:34" ht="16.05" customHeight="1">
      <c r="A154" s="6" t="s">
        <v>808</v>
      </c>
      <c r="B154" s="263">
        <v>7.5</v>
      </c>
      <c r="C154" s="22"/>
      <c r="D154" s="6" t="s">
        <v>824</v>
      </c>
      <c r="E154" s="263">
        <v>10</v>
      </c>
      <c r="F154" s="4"/>
      <c r="G154" s="6" t="s">
        <v>842</v>
      </c>
      <c r="H154" s="263">
        <v>8</v>
      </c>
      <c r="I154" s="22"/>
      <c r="J154" s="6" t="s">
        <v>859</v>
      </c>
      <c r="K154" s="263">
        <v>8</v>
      </c>
      <c r="L154" s="22"/>
      <c r="M154" s="6" t="s">
        <v>873</v>
      </c>
      <c r="N154" s="263">
        <v>8</v>
      </c>
      <c r="O154" s="22"/>
      <c r="R154" s="59">
        <v>18</v>
      </c>
      <c r="S154" s="68" t="s">
        <v>347</v>
      </c>
      <c r="T154" s="70">
        <v>2</v>
      </c>
      <c r="U154" s="70">
        <v>8.39</v>
      </c>
      <c r="V154" s="232">
        <v>8.3699999999999992</v>
      </c>
      <c r="W154" s="68">
        <v>8.25</v>
      </c>
      <c r="X154" s="68">
        <v>0.72</v>
      </c>
      <c r="Y154" s="68">
        <v>2</v>
      </c>
      <c r="Z154" s="68">
        <v>20</v>
      </c>
      <c r="AA154" s="68">
        <v>0</v>
      </c>
      <c r="AB154" s="68" t="s">
        <v>789</v>
      </c>
      <c r="AC154" s="68" t="s">
        <v>2012</v>
      </c>
      <c r="AD154" s="68" t="s">
        <v>1949</v>
      </c>
      <c r="AG154" s="52" t="s">
        <v>2039</v>
      </c>
      <c r="AH154" s="137" t="s">
        <v>2197</v>
      </c>
    </row>
    <row r="155" spans="1:34" ht="16.05" customHeight="1">
      <c r="A155" s="6" t="s">
        <v>809</v>
      </c>
      <c r="B155" s="263">
        <v>8</v>
      </c>
      <c r="C155" s="22"/>
      <c r="D155" s="6" t="s">
        <v>118</v>
      </c>
      <c r="E155" s="263">
        <v>10</v>
      </c>
      <c r="F155" s="4"/>
      <c r="G155" s="6" t="s">
        <v>54</v>
      </c>
      <c r="H155" s="263">
        <v>8</v>
      </c>
      <c r="I155" s="22"/>
      <c r="J155" s="6" t="s">
        <v>860</v>
      </c>
      <c r="K155" s="263">
        <v>8</v>
      </c>
      <c r="L155" s="22"/>
      <c r="M155" s="6" t="s">
        <v>874</v>
      </c>
      <c r="N155" s="263">
        <v>9.5</v>
      </c>
      <c r="O155" s="22"/>
      <c r="R155" s="59">
        <v>19</v>
      </c>
      <c r="S155" s="52" t="s">
        <v>830</v>
      </c>
      <c r="T155" s="69">
        <v>2</v>
      </c>
      <c r="U155" s="69">
        <v>8.07</v>
      </c>
      <c r="V155" s="288">
        <v>7.99</v>
      </c>
      <c r="W155" s="52">
        <v>8.1300000000000008</v>
      </c>
      <c r="X155" s="52">
        <v>0.8</v>
      </c>
      <c r="Y155" s="52">
        <v>3</v>
      </c>
      <c r="Z155" s="52">
        <v>31</v>
      </c>
      <c r="AA155" s="52">
        <v>2</v>
      </c>
      <c r="AB155" s="52" t="s">
        <v>2013</v>
      </c>
      <c r="AC155" s="52" t="s">
        <v>2014</v>
      </c>
      <c r="AD155" s="52" t="s">
        <v>1990</v>
      </c>
      <c r="AG155" s="68" t="s">
        <v>2040</v>
      </c>
      <c r="AH155" s="136" t="s">
        <v>1990</v>
      </c>
    </row>
    <row r="156" spans="1:34" ht="16.05" customHeight="1">
      <c r="A156" s="6" t="s">
        <v>810</v>
      </c>
      <c r="B156" s="263">
        <v>10</v>
      </c>
      <c r="C156" s="22"/>
      <c r="D156" s="6" t="s">
        <v>825</v>
      </c>
      <c r="E156" s="263">
        <v>8</v>
      </c>
      <c r="F156" s="4"/>
      <c r="G156" s="6" t="s">
        <v>843</v>
      </c>
      <c r="H156" s="263">
        <v>8</v>
      </c>
      <c r="I156" s="22"/>
      <c r="J156" s="6" t="s">
        <v>861</v>
      </c>
      <c r="K156" s="263">
        <v>7.5</v>
      </c>
      <c r="L156" s="22"/>
      <c r="M156" s="6" t="s">
        <v>875</v>
      </c>
      <c r="N156" s="263">
        <v>8.5</v>
      </c>
      <c r="O156" s="22"/>
      <c r="R156" s="59">
        <v>20</v>
      </c>
      <c r="S156" s="68" t="s">
        <v>344</v>
      </c>
      <c r="T156" s="70">
        <v>5</v>
      </c>
      <c r="U156" s="70">
        <v>7.9</v>
      </c>
      <c r="V156" s="258">
        <v>7.94</v>
      </c>
      <c r="W156" s="68">
        <v>7.75</v>
      </c>
      <c r="X156" s="68">
        <v>1.07</v>
      </c>
      <c r="Y156" s="68">
        <v>11</v>
      </c>
      <c r="Z156" s="68">
        <v>48</v>
      </c>
      <c r="AA156" s="68">
        <v>0</v>
      </c>
      <c r="AB156" s="68" t="s">
        <v>1842</v>
      </c>
      <c r="AC156" s="68" t="s">
        <v>2015</v>
      </c>
      <c r="AD156" s="68" t="s">
        <v>1962</v>
      </c>
      <c r="AG156" s="52" t="s">
        <v>2041</v>
      </c>
      <c r="AH156" s="137" t="s">
        <v>2191</v>
      </c>
    </row>
    <row r="157" spans="1:34" ht="16.05" customHeight="1">
      <c r="A157" s="6" t="s">
        <v>811</v>
      </c>
      <c r="B157" s="263">
        <v>6</v>
      </c>
      <c r="C157" s="22"/>
      <c r="D157" s="6" t="s">
        <v>826</v>
      </c>
      <c r="E157" s="263">
        <v>9</v>
      </c>
      <c r="F157" s="4"/>
      <c r="G157" s="6" t="s">
        <v>844</v>
      </c>
      <c r="H157" s="263">
        <v>9</v>
      </c>
      <c r="I157" s="22"/>
      <c r="J157" s="6" t="s">
        <v>862</v>
      </c>
      <c r="K157" s="263">
        <v>7</v>
      </c>
      <c r="L157" s="22"/>
      <c r="M157" s="6" t="s">
        <v>910</v>
      </c>
      <c r="N157" s="263">
        <v>10.5</v>
      </c>
      <c r="O157" s="22"/>
      <c r="V157"/>
      <c r="W157"/>
      <c r="X157"/>
      <c r="Y157"/>
      <c r="Z157"/>
      <c r="AG157" s="68" t="s">
        <v>2042</v>
      </c>
      <c r="AH157" s="136" t="s">
        <v>2043</v>
      </c>
    </row>
    <row r="158" spans="1:34" ht="16.05" customHeight="1">
      <c r="A158" s="6" t="s">
        <v>812</v>
      </c>
      <c r="B158" s="263">
        <v>7</v>
      </c>
      <c r="C158" s="22"/>
      <c r="D158" s="6" t="s">
        <v>827</v>
      </c>
      <c r="E158" s="263">
        <v>8</v>
      </c>
      <c r="F158" s="4"/>
      <c r="G158" s="6" t="s">
        <v>845</v>
      </c>
      <c r="H158" s="263">
        <v>9</v>
      </c>
      <c r="I158" s="22"/>
      <c r="J158" s="6" t="s">
        <v>863</v>
      </c>
      <c r="K158" s="263">
        <v>10.5</v>
      </c>
      <c r="L158" s="22"/>
      <c r="M158" s="6" t="s">
        <v>876</v>
      </c>
      <c r="N158" s="263">
        <v>8</v>
      </c>
      <c r="O158" s="22"/>
      <c r="R158" s="301" t="s">
        <v>1811</v>
      </c>
      <c r="S158" s="301"/>
      <c r="T158" s="301"/>
      <c r="U158" s="301"/>
      <c r="V158" s="301"/>
      <c r="W158"/>
      <c r="X158"/>
      <c r="Y158"/>
      <c r="Z158"/>
    </row>
    <row r="159" spans="1:34" ht="16.05" customHeight="1" thickBot="1">
      <c r="A159" s="6" t="s">
        <v>813</v>
      </c>
      <c r="B159" s="263">
        <v>10</v>
      </c>
      <c r="C159" s="4"/>
      <c r="D159" s="9" t="s">
        <v>828</v>
      </c>
      <c r="E159" s="264"/>
      <c r="F159" s="4"/>
      <c r="G159" s="6" t="s">
        <v>846</v>
      </c>
      <c r="H159" s="263">
        <v>8.5</v>
      </c>
      <c r="I159" s="22"/>
      <c r="J159" s="6" t="s">
        <v>864</v>
      </c>
      <c r="K159" s="263"/>
      <c r="L159" s="22"/>
      <c r="M159" s="9" t="s">
        <v>877</v>
      </c>
      <c r="N159" s="264">
        <v>7.5</v>
      </c>
      <c r="O159" s="22"/>
      <c r="R159" s="51" t="s">
        <v>361</v>
      </c>
      <c r="S159" s="51" t="s">
        <v>328</v>
      </c>
      <c r="T159" s="51" t="s">
        <v>329</v>
      </c>
      <c r="U159" s="51" t="s">
        <v>330</v>
      </c>
      <c r="V159" s="51" t="s">
        <v>1016</v>
      </c>
      <c r="W159"/>
      <c r="X159"/>
      <c r="Y159"/>
      <c r="Z159"/>
      <c r="AG159" s="135" t="s">
        <v>2044</v>
      </c>
      <c r="AH159" s="135"/>
    </row>
    <row r="160" spans="1:34" ht="16.05" customHeight="1" thickBot="1">
      <c r="A160" s="9" t="s">
        <v>814</v>
      </c>
      <c r="B160" s="264">
        <v>8.5</v>
      </c>
      <c r="C160" s="4"/>
      <c r="D160" s="19"/>
      <c r="E160" s="21"/>
      <c r="F160" s="4"/>
      <c r="G160" s="6" t="s">
        <v>847</v>
      </c>
      <c r="H160" s="263">
        <v>8</v>
      </c>
      <c r="I160" s="22"/>
      <c r="J160" s="6" t="s">
        <v>865</v>
      </c>
      <c r="K160" s="263">
        <v>8.5</v>
      </c>
      <c r="L160" s="4"/>
      <c r="M160" s="21"/>
      <c r="N160" s="21"/>
      <c r="O160" s="22"/>
      <c r="R160" s="60">
        <v>1</v>
      </c>
      <c r="S160" s="52" t="s">
        <v>1010</v>
      </c>
      <c r="T160" s="52" t="s">
        <v>1008</v>
      </c>
      <c r="U160" s="69">
        <v>10.5</v>
      </c>
      <c r="V160" s="126">
        <v>10.85</v>
      </c>
      <c r="W160"/>
      <c r="X160"/>
      <c r="Y160"/>
      <c r="Z160"/>
      <c r="AG160" s="52" t="s">
        <v>2045</v>
      </c>
      <c r="AH160" s="137"/>
    </row>
    <row r="161" spans="1:34" ht="16.05" customHeight="1" thickBot="1">
      <c r="A161" s="21"/>
      <c r="B161" s="21"/>
      <c r="C161" s="22"/>
      <c r="D161" s="117" t="s">
        <v>912</v>
      </c>
      <c r="E161" s="14">
        <f>ROUND(SUM(E162:E170)/COUNT(E162:E170), 2)</f>
        <v>9.06</v>
      </c>
      <c r="F161" s="4"/>
      <c r="G161" s="6" t="s">
        <v>848</v>
      </c>
      <c r="H161" s="263">
        <v>8.5</v>
      </c>
      <c r="I161" s="22"/>
      <c r="J161" s="6" t="s">
        <v>866</v>
      </c>
      <c r="K161" s="263">
        <v>8</v>
      </c>
      <c r="L161" s="22"/>
      <c r="M161" s="118" t="s">
        <v>925</v>
      </c>
      <c r="N161" s="14">
        <f>ROUND(SUM(N162:N180)/COUNT(N162:N180), 2)</f>
        <v>8.5500000000000007</v>
      </c>
      <c r="O161" s="22"/>
      <c r="R161" s="61">
        <v>2</v>
      </c>
      <c r="S161" s="68" t="s">
        <v>335</v>
      </c>
      <c r="T161" s="68" t="s">
        <v>7</v>
      </c>
      <c r="U161" s="70">
        <v>9.89</v>
      </c>
      <c r="V161" s="126">
        <v>10.52</v>
      </c>
      <c r="W161"/>
      <c r="X161"/>
      <c r="Y161"/>
      <c r="Z161"/>
      <c r="AG161" s="68" t="s">
        <v>1049</v>
      </c>
      <c r="AH161" s="136" t="s">
        <v>2163</v>
      </c>
    </row>
    <row r="162" spans="1:34" ht="16.05" customHeight="1" thickBot="1">
      <c r="A162" s="119" t="s">
        <v>947</v>
      </c>
      <c r="B162" s="14">
        <f>ROUND(SUM(B163:B170)/COUNT(B163:B170), 2)</f>
        <v>7.88</v>
      </c>
      <c r="C162" s="4"/>
      <c r="D162" s="13" t="s">
        <v>913</v>
      </c>
      <c r="E162" s="262">
        <v>10</v>
      </c>
      <c r="F162" s="4"/>
      <c r="G162" s="6" t="s">
        <v>849</v>
      </c>
      <c r="H162" s="263">
        <v>8</v>
      </c>
      <c r="I162" s="22"/>
      <c r="J162" s="6" t="s">
        <v>867</v>
      </c>
      <c r="K162" s="263">
        <v>7.5</v>
      </c>
      <c r="L162" s="4"/>
      <c r="M162" s="13" t="s">
        <v>926</v>
      </c>
      <c r="N162" s="262">
        <v>10</v>
      </c>
      <c r="O162" s="22"/>
      <c r="R162" s="62">
        <v>3</v>
      </c>
      <c r="S162" s="52" t="s">
        <v>341</v>
      </c>
      <c r="T162" s="52" t="s">
        <v>1041</v>
      </c>
      <c r="U162" s="69">
        <v>10</v>
      </c>
      <c r="V162" s="126">
        <v>10.39</v>
      </c>
      <c r="W162"/>
      <c r="X162"/>
      <c r="Y162"/>
      <c r="Z162"/>
      <c r="AG162" s="52" t="s">
        <v>2046</v>
      </c>
      <c r="AH162" s="137" t="s">
        <v>2192</v>
      </c>
    </row>
    <row r="163" spans="1:34" ht="16.05" customHeight="1" thickBot="1">
      <c r="A163" s="13" t="s">
        <v>948</v>
      </c>
      <c r="B163" s="262">
        <v>9</v>
      </c>
      <c r="C163" s="4"/>
      <c r="D163" s="6" t="s">
        <v>914</v>
      </c>
      <c r="E163" s="263">
        <v>10</v>
      </c>
      <c r="F163" s="4"/>
      <c r="G163" s="9" t="s">
        <v>850</v>
      </c>
      <c r="H163" s="264">
        <v>9</v>
      </c>
      <c r="I163" s="22"/>
      <c r="J163" s="9" t="s">
        <v>868</v>
      </c>
      <c r="K163" s="264">
        <v>9</v>
      </c>
      <c r="L163" s="4"/>
      <c r="M163" s="6" t="s">
        <v>927</v>
      </c>
      <c r="N163" s="263">
        <v>9</v>
      </c>
      <c r="O163" s="22"/>
      <c r="R163" s="59">
        <v>4</v>
      </c>
      <c r="S163" s="68" t="s">
        <v>336</v>
      </c>
      <c r="T163" s="68" t="s">
        <v>337</v>
      </c>
      <c r="U163" s="70">
        <v>9.6999999999999993</v>
      </c>
      <c r="V163" s="126">
        <v>10.37</v>
      </c>
      <c r="W163"/>
      <c r="X163"/>
      <c r="Y163"/>
      <c r="Z163"/>
      <c r="AG163" s="68" t="s">
        <v>1052</v>
      </c>
      <c r="AH163" s="136" t="s">
        <v>2193</v>
      </c>
    </row>
    <row r="164" spans="1:34" ht="16.05" customHeight="1" thickBot="1">
      <c r="A164" s="6" t="s">
        <v>949</v>
      </c>
      <c r="B164" s="263">
        <v>7</v>
      </c>
      <c r="C164" s="4"/>
      <c r="D164" s="6" t="s">
        <v>915</v>
      </c>
      <c r="E164" s="263">
        <v>8.5</v>
      </c>
      <c r="F164" s="4"/>
      <c r="G164" s="21"/>
      <c r="H164" s="21"/>
      <c r="I164" s="4"/>
      <c r="J164" s="21"/>
      <c r="K164" s="21"/>
      <c r="L164" s="4"/>
      <c r="M164" s="6" t="s">
        <v>928</v>
      </c>
      <c r="N164" s="263">
        <v>9</v>
      </c>
      <c r="O164" s="22"/>
      <c r="R164" s="59">
        <v>5</v>
      </c>
      <c r="S164" s="52" t="s">
        <v>686</v>
      </c>
      <c r="T164" s="52" t="s">
        <v>687</v>
      </c>
      <c r="U164" s="69">
        <v>9.8800000000000008</v>
      </c>
      <c r="V164" s="126">
        <v>10.220000000000001</v>
      </c>
      <c r="W164"/>
      <c r="X164"/>
      <c r="Y164"/>
      <c r="Z164"/>
      <c r="AG164" s="52" t="s">
        <v>1058</v>
      </c>
      <c r="AH164" s="137" t="s">
        <v>2102</v>
      </c>
    </row>
    <row r="165" spans="1:34" ht="16.05" customHeight="1" thickBot="1">
      <c r="A165" s="6" t="s">
        <v>950</v>
      </c>
      <c r="B165" s="263">
        <v>7.5</v>
      </c>
      <c r="C165" s="4"/>
      <c r="D165" s="6" t="s">
        <v>916</v>
      </c>
      <c r="E165" s="263">
        <v>8.5</v>
      </c>
      <c r="F165" s="22"/>
      <c r="G165" s="120" t="s">
        <v>959</v>
      </c>
      <c r="H165" s="14">
        <f>ROUND(SUM(H166:H175)/COUNT(H166:H175), 2)</f>
        <v>8.67</v>
      </c>
      <c r="I165" s="22"/>
      <c r="J165" s="121" t="s">
        <v>972</v>
      </c>
      <c r="K165" s="14">
        <f>ROUND(SUM(K166:K173)/COUNT(K166:K173), 2)</f>
        <v>9</v>
      </c>
      <c r="L165" s="4"/>
      <c r="M165" s="6" t="s">
        <v>929</v>
      </c>
      <c r="N165" s="263">
        <v>10</v>
      </c>
      <c r="O165" s="22"/>
      <c r="R165" s="59">
        <v>6</v>
      </c>
      <c r="S165" s="68" t="s">
        <v>339</v>
      </c>
      <c r="T165" s="68" t="s">
        <v>275</v>
      </c>
      <c r="U165" s="70">
        <v>9.3800000000000008</v>
      </c>
      <c r="V165" s="209">
        <v>9.5299999999999994</v>
      </c>
      <c r="W165"/>
      <c r="X165"/>
      <c r="Y165"/>
      <c r="Z165"/>
      <c r="AG165" s="68" t="s">
        <v>332</v>
      </c>
      <c r="AH165" s="136" t="s">
        <v>2164</v>
      </c>
    </row>
    <row r="166" spans="1:34" ht="16.05" customHeight="1">
      <c r="A166" s="6" t="s">
        <v>951</v>
      </c>
      <c r="B166" s="263">
        <v>6.5</v>
      </c>
      <c r="C166" s="4"/>
      <c r="D166" s="6" t="s">
        <v>917</v>
      </c>
      <c r="E166" s="263"/>
      <c r="F166" s="4"/>
      <c r="G166" s="13" t="s">
        <v>960</v>
      </c>
      <c r="H166" s="262"/>
      <c r="I166" s="22"/>
      <c r="J166" s="13" t="s">
        <v>973</v>
      </c>
      <c r="K166" s="262">
        <v>10.5</v>
      </c>
      <c r="L166" s="4"/>
      <c r="M166" s="6" t="s">
        <v>930</v>
      </c>
      <c r="N166" s="263">
        <v>8.5</v>
      </c>
      <c r="O166" s="22"/>
      <c r="R166" s="59">
        <v>7</v>
      </c>
      <c r="S166" s="52" t="s">
        <v>340</v>
      </c>
      <c r="T166" s="52" t="s">
        <v>1200</v>
      </c>
      <c r="U166" s="69">
        <v>9.4</v>
      </c>
      <c r="V166" s="176">
        <v>9.4600000000000009</v>
      </c>
      <c r="W166"/>
      <c r="X166"/>
      <c r="Y166"/>
      <c r="Z166"/>
      <c r="AG166" s="52" t="s">
        <v>2047</v>
      </c>
      <c r="AH166" s="137" t="s">
        <v>2202</v>
      </c>
    </row>
    <row r="167" spans="1:34" ht="16.05" customHeight="1">
      <c r="A167" s="6" t="s">
        <v>952</v>
      </c>
      <c r="B167" s="263">
        <v>9</v>
      </c>
      <c r="C167" s="4"/>
      <c r="D167" s="6" t="s">
        <v>918</v>
      </c>
      <c r="E167" s="263">
        <v>10.5</v>
      </c>
      <c r="F167" s="4"/>
      <c r="G167" s="6" t="s">
        <v>961</v>
      </c>
      <c r="H167" s="263">
        <v>10</v>
      </c>
      <c r="I167" s="22"/>
      <c r="J167" s="6" t="s">
        <v>974</v>
      </c>
      <c r="K167" s="263">
        <v>10</v>
      </c>
      <c r="L167" s="4"/>
      <c r="M167" s="6" t="s">
        <v>931</v>
      </c>
      <c r="N167" s="263">
        <v>9.5</v>
      </c>
      <c r="O167" s="22"/>
      <c r="R167" s="59">
        <v>8</v>
      </c>
      <c r="S167" s="68" t="s">
        <v>2099</v>
      </c>
      <c r="T167" s="68" t="s">
        <v>2092</v>
      </c>
      <c r="U167" s="70">
        <v>9.31</v>
      </c>
      <c r="V167" s="296">
        <v>9.43</v>
      </c>
      <c r="W167"/>
      <c r="X167"/>
      <c r="Y167"/>
      <c r="Z167"/>
      <c r="AG167" s="68" t="s">
        <v>2048</v>
      </c>
      <c r="AH167" s="136" t="s">
        <v>2203</v>
      </c>
    </row>
    <row r="168" spans="1:34" ht="16.05" customHeight="1">
      <c r="A168" s="6" t="s">
        <v>953</v>
      </c>
      <c r="B168" s="263">
        <v>8.5</v>
      </c>
      <c r="C168" s="4"/>
      <c r="D168" s="6" t="s">
        <v>919</v>
      </c>
      <c r="E168" s="263">
        <v>8</v>
      </c>
      <c r="F168" s="4"/>
      <c r="G168" s="6" t="s">
        <v>962</v>
      </c>
      <c r="H168" s="263">
        <v>8.5</v>
      </c>
      <c r="I168" s="22"/>
      <c r="J168" s="6" t="s">
        <v>975</v>
      </c>
      <c r="K168" s="263">
        <v>8.5</v>
      </c>
      <c r="L168" s="4"/>
      <c r="M168" s="6" t="s">
        <v>932</v>
      </c>
      <c r="N168" s="263">
        <v>8</v>
      </c>
      <c r="O168" s="22"/>
      <c r="R168" s="59">
        <v>9</v>
      </c>
      <c r="S168" s="52" t="s">
        <v>344</v>
      </c>
      <c r="T168" s="52" t="s">
        <v>56</v>
      </c>
      <c r="U168" s="69">
        <v>9.25</v>
      </c>
      <c r="V168" s="210">
        <v>9.3699999999999992</v>
      </c>
      <c r="W168"/>
      <c r="X168"/>
      <c r="Y168"/>
      <c r="Z168"/>
    </row>
    <row r="169" spans="1:34" ht="16.05" customHeight="1">
      <c r="A169" s="6" t="s">
        <v>954</v>
      </c>
      <c r="B169" s="263">
        <v>7.5</v>
      </c>
      <c r="C169" s="4"/>
      <c r="D169" s="6" t="s">
        <v>920</v>
      </c>
      <c r="E169" s="263">
        <v>8</v>
      </c>
      <c r="F169" s="4"/>
      <c r="G169" s="6" t="s">
        <v>963</v>
      </c>
      <c r="H169" s="263">
        <v>8.5</v>
      </c>
      <c r="I169" s="22"/>
      <c r="J169" s="6" t="s">
        <v>976</v>
      </c>
      <c r="K169" s="263">
        <v>8</v>
      </c>
      <c r="L169" s="4"/>
      <c r="M169" s="6" t="s">
        <v>933</v>
      </c>
      <c r="N169" s="263">
        <v>9</v>
      </c>
      <c r="O169" s="22"/>
      <c r="R169" s="59">
        <v>10</v>
      </c>
      <c r="S169" s="68" t="s">
        <v>345</v>
      </c>
      <c r="T169" s="68" t="s">
        <v>189</v>
      </c>
      <c r="U169" s="70">
        <v>9.2100000000000009</v>
      </c>
      <c r="V169" s="212">
        <v>9.34</v>
      </c>
      <c r="W169"/>
      <c r="X169"/>
      <c r="Y169"/>
      <c r="Z169"/>
      <c r="AG169" s="68" t="s">
        <v>2049</v>
      </c>
      <c r="AH169" s="136" t="s">
        <v>2165</v>
      </c>
    </row>
    <row r="170" spans="1:34" ht="16.05" customHeight="1" thickBot="1">
      <c r="A170" s="9" t="s">
        <v>955</v>
      </c>
      <c r="B170" s="264">
        <v>8</v>
      </c>
      <c r="C170" s="4"/>
      <c r="D170" s="9" t="s">
        <v>921</v>
      </c>
      <c r="E170" s="264">
        <v>9</v>
      </c>
      <c r="F170" s="4"/>
      <c r="G170" s="6" t="s">
        <v>964</v>
      </c>
      <c r="H170" s="263">
        <v>9.5</v>
      </c>
      <c r="I170" s="22"/>
      <c r="J170" s="6" t="s">
        <v>977</v>
      </c>
      <c r="K170" s="263">
        <v>8.5</v>
      </c>
      <c r="L170" s="4"/>
      <c r="M170" s="6" t="s">
        <v>934</v>
      </c>
      <c r="N170" s="263">
        <v>8</v>
      </c>
      <c r="O170" s="22"/>
      <c r="R170" s="59">
        <v>11</v>
      </c>
      <c r="S170" s="52" t="s">
        <v>343</v>
      </c>
      <c r="T170" s="52" t="s">
        <v>132</v>
      </c>
      <c r="U170" s="69">
        <v>9.2100000000000009</v>
      </c>
      <c r="V170" s="213">
        <v>9.2799999999999994</v>
      </c>
      <c r="W170"/>
      <c r="X170"/>
      <c r="Y170"/>
      <c r="Z170"/>
      <c r="AG170" s="52" t="s">
        <v>2050</v>
      </c>
      <c r="AH170" s="137" t="s">
        <v>2204</v>
      </c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965</v>
      </c>
      <c r="H171" s="263">
        <v>8</v>
      </c>
      <c r="I171" s="22"/>
      <c r="J171" s="6" t="s">
        <v>978</v>
      </c>
      <c r="K171" s="263">
        <v>8</v>
      </c>
      <c r="L171" s="4"/>
      <c r="M171" s="6" t="s">
        <v>935</v>
      </c>
      <c r="N171" s="263">
        <v>8</v>
      </c>
      <c r="O171" s="22"/>
      <c r="R171" s="59">
        <v>12</v>
      </c>
      <c r="S171" s="68" t="s">
        <v>455</v>
      </c>
      <c r="T171" s="68" t="s">
        <v>36</v>
      </c>
      <c r="U171" s="70">
        <v>9.15</v>
      </c>
      <c r="V171" s="130">
        <v>9.23</v>
      </c>
      <c r="W171"/>
      <c r="X171"/>
      <c r="Y171"/>
      <c r="Z171"/>
    </row>
    <row r="172" spans="1:34" ht="16.05" customHeight="1" thickBot="1">
      <c r="A172" s="124" t="s">
        <v>996</v>
      </c>
      <c r="B172" s="14">
        <f>ROUND(SUM(B173:B183)/COUNT(B173:B183), 2)</f>
        <v>8.73</v>
      </c>
      <c r="C172" s="22"/>
      <c r="D172" s="122" t="s">
        <v>982</v>
      </c>
      <c r="E172" s="14">
        <f>ROUND(SUM(E173:E184)/COUNT(E173:E184), 2)</f>
        <v>7.5</v>
      </c>
      <c r="F172" s="4"/>
      <c r="G172" s="6" t="s">
        <v>966</v>
      </c>
      <c r="H172" s="263">
        <v>8.5</v>
      </c>
      <c r="I172" s="22"/>
      <c r="J172" s="6" t="s">
        <v>979</v>
      </c>
      <c r="K172" s="263">
        <v>9</v>
      </c>
      <c r="L172" s="4"/>
      <c r="M172" s="6" t="s">
        <v>936</v>
      </c>
      <c r="N172" s="263">
        <v>7.5</v>
      </c>
      <c r="O172" s="22"/>
      <c r="R172" s="59">
        <v>13</v>
      </c>
      <c r="S172" s="52" t="s">
        <v>491</v>
      </c>
      <c r="T172" s="52" t="s">
        <v>509</v>
      </c>
      <c r="U172" s="69">
        <v>9.17</v>
      </c>
      <c r="V172" s="130">
        <v>9.23</v>
      </c>
      <c r="W172"/>
      <c r="X172"/>
      <c r="Y172"/>
      <c r="Z172"/>
    </row>
    <row r="173" spans="1:34" ht="16.05" customHeight="1" thickBot="1">
      <c r="A173" s="13" t="s">
        <v>997</v>
      </c>
      <c r="B173" s="262">
        <v>9</v>
      </c>
      <c r="C173" s="41"/>
      <c r="D173" s="123" t="s">
        <v>983</v>
      </c>
      <c r="E173" s="262">
        <v>8</v>
      </c>
      <c r="F173" s="4"/>
      <c r="G173" s="6" t="s">
        <v>967</v>
      </c>
      <c r="H173" s="263">
        <v>9</v>
      </c>
      <c r="I173" s="22"/>
      <c r="J173" s="9" t="s">
        <v>980</v>
      </c>
      <c r="K173" s="264">
        <v>9.5</v>
      </c>
      <c r="L173" s="4"/>
      <c r="M173" s="6" t="s">
        <v>937</v>
      </c>
      <c r="N173" s="263">
        <v>8.5</v>
      </c>
      <c r="O173" s="22"/>
      <c r="R173" s="59">
        <v>14</v>
      </c>
      <c r="S173" s="68" t="s">
        <v>922</v>
      </c>
      <c r="T173" s="68" t="s">
        <v>913</v>
      </c>
      <c r="U173" s="70">
        <v>9.06</v>
      </c>
      <c r="V173" s="140">
        <v>9.1</v>
      </c>
      <c r="W173"/>
      <c r="X173"/>
      <c r="Y173"/>
      <c r="Z173"/>
    </row>
    <row r="174" spans="1:34" ht="16.05" customHeight="1" thickBot="1">
      <c r="A174" s="6" t="s">
        <v>998</v>
      </c>
      <c r="B174" s="263">
        <v>10</v>
      </c>
      <c r="C174" s="4"/>
      <c r="D174" s="6" t="s">
        <v>984</v>
      </c>
      <c r="E174" s="263">
        <v>9</v>
      </c>
      <c r="F174" s="4"/>
      <c r="G174" s="6" t="s">
        <v>968</v>
      </c>
      <c r="H174" s="263">
        <v>8.5</v>
      </c>
      <c r="I174" s="4"/>
      <c r="J174" s="19"/>
      <c r="K174" s="19"/>
      <c r="L174" s="4"/>
      <c r="M174" s="6" t="s">
        <v>938</v>
      </c>
      <c r="N174" s="263">
        <v>8.5</v>
      </c>
      <c r="O174" s="22"/>
      <c r="R174" s="59">
        <v>15</v>
      </c>
      <c r="S174" s="52" t="s">
        <v>346</v>
      </c>
      <c r="T174" s="52" t="s">
        <v>159</v>
      </c>
      <c r="U174" s="69">
        <v>9</v>
      </c>
      <c r="V174" s="140">
        <v>9.09</v>
      </c>
      <c r="W174"/>
      <c r="X174"/>
      <c r="Y174"/>
      <c r="Z174"/>
    </row>
    <row r="175" spans="1:34" ht="16.05" customHeight="1" thickBot="1">
      <c r="A175" s="6" t="s">
        <v>999</v>
      </c>
      <c r="B175" s="263">
        <v>9</v>
      </c>
      <c r="C175" s="4"/>
      <c r="D175" s="6" t="s">
        <v>985</v>
      </c>
      <c r="E175" s="263">
        <v>7.5</v>
      </c>
      <c r="F175" s="4"/>
      <c r="G175" s="9" t="s">
        <v>969</v>
      </c>
      <c r="H175" s="264">
        <v>7.5</v>
      </c>
      <c r="I175" s="22"/>
      <c r="J175" s="133" t="s">
        <v>1018</v>
      </c>
      <c r="K175" s="14">
        <f>ROUND(SUM(K176:K180)/COUNT(K176:K180), 2)</f>
        <v>9.3000000000000007</v>
      </c>
      <c r="L175" s="4"/>
      <c r="M175" s="6" t="s">
        <v>939</v>
      </c>
      <c r="N175" s="263">
        <v>9</v>
      </c>
      <c r="O175" s="22"/>
      <c r="R175" s="59">
        <v>16</v>
      </c>
      <c r="S175" s="68" t="s">
        <v>347</v>
      </c>
      <c r="T175" s="68" t="s">
        <v>265</v>
      </c>
      <c r="U175" s="70">
        <v>9</v>
      </c>
      <c r="V175" s="140">
        <v>9.09</v>
      </c>
      <c r="W175"/>
      <c r="X175"/>
      <c r="Y175"/>
      <c r="Z175"/>
    </row>
    <row r="176" spans="1:34" ht="16.05" customHeight="1" thickBot="1">
      <c r="A176" s="6" t="s">
        <v>1000</v>
      </c>
      <c r="B176" s="263">
        <v>9.5</v>
      </c>
      <c r="C176" s="4"/>
      <c r="D176" s="6" t="s">
        <v>986</v>
      </c>
      <c r="E176" s="263">
        <v>8.5</v>
      </c>
      <c r="F176" s="4"/>
      <c r="G176" s="21"/>
      <c r="H176" s="21"/>
      <c r="I176" s="4"/>
      <c r="J176" s="13" t="s">
        <v>1019</v>
      </c>
      <c r="K176" s="262">
        <v>9</v>
      </c>
      <c r="L176" s="4"/>
      <c r="M176" s="6" t="s">
        <v>940</v>
      </c>
      <c r="N176" s="263">
        <v>7.5</v>
      </c>
      <c r="O176" s="22"/>
      <c r="R176" s="59">
        <v>17</v>
      </c>
      <c r="S176" s="52" t="s">
        <v>354</v>
      </c>
      <c r="T176" s="52" t="s">
        <v>1646</v>
      </c>
      <c r="U176" s="69">
        <v>8.94</v>
      </c>
      <c r="V176" s="218">
        <v>8.9499999999999993</v>
      </c>
      <c r="W176"/>
      <c r="X176"/>
      <c r="Y176"/>
      <c r="Z176"/>
    </row>
    <row r="177" spans="1:26" ht="16.05" customHeight="1" thickBot="1">
      <c r="A177" s="6" t="s">
        <v>1001</v>
      </c>
      <c r="B177" s="263">
        <v>10.5</v>
      </c>
      <c r="C177" s="4"/>
      <c r="D177" s="6" t="s">
        <v>987</v>
      </c>
      <c r="E177" s="263">
        <v>7.5</v>
      </c>
      <c r="F177" s="22"/>
      <c r="G177" s="267" t="s">
        <v>1274</v>
      </c>
      <c r="H177" s="14">
        <f>ROUND(SUM(H178:H189)/COUNT(H178:H189), 2)</f>
        <v>8.5500000000000007</v>
      </c>
      <c r="I177" s="4"/>
      <c r="J177" s="6" t="s">
        <v>1020</v>
      </c>
      <c r="K177" s="263">
        <v>10</v>
      </c>
      <c r="L177" s="4"/>
      <c r="M177" s="6" t="s">
        <v>941</v>
      </c>
      <c r="N177" s="263">
        <v>7</v>
      </c>
      <c r="O177" s="22"/>
      <c r="R177" s="59">
        <v>18</v>
      </c>
      <c r="S177" s="68" t="s">
        <v>355</v>
      </c>
      <c r="T177" s="68" t="s">
        <v>1889</v>
      </c>
      <c r="U177" s="70">
        <v>8.9600000000000009</v>
      </c>
      <c r="V177" s="281">
        <v>8.93</v>
      </c>
      <c r="W177"/>
      <c r="X177"/>
      <c r="Y177"/>
      <c r="Z177"/>
    </row>
    <row r="178" spans="1:26" ht="16.05" customHeight="1">
      <c r="A178" s="6" t="s">
        <v>1002</v>
      </c>
      <c r="B178" s="263">
        <v>8</v>
      </c>
      <c r="C178" s="4"/>
      <c r="D178" s="6" t="s">
        <v>988</v>
      </c>
      <c r="E178" s="263">
        <v>7.5</v>
      </c>
      <c r="F178" s="4"/>
      <c r="G178" s="13" t="s">
        <v>1024</v>
      </c>
      <c r="H178" s="262"/>
      <c r="I178" s="4"/>
      <c r="J178" s="6" t="s">
        <v>1021</v>
      </c>
      <c r="K178" s="263">
        <v>9</v>
      </c>
      <c r="L178" s="4"/>
      <c r="M178" s="6" t="s">
        <v>942</v>
      </c>
      <c r="N178" s="263">
        <v>7.5</v>
      </c>
      <c r="O178" s="22"/>
      <c r="R178" s="59">
        <v>19</v>
      </c>
      <c r="S178" s="52" t="s">
        <v>1356</v>
      </c>
      <c r="T178" s="52" t="s">
        <v>1347</v>
      </c>
      <c r="U178" s="69">
        <v>8.9499999999999993</v>
      </c>
      <c r="V178" s="289">
        <v>8.91</v>
      </c>
      <c r="W178"/>
      <c r="X178"/>
      <c r="Y178"/>
      <c r="Z178"/>
    </row>
    <row r="179" spans="1:26" ht="16.05" customHeight="1">
      <c r="A179" s="6" t="s">
        <v>1003</v>
      </c>
      <c r="B179" s="263">
        <v>7.5</v>
      </c>
      <c r="C179" s="4"/>
      <c r="D179" s="6" t="s">
        <v>989</v>
      </c>
      <c r="E179" s="263">
        <v>6.5</v>
      </c>
      <c r="F179" s="4"/>
      <c r="G179" s="6" t="s">
        <v>1025</v>
      </c>
      <c r="H179" s="263">
        <v>8.5</v>
      </c>
      <c r="I179" s="4"/>
      <c r="J179" s="6" t="s">
        <v>1022</v>
      </c>
      <c r="K179" s="263">
        <v>8</v>
      </c>
      <c r="L179" s="4"/>
      <c r="M179" s="6" t="s">
        <v>943</v>
      </c>
      <c r="N179" s="263">
        <v>7.5</v>
      </c>
      <c r="O179" s="22"/>
      <c r="R179" s="59">
        <v>20</v>
      </c>
      <c r="S179" s="68" t="s">
        <v>730</v>
      </c>
      <c r="T179" s="68" t="s">
        <v>1452</v>
      </c>
      <c r="U179" s="70">
        <v>8.8800000000000008</v>
      </c>
      <c r="V179" s="53">
        <v>8.89</v>
      </c>
      <c r="W179"/>
      <c r="X179"/>
      <c r="Y179"/>
      <c r="Z179"/>
    </row>
    <row r="180" spans="1:26" ht="16.05" customHeight="1" thickBot="1">
      <c r="A180" s="6" t="s">
        <v>1004</v>
      </c>
      <c r="B180" s="263">
        <v>9</v>
      </c>
      <c r="C180" s="4"/>
      <c r="D180" s="6" t="s">
        <v>990</v>
      </c>
      <c r="E180" s="263">
        <v>7.5</v>
      </c>
      <c r="F180" s="4"/>
      <c r="G180" s="6" t="s">
        <v>1026</v>
      </c>
      <c r="H180" s="263">
        <v>9</v>
      </c>
      <c r="I180" s="4"/>
      <c r="J180" s="9" t="s">
        <v>1023</v>
      </c>
      <c r="K180" s="264">
        <v>10.5</v>
      </c>
      <c r="L180" s="4"/>
      <c r="M180" s="9" t="s">
        <v>944</v>
      </c>
      <c r="N180" s="264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1005</v>
      </c>
      <c r="B181" s="263">
        <v>8</v>
      </c>
      <c r="C181" s="4"/>
      <c r="D181" s="6" t="s">
        <v>991</v>
      </c>
      <c r="E181" s="263">
        <v>7</v>
      </c>
      <c r="F181" s="4"/>
      <c r="G181" s="6" t="s">
        <v>1027</v>
      </c>
      <c r="H181" s="263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1006</v>
      </c>
      <c r="B182" s="263">
        <v>8</v>
      </c>
      <c r="C182" s="4"/>
      <c r="D182" s="6" t="s">
        <v>992</v>
      </c>
      <c r="E182" s="263">
        <v>6.5</v>
      </c>
      <c r="F182" s="4"/>
      <c r="G182" s="6" t="s">
        <v>1028</v>
      </c>
      <c r="H182" s="263">
        <v>8.5</v>
      </c>
      <c r="I182" s="22"/>
      <c r="J182" s="134" t="s">
        <v>1043</v>
      </c>
      <c r="K182" s="14">
        <f>ROUND(SUM(K183:K187)/COUNT(K183:K187), 2)</f>
        <v>10</v>
      </c>
      <c r="L182" s="4"/>
      <c r="M182" s="125" t="s">
        <v>1009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1007</v>
      </c>
      <c r="B183" s="264">
        <v>7.5</v>
      </c>
      <c r="C183" s="4"/>
      <c r="D183" s="6" t="s">
        <v>993</v>
      </c>
      <c r="E183" s="263">
        <v>6.5</v>
      </c>
      <c r="F183" s="4"/>
      <c r="G183" s="6" t="s">
        <v>1029</v>
      </c>
      <c r="H183" s="263">
        <v>8</v>
      </c>
      <c r="I183" s="22"/>
      <c r="J183" s="13" t="s">
        <v>1038</v>
      </c>
      <c r="K183" s="262">
        <v>10.5</v>
      </c>
      <c r="L183" s="4"/>
      <c r="M183" s="268" t="s">
        <v>1008</v>
      </c>
      <c r="N183" s="26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994</v>
      </c>
      <c r="E184" s="264">
        <v>8</v>
      </c>
      <c r="F184" s="4"/>
      <c r="G184" s="6" t="s">
        <v>1030</v>
      </c>
      <c r="H184" s="263">
        <v>7.5</v>
      </c>
      <c r="I184" s="22"/>
      <c r="J184" s="6" t="s">
        <v>1039</v>
      </c>
      <c r="K184" s="263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39" t="s">
        <v>1142</v>
      </c>
      <c r="B185" s="14">
        <f>ROUND(SUM(B186:B194)/COUNT(B186:B194), 2)</f>
        <v>9</v>
      </c>
      <c r="C185" s="4"/>
      <c r="D185" s="19"/>
      <c r="E185" s="21"/>
      <c r="F185" s="4"/>
      <c r="G185" s="6" t="s">
        <v>1031</v>
      </c>
      <c r="H185" s="263">
        <v>8</v>
      </c>
      <c r="I185" s="22"/>
      <c r="J185" s="6" t="s">
        <v>1040</v>
      </c>
      <c r="K185" s="263">
        <v>10</v>
      </c>
      <c r="L185" s="22"/>
      <c r="M185" s="172" t="s">
        <v>1551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1143</v>
      </c>
      <c r="B186" s="262">
        <v>9.5</v>
      </c>
      <c r="C186" s="41"/>
      <c r="D186" s="141" t="s">
        <v>1155</v>
      </c>
      <c r="E186" s="14">
        <f>ROUND(SUM(E187:E199)/COUNT(E187:E199), 2)</f>
        <v>8.4600000000000009</v>
      </c>
      <c r="F186" s="4"/>
      <c r="G186" s="6" t="s">
        <v>1032</v>
      </c>
      <c r="H186" s="263">
        <v>9.5</v>
      </c>
      <c r="I186" s="22"/>
      <c r="J186" s="6" t="s">
        <v>1041</v>
      </c>
      <c r="K186" s="263">
        <v>10.5</v>
      </c>
      <c r="L186" s="4"/>
      <c r="M186" s="13" t="s">
        <v>1172</v>
      </c>
      <c r="N186" s="262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1144</v>
      </c>
      <c r="B187" s="263">
        <v>9</v>
      </c>
      <c r="C187" s="4"/>
      <c r="D187" s="13" t="s">
        <v>1156</v>
      </c>
      <c r="E187" s="262">
        <v>9</v>
      </c>
      <c r="F187" s="4"/>
      <c r="G187" s="6" t="s">
        <v>1033</v>
      </c>
      <c r="H187" s="263">
        <v>10</v>
      </c>
      <c r="I187" s="22"/>
      <c r="J187" s="9" t="s">
        <v>1042</v>
      </c>
      <c r="K187" s="264">
        <v>10</v>
      </c>
      <c r="L187" s="4"/>
      <c r="M187" s="6" t="s">
        <v>1173</v>
      </c>
      <c r="N187" s="263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1145</v>
      </c>
      <c r="B188" s="263">
        <v>10</v>
      </c>
      <c r="C188" s="4"/>
      <c r="D188" s="6" t="s">
        <v>1157</v>
      </c>
      <c r="E188" s="263">
        <v>8</v>
      </c>
      <c r="F188" s="4"/>
      <c r="G188" s="6" t="s">
        <v>1034</v>
      </c>
      <c r="H188" s="263">
        <v>8.5</v>
      </c>
      <c r="I188" s="4"/>
      <c r="J188" s="21"/>
      <c r="K188" s="21"/>
      <c r="L188" s="4"/>
      <c r="M188" s="6" t="s">
        <v>1174</v>
      </c>
      <c r="N188" s="263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1146</v>
      </c>
      <c r="B189" s="263">
        <v>10.5</v>
      </c>
      <c r="C189" s="4"/>
      <c r="D189" s="6" t="s">
        <v>1158</v>
      </c>
      <c r="E189" s="263">
        <v>10</v>
      </c>
      <c r="F189" s="4"/>
      <c r="G189" s="9" t="s">
        <v>1035</v>
      </c>
      <c r="H189" s="264">
        <v>8.5</v>
      </c>
      <c r="I189" s="22"/>
      <c r="J189" s="146" t="s">
        <v>1204</v>
      </c>
      <c r="K189" s="14">
        <f>ROUND(SUM(K190:K197)/COUNT(K190:K197), 2)</f>
        <v>7.71</v>
      </c>
      <c r="L189" s="4"/>
      <c r="M189" s="6" t="s">
        <v>1175</v>
      </c>
      <c r="N189" s="263"/>
      <c r="O189" s="22"/>
      <c r="V189"/>
      <c r="W189"/>
      <c r="X189"/>
      <c r="Y189"/>
      <c r="Z189"/>
    </row>
    <row r="190" spans="1:26" ht="16.05" customHeight="1" thickBot="1">
      <c r="A190" s="6" t="s">
        <v>1147</v>
      </c>
      <c r="B190" s="263">
        <v>8</v>
      </c>
      <c r="C190" s="4"/>
      <c r="D190" s="6" t="s">
        <v>1159</v>
      </c>
      <c r="E190" s="263">
        <v>7.5</v>
      </c>
      <c r="F190" s="4"/>
      <c r="G190" s="21"/>
      <c r="H190" s="21"/>
      <c r="I190" s="4"/>
      <c r="J190" s="13" t="s">
        <v>1205</v>
      </c>
      <c r="K190" s="262"/>
      <c r="L190" s="4"/>
      <c r="M190" s="6" t="s">
        <v>1176</v>
      </c>
      <c r="N190" s="263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1148</v>
      </c>
      <c r="B191" s="263">
        <v>8.5</v>
      </c>
      <c r="C191" s="4"/>
      <c r="D191" s="6" t="s">
        <v>1160</v>
      </c>
      <c r="E191" s="263">
        <v>7</v>
      </c>
      <c r="F191" s="22"/>
      <c r="G191" s="149" t="s">
        <v>1217</v>
      </c>
      <c r="H191" s="14">
        <f>ROUND(SUM(H192:H200)/COUNT(H192:H200), 2)</f>
        <v>8.83</v>
      </c>
      <c r="I191" s="4"/>
      <c r="J191" s="6" t="s">
        <v>1206</v>
      </c>
      <c r="K191" s="263">
        <v>7</v>
      </c>
      <c r="L191" s="4"/>
      <c r="M191" s="6" t="s">
        <v>1177</v>
      </c>
      <c r="N191" s="263">
        <v>10</v>
      </c>
      <c r="O191" s="22"/>
      <c r="V191"/>
      <c r="W191"/>
      <c r="X191"/>
      <c r="Y191"/>
      <c r="Z191"/>
    </row>
    <row r="192" spans="1:26" ht="16.05" customHeight="1">
      <c r="A192" s="6" t="s">
        <v>1149</v>
      </c>
      <c r="B192" s="263">
        <v>8</v>
      </c>
      <c r="C192" s="4"/>
      <c r="D192" s="6" t="s">
        <v>1161</v>
      </c>
      <c r="E192" s="263">
        <v>9.5</v>
      </c>
      <c r="F192" s="4"/>
      <c r="G192" s="13" t="s">
        <v>1218</v>
      </c>
      <c r="H192" s="262">
        <v>9</v>
      </c>
      <c r="I192" s="4"/>
      <c r="J192" s="6" t="s">
        <v>1207</v>
      </c>
      <c r="K192" s="263">
        <v>7.5</v>
      </c>
      <c r="L192" s="4"/>
      <c r="M192" s="6" t="s">
        <v>1178</v>
      </c>
      <c r="N192" s="263">
        <v>9</v>
      </c>
      <c r="O192" s="22"/>
      <c r="V192"/>
      <c r="W192"/>
      <c r="X192"/>
      <c r="Y192"/>
      <c r="Z192"/>
    </row>
    <row r="193" spans="1:26" ht="16.05" customHeight="1">
      <c r="A193" s="6" t="s">
        <v>1150</v>
      </c>
      <c r="B193" s="263">
        <v>9.5</v>
      </c>
      <c r="C193" s="4"/>
      <c r="D193" s="6" t="s">
        <v>1162</v>
      </c>
      <c r="E193" s="263">
        <v>8</v>
      </c>
      <c r="F193" s="4"/>
      <c r="G193" s="6" t="s">
        <v>1219</v>
      </c>
      <c r="H193" s="263">
        <v>8.5</v>
      </c>
      <c r="I193" s="4"/>
      <c r="J193" s="6" t="s">
        <v>1208</v>
      </c>
      <c r="K193" s="263">
        <v>8</v>
      </c>
      <c r="L193" s="4"/>
      <c r="M193" s="6" t="s">
        <v>1179</v>
      </c>
      <c r="N193" s="263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1151</v>
      </c>
      <c r="B194" s="264">
        <v>8</v>
      </c>
      <c r="C194" s="4"/>
      <c r="D194" s="6" t="s">
        <v>1163</v>
      </c>
      <c r="E194" s="263">
        <v>7.5</v>
      </c>
      <c r="F194" s="4"/>
      <c r="G194" s="6" t="s">
        <v>1220</v>
      </c>
      <c r="H194" s="263">
        <v>8.5</v>
      </c>
      <c r="I194" s="4"/>
      <c r="J194" s="6" t="s">
        <v>1209</v>
      </c>
      <c r="K194" s="263">
        <v>7.5</v>
      </c>
      <c r="L194" s="4"/>
      <c r="M194" s="6" t="s">
        <v>1180</v>
      </c>
      <c r="N194" s="263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1164</v>
      </c>
      <c r="E195" s="263">
        <v>10</v>
      </c>
      <c r="F195" s="4"/>
      <c r="G195" s="6" t="s">
        <v>1221</v>
      </c>
      <c r="H195" s="263">
        <v>10</v>
      </c>
      <c r="I195" s="4"/>
      <c r="J195" s="6" t="s">
        <v>1210</v>
      </c>
      <c r="K195" s="263">
        <v>8.5</v>
      </c>
      <c r="L195" s="4"/>
      <c r="M195" s="6" t="s">
        <v>1181</v>
      </c>
      <c r="N195" s="263">
        <v>8</v>
      </c>
      <c r="O195" s="22"/>
      <c r="V195"/>
      <c r="W195"/>
      <c r="X195"/>
      <c r="Y195"/>
      <c r="Z195"/>
    </row>
    <row r="196" spans="1:26" ht="16.05" customHeight="1" thickBot="1">
      <c r="A196" s="153" t="s">
        <v>1242</v>
      </c>
      <c r="B196" s="14">
        <f>ROUND(SUM(B197:B211)/COUNT(B197:B211), 2)</f>
        <v>8.5299999999999994</v>
      </c>
      <c r="C196" s="4"/>
      <c r="D196" s="6" t="s">
        <v>1165</v>
      </c>
      <c r="E196" s="263">
        <v>8</v>
      </c>
      <c r="F196" s="4"/>
      <c r="G196" s="6" t="s">
        <v>1222</v>
      </c>
      <c r="H196" s="263">
        <v>8</v>
      </c>
      <c r="I196" s="4"/>
      <c r="J196" s="6" t="s">
        <v>1211</v>
      </c>
      <c r="K196" s="263">
        <v>8</v>
      </c>
      <c r="L196" s="4"/>
      <c r="M196" s="6" t="s">
        <v>1182</v>
      </c>
      <c r="N196" s="263">
        <v>10.5</v>
      </c>
      <c r="O196" s="22"/>
      <c r="V196"/>
      <c r="W196"/>
      <c r="X196"/>
      <c r="Y196"/>
      <c r="Z196"/>
    </row>
    <row r="197" spans="1:26" ht="16.05" customHeight="1" thickBot="1">
      <c r="A197" s="270">
        <v>360</v>
      </c>
      <c r="B197" s="262">
        <v>10</v>
      </c>
      <c r="C197" s="4"/>
      <c r="D197" s="6" t="s">
        <v>1166</v>
      </c>
      <c r="E197" s="263">
        <v>7</v>
      </c>
      <c r="F197" s="4"/>
      <c r="G197" s="6" t="s">
        <v>1223</v>
      </c>
      <c r="H197" s="263">
        <v>10.5</v>
      </c>
      <c r="I197" s="4"/>
      <c r="J197" s="9" t="s">
        <v>1212</v>
      </c>
      <c r="K197" s="264">
        <v>7.5</v>
      </c>
      <c r="L197" s="4"/>
      <c r="M197" s="6" t="s">
        <v>1183</v>
      </c>
      <c r="N197" s="263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1229</v>
      </c>
      <c r="B198" s="263">
        <v>8.5</v>
      </c>
      <c r="C198" s="4"/>
      <c r="D198" s="6" t="s">
        <v>1167</v>
      </c>
      <c r="E198" s="263"/>
      <c r="F198" s="4"/>
      <c r="G198" s="6" t="s">
        <v>1224</v>
      </c>
      <c r="H198" s="263">
        <v>8</v>
      </c>
      <c r="I198" s="4"/>
      <c r="J198" s="21"/>
      <c r="K198" s="21"/>
      <c r="L198" s="4"/>
      <c r="M198" s="6" t="s">
        <v>1184</v>
      </c>
      <c r="N198" s="263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1230</v>
      </c>
      <c r="B199" s="263">
        <v>8.5</v>
      </c>
      <c r="C199" s="4"/>
      <c r="D199" s="9" t="s">
        <v>1168</v>
      </c>
      <c r="E199" s="264">
        <v>10</v>
      </c>
      <c r="F199" s="4"/>
      <c r="G199" s="6" t="s">
        <v>1225</v>
      </c>
      <c r="H199" s="263">
        <v>8.5</v>
      </c>
      <c r="I199" s="22"/>
      <c r="J199" s="150" t="s">
        <v>1249</v>
      </c>
      <c r="K199" s="14">
        <f>ROUND(SUM(K200:K206)/COUNT(K200:K206), 2)</f>
        <v>8.75</v>
      </c>
      <c r="L199" s="4"/>
      <c r="M199" s="6" t="s">
        <v>1185</v>
      </c>
      <c r="N199" s="263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1231</v>
      </c>
      <c r="B200" s="263">
        <v>7.5</v>
      </c>
      <c r="C200" s="4"/>
      <c r="D200" s="19"/>
      <c r="E200" s="21"/>
      <c r="F200" s="4"/>
      <c r="G200" s="9" t="s">
        <v>1226</v>
      </c>
      <c r="H200" s="264">
        <v>8.5</v>
      </c>
      <c r="I200" s="4"/>
      <c r="J200" s="13" t="s">
        <v>1250</v>
      </c>
      <c r="K200" s="262">
        <v>10</v>
      </c>
      <c r="L200" s="4"/>
      <c r="M200" s="6" t="s">
        <v>1186</v>
      </c>
      <c r="N200" s="263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1232</v>
      </c>
      <c r="B201" s="263">
        <v>8</v>
      </c>
      <c r="C201" s="22"/>
      <c r="D201" s="152" t="s">
        <v>1273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1251</v>
      </c>
      <c r="K201" s="263">
        <v>8</v>
      </c>
      <c r="L201" s="4"/>
      <c r="M201" s="6" t="s">
        <v>1187</v>
      </c>
      <c r="N201" s="263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1233</v>
      </c>
      <c r="B202" s="263">
        <v>10</v>
      </c>
      <c r="C202" s="22"/>
      <c r="D202" s="13" t="s">
        <v>1263</v>
      </c>
      <c r="E202" s="262">
        <v>9</v>
      </c>
      <c r="F202" s="22"/>
      <c r="G202" s="154" t="s">
        <v>1278</v>
      </c>
      <c r="H202" s="14">
        <f>ROUND(SUM(H203:H213)/COUNT(H203:H213), 2)</f>
        <v>8.4499999999999993</v>
      </c>
      <c r="I202" s="4"/>
      <c r="J202" s="6" t="s">
        <v>1252</v>
      </c>
      <c r="K202" s="263">
        <v>9.5</v>
      </c>
      <c r="L202" s="4"/>
      <c r="M202" s="6" t="s">
        <v>1188</v>
      </c>
      <c r="N202" s="263">
        <v>7</v>
      </c>
      <c r="O202" s="22"/>
      <c r="V202"/>
      <c r="W202"/>
      <c r="X202"/>
      <c r="Y202"/>
      <c r="Z202"/>
    </row>
    <row r="203" spans="1:26" ht="16.05" customHeight="1">
      <c r="A203" s="6" t="s">
        <v>1234</v>
      </c>
      <c r="B203" s="263">
        <v>8</v>
      </c>
      <c r="C203" s="22"/>
      <c r="D203" s="6" t="s">
        <v>1264</v>
      </c>
      <c r="E203" s="263">
        <v>10.5</v>
      </c>
      <c r="F203" s="4"/>
      <c r="G203" s="13" t="s">
        <v>1279</v>
      </c>
      <c r="H203" s="262">
        <v>8.5</v>
      </c>
      <c r="I203" s="4"/>
      <c r="J203" s="6" t="s">
        <v>1253</v>
      </c>
      <c r="K203" s="263">
        <v>8</v>
      </c>
      <c r="L203" s="4"/>
      <c r="M203" s="6" t="s">
        <v>1189</v>
      </c>
      <c r="N203" s="263">
        <v>10</v>
      </c>
      <c r="O203" s="22"/>
      <c r="V203"/>
      <c r="W203"/>
      <c r="X203"/>
      <c r="Y203"/>
      <c r="Z203"/>
    </row>
    <row r="204" spans="1:26" ht="16.05" customHeight="1">
      <c r="A204" s="6" t="s">
        <v>1235</v>
      </c>
      <c r="B204" s="263">
        <v>8.5</v>
      </c>
      <c r="C204" s="22"/>
      <c r="D204" s="6" t="s">
        <v>1265</v>
      </c>
      <c r="E204" s="263"/>
      <c r="F204" s="4"/>
      <c r="G204" s="6" t="s">
        <v>1280</v>
      </c>
      <c r="H204" s="263">
        <v>8.5</v>
      </c>
      <c r="I204" s="4"/>
      <c r="J204" s="6" t="s">
        <v>1254</v>
      </c>
      <c r="K204" s="263">
        <v>9</v>
      </c>
      <c r="L204" s="4"/>
      <c r="M204" s="6" t="s">
        <v>1190</v>
      </c>
      <c r="N204" s="263">
        <v>9</v>
      </c>
      <c r="O204" s="22"/>
      <c r="V204"/>
      <c r="W204"/>
      <c r="X204"/>
      <c r="Y204"/>
      <c r="Z204"/>
    </row>
    <row r="205" spans="1:26" ht="16.05" customHeight="1">
      <c r="A205" s="6" t="s">
        <v>1236</v>
      </c>
      <c r="B205" s="263">
        <v>7.5</v>
      </c>
      <c r="C205" s="22"/>
      <c r="D205" s="6" t="s">
        <v>1266</v>
      </c>
      <c r="E205" s="263">
        <v>10</v>
      </c>
      <c r="F205" s="4"/>
      <c r="G205" s="6" t="s">
        <v>1281</v>
      </c>
      <c r="H205" s="263">
        <v>9</v>
      </c>
      <c r="I205" s="4"/>
      <c r="J205" s="6" t="s">
        <v>1255</v>
      </c>
      <c r="K205" s="263"/>
      <c r="L205" s="4"/>
      <c r="M205" s="6" t="s">
        <v>1191</v>
      </c>
      <c r="N205" s="263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1237</v>
      </c>
      <c r="B206" s="263">
        <v>8.5</v>
      </c>
      <c r="C206" s="22"/>
      <c r="D206" s="6" t="s">
        <v>1267</v>
      </c>
      <c r="E206" s="263"/>
      <c r="F206" s="4"/>
      <c r="G206" s="6" t="s">
        <v>1282</v>
      </c>
      <c r="H206" s="263">
        <v>10</v>
      </c>
      <c r="I206" s="4"/>
      <c r="J206" s="9" t="s">
        <v>1256</v>
      </c>
      <c r="K206" s="264">
        <v>8</v>
      </c>
      <c r="L206" s="4"/>
      <c r="M206" s="6" t="s">
        <v>1192</v>
      </c>
      <c r="N206" s="263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1238</v>
      </c>
      <c r="B207" s="263">
        <v>10</v>
      </c>
      <c r="C207" s="22"/>
      <c r="D207" s="6" t="s">
        <v>1268</v>
      </c>
      <c r="E207" s="263">
        <v>10</v>
      </c>
      <c r="F207" s="4"/>
      <c r="G207" s="6" t="s">
        <v>1283</v>
      </c>
      <c r="H207" s="263">
        <v>9</v>
      </c>
      <c r="I207" s="4"/>
      <c r="J207" s="21"/>
      <c r="K207" s="21"/>
      <c r="L207" s="4"/>
      <c r="M207" s="6" t="s">
        <v>1193</v>
      </c>
      <c r="N207" s="263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1239</v>
      </c>
      <c r="B208" s="263">
        <v>9</v>
      </c>
      <c r="C208" s="22"/>
      <c r="D208" s="6" t="s">
        <v>1269</v>
      </c>
      <c r="E208" s="263">
        <v>7.5</v>
      </c>
      <c r="F208" s="4"/>
      <c r="G208" s="6" t="s">
        <v>1284</v>
      </c>
      <c r="H208" s="263">
        <v>8.5</v>
      </c>
      <c r="I208" s="22"/>
      <c r="J208" s="159" t="s">
        <v>1364</v>
      </c>
      <c r="K208" s="14">
        <f>ROUND(SUM(K209:K217)/COUNT(K209:K217), 2)</f>
        <v>8.67</v>
      </c>
      <c r="L208" s="4"/>
      <c r="M208" s="6" t="s">
        <v>1194</v>
      </c>
      <c r="N208" s="263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1240</v>
      </c>
      <c r="B209" s="263">
        <v>8.5</v>
      </c>
      <c r="C209" s="22"/>
      <c r="D209" s="6" t="s">
        <v>1270</v>
      </c>
      <c r="E209" s="263">
        <v>8</v>
      </c>
      <c r="F209" s="4"/>
      <c r="G209" s="6" t="s">
        <v>1285</v>
      </c>
      <c r="H209" s="263">
        <v>9</v>
      </c>
      <c r="I209" s="4"/>
      <c r="J209" s="13" t="s">
        <v>1292</v>
      </c>
      <c r="K209" s="262">
        <v>9</v>
      </c>
      <c r="L209" s="4"/>
      <c r="M209" s="9" t="s">
        <v>1195</v>
      </c>
      <c r="N209" s="264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1241</v>
      </c>
      <c r="B210" s="263">
        <v>6.5</v>
      </c>
      <c r="C210" s="22"/>
      <c r="D210" s="6" t="s">
        <v>1271</v>
      </c>
      <c r="E210" s="263">
        <v>10.5</v>
      </c>
      <c r="F210" s="4"/>
      <c r="G210" s="6" t="s">
        <v>1286</v>
      </c>
      <c r="H210" s="263">
        <v>8</v>
      </c>
      <c r="I210" s="4"/>
      <c r="J210" s="6" t="s">
        <v>1293</v>
      </c>
      <c r="K210" s="263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1">
        <v>365</v>
      </c>
      <c r="B211" s="264">
        <v>9</v>
      </c>
      <c r="C211" s="4"/>
      <c r="D211" s="9" t="s">
        <v>1272</v>
      </c>
      <c r="E211" s="264"/>
      <c r="F211" s="4"/>
      <c r="G211" s="6" t="s">
        <v>1287</v>
      </c>
      <c r="H211" s="263">
        <v>7.5</v>
      </c>
      <c r="I211" s="4"/>
      <c r="J211" s="6" t="s">
        <v>1294</v>
      </c>
      <c r="K211" s="263">
        <v>10.5</v>
      </c>
      <c r="L211" s="22"/>
      <c r="M211" s="156" t="s">
        <v>1324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1288</v>
      </c>
      <c r="H212" s="263">
        <v>8</v>
      </c>
      <c r="I212" s="4"/>
      <c r="J212" s="6" t="s">
        <v>1295</v>
      </c>
      <c r="K212" s="263">
        <v>7.5</v>
      </c>
      <c r="L212" s="4"/>
      <c r="M212" s="13" t="s">
        <v>1309</v>
      </c>
      <c r="N212" s="262">
        <v>8</v>
      </c>
      <c r="O212" s="22"/>
      <c r="V212"/>
      <c r="W212"/>
      <c r="X212"/>
      <c r="Y212"/>
      <c r="Z212"/>
    </row>
    <row r="213" spans="1:26" ht="16.05" customHeight="1" thickBot="1">
      <c r="A213" s="158" t="s">
        <v>1343</v>
      </c>
      <c r="B213" s="14">
        <f>ROUND(SUM(B214:B224)/COUNT(B214:B224), 2)</f>
        <v>8.9499999999999993</v>
      </c>
      <c r="C213" s="4"/>
      <c r="D213" s="157" t="s">
        <v>1328</v>
      </c>
      <c r="E213" s="14">
        <f>ROUND(SUM(E214:E227)/COUNT(E214:E227), 2)</f>
        <v>8.77</v>
      </c>
      <c r="F213" s="4"/>
      <c r="G213" s="9" t="s">
        <v>1289</v>
      </c>
      <c r="H213" s="264">
        <v>7</v>
      </c>
      <c r="I213" s="4"/>
      <c r="J213" s="6" t="s">
        <v>1296</v>
      </c>
      <c r="K213" s="263">
        <v>9</v>
      </c>
      <c r="L213" s="4"/>
      <c r="M213" s="6" t="s">
        <v>1310</v>
      </c>
      <c r="N213" s="263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1344</v>
      </c>
      <c r="B214" s="262">
        <v>8.5</v>
      </c>
      <c r="C214" s="4"/>
      <c r="D214" s="13" t="s">
        <v>1329</v>
      </c>
      <c r="E214" s="262">
        <v>9</v>
      </c>
      <c r="F214" s="4"/>
      <c r="G214" s="21"/>
      <c r="H214" s="21"/>
      <c r="I214" s="4"/>
      <c r="J214" s="6" t="s">
        <v>1297</v>
      </c>
      <c r="K214" s="263">
        <v>7</v>
      </c>
      <c r="L214" s="4"/>
      <c r="M214" s="6" t="s">
        <v>1311</v>
      </c>
      <c r="N214" s="263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1345</v>
      </c>
      <c r="B215" s="263">
        <v>10</v>
      </c>
      <c r="C215" s="4"/>
      <c r="D215" s="6" t="s">
        <v>1330</v>
      </c>
      <c r="E215" s="263">
        <v>10</v>
      </c>
      <c r="F215" s="22"/>
      <c r="G215" s="164" t="s">
        <v>1365</v>
      </c>
      <c r="H215" s="14">
        <f>ROUND(SUM(H216:H227)/COUNT(H216:H227), 2)</f>
        <v>8.4600000000000009</v>
      </c>
      <c r="I215" s="4"/>
      <c r="J215" s="6" t="s">
        <v>1298</v>
      </c>
      <c r="K215" s="263">
        <v>8</v>
      </c>
      <c r="L215" s="4"/>
      <c r="M215" s="6" t="s">
        <v>1312</v>
      </c>
      <c r="N215" s="263"/>
      <c r="O215" s="22"/>
      <c r="V215"/>
      <c r="W215"/>
      <c r="X215"/>
      <c r="Y215"/>
      <c r="Z215"/>
    </row>
    <row r="216" spans="1:26" ht="16.05" customHeight="1">
      <c r="A216" s="6" t="s">
        <v>1346</v>
      </c>
      <c r="B216" s="263">
        <v>9.5</v>
      </c>
      <c r="C216" s="4"/>
      <c r="D216" s="6" t="s">
        <v>1331</v>
      </c>
      <c r="E216" s="263">
        <v>9.5</v>
      </c>
      <c r="F216" s="4"/>
      <c r="G216" s="13" t="s">
        <v>1366</v>
      </c>
      <c r="H216" s="262">
        <v>10</v>
      </c>
      <c r="I216" s="4"/>
      <c r="J216" s="6" t="s">
        <v>1299</v>
      </c>
      <c r="K216" s="263">
        <v>9</v>
      </c>
      <c r="L216" s="4"/>
      <c r="M216" s="6" t="s">
        <v>1313</v>
      </c>
      <c r="N216" s="263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1347</v>
      </c>
      <c r="B217" s="263">
        <v>9</v>
      </c>
      <c r="C217" s="4"/>
      <c r="D217" s="6" t="s">
        <v>1332</v>
      </c>
      <c r="E217" s="263">
        <v>10</v>
      </c>
      <c r="F217" s="4"/>
      <c r="G217" s="6" t="s">
        <v>1367</v>
      </c>
      <c r="H217" s="263">
        <v>9</v>
      </c>
      <c r="I217" s="4"/>
      <c r="J217" s="9" t="s">
        <v>1300</v>
      </c>
      <c r="K217" s="264">
        <v>10</v>
      </c>
      <c r="L217" s="4"/>
      <c r="M217" s="6" t="s">
        <v>1314</v>
      </c>
      <c r="N217" s="263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1348</v>
      </c>
      <c r="B218" s="263">
        <v>9</v>
      </c>
      <c r="C218" s="4"/>
      <c r="D218" s="6" t="s">
        <v>1333</v>
      </c>
      <c r="E218" s="263">
        <v>8.5</v>
      </c>
      <c r="F218" s="4"/>
      <c r="G218" s="6" t="s">
        <v>1368</v>
      </c>
      <c r="H218" s="263">
        <v>8.5</v>
      </c>
      <c r="I218" s="4"/>
      <c r="J218" s="21"/>
      <c r="K218" s="21"/>
      <c r="L218" s="4"/>
      <c r="M218" s="6" t="s">
        <v>1315</v>
      </c>
      <c r="N218" s="263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1349</v>
      </c>
      <c r="B219" s="263">
        <v>8.5</v>
      </c>
      <c r="C219" s="4"/>
      <c r="D219" s="6" t="s">
        <v>1334</v>
      </c>
      <c r="E219" s="263"/>
      <c r="F219" s="4"/>
      <c r="G219" s="6" t="s">
        <v>1369</v>
      </c>
      <c r="H219" s="263">
        <v>10.5</v>
      </c>
      <c r="I219" s="22"/>
      <c r="J219" s="160" t="s">
        <v>1379</v>
      </c>
      <c r="K219" s="14">
        <f>ROUND(SUM(K220:K235)/COUNT(K220:K235), 2)</f>
        <v>8.82</v>
      </c>
      <c r="L219" s="4"/>
      <c r="M219" s="6" t="s">
        <v>1316</v>
      </c>
      <c r="N219" s="263">
        <v>9</v>
      </c>
      <c r="O219" s="22"/>
      <c r="V219"/>
      <c r="W219"/>
      <c r="X219"/>
      <c r="Y219"/>
      <c r="Z219"/>
    </row>
    <row r="220" spans="1:26" ht="16.05" customHeight="1">
      <c r="A220" s="6" t="s">
        <v>1350</v>
      </c>
      <c r="B220" s="263">
        <v>8</v>
      </c>
      <c r="C220" s="4"/>
      <c r="D220" s="6" t="s">
        <v>1335</v>
      </c>
      <c r="E220" s="263">
        <v>8</v>
      </c>
      <c r="F220" s="4"/>
      <c r="G220" s="6" t="s">
        <v>1370</v>
      </c>
      <c r="H220" s="263">
        <v>8.5</v>
      </c>
      <c r="I220" s="4"/>
      <c r="J220" s="13" t="s">
        <v>1380</v>
      </c>
      <c r="K220" s="262">
        <v>10</v>
      </c>
      <c r="L220" s="4"/>
      <c r="M220" s="6" t="s">
        <v>1317</v>
      </c>
      <c r="N220" s="263">
        <v>7.5</v>
      </c>
      <c r="O220" s="22"/>
      <c r="V220"/>
      <c r="W220"/>
      <c r="X220"/>
      <c r="Y220"/>
      <c r="Z220"/>
    </row>
    <row r="221" spans="1:26" ht="16.05" customHeight="1">
      <c r="A221" s="6" t="s">
        <v>1351</v>
      </c>
      <c r="B221" s="263">
        <v>9.5</v>
      </c>
      <c r="C221" s="4"/>
      <c r="D221" s="6" t="s">
        <v>1336</v>
      </c>
      <c r="E221" s="263">
        <v>9.5</v>
      </c>
      <c r="F221" s="4"/>
      <c r="G221" s="6" t="s">
        <v>1371</v>
      </c>
      <c r="H221" s="263">
        <v>9</v>
      </c>
      <c r="I221" s="4"/>
      <c r="J221" s="6" t="s">
        <v>1381</v>
      </c>
      <c r="K221" s="263"/>
      <c r="L221" s="4"/>
      <c r="M221" s="6" t="s">
        <v>1318</v>
      </c>
      <c r="N221" s="263">
        <v>8</v>
      </c>
      <c r="O221" s="22"/>
      <c r="V221"/>
      <c r="W221"/>
      <c r="X221"/>
      <c r="Y221"/>
      <c r="Z221"/>
    </row>
    <row r="222" spans="1:26" ht="16.05" customHeight="1">
      <c r="A222" s="6" t="s">
        <v>1352</v>
      </c>
      <c r="B222" s="263">
        <v>9</v>
      </c>
      <c r="C222" s="4"/>
      <c r="D222" s="6" t="s">
        <v>1337</v>
      </c>
      <c r="E222" s="263">
        <v>8</v>
      </c>
      <c r="F222" s="4"/>
      <c r="G222" s="6" t="s">
        <v>1372</v>
      </c>
      <c r="H222" s="263">
        <v>7.5</v>
      </c>
      <c r="I222" s="4"/>
      <c r="J222" s="6" t="s">
        <v>1382</v>
      </c>
      <c r="K222" s="263">
        <v>10.5</v>
      </c>
      <c r="L222" s="4"/>
      <c r="M222" s="6" t="s">
        <v>1319</v>
      </c>
      <c r="N222" s="263">
        <v>9</v>
      </c>
      <c r="O222" s="22"/>
      <c r="V222"/>
      <c r="W222"/>
      <c r="X222"/>
      <c r="Y222"/>
      <c r="Z222"/>
    </row>
    <row r="223" spans="1:26" ht="16.05" customHeight="1">
      <c r="A223" s="6" t="s">
        <v>1353</v>
      </c>
      <c r="B223" s="263">
        <v>9</v>
      </c>
      <c r="C223" s="4"/>
      <c r="D223" s="6" t="s">
        <v>1338</v>
      </c>
      <c r="E223" s="263">
        <v>8</v>
      </c>
      <c r="F223" s="4"/>
      <c r="G223" s="6" t="s">
        <v>1373</v>
      </c>
      <c r="H223" s="263">
        <v>10.5</v>
      </c>
      <c r="I223" s="4"/>
      <c r="J223" s="6" t="s">
        <v>1383</v>
      </c>
      <c r="K223" s="263">
        <v>8.5</v>
      </c>
      <c r="L223" s="4"/>
      <c r="M223" s="6" t="s">
        <v>1320</v>
      </c>
      <c r="N223" s="263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1354</v>
      </c>
      <c r="B224" s="264">
        <v>8.5</v>
      </c>
      <c r="C224" s="4"/>
      <c r="D224" s="6" t="s">
        <v>1339</v>
      </c>
      <c r="E224" s="263">
        <v>8</v>
      </c>
      <c r="F224" s="4"/>
      <c r="G224" s="6" t="s">
        <v>1374</v>
      </c>
      <c r="H224" s="263">
        <v>7</v>
      </c>
      <c r="I224" s="4"/>
      <c r="J224" s="6" t="s">
        <v>1384</v>
      </c>
      <c r="K224" s="263">
        <v>9</v>
      </c>
      <c r="L224" s="4"/>
      <c r="M224" s="6" t="s">
        <v>1321</v>
      </c>
      <c r="N224" s="263">
        <v>7</v>
      </c>
      <c r="O224" s="22"/>
      <c r="V224"/>
      <c r="W224"/>
      <c r="X224"/>
      <c r="Y224"/>
      <c r="Z224"/>
    </row>
    <row r="225" spans="1:26" ht="16.05" customHeight="1" thickBot="1">
      <c r="A225" s="77"/>
      <c r="B225" s="19"/>
      <c r="C225" s="22"/>
      <c r="D225" s="6" t="s">
        <v>1340</v>
      </c>
      <c r="E225" s="263">
        <v>8</v>
      </c>
      <c r="F225" s="4"/>
      <c r="G225" s="6" t="s">
        <v>1375</v>
      </c>
      <c r="H225" s="263">
        <v>7.5</v>
      </c>
      <c r="I225" s="4"/>
      <c r="J225" s="6" t="s">
        <v>1385</v>
      </c>
      <c r="K225" s="263">
        <v>8</v>
      </c>
      <c r="L225" s="4"/>
      <c r="M225" s="6" t="s">
        <v>1322</v>
      </c>
      <c r="N225" s="263">
        <v>7.5</v>
      </c>
      <c r="O225" s="22"/>
      <c r="V225"/>
      <c r="W225"/>
      <c r="X225"/>
      <c r="Y225"/>
      <c r="Z225"/>
    </row>
    <row r="226" spans="1:26" ht="16.05" customHeight="1" thickBot="1">
      <c r="A226" s="165" t="s">
        <v>1399</v>
      </c>
      <c r="B226" s="14">
        <f>ROUND(SUM(B227:B233)/COUNT(B227:B233), 2)</f>
        <v>8.86</v>
      </c>
      <c r="C226" s="41"/>
      <c r="D226" s="5" t="s">
        <v>1341</v>
      </c>
      <c r="E226" s="263">
        <v>8.5</v>
      </c>
      <c r="F226" s="4"/>
      <c r="G226" s="6" t="s">
        <v>1376</v>
      </c>
      <c r="H226" s="263">
        <v>6.5</v>
      </c>
      <c r="I226" s="4"/>
      <c r="J226" s="6" t="s">
        <v>1386</v>
      </c>
      <c r="K226" s="263">
        <v>9.5</v>
      </c>
      <c r="L226" s="4"/>
      <c r="M226" s="9" t="s">
        <v>1323</v>
      </c>
      <c r="N226" s="264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1400</v>
      </c>
      <c r="B227" s="262">
        <v>10</v>
      </c>
      <c r="C227" s="4"/>
      <c r="D227" s="9" t="s">
        <v>1342</v>
      </c>
      <c r="E227" s="264">
        <v>9</v>
      </c>
      <c r="F227" s="4"/>
      <c r="G227" s="9" t="s">
        <v>1377</v>
      </c>
      <c r="H227" s="264">
        <v>7</v>
      </c>
      <c r="I227" s="4"/>
      <c r="J227" s="6" t="s">
        <v>1387</v>
      </c>
      <c r="K227" s="263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1401</v>
      </c>
      <c r="B228" s="263">
        <v>9.5</v>
      </c>
      <c r="C228" s="4"/>
      <c r="D228" s="19"/>
      <c r="E228" s="21"/>
      <c r="F228" s="4"/>
      <c r="G228" s="21"/>
      <c r="H228" s="21"/>
      <c r="I228" s="4"/>
      <c r="J228" s="6" t="s">
        <v>1388</v>
      </c>
      <c r="K228" s="263">
        <v>8</v>
      </c>
      <c r="L228" s="22"/>
      <c r="M228" s="163" t="s">
        <v>1436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1402</v>
      </c>
      <c r="B229" s="263">
        <v>9</v>
      </c>
      <c r="C229" s="4"/>
      <c r="D229" s="161" t="s">
        <v>1410</v>
      </c>
      <c r="E229" s="14">
        <f>ROUND(SUM(E230:E235)/COUNT(E230:E235), 2)</f>
        <v>8.83</v>
      </c>
      <c r="F229" s="22"/>
      <c r="G229" s="162" t="s">
        <v>1437</v>
      </c>
      <c r="H229" s="14">
        <f>ROUND(SUM(H230:H244)/COUNT(H230:H244), 2)</f>
        <v>8.8800000000000008</v>
      </c>
      <c r="I229" s="4"/>
      <c r="J229" s="6" t="s">
        <v>1389</v>
      </c>
      <c r="K229" s="263">
        <v>8</v>
      </c>
      <c r="L229" s="4"/>
      <c r="M229" s="13" t="s">
        <v>1424</v>
      </c>
      <c r="N229" s="262">
        <v>8</v>
      </c>
      <c r="O229" s="22"/>
      <c r="V229"/>
      <c r="W229"/>
      <c r="X229"/>
      <c r="Y229"/>
      <c r="Z229"/>
    </row>
    <row r="230" spans="1:26" ht="16.05" customHeight="1">
      <c r="A230" s="6" t="s">
        <v>1403</v>
      </c>
      <c r="B230" s="263">
        <v>8</v>
      </c>
      <c r="C230" s="4"/>
      <c r="D230" s="13" t="s">
        <v>1411</v>
      </c>
      <c r="E230" s="262">
        <v>8.5</v>
      </c>
      <c r="F230" s="4"/>
      <c r="G230" s="13" t="s">
        <v>1438</v>
      </c>
      <c r="H230" s="262"/>
      <c r="I230" s="4"/>
      <c r="J230" s="6" t="s">
        <v>1390</v>
      </c>
      <c r="K230" s="263">
        <v>10</v>
      </c>
      <c r="L230" s="4"/>
      <c r="M230" s="6" t="s">
        <v>1425</v>
      </c>
      <c r="N230" s="263">
        <v>8.5</v>
      </c>
      <c r="O230" s="22"/>
      <c r="V230"/>
      <c r="W230"/>
      <c r="X230"/>
      <c r="Y230"/>
      <c r="Z230"/>
    </row>
    <row r="231" spans="1:26" ht="16.05" customHeight="1">
      <c r="A231" s="6" t="s">
        <v>1404</v>
      </c>
      <c r="B231" s="263">
        <v>9</v>
      </c>
      <c r="C231" s="4"/>
      <c r="D231" s="6" t="s">
        <v>1412</v>
      </c>
      <c r="E231" s="263">
        <v>8.5</v>
      </c>
      <c r="F231" s="4"/>
      <c r="G231" s="6" t="s">
        <v>1439</v>
      </c>
      <c r="H231" s="263">
        <v>8.5</v>
      </c>
      <c r="I231" s="4"/>
      <c r="J231" s="6" t="s">
        <v>1391</v>
      </c>
      <c r="K231" s="263">
        <v>7.5</v>
      </c>
      <c r="L231" s="4"/>
      <c r="M231" s="6" t="s">
        <v>1426</v>
      </c>
      <c r="N231" s="263">
        <v>9.5</v>
      </c>
      <c r="O231" s="22"/>
      <c r="V231"/>
      <c r="W231"/>
      <c r="X231"/>
      <c r="Y231"/>
      <c r="Z231"/>
    </row>
    <row r="232" spans="1:26" ht="16.05" customHeight="1">
      <c r="A232" s="6" t="s">
        <v>1405</v>
      </c>
      <c r="B232" s="263">
        <v>8.5</v>
      </c>
      <c r="C232" s="4"/>
      <c r="D232" s="6" t="s">
        <v>1413</v>
      </c>
      <c r="E232" s="263">
        <v>8</v>
      </c>
      <c r="F232" s="4"/>
      <c r="G232" s="6" t="s">
        <v>1440</v>
      </c>
      <c r="H232" s="263">
        <v>9.5</v>
      </c>
      <c r="I232" s="4"/>
      <c r="J232" s="6" t="s">
        <v>1392</v>
      </c>
      <c r="K232" s="263">
        <v>9.5</v>
      </c>
      <c r="L232" s="4"/>
      <c r="M232" s="6" t="s">
        <v>1427</v>
      </c>
      <c r="N232" s="263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1406</v>
      </c>
      <c r="B233" s="264">
        <v>8</v>
      </c>
      <c r="C233" s="4"/>
      <c r="D233" s="6" t="s">
        <v>1414</v>
      </c>
      <c r="E233" s="263">
        <v>9</v>
      </c>
      <c r="F233" s="4"/>
      <c r="G233" s="6" t="s">
        <v>1441</v>
      </c>
      <c r="H233" s="263">
        <v>8.5</v>
      </c>
      <c r="I233" s="4"/>
      <c r="J233" s="6" t="s">
        <v>1393</v>
      </c>
      <c r="K233" s="263">
        <v>8</v>
      </c>
      <c r="L233" s="4"/>
      <c r="M233" s="6" t="s">
        <v>1428</v>
      </c>
      <c r="N233" s="263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1415</v>
      </c>
      <c r="E234" s="263">
        <v>9</v>
      </c>
      <c r="F234" s="4"/>
      <c r="G234" s="6" t="s">
        <v>1442</v>
      </c>
      <c r="H234" s="263">
        <v>10</v>
      </c>
      <c r="I234" s="4"/>
      <c r="J234" s="6" t="s">
        <v>1394</v>
      </c>
      <c r="K234" s="263">
        <v>9</v>
      </c>
      <c r="L234" s="4"/>
      <c r="M234" s="6" t="s">
        <v>1429</v>
      </c>
      <c r="N234" s="263">
        <v>8</v>
      </c>
      <c r="O234" s="22"/>
      <c r="V234"/>
      <c r="W234"/>
      <c r="X234"/>
      <c r="Y234"/>
      <c r="Z234"/>
    </row>
    <row r="235" spans="1:26" ht="16.05" customHeight="1" thickBot="1">
      <c r="A235" s="168" t="s">
        <v>1454</v>
      </c>
      <c r="B235" s="14">
        <f>ROUND(SUM(B236:B244)/COUNT(B236:B244), 2)</f>
        <v>8.83</v>
      </c>
      <c r="C235" s="4"/>
      <c r="D235" s="9" t="s">
        <v>1416</v>
      </c>
      <c r="E235" s="264">
        <v>10</v>
      </c>
      <c r="F235" s="4"/>
      <c r="G235" s="6" t="s">
        <v>1443</v>
      </c>
      <c r="H235" s="265">
        <v>10.5</v>
      </c>
      <c r="I235" s="4"/>
      <c r="J235" s="9" t="s">
        <v>1395</v>
      </c>
      <c r="K235" s="264">
        <v>8</v>
      </c>
      <c r="L235" s="4"/>
      <c r="M235" s="6" t="s">
        <v>1430</v>
      </c>
      <c r="N235" s="263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1455</v>
      </c>
      <c r="B236" s="262">
        <v>9</v>
      </c>
      <c r="C236" s="4"/>
      <c r="D236" s="21"/>
      <c r="E236" s="21"/>
      <c r="F236" s="4"/>
      <c r="G236" s="6" t="s">
        <v>1444</v>
      </c>
      <c r="H236" s="263">
        <v>9</v>
      </c>
      <c r="I236" s="4"/>
      <c r="J236" s="21"/>
      <c r="K236" s="21"/>
      <c r="L236" s="4"/>
      <c r="M236" s="6" t="s">
        <v>1431</v>
      </c>
      <c r="N236" s="263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1456</v>
      </c>
      <c r="B237" s="263">
        <v>10</v>
      </c>
      <c r="C237" s="4"/>
      <c r="D237" s="167" t="s">
        <v>1488</v>
      </c>
      <c r="E237" s="3">
        <f>ROUND(SUM(E238:E252)/COUNT(E238:E252), 2)</f>
        <v>8.8000000000000007</v>
      </c>
      <c r="F237" s="4"/>
      <c r="G237" s="6" t="s">
        <v>1445</v>
      </c>
      <c r="H237" s="263">
        <v>8.5</v>
      </c>
      <c r="I237" s="22"/>
      <c r="J237" s="169" t="s">
        <v>1491</v>
      </c>
      <c r="K237" s="14">
        <f>ROUND(SUM(K238:K250)/COUNT(K238:K250), 2)</f>
        <v>8.73</v>
      </c>
      <c r="L237" s="4"/>
      <c r="M237" s="6" t="s">
        <v>1432</v>
      </c>
      <c r="N237" s="263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1457</v>
      </c>
      <c r="B238" s="263">
        <v>8.5</v>
      </c>
      <c r="C238" s="4"/>
      <c r="D238" s="13" t="s">
        <v>1469</v>
      </c>
      <c r="E238" s="262">
        <v>8</v>
      </c>
      <c r="F238" s="4"/>
      <c r="G238" s="6" t="s">
        <v>1446</v>
      </c>
      <c r="H238" s="263">
        <v>8.5</v>
      </c>
      <c r="I238" s="4"/>
      <c r="J238" s="13" t="s">
        <v>1504</v>
      </c>
      <c r="K238" s="262">
        <v>10.5</v>
      </c>
      <c r="L238" s="4"/>
      <c r="M238" s="9" t="s">
        <v>1433</v>
      </c>
      <c r="N238" s="264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1458</v>
      </c>
      <c r="B239" s="263">
        <v>8.5</v>
      </c>
      <c r="C239" s="4"/>
      <c r="D239" s="6" t="s">
        <v>1470</v>
      </c>
      <c r="E239" s="263">
        <v>8.5</v>
      </c>
      <c r="F239" s="4"/>
      <c r="G239" s="6" t="s">
        <v>1447</v>
      </c>
      <c r="H239" s="263">
        <v>8</v>
      </c>
      <c r="I239" s="4"/>
      <c r="J239" s="6" t="s">
        <v>1492</v>
      </c>
      <c r="K239" s="263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1459</v>
      </c>
      <c r="B240" s="263">
        <v>9.5</v>
      </c>
      <c r="C240" s="4"/>
      <c r="D240" s="6" t="s">
        <v>1471</v>
      </c>
      <c r="E240" s="263">
        <v>9.5</v>
      </c>
      <c r="F240" s="4"/>
      <c r="G240" s="6" t="s">
        <v>1448</v>
      </c>
      <c r="H240" s="263"/>
      <c r="I240" s="4"/>
      <c r="J240" s="6" t="s">
        <v>1493</v>
      </c>
      <c r="K240" s="263">
        <v>9</v>
      </c>
      <c r="L240" s="4"/>
      <c r="M240" s="272" t="s">
        <v>1508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1460</v>
      </c>
      <c r="B241" s="263">
        <v>8</v>
      </c>
      <c r="C241" s="4"/>
      <c r="D241" s="6" t="s">
        <v>1472</v>
      </c>
      <c r="E241" s="263">
        <v>10</v>
      </c>
      <c r="F241" s="4"/>
      <c r="G241" s="6" t="s">
        <v>1449</v>
      </c>
      <c r="H241" s="263">
        <v>9.5</v>
      </c>
      <c r="I241" s="4"/>
      <c r="J241" s="6" t="s">
        <v>1494</v>
      </c>
      <c r="K241" s="263">
        <v>9.5</v>
      </c>
      <c r="L241" s="4"/>
      <c r="M241" s="13" t="s">
        <v>1509</v>
      </c>
      <c r="N241" s="262">
        <v>9.5</v>
      </c>
      <c r="O241" s="4"/>
      <c r="V241"/>
      <c r="W241"/>
      <c r="X241"/>
      <c r="Y241"/>
      <c r="Z241"/>
    </row>
    <row r="242" spans="1:26" ht="16.05" customHeight="1">
      <c r="A242" s="6" t="s">
        <v>1461</v>
      </c>
      <c r="B242" s="263">
        <v>8.5</v>
      </c>
      <c r="C242" s="4"/>
      <c r="D242" s="6" t="s">
        <v>1473</v>
      </c>
      <c r="E242" s="263">
        <v>8.5</v>
      </c>
      <c r="F242" s="4"/>
      <c r="G242" s="6" t="s">
        <v>1450</v>
      </c>
      <c r="H242" s="263">
        <v>8</v>
      </c>
      <c r="I242" s="4"/>
      <c r="J242" s="6" t="s">
        <v>1495</v>
      </c>
      <c r="K242" s="263">
        <v>9</v>
      </c>
      <c r="L242" s="4"/>
      <c r="M242" s="6" t="s">
        <v>1510</v>
      </c>
      <c r="N242" s="263">
        <v>8</v>
      </c>
      <c r="O242" s="4"/>
      <c r="V242"/>
      <c r="W242"/>
      <c r="X242"/>
      <c r="Y242"/>
      <c r="Z242"/>
    </row>
    <row r="243" spans="1:26" ht="16.05" customHeight="1">
      <c r="A243" s="6" t="s">
        <v>1462</v>
      </c>
      <c r="B243" s="263">
        <v>9</v>
      </c>
      <c r="C243" s="4"/>
      <c r="D243" s="6" t="s">
        <v>1474</v>
      </c>
      <c r="E243" s="263">
        <v>9.5</v>
      </c>
      <c r="F243" s="4"/>
      <c r="G243" s="6" t="s">
        <v>1451</v>
      </c>
      <c r="H243" s="263">
        <v>8.5</v>
      </c>
      <c r="I243" s="4"/>
      <c r="J243" s="6" t="s">
        <v>1496</v>
      </c>
      <c r="K243" s="263">
        <v>8</v>
      </c>
      <c r="L243" s="4"/>
      <c r="M243" s="6" t="s">
        <v>1511</v>
      </c>
      <c r="N243" s="263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1463</v>
      </c>
      <c r="B244" s="264">
        <v>8.5</v>
      </c>
      <c r="C244" s="4"/>
      <c r="D244" s="6" t="s">
        <v>1475</v>
      </c>
      <c r="E244" s="263">
        <v>9.5</v>
      </c>
      <c r="F244" s="4"/>
      <c r="G244" s="9" t="s">
        <v>1452</v>
      </c>
      <c r="H244" s="264">
        <v>8.5</v>
      </c>
      <c r="I244" s="4"/>
      <c r="J244" s="6" t="s">
        <v>1497</v>
      </c>
      <c r="K244" s="263">
        <v>9</v>
      </c>
      <c r="L244" s="4"/>
      <c r="M244" s="6" t="s">
        <v>1512</v>
      </c>
      <c r="N244" s="263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1476</v>
      </c>
      <c r="E245" s="263">
        <v>8</v>
      </c>
      <c r="F245" s="4"/>
      <c r="G245" s="21"/>
      <c r="H245" s="21"/>
      <c r="I245" s="4"/>
      <c r="J245" s="6" t="s">
        <v>1498</v>
      </c>
      <c r="K245" s="263">
        <v>8.5</v>
      </c>
      <c r="L245" s="4"/>
      <c r="M245" s="6" t="s">
        <v>1513</v>
      </c>
      <c r="N245" s="263">
        <v>9</v>
      </c>
      <c r="O245" s="4"/>
      <c r="V245"/>
      <c r="W245"/>
      <c r="X245"/>
      <c r="Y245"/>
      <c r="Z245"/>
    </row>
    <row r="246" spans="1:26" ht="16.05" customHeight="1" thickBot="1">
      <c r="A246" s="171" t="s">
        <v>1548</v>
      </c>
      <c r="B246" s="14">
        <f>ROUND(SUM(B247:B258)/COUNT(B247:B258), 2)</f>
        <v>8.82</v>
      </c>
      <c r="C246" s="4"/>
      <c r="D246" s="6" t="s">
        <v>1477</v>
      </c>
      <c r="E246" s="263">
        <v>8</v>
      </c>
      <c r="F246" s="4"/>
      <c r="G246" s="170" t="s">
        <v>1530</v>
      </c>
      <c r="H246" s="3">
        <f>ROUND(SUM(H247:H256)/COUNT(H247:H256), 2)</f>
        <v>8.75</v>
      </c>
      <c r="I246" s="4"/>
      <c r="J246" s="6" t="s">
        <v>1499</v>
      </c>
      <c r="K246" s="263">
        <v>8</v>
      </c>
      <c r="L246" s="4"/>
      <c r="M246" s="6" t="s">
        <v>1514</v>
      </c>
      <c r="N246" s="263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1536</v>
      </c>
      <c r="B247" s="262">
        <v>9.5</v>
      </c>
      <c r="C247" s="4"/>
      <c r="D247" s="6" t="s">
        <v>1478</v>
      </c>
      <c r="E247" s="263">
        <v>8.5</v>
      </c>
      <c r="F247" s="4"/>
      <c r="G247" s="6" t="s">
        <v>1521</v>
      </c>
      <c r="H247" s="263">
        <v>10</v>
      </c>
      <c r="I247" s="4"/>
      <c r="J247" s="6" t="s">
        <v>1500</v>
      </c>
      <c r="K247" s="263">
        <v>8</v>
      </c>
      <c r="L247" s="4"/>
      <c r="M247" s="9" t="s">
        <v>1515</v>
      </c>
      <c r="N247" s="264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1537</v>
      </c>
      <c r="B248" s="263">
        <v>8.5</v>
      </c>
      <c r="C248" s="4"/>
      <c r="D248" s="6" t="s">
        <v>1479</v>
      </c>
      <c r="E248" s="263">
        <v>10</v>
      </c>
      <c r="F248" s="4"/>
      <c r="G248" s="6" t="s">
        <v>1522</v>
      </c>
      <c r="H248" s="263">
        <v>9</v>
      </c>
      <c r="I248" s="4"/>
      <c r="J248" s="6" t="s">
        <v>1501</v>
      </c>
      <c r="K248" s="263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1538</v>
      </c>
      <c r="B249" s="263">
        <v>8.5</v>
      </c>
      <c r="C249" s="4"/>
      <c r="D249" s="6" t="s">
        <v>1480</v>
      </c>
      <c r="E249" s="263">
        <v>8.5</v>
      </c>
      <c r="F249" s="4"/>
      <c r="G249" s="6" t="s">
        <v>15</v>
      </c>
      <c r="H249" s="263">
        <v>10</v>
      </c>
      <c r="I249" s="4"/>
      <c r="J249" s="6" t="s">
        <v>1502</v>
      </c>
      <c r="K249" s="263">
        <v>8.5</v>
      </c>
      <c r="L249" s="4"/>
      <c r="M249" s="273" t="s">
        <v>1553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1539</v>
      </c>
      <c r="B250" s="263"/>
      <c r="C250" s="4"/>
      <c r="D250" s="6" t="s">
        <v>1481</v>
      </c>
      <c r="E250" s="263">
        <v>9</v>
      </c>
      <c r="F250" s="4"/>
      <c r="G250" s="6" t="s">
        <v>1523</v>
      </c>
      <c r="H250" s="263">
        <v>9</v>
      </c>
      <c r="I250" s="4"/>
      <c r="J250" s="9" t="s">
        <v>1503</v>
      </c>
      <c r="K250" s="264">
        <v>8</v>
      </c>
      <c r="L250" s="4"/>
      <c r="M250" s="13" t="s">
        <v>1552</v>
      </c>
      <c r="N250" s="262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1540</v>
      </c>
      <c r="B251" s="263">
        <v>8</v>
      </c>
      <c r="C251" s="4"/>
      <c r="D251" s="6" t="s">
        <v>1482</v>
      </c>
      <c r="E251" s="263">
        <v>8.5</v>
      </c>
      <c r="F251" s="4"/>
      <c r="G251" s="6" t="s">
        <v>1524</v>
      </c>
      <c r="H251" s="263">
        <v>8.5</v>
      </c>
      <c r="I251" s="4"/>
      <c r="J251" s="4"/>
      <c r="K251" s="4"/>
      <c r="L251" s="4"/>
      <c r="M251" s="6" t="s">
        <v>1554</v>
      </c>
      <c r="N251" s="263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1541</v>
      </c>
      <c r="B252" s="263">
        <v>10</v>
      </c>
      <c r="C252" s="4"/>
      <c r="D252" s="9" t="s">
        <v>1483</v>
      </c>
      <c r="E252" s="264">
        <v>8</v>
      </c>
      <c r="F252" s="4"/>
      <c r="G252" s="6" t="s">
        <v>1525</v>
      </c>
      <c r="H252" s="263">
        <v>8</v>
      </c>
      <c r="I252" s="4"/>
      <c r="J252" s="173" t="s">
        <v>1593</v>
      </c>
      <c r="K252" s="3">
        <f>ROUND(SUM(K253:K262)/COUNT(K253:K262), 2)</f>
        <v>8</v>
      </c>
      <c r="L252" s="4"/>
      <c r="M252" s="6" t="s">
        <v>1555</v>
      </c>
      <c r="N252" s="263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1542</v>
      </c>
      <c r="B253" s="263">
        <v>10.5</v>
      </c>
      <c r="C253" s="4"/>
      <c r="D253" s="4"/>
      <c r="E253" s="4"/>
      <c r="F253" s="4"/>
      <c r="G253" s="6" t="s">
        <v>1526</v>
      </c>
      <c r="H253" s="263">
        <v>9</v>
      </c>
      <c r="I253" s="4"/>
      <c r="J253" s="13" t="s">
        <v>1583</v>
      </c>
      <c r="K253" s="262">
        <v>8.5</v>
      </c>
      <c r="L253" s="4"/>
      <c r="M253" s="6" t="s">
        <v>1556</v>
      </c>
      <c r="N253" s="263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1543</v>
      </c>
      <c r="B254" s="263">
        <v>9</v>
      </c>
      <c r="C254" s="4"/>
      <c r="D254" s="174" t="s">
        <v>1599</v>
      </c>
      <c r="E254" s="3">
        <f>ROUND(SUM(E255:E264)/COUNT(E255:E264), 2)</f>
        <v>8.44</v>
      </c>
      <c r="F254" s="4"/>
      <c r="G254" s="6" t="s">
        <v>1527</v>
      </c>
      <c r="H254" s="263">
        <v>8</v>
      </c>
      <c r="I254" s="4"/>
      <c r="J254" s="6" t="s">
        <v>1584</v>
      </c>
      <c r="K254" s="263">
        <v>7.5</v>
      </c>
      <c r="L254" s="4"/>
      <c r="M254" s="6" t="s">
        <v>1557</v>
      </c>
      <c r="N254" s="263">
        <v>10.5</v>
      </c>
      <c r="O254" s="4"/>
      <c r="V254"/>
      <c r="W254"/>
      <c r="X254"/>
      <c r="Y254"/>
      <c r="Z254"/>
    </row>
    <row r="255" spans="1:26" ht="16.05" customHeight="1">
      <c r="A255" s="6" t="s">
        <v>1544</v>
      </c>
      <c r="B255" s="263">
        <v>8</v>
      </c>
      <c r="C255" s="4"/>
      <c r="D255" s="13" t="s">
        <v>1600</v>
      </c>
      <c r="E255" s="262">
        <v>8.5</v>
      </c>
      <c r="F255" s="4"/>
      <c r="G255" s="6" t="s">
        <v>1528</v>
      </c>
      <c r="H255" s="263">
        <v>8</v>
      </c>
      <c r="I255" s="4"/>
      <c r="J255" s="6" t="s">
        <v>1585</v>
      </c>
      <c r="K255" s="263">
        <v>9.5</v>
      </c>
      <c r="L255" s="4"/>
      <c r="M255" s="6" t="s">
        <v>1558</v>
      </c>
      <c r="N255" s="263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1545</v>
      </c>
      <c r="B256" s="263">
        <v>8</v>
      </c>
      <c r="C256" s="4"/>
      <c r="D256" s="6" t="s">
        <v>1601</v>
      </c>
      <c r="E256" s="263">
        <v>10</v>
      </c>
      <c r="F256" s="4"/>
      <c r="G256" s="9" t="s">
        <v>1529</v>
      </c>
      <c r="H256" s="264">
        <v>8</v>
      </c>
      <c r="I256" s="4"/>
      <c r="J256" s="6" t="s">
        <v>1586</v>
      </c>
      <c r="K256" s="263">
        <v>7.5</v>
      </c>
      <c r="L256" s="4"/>
      <c r="M256" s="6" t="s">
        <v>9</v>
      </c>
      <c r="N256" s="263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1546</v>
      </c>
      <c r="B257" s="263">
        <v>8.5</v>
      </c>
      <c r="C257" s="4"/>
      <c r="D257" s="6" t="s">
        <v>1602</v>
      </c>
      <c r="E257" s="263">
        <v>9.5</v>
      </c>
      <c r="F257" s="4"/>
      <c r="G257" s="4"/>
      <c r="H257" s="4"/>
      <c r="I257" s="4"/>
      <c r="J257" s="6" t="s">
        <v>1587</v>
      </c>
      <c r="K257" s="263">
        <v>9</v>
      </c>
      <c r="L257" s="4"/>
      <c r="M257" s="6" t="s">
        <v>1559</v>
      </c>
      <c r="N257" s="263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1547</v>
      </c>
      <c r="B258" s="264">
        <v>8.5</v>
      </c>
      <c r="C258" s="4"/>
      <c r="D258" s="6" t="s">
        <v>1603</v>
      </c>
      <c r="E258" s="263">
        <v>10</v>
      </c>
      <c r="F258" s="4"/>
      <c r="G258" s="191" t="s">
        <v>1614</v>
      </c>
      <c r="H258" s="14">
        <f>ROUND(SUM(H259:H263)/COUNT(H259:H263), 2)</f>
        <v>8.9</v>
      </c>
      <c r="I258" s="4"/>
      <c r="J258" s="6" t="s">
        <v>1588</v>
      </c>
      <c r="K258" s="263">
        <v>6.5</v>
      </c>
      <c r="L258" s="4"/>
      <c r="M258" s="6" t="s">
        <v>1560</v>
      </c>
      <c r="N258" s="263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1604</v>
      </c>
      <c r="E259" s="263"/>
      <c r="F259" s="4"/>
      <c r="G259" s="13" t="s">
        <v>1615</v>
      </c>
      <c r="H259" s="262">
        <v>9</v>
      </c>
      <c r="I259" s="4"/>
      <c r="J259" s="6" t="s">
        <v>1589</v>
      </c>
      <c r="K259" s="263"/>
      <c r="L259" s="4"/>
      <c r="M259" s="6" t="s">
        <v>1561</v>
      </c>
      <c r="N259" s="263">
        <v>9</v>
      </c>
      <c r="O259" s="4"/>
      <c r="V259"/>
      <c r="W259"/>
      <c r="X259"/>
      <c r="Y259"/>
      <c r="Z259"/>
    </row>
    <row r="260" spans="1:26" ht="16.05" customHeight="1" thickBot="1">
      <c r="A260" s="192" t="s">
        <v>1623</v>
      </c>
      <c r="B260" s="3">
        <f>ROUND(SUM(B261:B270)/COUNT(B261:B270), 2)</f>
        <v>8.75</v>
      </c>
      <c r="C260" s="4"/>
      <c r="D260" s="6" t="s">
        <v>1605</v>
      </c>
      <c r="E260" s="263">
        <v>8</v>
      </c>
      <c r="F260" s="4"/>
      <c r="G260" s="6" t="s">
        <v>1616</v>
      </c>
      <c r="H260" s="263">
        <v>8.5</v>
      </c>
      <c r="I260" s="4"/>
      <c r="J260" s="6" t="s">
        <v>1590</v>
      </c>
      <c r="K260" s="263">
        <v>7.5</v>
      </c>
      <c r="L260" s="4"/>
      <c r="M260" s="6" t="s">
        <v>1562</v>
      </c>
      <c r="N260" s="263">
        <v>8.5</v>
      </c>
      <c r="O260" s="4"/>
      <c r="V260"/>
      <c r="W260"/>
      <c r="X260"/>
      <c r="Y260"/>
      <c r="Z260"/>
    </row>
    <row r="261" spans="1:26" ht="16.05" customHeight="1">
      <c r="A261" s="6" t="s">
        <v>1624</v>
      </c>
      <c r="B261" s="263">
        <v>8</v>
      </c>
      <c r="C261" s="4"/>
      <c r="D261" s="6" t="s">
        <v>1606</v>
      </c>
      <c r="E261" s="263">
        <v>9</v>
      </c>
      <c r="F261" s="4"/>
      <c r="G261" s="6" t="s">
        <v>1617</v>
      </c>
      <c r="H261" s="263">
        <v>9</v>
      </c>
      <c r="I261" s="4"/>
      <c r="J261" s="6" t="s">
        <v>1591</v>
      </c>
      <c r="K261" s="263">
        <v>8.5</v>
      </c>
      <c r="L261" s="4"/>
      <c r="M261" s="6" t="s">
        <v>1563</v>
      </c>
      <c r="N261" s="263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1625</v>
      </c>
      <c r="B262" s="263">
        <v>9.5</v>
      </c>
      <c r="C262" s="4"/>
      <c r="D262" s="6" t="s">
        <v>1607</v>
      </c>
      <c r="E262" s="263">
        <v>8</v>
      </c>
      <c r="F262" s="4"/>
      <c r="G262" s="6" t="s">
        <v>1618</v>
      </c>
      <c r="H262" s="263">
        <v>8</v>
      </c>
      <c r="I262" s="4"/>
      <c r="J262" s="9" t="s">
        <v>1592</v>
      </c>
      <c r="K262" s="264">
        <v>7.5</v>
      </c>
      <c r="L262" s="4"/>
      <c r="M262" s="6" t="s">
        <v>1564</v>
      </c>
      <c r="N262" s="263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1626</v>
      </c>
      <c r="B263" s="263">
        <v>10</v>
      </c>
      <c r="C263" s="4"/>
      <c r="D263" s="6" t="s">
        <v>1608</v>
      </c>
      <c r="E263" s="263">
        <v>7</v>
      </c>
      <c r="F263" s="4"/>
      <c r="G263" s="9" t="s">
        <v>1619</v>
      </c>
      <c r="H263" s="264">
        <v>10</v>
      </c>
      <c r="I263" s="4"/>
      <c r="J263" s="4"/>
      <c r="K263" s="4"/>
      <c r="L263" s="4"/>
      <c r="M263" s="6" t="s">
        <v>1565</v>
      </c>
      <c r="N263" s="263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1627</v>
      </c>
      <c r="B264" s="263">
        <v>9.5</v>
      </c>
      <c r="C264" s="4"/>
      <c r="D264" s="9" t="s">
        <v>1609</v>
      </c>
      <c r="E264" s="264">
        <v>6</v>
      </c>
      <c r="F264" s="4"/>
      <c r="G264" s="4"/>
      <c r="H264" s="4"/>
      <c r="I264" s="4"/>
      <c r="J264" s="193" t="s">
        <v>1639</v>
      </c>
      <c r="K264" s="3">
        <f>ROUND(SUM(K265:K274)/COUNT(K265:K274), 2)</f>
        <v>8.94</v>
      </c>
      <c r="L264" s="4"/>
      <c r="M264" s="6" t="s">
        <v>1566</v>
      </c>
      <c r="N264" s="263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1628</v>
      </c>
      <c r="B265" s="263">
        <v>8</v>
      </c>
      <c r="C265" s="4"/>
      <c r="D265" s="4"/>
      <c r="E265" s="4"/>
      <c r="F265" s="4"/>
      <c r="G265" s="195" t="s">
        <v>1674</v>
      </c>
      <c r="H265" s="14">
        <f>ROUND(SUM(H266:H274)/COUNT(H266:H274), 2)</f>
        <v>8.75</v>
      </c>
      <c r="I265" s="4"/>
      <c r="J265" s="13" t="s">
        <v>1640</v>
      </c>
      <c r="K265" s="262">
        <v>8</v>
      </c>
      <c r="L265" s="4"/>
      <c r="M265" s="6" t="s">
        <v>1567</v>
      </c>
      <c r="N265" s="263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1629</v>
      </c>
      <c r="B266" s="263">
        <v>8.5</v>
      </c>
      <c r="C266" s="4"/>
      <c r="D266" s="194" t="s">
        <v>1650</v>
      </c>
      <c r="E266" s="14">
        <f>ROUND(SUM(E267:E276)/COUNT(E267:E276), 2)</f>
        <v>8.6</v>
      </c>
      <c r="F266" s="4"/>
      <c r="G266" s="13" t="s">
        <v>1665</v>
      </c>
      <c r="H266" s="262">
        <v>8.5</v>
      </c>
      <c r="I266" s="4"/>
      <c r="J266" s="6" t="s">
        <v>1641</v>
      </c>
      <c r="K266" s="263">
        <v>8.5</v>
      </c>
      <c r="L266" s="4"/>
      <c r="M266" s="6" t="s">
        <v>1568</v>
      </c>
      <c r="N266" s="263">
        <v>8</v>
      </c>
      <c r="O266" s="4"/>
      <c r="V266"/>
      <c r="W266"/>
      <c r="X266"/>
      <c r="Y266"/>
      <c r="Z266"/>
    </row>
    <row r="267" spans="1:26" ht="16.05" customHeight="1">
      <c r="A267" s="6" t="s">
        <v>1630</v>
      </c>
      <c r="B267" s="263">
        <v>8.5</v>
      </c>
      <c r="C267" s="4"/>
      <c r="D267" s="13" t="s">
        <v>1651</v>
      </c>
      <c r="E267" s="262">
        <v>9.5</v>
      </c>
      <c r="F267" s="4"/>
      <c r="G267" s="6" t="s">
        <v>1666</v>
      </c>
      <c r="H267" s="263">
        <v>10</v>
      </c>
      <c r="I267" s="4"/>
      <c r="J267" s="6" t="s">
        <v>1642</v>
      </c>
      <c r="K267" s="263">
        <v>8.5</v>
      </c>
      <c r="L267" s="4"/>
      <c r="M267" s="6" t="s">
        <v>1569</v>
      </c>
      <c r="N267" s="263">
        <v>7.5</v>
      </c>
      <c r="O267" s="4"/>
      <c r="V267"/>
      <c r="W267"/>
      <c r="X267"/>
      <c r="Y267"/>
      <c r="Z267"/>
    </row>
    <row r="268" spans="1:26" ht="16.05" customHeight="1">
      <c r="A268" s="6" t="s">
        <v>1631</v>
      </c>
      <c r="B268" s="263">
        <v>8</v>
      </c>
      <c r="C268" s="4"/>
      <c r="D268" s="6" t="s">
        <v>1652</v>
      </c>
      <c r="E268" s="263">
        <v>8.5</v>
      </c>
      <c r="F268" s="4"/>
      <c r="G268" s="6" t="s">
        <v>1673</v>
      </c>
      <c r="H268" s="263">
        <v>9</v>
      </c>
      <c r="I268" s="4"/>
      <c r="J268" s="6" t="s">
        <v>1643</v>
      </c>
      <c r="K268" s="263">
        <v>9</v>
      </c>
      <c r="L268" s="4"/>
      <c r="M268" s="6" t="s">
        <v>1570</v>
      </c>
      <c r="N268" s="263">
        <v>8</v>
      </c>
      <c r="O268" s="4"/>
      <c r="V268"/>
      <c r="W268"/>
      <c r="X268"/>
      <c r="Y268"/>
      <c r="Z268"/>
    </row>
    <row r="269" spans="1:26" ht="16.05" customHeight="1">
      <c r="A269" s="6" t="s">
        <v>1632</v>
      </c>
      <c r="B269" s="263">
        <v>7.5</v>
      </c>
      <c r="C269" s="4"/>
      <c r="D269" s="6" t="s">
        <v>1653</v>
      </c>
      <c r="E269" s="263">
        <v>8.5</v>
      </c>
      <c r="F269" s="4"/>
      <c r="G269" s="6" t="s">
        <v>1667</v>
      </c>
      <c r="H269" s="263">
        <v>8.5</v>
      </c>
      <c r="I269" s="4"/>
      <c r="J269" s="6" t="s">
        <v>1644</v>
      </c>
      <c r="K269" s="263">
        <v>10</v>
      </c>
      <c r="L269" s="4"/>
      <c r="M269" s="6" t="s">
        <v>1571</v>
      </c>
      <c r="N269" s="263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1633</v>
      </c>
      <c r="B270" s="264">
        <v>10</v>
      </c>
      <c r="C270" s="4"/>
      <c r="D270" s="6" t="s">
        <v>1654</v>
      </c>
      <c r="E270" s="263">
        <v>8</v>
      </c>
      <c r="F270" s="4"/>
      <c r="G270" s="6" t="s">
        <v>1668</v>
      </c>
      <c r="H270" s="263">
        <v>8.5</v>
      </c>
      <c r="I270" s="4"/>
      <c r="J270" s="6" t="s">
        <v>1645</v>
      </c>
      <c r="K270" s="263">
        <v>10.5</v>
      </c>
      <c r="L270" s="4"/>
      <c r="M270" s="6" t="s">
        <v>1572</v>
      </c>
      <c r="N270" s="263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1655</v>
      </c>
      <c r="E271" s="263">
        <v>7.5</v>
      </c>
      <c r="F271" s="4"/>
      <c r="G271" s="6" t="s">
        <v>1669</v>
      </c>
      <c r="H271" s="263"/>
      <c r="I271" s="4"/>
      <c r="J271" s="6" t="s">
        <v>1646</v>
      </c>
      <c r="K271" s="263"/>
      <c r="L271" s="4"/>
      <c r="M271" s="6" t="s">
        <v>1573</v>
      </c>
      <c r="N271" s="263">
        <v>7.5</v>
      </c>
      <c r="O271" s="4"/>
      <c r="V271"/>
      <c r="W271"/>
      <c r="X271"/>
      <c r="Y271"/>
      <c r="Z271"/>
    </row>
    <row r="272" spans="1:26" ht="16.05" customHeight="1" thickBot="1">
      <c r="A272" s="197" t="s">
        <v>1681</v>
      </c>
      <c r="B272" s="14">
        <f>ROUND(SUM(B273:B277)/COUNT(B273:B277), 2)</f>
        <v>8.4</v>
      </c>
      <c r="C272" s="4"/>
      <c r="D272" s="6" t="s">
        <v>1656</v>
      </c>
      <c r="E272" s="263">
        <v>9.5</v>
      </c>
      <c r="F272" s="4"/>
      <c r="G272" s="6" t="s">
        <v>1670</v>
      </c>
      <c r="H272" s="263">
        <v>8.5</v>
      </c>
      <c r="I272" s="4"/>
      <c r="J272" s="6" t="s">
        <v>1647</v>
      </c>
      <c r="K272" s="263">
        <v>9</v>
      </c>
      <c r="L272" s="4"/>
      <c r="M272" s="6" t="s">
        <v>1574</v>
      </c>
      <c r="N272" s="263">
        <v>9</v>
      </c>
      <c r="O272" s="4"/>
      <c r="V272"/>
      <c r="W272"/>
      <c r="X272"/>
      <c r="Y272"/>
      <c r="Z272"/>
    </row>
    <row r="273" spans="1:26" ht="16.05" customHeight="1">
      <c r="A273" s="6" t="s">
        <v>1682</v>
      </c>
      <c r="B273" s="263">
        <v>8.5</v>
      </c>
      <c r="C273" s="4"/>
      <c r="D273" s="6" t="s">
        <v>1657</v>
      </c>
      <c r="E273" s="263">
        <v>10</v>
      </c>
      <c r="F273" s="4"/>
      <c r="G273" s="6" t="s">
        <v>1671</v>
      </c>
      <c r="H273" s="263">
        <v>9</v>
      </c>
      <c r="I273" s="4"/>
      <c r="J273" s="6" t="s">
        <v>1648</v>
      </c>
      <c r="K273" s="263">
        <v>8.5</v>
      </c>
      <c r="L273" s="4"/>
      <c r="M273" s="6" t="s">
        <v>1575</v>
      </c>
      <c r="N273" s="263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1683</v>
      </c>
      <c r="B274" s="263">
        <v>9</v>
      </c>
      <c r="C274" s="4"/>
      <c r="D274" s="6" t="s">
        <v>1658</v>
      </c>
      <c r="E274" s="263">
        <v>8</v>
      </c>
      <c r="F274" s="4"/>
      <c r="G274" s="9" t="s">
        <v>1672</v>
      </c>
      <c r="H274" s="264">
        <v>8</v>
      </c>
      <c r="I274" s="4"/>
      <c r="J274" s="9" t="s">
        <v>1649</v>
      </c>
      <c r="K274" s="264">
        <v>8.5</v>
      </c>
      <c r="L274" s="4"/>
      <c r="M274" s="6" t="s">
        <v>1576</v>
      </c>
      <c r="N274" s="263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1684</v>
      </c>
      <c r="B275" s="263">
        <v>8.5</v>
      </c>
      <c r="C275" s="4"/>
      <c r="D275" s="6" t="s">
        <v>1659</v>
      </c>
      <c r="E275" s="263">
        <v>7.5</v>
      </c>
      <c r="F275" s="4"/>
      <c r="G275" s="4"/>
      <c r="H275" s="4"/>
      <c r="I275" s="4"/>
      <c r="J275" s="4"/>
      <c r="K275" s="4"/>
      <c r="L275" s="4"/>
      <c r="M275" s="9" t="s">
        <v>1577</v>
      </c>
      <c r="N275" s="264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1685</v>
      </c>
      <c r="B276" s="263">
        <v>8</v>
      </c>
      <c r="C276" s="4"/>
      <c r="D276" s="9" t="s">
        <v>1660</v>
      </c>
      <c r="E276" s="264">
        <v>9</v>
      </c>
      <c r="F276" s="4"/>
      <c r="G276" s="199" t="s">
        <v>1691</v>
      </c>
      <c r="H276" s="3">
        <f>ROUND(SUM(H277:H286)/COUNT(H277:H286), 2)</f>
        <v>8.85</v>
      </c>
      <c r="I276" s="4"/>
      <c r="J276" s="200" t="s">
        <v>1715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1686</v>
      </c>
      <c r="B277" s="264">
        <v>8</v>
      </c>
      <c r="C277" s="4"/>
      <c r="D277" s="4"/>
      <c r="E277" s="4"/>
      <c r="F277" s="4"/>
      <c r="G277" s="13" t="s">
        <v>1692</v>
      </c>
      <c r="H277" s="262">
        <v>9.5</v>
      </c>
      <c r="I277" s="4"/>
      <c r="J277" s="13" t="s">
        <v>1705</v>
      </c>
      <c r="K277" s="262">
        <v>8.5</v>
      </c>
      <c r="L277" s="4"/>
      <c r="M277" s="250" t="s">
        <v>1728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1" t="s">
        <v>1716</v>
      </c>
      <c r="E278" s="14">
        <f>ROUND(SUM(E279:E286)/COUNT(E279:E286), 2)</f>
        <v>8.81</v>
      </c>
      <c r="F278" s="4"/>
      <c r="G278" s="6" t="s">
        <v>1693</v>
      </c>
      <c r="H278" s="263">
        <v>9</v>
      </c>
      <c r="I278" s="4"/>
      <c r="J278" s="6" t="s">
        <v>1706</v>
      </c>
      <c r="K278" s="263">
        <v>9</v>
      </c>
      <c r="L278" s="4"/>
      <c r="M278" s="6" t="s">
        <v>1729</v>
      </c>
      <c r="N278" s="263">
        <v>8</v>
      </c>
      <c r="O278" s="4"/>
      <c r="V278"/>
      <c r="W278"/>
      <c r="X278"/>
      <c r="Y278"/>
      <c r="Z278"/>
    </row>
    <row r="279" spans="1:26" ht="16.05" customHeight="1" thickBot="1">
      <c r="A279" s="251" t="s">
        <v>1735</v>
      </c>
      <c r="B279" s="14">
        <f>ROUND(SUM(B280:B307)/COUNT(B280:B307), 2)</f>
        <v>8.57</v>
      </c>
      <c r="C279" s="4"/>
      <c r="D279" s="13" t="s">
        <v>1717</v>
      </c>
      <c r="E279" s="262">
        <v>8</v>
      </c>
      <c r="F279" s="4"/>
      <c r="G279" s="6" t="s">
        <v>1694</v>
      </c>
      <c r="H279" s="263">
        <v>10</v>
      </c>
      <c r="I279" s="4"/>
      <c r="J279" s="6" t="s">
        <v>1707</v>
      </c>
      <c r="K279" s="263"/>
      <c r="L279" s="4"/>
      <c r="M279" s="6" t="s">
        <v>1730</v>
      </c>
      <c r="N279" s="263">
        <v>7.5</v>
      </c>
      <c r="O279" s="4"/>
      <c r="V279"/>
      <c r="W279"/>
      <c r="X279"/>
      <c r="Y279"/>
      <c r="Z279"/>
    </row>
    <row r="280" spans="1:26" ht="16.05" customHeight="1">
      <c r="A280" s="13" t="s">
        <v>1736</v>
      </c>
      <c r="B280" s="262"/>
      <c r="C280" s="4"/>
      <c r="D280" s="6" t="s">
        <v>1718</v>
      </c>
      <c r="E280" s="263">
        <v>8.5</v>
      </c>
      <c r="F280" s="4"/>
      <c r="G280" s="6" t="s">
        <v>1695</v>
      </c>
      <c r="H280" s="263">
        <v>8.5</v>
      </c>
      <c r="I280" s="4"/>
      <c r="J280" s="6" t="s">
        <v>1708</v>
      </c>
      <c r="K280" s="263">
        <v>8.5</v>
      </c>
      <c r="L280" s="4"/>
      <c r="M280" s="6" t="s">
        <v>1731</v>
      </c>
      <c r="N280" s="263">
        <v>8</v>
      </c>
      <c r="O280" s="4"/>
      <c r="V280"/>
      <c r="W280"/>
      <c r="X280"/>
      <c r="Y280"/>
      <c r="Z280"/>
    </row>
    <row r="281" spans="1:26" ht="16.05" customHeight="1">
      <c r="A281" s="6" t="s">
        <v>1737</v>
      </c>
      <c r="B281" s="263">
        <v>10</v>
      </c>
      <c r="C281" s="4"/>
      <c r="D281" s="6" t="s">
        <v>1719</v>
      </c>
      <c r="E281" s="263">
        <v>8</v>
      </c>
      <c r="F281" s="4"/>
      <c r="G281" s="6" t="s">
        <v>1696</v>
      </c>
      <c r="H281" s="263">
        <v>8</v>
      </c>
      <c r="I281" s="4"/>
      <c r="J281" s="6" t="s">
        <v>1709</v>
      </c>
      <c r="K281" s="263">
        <v>10</v>
      </c>
      <c r="L281" s="4"/>
      <c r="M281" s="6" t="s">
        <v>1732</v>
      </c>
      <c r="N281" s="263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1738</v>
      </c>
      <c r="B282" s="263">
        <v>8</v>
      </c>
      <c r="C282" s="4"/>
      <c r="D282" s="6" t="s">
        <v>1720</v>
      </c>
      <c r="E282" s="263">
        <v>8.5</v>
      </c>
      <c r="F282" s="4"/>
      <c r="G282" s="6" t="s">
        <v>1697</v>
      </c>
      <c r="H282" s="263">
        <v>8.5</v>
      </c>
      <c r="I282" s="4"/>
      <c r="J282" s="6" t="s">
        <v>1710</v>
      </c>
      <c r="K282" s="263">
        <v>8</v>
      </c>
      <c r="L282" s="4"/>
      <c r="M282" s="9" t="s">
        <v>1733</v>
      </c>
      <c r="N282" s="264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1739</v>
      </c>
      <c r="B283" s="263">
        <v>9.5</v>
      </c>
      <c r="C283" s="4"/>
      <c r="D283" s="6" t="s">
        <v>1721</v>
      </c>
      <c r="E283" s="263">
        <v>10</v>
      </c>
      <c r="F283" s="4"/>
      <c r="G283" s="6" t="s">
        <v>1698</v>
      </c>
      <c r="H283" s="263">
        <v>8.5</v>
      </c>
      <c r="I283" s="4"/>
      <c r="J283" s="6" t="s">
        <v>1711</v>
      </c>
      <c r="K283" s="263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1740</v>
      </c>
      <c r="B284" s="263">
        <v>8</v>
      </c>
      <c r="C284" s="4"/>
      <c r="D284" s="6" t="s">
        <v>1722</v>
      </c>
      <c r="E284" s="263">
        <v>9.5</v>
      </c>
      <c r="F284" s="4"/>
      <c r="G284" s="6" t="s">
        <v>1699</v>
      </c>
      <c r="H284" s="263">
        <v>9</v>
      </c>
      <c r="I284" s="4"/>
      <c r="J284" s="9" t="s">
        <v>1712</v>
      </c>
      <c r="K284" s="264">
        <v>8</v>
      </c>
      <c r="L284" s="4"/>
      <c r="M284" s="261" t="s">
        <v>1764</v>
      </c>
      <c r="N284" s="253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1741</v>
      </c>
      <c r="B285" s="263">
        <v>10</v>
      </c>
      <c r="C285" s="4"/>
      <c r="D285" s="6" t="s">
        <v>1723</v>
      </c>
      <c r="E285" s="263">
        <v>8</v>
      </c>
      <c r="F285" s="4"/>
      <c r="G285" s="6" t="s">
        <v>1700</v>
      </c>
      <c r="H285" s="263">
        <v>8.5</v>
      </c>
      <c r="I285" s="4"/>
      <c r="J285" s="4"/>
      <c r="K285" s="4"/>
      <c r="L285" s="4"/>
      <c r="M285" s="13" t="s">
        <v>1765</v>
      </c>
      <c r="N285" s="262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1742</v>
      </c>
      <c r="B286" s="263">
        <v>9</v>
      </c>
      <c r="C286" s="4"/>
      <c r="D286" s="9" t="s">
        <v>1724</v>
      </c>
      <c r="E286" s="264">
        <v>10</v>
      </c>
      <c r="F286" s="4"/>
      <c r="G286" s="9" t="s">
        <v>1701</v>
      </c>
      <c r="H286" s="264">
        <v>9</v>
      </c>
      <c r="I286" s="4"/>
      <c r="J286" s="254" t="s">
        <v>1788</v>
      </c>
      <c r="K286" s="3">
        <f>ROUND(SUM(K287:K294)/COUNT(K287:K294), 2)</f>
        <v>8.06</v>
      </c>
      <c r="L286" s="4"/>
      <c r="M286" s="6" t="s">
        <v>1766</v>
      </c>
      <c r="N286" s="263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1743</v>
      </c>
      <c r="B287" s="263">
        <v>8.5</v>
      </c>
      <c r="C287" s="4"/>
      <c r="D287" s="4"/>
      <c r="E287" s="4"/>
      <c r="F287" s="4"/>
      <c r="G287" s="4"/>
      <c r="H287" s="4"/>
      <c r="I287" s="4"/>
      <c r="J287" s="6" t="s">
        <v>1780</v>
      </c>
      <c r="K287" s="263">
        <v>9</v>
      </c>
      <c r="L287" s="4"/>
      <c r="M287" s="6" t="s">
        <v>1767</v>
      </c>
      <c r="N287" s="263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1744</v>
      </c>
      <c r="B288" s="263">
        <v>7.5</v>
      </c>
      <c r="C288" s="4"/>
      <c r="D288" s="255" t="s">
        <v>1790</v>
      </c>
      <c r="E288" s="14">
        <f>ROUND(SUM(E289:E297)/COUNT(E289:E297), 2)</f>
        <v>8.5</v>
      </c>
      <c r="F288" s="4"/>
      <c r="G288" s="260" t="s">
        <v>1802</v>
      </c>
      <c r="H288" s="14">
        <f>ROUND(SUM(H289:H294)/COUNT(H289:H294), 2)</f>
        <v>8.83</v>
      </c>
      <c r="I288" s="4"/>
      <c r="J288" s="6" t="s">
        <v>1781</v>
      </c>
      <c r="K288" s="263">
        <v>9</v>
      </c>
      <c r="L288" s="4"/>
      <c r="M288" s="6" t="s">
        <v>1768</v>
      </c>
      <c r="N288" s="263">
        <v>8.5</v>
      </c>
      <c r="O288" s="4"/>
      <c r="V288"/>
      <c r="W288"/>
      <c r="X288"/>
      <c r="Y288"/>
      <c r="Z288"/>
    </row>
    <row r="289" spans="1:26" ht="16.05" customHeight="1">
      <c r="A289" s="6" t="s">
        <v>1745</v>
      </c>
      <c r="B289" s="263">
        <v>8.5</v>
      </c>
      <c r="C289" s="4"/>
      <c r="D289" s="13" t="s">
        <v>1791</v>
      </c>
      <c r="E289" s="262">
        <v>8</v>
      </c>
      <c r="F289" s="4"/>
      <c r="G289" s="13" t="s">
        <v>1803</v>
      </c>
      <c r="H289" s="262">
        <v>9</v>
      </c>
      <c r="I289" s="4"/>
      <c r="J289" s="6" t="s">
        <v>1782</v>
      </c>
      <c r="K289" s="263">
        <v>8</v>
      </c>
      <c r="L289" s="4"/>
      <c r="M289" s="6" t="s">
        <v>1769</v>
      </c>
      <c r="N289" s="263">
        <v>8.5</v>
      </c>
      <c r="O289" s="4"/>
      <c r="V289"/>
      <c r="W289"/>
      <c r="X289"/>
      <c r="Y289"/>
      <c r="Z289"/>
    </row>
    <row r="290" spans="1:26" ht="16.05" customHeight="1">
      <c r="A290" s="6" t="s">
        <v>1746</v>
      </c>
      <c r="B290" s="263">
        <v>8.5</v>
      </c>
      <c r="C290" s="4"/>
      <c r="D290" s="6" t="s">
        <v>1792</v>
      </c>
      <c r="E290" s="263">
        <v>9</v>
      </c>
      <c r="F290" s="4"/>
      <c r="G290" s="6" t="s">
        <v>1804</v>
      </c>
      <c r="H290" s="263">
        <v>8.5</v>
      </c>
      <c r="I290" s="4"/>
      <c r="J290" s="6" t="s">
        <v>1783</v>
      </c>
      <c r="K290" s="263">
        <v>7</v>
      </c>
      <c r="L290" s="4"/>
      <c r="M290" s="6" t="s">
        <v>1770</v>
      </c>
      <c r="N290" s="263">
        <v>9</v>
      </c>
      <c r="O290" s="4"/>
      <c r="V290"/>
      <c r="W290"/>
      <c r="X290"/>
      <c r="Y290"/>
      <c r="Z290"/>
    </row>
    <row r="291" spans="1:26" ht="16.05" customHeight="1">
      <c r="A291" s="6" t="s">
        <v>1747</v>
      </c>
      <c r="B291" s="263">
        <v>8</v>
      </c>
      <c r="C291" s="4"/>
      <c r="D291" s="6" t="s">
        <v>1793</v>
      </c>
      <c r="E291" s="263">
        <v>8.5</v>
      </c>
      <c r="F291" s="4"/>
      <c r="G291" s="6" t="s">
        <v>1805</v>
      </c>
      <c r="H291" s="263">
        <v>8</v>
      </c>
      <c r="I291" s="4"/>
      <c r="J291" s="6" t="s">
        <v>1784</v>
      </c>
      <c r="K291" s="263">
        <v>7.5</v>
      </c>
      <c r="L291" s="4"/>
      <c r="M291" s="6" t="s">
        <v>577</v>
      </c>
      <c r="N291" s="263">
        <v>8</v>
      </c>
      <c r="O291" s="4"/>
      <c r="V291"/>
      <c r="W291"/>
      <c r="X291"/>
      <c r="Y291"/>
      <c r="Z291"/>
    </row>
    <row r="292" spans="1:26" ht="16.05" customHeight="1">
      <c r="A292" s="6" t="s">
        <v>1748</v>
      </c>
      <c r="B292" s="263">
        <v>9</v>
      </c>
      <c r="C292" s="4"/>
      <c r="D292" s="6" t="s">
        <v>1794</v>
      </c>
      <c r="E292" s="263">
        <v>8.5</v>
      </c>
      <c r="F292" s="4"/>
      <c r="G292" s="6" t="s">
        <v>1806</v>
      </c>
      <c r="H292" s="263">
        <v>9</v>
      </c>
      <c r="I292" s="4"/>
      <c r="J292" s="6" t="s">
        <v>1785</v>
      </c>
      <c r="K292" s="263">
        <v>8</v>
      </c>
      <c r="L292" s="4"/>
      <c r="M292" s="6" t="s">
        <v>1771</v>
      </c>
      <c r="N292" s="263">
        <v>10</v>
      </c>
      <c r="O292" s="4"/>
      <c r="V292"/>
      <c r="W292"/>
      <c r="X292"/>
      <c r="Y292"/>
      <c r="Z292"/>
    </row>
    <row r="293" spans="1:26" ht="16.05" customHeight="1">
      <c r="A293" s="6" t="s">
        <v>1749</v>
      </c>
      <c r="B293" s="263">
        <v>8.5</v>
      </c>
      <c r="C293" s="4"/>
      <c r="D293" s="6" t="s">
        <v>1795</v>
      </c>
      <c r="E293" s="263">
        <v>9</v>
      </c>
      <c r="F293" s="4"/>
      <c r="G293" s="6" t="s">
        <v>1807</v>
      </c>
      <c r="H293" s="263">
        <v>8.5</v>
      </c>
      <c r="I293" s="4"/>
      <c r="J293" s="6" t="s">
        <v>1786</v>
      </c>
      <c r="K293" s="263">
        <v>7</v>
      </c>
      <c r="L293" s="4"/>
      <c r="M293" s="6" t="s">
        <v>1772</v>
      </c>
      <c r="N293" s="263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1750</v>
      </c>
      <c r="B294" s="263">
        <v>8</v>
      </c>
      <c r="C294" s="4"/>
      <c r="D294" s="6" t="s">
        <v>1796</v>
      </c>
      <c r="E294" s="263">
        <v>8</v>
      </c>
      <c r="F294" s="4"/>
      <c r="G294" s="9" t="s">
        <v>1808</v>
      </c>
      <c r="H294" s="264">
        <v>10</v>
      </c>
      <c r="I294" s="4"/>
      <c r="J294" s="9" t="s">
        <v>1787</v>
      </c>
      <c r="K294" s="264">
        <v>9</v>
      </c>
      <c r="L294" s="4"/>
      <c r="M294" s="6" t="s">
        <v>1773</v>
      </c>
      <c r="N294" s="263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1751</v>
      </c>
      <c r="B295" s="263">
        <v>8</v>
      </c>
      <c r="C295" s="4"/>
      <c r="D295" s="6" t="s">
        <v>1797</v>
      </c>
      <c r="E295" s="263">
        <v>9</v>
      </c>
      <c r="F295" s="4"/>
      <c r="G295" s="4"/>
      <c r="H295" s="4"/>
      <c r="I295" s="4"/>
      <c r="J295" s="4"/>
      <c r="K295" s="4"/>
      <c r="L295" s="4"/>
      <c r="M295" s="9" t="s">
        <v>1774</v>
      </c>
      <c r="N295" s="264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1752</v>
      </c>
      <c r="B296" s="263">
        <v>9</v>
      </c>
      <c r="C296" s="4"/>
      <c r="D296" s="6" t="s">
        <v>1798</v>
      </c>
      <c r="E296" s="263">
        <v>8.5</v>
      </c>
      <c r="F296" s="4"/>
      <c r="G296" s="256" t="s">
        <v>1826</v>
      </c>
      <c r="H296" s="14">
        <f>ROUND(SUM(H297:H307)/COUNT(H297:H307), 2)</f>
        <v>3.68</v>
      </c>
      <c r="I296" s="4"/>
      <c r="J296" s="275" t="s">
        <v>1845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1753</v>
      </c>
      <c r="B297" s="263">
        <v>8</v>
      </c>
      <c r="C297" s="4"/>
      <c r="D297" s="9" t="s">
        <v>1799</v>
      </c>
      <c r="E297" s="264">
        <v>8</v>
      </c>
      <c r="F297" s="4"/>
      <c r="G297" s="13" t="s">
        <v>1827</v>
      </c>
      <c r="H297" s="262">
        <v>6.5</v>
      </c>
      <c r="I297" s="4"/>
      <c r="J297" s="13" t="s">
        <v>1846</v>
      </c>
      <c r="K297" s="262">
        <v>9</v>
      </c>
      <c r="L297" s="4"/>
      <c r="M297" s="278" t="s">
        <v>1860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4">
        <v>1979</v>
      </c>
      <c r="B298" s="263">
        <v>10.5</v>
      </c>
      <c r="C298" s="4"/>
      <c r="D298" s="4"/>
      <c r="E298" s="4"/>
      <c r="F298" s="4"/>
      <c r="G298" s="6" t="s">
        <v>1828</v>
      </c>
      <c r="H298" s="263">
        <v>5</v>
      </c>
      <c r="I298" s="4"/>
      <c r="J298" s="6" t="s">
        <v>1847</v>
      </c>
      <c r="K298" s="263">
        <v>8.5</v>
      </c>
      <c r="L298" s="4"/>
      <c r="M298" s="13" t="s">
        <v>1853</v>
      </c>
      <c r="N298" s="262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1754</v>
      </c>
      <c r="B299" s="263">
        <v>7</v>
      </c>
      <c r="C299" s="4"/>
      <c r="D299" s="279" t="s">
        <v>1863</v>
      </c>
      <c r="E299" s="14">
        <f>ROUND(SUM(E300:E309)/COUNT(E300:E309), 2)</f>
        <v>8.2899999999999991</v>
      </c>
      <c r="F299" s="4"/>
      <c r="G299" s="6" t="s">
        <v>1829</v>
      </c>
      <c r="H299" s="263">
        <v>5.5</v>
      </c>
      <c r="I299" s="4"/>
      <c r="J299" s="6" t="s">
        <v>1848</v>
      </c>
      <c r="K299" s="263">
        <v>9</v>
      </c>
      <c r="L299" s="4"/>
      <c r="M299" s="6" t="s">
        <v>1854</v>
      </c>
      <c r="N299" s="263">
        <v>7.5</v>
      </c>
      <c r="O299" s="4"/>
      <c r="V299"/>
      <c r="W299"/>
      <c r="X299"/>
      <c r="Y299"/>
      <c r="Z299"/>
    </row>
    <row r="300" spans="1:26" ht="16.05" customHeight="1">
      <c r="A300" s="6" t="s">
        <v>1755</v>
      </c>
      <c r="B300" s="263">
        <v>8.5</v>
      </c>
      <c r="C300" s="4"/>
      <c r="D300" s="13" t="s">
        <v>1864</v>
      </c>
      <c r="E300" s="262"/>
      <c r="F300" s="4"/>
      <c r="G300" s="6" t="s">
        <v>1830</v>
      </c>
      <c r="H300" s="263">
        <v>4</v>
      </c>
      <c r="I300" s="4"/>
      <c r="J300" s="6" t="s">
        <v>1849</v>
      </c>
      <c r="K300" s="263">
        <v>8.5</v>
      </c>
      <c r="L300" s="4"/>
      <c r="M300" s="6" t="s">
        <v>1855</v>
      </c>
      <c r="N300" s="263">
        <v>9</v>
      </c>
      <c r="O300" s="4"/>
      <c r="V300"/>
      <c r="W300"/>
      <c r="X300"/>
      <c r="Y300"/>
      <c r="Z300"/>
    </row>
    <row r="301" spans="1:26" ht="16.05" customHeight="1">
      <c r="A301" s="6" t="s">
        <v>1756</v>
      </c>
      <c r="B301" s="263">
        <v>8.5</v>
      </c>
      <c r="C301" s="4"/>
      <c r="D301" s="6" t="s">
        <v>1865</v>
      </c>
      <c r="E301" s="263">
        <v>8.5</v>
      </c>
      <c r="F301" s="4"/>
      <c r="G301" s="6" t="s">
        <v>1831</v>
      </c>
      <c r="H301" s="263">
        <v>3</v>
      </c>
      <c r="I301" s="4"/>
      <c r="J301" s="6" t="s">
        <v>1850</v>
      </c>
      <c r="K301" s="263">
        <v>8</v>
      </c>
      <c r="L301" s="4"/>
      <c r="M301" s="6" t="s">
        <v>1856</v>
      </c>
      <c r="N301" s="263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1757</v>
      </c>
      <c r="B302" s="263">
        <v>7.5</v>
      </c>
      <c r="C302" s="4"/>
      <c r="D302" s="6" t="s">
        <v>1866</v>
      </c>
      <c r="E302" s="263">
        <v>9</v>
      </c>
      <c r="F302" s="4"/>
      <c r="G302" s="6" t="s">
        <v>1832</v>
      </c>
      <c r="H302" s="263">
        <v>3</v>
      </c>
      <c r="I302" s="4"/>
      <c r="J302" s="9" t="s">
        <v>1851</v>
      </c>
      <c r="K302" s="264">
        <v>10.5</v>
      </c>
      <c r="L302" s="4"/>
      <c r="M302" s="6" t="s">
        <v>1857</v>
      </c>
      <c r="N302" s="263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1758</v>
      </c>
      <c r="B303" s="263">
        <v>8.5</v>
      </c>
      <c r="C303" s="4"/>
      <c r="D303" s="6" t="s">
        <v>1867</v>
      </c>
      <c r="E303" s="263"/>
      <c r="F303" s="4"/>
      <c r="G303" s="6" t="s">
        <v>1833</v>
      </c>
      <c r="H303" s="263">
        <v>3</v>
      </c>
      <c r="I303" s="4"/>
      <c r="J303" s="4"/>
      <c r="K303" s="4"/>
      <c r="L303" s="4"/>
      <c r="M303" s="6" t="s">
        <v>1858</v>
      </c>
      <c r="N303" s="263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1759</v>
      </c>
      <c r="B304" s="263">
        <v>9</v>
      </c>
      <c r="C304" s="4"/>
      <c r="D304" s="6" t="s">
        <v>1868</v>
      </c>
      <c r="E304" s="263">
        <v>7.5</v>
      </c>
      <c r="F304" s="4"/>
      <c r="G304" s="6" t="s">
        <v>1834</v>
      </c>
      <c r="H304" s="263">
        <v>3.5</v>
      </c>
      <c r="I304" s="4"/>
      <c r="J304" s="280" t="s">
        <v>1888</v>
      </c>
      <c r="K304" s="14">
        <f>ROUND(SUM(K305:K316)/COUNT(K305:K316), 2)</f>
        <v>8.9600000000000009</v>
      </c>
      <c r="L304" s="4"/>
      <c r="M304" s="9" t="s">
        <v>1859</v>
      </c>
      <c r="N304" s="264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1760</v>
      </c>
      <c r="B305" s="263">
        <v>8.5</v>
      </c>
      <c r="C305" s="4"/>
      <c r="D305" s="6" t="s">
        <v>1869</v>
      </c>
      <c r="E305" s="263">
        <v>8.5</v>
      </c>
      <c r="F305" s="4"/>
      <c r="G305" s="6" t="s">
        <v>1835</v>
      </c>
      <c r="H305" s="263">
        <v>3</v>
      </c>
      <c r="I305" s="4"/>
      <c r="J305" s="13" t="s">
        <v>1876</v>
      </c>
      <c r="K305" s="262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1761</v>
      </c>
      <c r="B306" s="263">
        <v>9</v>
      </c>
      <c r="C306" s="4"/>
      <c r="D306" s="6" t="s">
        <v>1870</v>
      </c>
      <c r="E306" s="263">
        <v>8</v>
      </c>
      <c r="F306" s="4"/>
      <c r="G306" s="6" t="s">
        <v>1836</v>
      </c>
      <c r="H306" s="263">
        <v>2</v>
      </c>
      <c r="I306" s="4"/>
      <c r="J306" s="6" t="s">
        <v>1877</v>
      </c>
      <c r="K306" s="263">
        <v>10</v>
      </c>
      <c r="L306" s="4"/>
      <c r="M306" s="282" t="s">
        <v>1895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1762</v>
      </c>
      <c r="B307" s="264">
        <v>8.5</v>
      </c>
      <c r="C307" s="4"/>
      <c r="D307" s="6" t="s">
        <v>1871</v>
      </c>
      <c r="E307" s="263">
        <v>8</v>
      </c>
      <c r="F307" s="4"/>
      <c r="G307" s="9" t="s">
        <v>1837</v>
      </c>
      <c r="H307" s="264">
        <v>2</v>
      </c>
      <c r="I307" s="4"/>
      <c r="J307" s="6" t="s">
        <v>1878</v>
      </c>
      <c r="K307" s="263">
        <v>9</v>
      </c>
      <c r="L307" s="4"/>
      <c r="M307" s="13" t="s">
        <v>1896</v>
      </c>
      <c r="N307" s="262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1872</v>
      </c>
      <c r="E308" s="264">
        <v>8.5</v>
      </c>
      <c r="F308" s="4"/>
      <c r="G308" s="4"/>
      <c r="H308" s="4"/>
      <c r="I308" s="4"/>
      <c r="J308" s="6" t="s">
        <v>1879</v>
      </c>
      <c r="K308" s="263">
        <v>9</v>
      </c>
      <c r="L308" s="4"/>
      <c r="M308" s="6" t="s">
        <v>1897</v>
      </c>
      <c r="N308" s="263">
        <v>9</v>
      </c>
      <c r="O308" s="4"/>
      <c r="V308"/>
      <c r="W308"/>
      <c r="X308"/>
      <c r="Y308"/>
      <c r="Z308"/>
    </row>
    <row r="309" spans="1:26" ht="16.05" customHeight="1" thickBot="1">
      <c r="A309" s="285" t="s">
        <v>1913</v>
      </c>
      <c r="B309" s="14">
        <f>ROUND(SUM(B310:B320)/COUNT(B310:B320), 2)</f>
        <v>8.18</v>
      </c>
      <c r="C309" s="4"/>
      <c r="D309" s="4"/>
      <c r="E309" s="4"/>
      <c r="F309" s="4"/>
      <c r="G309" s="286" t="s">
        <v>1943</v>
      </c>
      <c r="H309" s="14">
        <f>ROUND(SUM(H310:H327)/COUNT(H310:H327), 2)</f>
        <v>7.31</v>
      </c>
      <c r="I309" s="4"/>
      <c r="J309" s="6" t="s">
        <v>1880</v>
      </c>
      <c r="K309" s="263">
        <v>9</v>
      </c>
      <c r="L309" s="4"/>
      <c r="M309" s="6" t="s">
        <v>1898</v>
      </c>
      <c r="N309" s="263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1914</v>
      </c>
      <c r="B310" s="262">
        <v>7.5</v>
      </c>
      <c r="C310" s="4"/>
      <c r="D310" s="290" t="s">
        <v>2051</v>
      </c>
      <c r="E310" s="14">
        <f>ROUND(SUM(E311:E318)/COUNT(E311:E318), 2)</f>
        <v>8.5</v>
      </c>
      <c r="F310" s="4"/>
      <c r="G310" s="13" t="s">
        <v>1925</v>
      </c>
      <c r="H310" s="262">
        <v>8.5</v>
      </c>
      <c r="I310" s="4"/>
      <c r="J310" s="6" t="s">
        <v>1881</v>
      </c>
      <c r="K310" s="263">
        <v>10</v>
      </c>
      <c r="L310" s="4"/>
      <c r="M310" s="6" t="s">
        <v>1899</v>
      </c>
      <c r="N310" s="263">
        <v>10</v>
      </c>
      <c r="O310" s="4"/>
      <c r="V310"/>
      <c r="W310"/>
      <c r="X310"/>
      <c r="Y310"/>
      <c r="Z310"/>
    </row>
    <row r="311" spans="1:26" ht="16.05" customHeight="1">
      <c r="A311" s="6" t="s">
        <v>1915</v>
      </c>
      <c r="B311" s="263">
        <v>8.5</v>
      </c>
      <c r="C311" s="4"/>
      <c r="D311" s="13" t="s">
        <v>2052</v>
      </c>
      <c r="E311" s="262">
        <v>8.5</v>
      </c>
      <c r="F311" s="4"/>
      <c r="G311" s="6" t="s">
        <v>1926</v>
      </c>
      <c r="H311" s="263">
        <v>7.5</v>
      </c>
      <c r="I311" s="4"/>
      <c r="J311" s="6" t="s">
        <v>1882</v>
      </c>
      <c r="K311" s="263">
        <v>8</v>
      </c>
      <c r="L311" s="4"/>
      <c r="M311" s="6" t="s">
        <v>1900</v>
      </c>
      <c r="N311" s="263">
        <v>8.5</v>
      </c>
      <c r="O311" s="4"/>
      <c r="V311"/>
      <c r="W311"/>
      <c r="X311"/>
      <c r="Y311"/>
      <c r="Z311"/>
    </row>
    <row r="312" spans="1:26" ht="16.05" customHeight="1">
      <c r="A312" s="6" t="s">
        <v>1162</v>
      </c>
      <c r="B312" s="263">
        <v>8</v>
      </c>
      <c r="C312" s="4"/>
      <c r="D312" s="6" t="s">
        <v>2053</v>
      </c>
      <c r="E312" s="263">
        <v>8.5</v>
      </c>
      <c r="F312" s="4"/>
      <c r="G312" s="6" t="s">
        <v>1927</v>
      </c>
      <c r="H312" s="263">
        <v>8.5</v>
      </c>
      <c r="I312" s="4"/>
      <c r="J312" s="6" t="s">
        <v>1883</v>
      </c>
      <c r="K312" s="263">
        <v>8.5</v>
      </c>
      <c r="L312" s="4"/>
      <c r="M312" s="6" t="s">
        <v>1901</v>
      </c>
      <c r="N312" s="263">
        <v>8.5</v>
      </c>
      <c r="O312" s="4"/>
      <c r="V312"/>
      <c r="W312"/>
      <c r="X312"/>
      <c r="Y312"/>
      <c r="Z312"/>
    </row>
    <row r="313" spans="1:26" ht="16.05" customHeight="1">
      <c r="A313" s="6" t="s">
        <v>1916</v>
      </c>
      <c r="B313" s="263">
        <v>8</v>
      </c>
      <c r="C313" s="4"/>
      <c r="D313" s="6" t="s">
        <v>2054</v>
      </c>
      <c r="E313" s="263">
        <v>9</v>
      </c>
      <c r="F313" s="4"/>
      <c r="G313" s="6" t="s">
        <v>1928</v>
      </c>
      <c r="H313" s="263">
        <v>8.5</v>
      </c>
      <c r="I313" s="4"/>
      <c r="J313" s="6" t="s">
        <v>1884</v>
      </c>
      <c r="K313" s="263">
        <v>8.5</v>
      </c>
      <c r="L313" s="4"/>
      <c r="M313" s="6" t="s">
        <v>1902</v>
      </c>
      <c r="N313" s="263">
        <v>8</v>
      </c>
      <c r="O313" s="4"/>
      <c r="V313"/>
      <c r="W313"/>
      <c r="X313"/>
      <c r="Y313"/>
      <c r="Z313"/>
    </row>
    <row r="314" spans="1:26" ht="16.05" customHeight="1">
      <c r="A314" s="6" t="s">
        <v>1917</v>
      </c>
      <c r="B314" s="263">
        <v>9.5</v>
      </c>
      <c r="C314" s="4"/>
      <c r="D314" s="6" t="s">
        <v>2055</v>
      </c>
      <c r="E314" s="263">
        <v>9</v>
      </c>
      <c r="F314" s="4"/>
      <c r="G314" s="6" t="s">
        <v>1929</v>
      </c>
      <c r="H314" s="263">
        <v>7.5</v>
      </c>
      <c r="I314" s="4"/>
      <c r="J314" s="6" t="s">
        <v>1885</v>
      </c>
      <c r="K314" s="263">
        <v>9</v>
      </c>
      <c r="L314" s="4"/>
      <c r="M314" s="6" t="s">
        <v>1903</v>
      </c>
      <c r="N314" s="263">
        <v>8.5</v>
      </c>
      <c r="O314" s="4"/>
      <c r="V314"/>
      <c r="W314"/>
      <c r="X314"/>
      <c r="Y314"/>
      <c r="Z314"/>
    </row>
    <row r="315" spans="1:26" ht="16.05" customHeight="1">
      <c r="A315" s="6" t="s">
        <v>1918</v>
      </c>
      <c r="B315" s="263">
        <v>7</v>
      </c>
      <c r="C315" s="4"/>
      <c r="D315" s="6" t="s">
        <v>2056</v>
      </c>
      <c r="E315" s="263">
        <v>8</v>
      </c>
      <c r="F315" s="4"/>
      <c r="G315" s="6" t="s">
        <v>1930</v>
      </c>
      <c r="H315" s="263">
        <v>7</v>
      </c>
      <c r="I315" s="4"/>
      <c r="J315" s="6" t="s">
        <v>1886</v>
      </c>
      <c r="K315" s="263">
        <v>9.5</v>
      </c>
      <c r="L315" s="4"/>
      <c r="M315" s="6" t="s">
        <v>1904</v>
      </c>
      <c r="N315" s="263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1919</v>
      </c>
      <c r="B316" s="263">
        <v>10</v>
      </c>
      <c r="C316" s="4"/>
      <c r="D316" s="6" t="s">
        <v>2057</v>
      </c>
      <c r="E316" s="263">
        <v>8</v>
      </c>
      <c r="F316" s="4"/>
      <c r="G316" s="6" t="s">
        <v>1931</v>
      </c>
      <c r="H316" s="263">
        <v>7</v>
      </c>
      <c r="I316" s="4"/>
      <c r="J316" s="9" t="s">
        <v>1887</v>
      </c>
      <c r="K316" s="264">
        <v>8.5</v>
      </c>
      <c r="L316" s="4"/>
      <c r="M316" s="9" t="s">
        <v>1905</v>
      </c>
      <c r="N316" s="264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1920</v>
      </c>
      <c r="B317" s="263">
        <v>8.5</v>
      </c>
      <c r="C317" s="4"/>
      <c r="D317" s="6" t="s">
        <v>2058</v>
      </c>
      <c r="E317" s="263">
        <v>8.5</v>
      </c>
      <c r="F317" s="4"/>
      <c r="G317" s="6" t="s">
        <v>1932</v>
      </c>
      <c r="H317" s="263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1921</v>
      </c>
      <c r="B318" s="263">
        <v>7.5</v>
      </c>
      <c r="C318" s="4"/>
      <c r="D318" s="9" t="s">
        <v>2059</v>
      </c>
      <c r="E318" s="264">
        <v>8.5</v>
      </c>
      <c r="F318" s="4"/>
      <c r="G318" s="6" t="s">
        <v>1933</v>
      </c>
      <c r="H318" s="263">
        <v>7</v>
      </c>
      <c r="I318" s="4"/>
      <c r="J318" s="294" t="s">
        <v>2078</v>
      </c>
      <c r="K318" s="14">
        <f>ROUND(SUM(K319:K326)/COUNT(K319:K326), 2)</f>
        <v>8.43</v>
      </c>
      <c r="L318" s="4"/>
      <c r="M318" s="295" t="s">
        <v>2090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1922</v>
      </c>
      <c r="B319" s="263">
        <v>7.5</v>
      </c>
      <c r="C319" s="4"/>
      <c r="D319" s="4"/>
      <c r="E319" s="4"/>
      <c r="F319" s="4"/>
      <c r="G319" s="6" t="s">
        <v>1934</v>
      </c>
      <c r="H319" s="263">
        <v>7</v>
      </c>
      <c r="I319" s="4"/>
      <c r="J319" s="13" t="s">
        <v>2079</v>
      </c>
      <c r="K319" s="262"/>
      <c r="L319" s="4"/>
      <c r="M319" s="13" t="s">
        <v>2091</v>
      </c>
      <c r="N319" s="262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1923</v>
      </c>
      <c r="B320" s="264">
        <v>8</v>
      </c>
      <c r="C320" s="4"/>
      <c r="D320" s="292" t="s">
        <v>2062</v>
      </c>
      <c r="E320" s="14">
        <f>ROUND(SUM(E321:E326)/COUNT(E321:E326), 2)</f>
        <v>8.67</v>
      </c>
      <c r="F320" s="4"/>
      <c r="G320" s="6" t="s">
        <v>1935</v>
      </c>
      <c r="H320" s="263">
        <v>7.5</v>
      </c>
      <c r="I320" s="4"/>
      <c r="J320" s="6" t="s">
        <v>2080</v>
      </c>
      <c r="K320" s="263">
        <v>8.5</v>
      </c>
      <c r="L320" s="4"/>
      <c r="M320" s="6" t="s">
        <v>2092</v>
      </c>
      <c r="N320" s="263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2063</v>
      </c>
      <c r="E321" s="262">
        <v>8.5</v>
      </c>
      <c r="F321" s="4"/>
      <c r="G321" s="6" t="s">
        <v>1936</v>
      </c>
      <c r="H321" s="263">
        <v>6</v>
      </c>
      <c r="I321" s="4"/>
      <c r="J321" s="6" t="s">
        <v>2081</v>
      </c>
      <c r="K321" s="263">
        <v>9</v>
      </c>
      <c r="L321" s="4"/>
      <c r="M321" s="6" t="s">
        <v>2093</v>
      </c>
      <c r="N321" s="263">
        <v>9.5</v>
      </c>
      <c r="O321" s="4"/>
      <c r="V321"/>
      <c r="W321"/>
      <c r="X321"/>
      <c r="Y321"/>
      <c r="Z321"/>
    </row>
    <row r="322" spans="1:26" ht="16.05" customHeight="1" thickBot="1">
      <c r="A322" s="297" t="s">
        <v>2104</v>
      </c>
      <c r="B322" s="14">
        <f>ROUND(SUM(B323:B341)/COUNT(B323:B341), 2)</f>
        <v>8.3800000000000008</v>
      </c>
      <c r="C322" s="4"/>
      <c r="D322" s="6" t="s">
        <v>2064</v>
      </c>
      <c r="E322" s="263">
        <v>9</v>
      </c>
      <c r="F322" s="4"/>
      <c r="G322" s="6" t="s">
        <v>1937</v>
      </c>
      <c r="H322" s="263">
        <v>7</v>
      </c>
      <c r="I322" s="4"/>
      <c r="J322" s="6" t="s">
        <v>2082</v>
      </c>
      <c r="K322" s="263">
        <v>8.5</v>
      </c>
      <c r="L322" s="4"/>
      <c r="M322" s="6" t="s">
        <v>2094</v>
      </c>
      <c r="N322" s="263">
        <v>10</v>
      </c>
      <c r="O322" s="4"/>
      <c r="V322"/>
      <c r="W322"/>
      <c r="X322"/>
      <c r="Y322"/>
      <c r="Z322"/>
    </row>
    <row r="323" spans="1:26" ht="16.05" customHeight="1">
      <c r="A323" s="13" t="s">
        <v>1438</v>
      </c>
      <c r="B323" s="262"/>
      <c r="C323" s="4"/>
      <c r="D323" s="6" t="s">
        <v>2065</v>
      </c>
      <c r="E323" s="263">
        <v>8.5</v>
      </c>
      <c r="F323" s="4"/>
      <c r="G323" s="6" t="s">
        <v>1938</v>
      </c>
      <c r="H323" s="263">
        <v>8</v>
      </c>
      <c r="I323" s="4"/>
      <c r="J323" s="6" t="s">
        <v>2083</v>
      </c>
      <c r="K323" s="263">
        <v>8.5</v>
      </c>
      <c r="L323" s="4"/>
      <c r="M323" s="6" t="s">
        <v>2095</v>
      </c>
      <c r="N323" s="263">
        <v>9</v>
      </c>
      <c r="O323" s="4"/>
      <c r="V323"/>
      <c r="W323"/>
      <c r="X323"/>
      <c r="Y323"/>
      <c r="Z323"/>
    </row>
    <row r="324" spans="1:26" ht="16.05" customHeight="1">
      <c r="A324" s="6" t="s">
        <v>2105</v>
      </c>
      <c r="B324" s="263">
        <v>8</v>
      </c>
      <c r="C324" s="4"/>
      <c r="D324" s="6" t="s">
        <v>2066</v>
      </c>
      <c r="E324" s="263">
        <v>7.5</v>
      </c>
      <c r="F324" s="4"/>
      <c r="G324" s="6" t="s">
        <v>1939</v>
      </c>
      <c r="H324" s="263">
        <v>7.5</v>
      </c>
      <c r="I324" s="4"/>
      <c r="J324" s="6" t="s">
        <v>2084</v>
      </c>
      <c r="K324" s="263">
        <v>7.5</v>
      </c>
      <c r="L324" s="4"/>
      <c r="M324" s="6" t="s">
        <v>2096</v>
      </c>
      <c r="N324" s="263">
        <v>8.5</v>
      </c>
      <c r="O324" s="4"/>
      <c r="V324"/>
      <c r="W324"/>
      <c r="X324"/>
      <c r="Y324"/>
      <c r="Z324"/>
    </row>
    <row r="325" spans="1:26" ht="16.05" customHeight="1">
      <c r="A325" s="6" t="s">
        <v>2106</v>
      </c>
      <c r="B325" s="263">
        <v>8</v>
      </c>
      <c r="C325" s="4"/>
      <c r="D325" s="6" t="s">
        <v>2067</v>
      </c>
      <c r="E325" s="263">
        <v>9</v>
      </c>
      <c r="F325" s="4"/>
      <c r="G325" s="6" t="s">
        <v>1940</v>
      </c>
      <c r="H325" s="263">
        <v>7</v>
      </c>
      <c r="I325" s="4"/>
      <c r="J325" s="6" t="s">
        <v>2085</v>
      </c>
      <c r="K325" s="263">
        <v>8</v>
      </c>
      <c r="L325" s="4"/>
      <c r="M325" s="6" t="s">
        <v>2097</v>
      </c>
      <c r="N325" s="263">
        <v>8.5</v>
      </c>
      <c r="O325" s="4"/>
      <c r="V325"/>
      <c r="W325"/>
      <c r="X325"/>
      <c r="Y325"/>
      <c r="Z325"/>
    </row>
    <row r="326" spans="1:26" ht="16.05" customHeight="1" thickBot="1">
      <c r="A326" s="6" t="s">
        <v>2107</v>
      </c>
      <c r="B326" s="263">
        <v>8.5</v>
      </c>
      <c r="C326" s="4"/>
      <c r="D326" s="9" t="s">
        <v>2068</v>
      </c>
      <c r="E326" s="264">
        <v>9.5</v>
      </c>
      <c r="F326" s="4"/>
      <c r="G326" s="6" t="s">
        <v>1941</v>
      </c>
      <c r="H326" s="263">
        <v>6</v>
      </c>
      <c r="I326" s="4"/>
      <c r="J326" s="9" t="s">
        <v>2086</v>
      </c>
      <c r="K326" s="264">
        <v>9</v>
      </c>
      <c r="L326" s="4"/>
      <c r="M326" s="9" t="s">
        <v>2098</v>
      </c>
      <c r="N326" s="264">
        <v>8.5</v>
      </c>
      <c r="O326" s="4"/>
      <c r="V326"/>
      <c r="W326"/>
      <c r="X326"/>
      <c r="Y326"/>
      <c r="Z326"/>
    </row>
    <row r="327" spans="1:26" ht="16.05" customHeight="1" thickBot="1">
      <c r="A327" s="6" t="s">
        <v>2108</v>
      </c>
      <c r="B327" s="263">
        <v>8</v>
      </c>
      <c r="C327" s="4"/>
      <c r="D327" s="4"/>
      <c r="E327" s="4"/>
      <c r="F327" s="4"/>
      <c r="G327" s="9" t="s">
        <v>1942</v>
      </c>
      <c r="H327" s="264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 thickBot="1">
      <c r="A328" s="6" t="s">
        <v>2109</v>
      </c>
      <c r="B328" s="263">
        <v>9</v>
      </c>
      <c r="C328" s="4"/>
      <c r="D328" s="300" t="s">
        <v>2128</v>
      </c>
      <c r="E328" s="14">
        <f>ROUND(SUM(E329:E358)/COUNT(E329:E358), 2)</f>
        <v>8.7200000000000006</v>
      </c>
      <c r="F328" s="4"/>
      <c r="G328" s="4"/>
      <c r="H328" s="4"/>
      <c r="I328" s="4"/>
      <c r="J328" s="305" t="s">
        <v>2167</v>
      </c>
      <c r="K328" s="14">
        <f>ROUND(SUM(K329:K338)/COUNT(K329:K338), 2)</f>
        <v>8.6</v>
      </c>
      <c r="L328" s="4"/>
      <c r="V328"/>
      <c r="W328"/>
      <c r="X328"/>
      <c r="Y328"/>
      <c r="Z328"/>
    </row>
    <row r="329" spans="1:26" ht="16.05" customHeight="1">
      <c r="A329" s="6" t="s">
        <v>2110</v>
      </c>
      <c r="B329" s="263">
        <v>8.5</v>
      </c>
      <c r="C329" s="4"/>
      <c r="D329" s="13" t="s">
        <v>2129</v>
      </c>
      <c r="E329" s="262">
        <v>8.5</v>
      </c>
      <c r="F329" s="4"/>
      <c r="I329" s="4"/>
      <c r="J329" s="302" t="s">
        <v>2168</v>
      </c>
      <c r="K329" s="262">
        <v>10.5</v>
      </c>
      <c r="L329" s="4"/>
      <c r="V329"/>
      <c r="W329"/>
      <c r="X329"/>
      <c r="Y329"/>
      <c r="Z329"/>
    </row>
    <row r="330" spans="1:26" ht="16.05" customHeight="1">
      <c r="A330" s="6" t="s">
        <v>2111</v>
      </c>
      <c r="B330" s="263"/>
      <c r="C330" s="4"/>
      <c r="D330" s="6" t="s">
        <v>2130</v>
      </c>
      <c r="E330" s="263">
        <v>10.5</v>
      </c>
      <c r="F330" s="4"/>
      <c r="I330" s="4"/>
      <c r="J330" s="303" t="s">
        <v>2169</v>
      </c>
      <c r="K330" s="263">
        <v>8</v>
      </c>
      <c r="L330" s="4"/>
      <c r="V330"/>
      <c r="W330"/>
      <c r="X330"/>
      <c r="Y330"/>
      <c r="Z330"/>
    </row>
    <row r="331" spans="1:26" ht="16.05" customHeight="1">
      <c r="A331" s="6" t="s">
        <v>2112</v>
      </c>
      <c r="B331" s="263">
        <v>8.5</v>
      </c>
      <c r="C331" s="4"/>
      <c r="D331" s="6" t="s">
        <v>2131</v>
      </c>
      <c r="E331" s="263">
        <v>9.5</v>
      </c>
      <c r="F331" s="4"/>
      <c r="I331" s="4"/>
      <c r="J331" s="303" t="s">
        <v>2170</v>
      </c>
      <c r="K331" s="263">
        <v>7.5</v>
      </c>
      <c r="L331" s="4"/>
      <c r="V331"/>
      <c r="W331"/>
      <c r="X331"/>
      <c r="Y331"/>
      <c r="Z331"/>
    </row>
    <row r="332" spans="1:26" ht="16.05" customHeight="1">
      <c r="A332" s="6" t="s">
        <v>2113</v>
      </c>
      <c r="B332" s="263">
        <v>10</v>
      </c>
      <c r="C332" s="4"/>
      <c r="D332" s="6" t="s">
        <v>2132</v>
      </c>
      <c r="E332" s="263">
        <v>9</v>
      </c>
      <c r="F332" s="4"/>
      <c r="I332" s="4"/>
      <c r="J332" s="303" t="s">
        <v>2171</v>
      </c>
      <c r="K332" s="263">
        <v>9.5</v>
      </c>
      <c r="L332" s="4"/>
      <c r="V332"/>
      <c r="W332"/>
      <c r="X332"/>
      <c r="Y332"/>
      <c r="Z332"/>
    </row>
    <row r="333" spans="1:26" ht="16.05" customHeight="1">
      <c r="A333" s="6" t="s">
        <v>2114</v>
      </c>
      <c r="B333" s="263">
        <v>8.5</v>
      </c>
      <c r="C333" s="4"/>
      <c r="D333" s="6" t="s">
        <v>2133</v>
      </c>
      <c r="E333" s="263">
        <v>8.5</v>
      </c>
      <c r="F333" s="4"/>
      <c r="I333" s="4"/>
      <c r="J333" s="303" t="s">
        <v>2172</v>
      </c>
      <c r="K333" s="263">
        <v>7.5</v>
      </c>
      <c r="L333" s="4"/>
      <c r="V333"/>
      <c r="W333"/>
      <c r="X333"/>
      <c r="Y333"/>
      <c r="Z333"/>
    </row>
    <row r="334" spans="1:26" ht="16.05" customHeight="1">
      <c r="A334" s="6" t="s">
        <v>2115</v>
      </c>
      <c r="B334" s="263">
        <v>7.5</v>
      </c>
      <c r="C334" s="4"/>
      <c r="D334" s="6" t="s">
        <v>2134</v>
      </c>
      <c r="E334" s="263">
        <v>9</v>
      </c>
      <c r="F334" s="4"/>
      <c r="I334" s="4"/>
      <c r="J334" s="303" t="s">
        <v>2173</v>
      </c>
      <c r="K334" s="263">
        <v>8</v>
      </c>
      <c r="L334" s="4"/>
      <c r="V334"/>
      <c r="W334"/>
      <c r="X334"/>
      <c r="Y334"/>
      <c r="Z334"/>
    </row>
    <row r="335" spans="1:26" ht="16.05" customHeight="1">
      <c r="A335" s="6" t="s">
        <v>2116</v>
      </c>
      <c r="B335" s="263">
        <v>10</v>
      </c>
      <c r="C335" s="4"/>
      <c r="D335" s="6" t="s">
        <v>2135</v>
      </c>
      <c r="E335" s="263">
        <v>8.5</v>
      </c>
      <c r="F335" s="4"/>
      <c r="I335" s="4"/>
      <c r="J335" s="303" t="s">
        <v>2174</v>
      </c>
      <c r="K335" s="263">
        <v>10</v>
      </c>
      <c r="L335" s="4"/>
      <c r="V335"/>
      <c r="W335"/>
      <c r="X335"/>
      <c r="Y335"/>
      <c r="Z335"/>
    </row>
    <row r="336" spans="1:26" ht="16.05" customHeight="1">
      <c r="A336" s="6" t="s">
        <v>2117</v>
      </c>
      <c r="B336" s="263">
        <v>8</v>
      </c>
      <c r="C336" s="4"/>
      <c r="D336" s="6" t="s">
        <v>2136</v>
      </c>
      <c r="E336" s="263">
        <v>8.5</v>
      </c>
      <c r="F336" s="4"/>
      <c r="I336" s="4"/>
      <c r="J336" s="303" t="s">
        <v>2175</v>
      </c>
      <c r="K336" s="263">
        <v>9</v>
      </c>
      <c r="L336" s="4"/>
      <c r="V336"/>
      <c r="W336"/>
      <c r="X336"/>
      <c r="Y336"/>
      <c r="Z336"/>
    </row>
    <row r="337" spans="1:26" ht="16.05" customHeight="1">
      <c r="A337" s="6" t="s">
        <v>2118</v>
      </c>
      <c r="B337" s="263">
        <v>7</v>
      </c>
      <c r="C337" s="4"/>
      <c r="D337" s="6" t="s">
        <v>2137</v>
      </c>
      <c r="E337" s="263">
        <v>10</v>
      </c>
      <c r="F337" s="4"/>
      <c r="I337" s="4"/>
      <c r="J337" s="303" t="s">
        <v>2176</v>
      </c>
      <c r="K337" s="263">
        <v>8</v>
      </c>
      <c r="L337" s="4"/>
      <c r="V337"/>
      <c r="W337"/>
      <c r="X337"/>
      <c r="Y337"/>
      <c r="Z337"/>
    </row>
    <row r="338" spans="1:26" ht="16.05" customHeight="1" thickBot="1">
      <c r="A338" s="6" t="s">
        <v>2119</v>
      </c>
      <c r="B338" s="263">
        <v>8</v>
      </c>
      <c r="C338" s="4"/>
      <c r="D338" s="6" t="s">
        <v>2138</v>
      </c>
      <c r="E338" s="263">
        <v>8.5</v>
      </c>
      <c r="F338" s="4"/>
      <c r="I338" s="4"/>
      <c r="J338" s="304" t="s">
        <v>2177</v>
      </c>
      <c r="K338" s="264">
        <v>8</v>
      </c>
      <c r="L338" s="4"/>
      <c r="V338"/>
      <c r="W338"/>
      <c r="X338"/>
      <c r="Y338"/>
      <c r="Z338"/>
    </row>
    <row r="339" spans="1:26" ht="16.05" customHeight="1">
      <c r="A339" s="6" t="s">
        <v>2120</v>
      </c>
      <c r="B339" s="263">
        <v>9</v>
      </c>
      <c r="C339" s="4"/>
      <c r="D339" s="6" t="s">
        <v>2139</v>
      </c>
      <c r="E339" s="263">
        <v>8.5</v>
      </c>
      <c r="F339" s="4"/>
      <c r="I339" s="4"/>
      <c r="J339" s="4"/>
      <c r="K339" s="4"/>
      <c r="L339" s="4"/>
      <c r="V339"/>
      <c r="W339"/>
      <c r="X339"/>
      <c r="Y339"/>
      <c r="Z339"/>
    </row>
    <row r="340" spans="1:26" ht="16.05" customHeight="1">
      <c r="A340" s="6" t="s">
        <v>2121</v>
      </c>
      <c r="B340" s="263">
        <v>8.5</v>
      </c>
      <c r="C340" s="4"/>
      <c r="D340" s="6" t="s">
        <v>2140</v>
      </c>
      <c r="E340" s="263">
        <v>7.5</v>
      </c>
      <c r="F340" s="4"/>
      <c r="V340"/>
      <c r="W340"/>
      <c r="X340"/>
      <c r="Y340"/>
      <c r="Z340"/>
    </row>
    <row r="341" spans="1:26" ht="16.05" customHeight="1" thickBot="1">
      <c r="A341" s="9" t="s">
        <v>2122</v>
      </c>
      <c r="B341" s="264">
        <v>7.5</v>
      </c>
      <c r="C341" s="4"/>
      <c r="D341" s="6" t="s">
        <v>2141</v>
      </c>
      <c r="E341" s="263">
        <v>10.5</v>
      </c>
      <c r="F341" s="4"/>
      <c r="V341"/>
      <c r="W341"/>
      <c r="X341"/>
      <c r="Y341"/>
      <c r="Z341"/>
    </row>
    <row r="342" spans="1:26" ht="16.05" customHeight="1">
      <c r="A342" s="4"/>
      <c r="B342" s="4"/>
      <c r="C342" s="4"/>
      <c r="D342" s="6" t="s">
        <v>2142</v>
      </c>
      <c r="E342" s="263">
        <v>8</v>
      </c>
      <c r="F342" s="4"/>
      <c r="V342"/>
      <c r="W342"/>
      <c r="X342"/>
      <c r="Y342"/>
      <c r="Z342"/>
    </row>
    <row r="343" spans="1:26" ht="16.05" customHeight="1">
      <c r="C343" s="4"/>
      <c r="D343" s="6" t="s">
        <v>2143</v>
      </c>
      <c r="E343" s="263">
        <v>7.5</v>
      </c>
      <c r="F343" s="4"/>
      <c r="V343"/>
      <c r="W343"/>
      <c r="X343"/>
      <c r="Y343"/>
      <c r="Z343"/>
    </row>
    <row r="344" spans="1:26" ht="16.05" customHeight="1">
      <c r="C344" s="4"/>
      <c r="D344" s="6" t="s">
        <v>2144</v>
      </c>
      <c r="E344" s="263">
        <v>10</v>
      </c>
      <c r="F344" s="4"/>
      <c r="V344"/>
      <c r="W344"/>
      <c r="X344"/>
      <c r="Y344"/>
      <c r="Z344"/>
    </row>
    <row r="345" spans="1:26" ht="16.05" customHeight="1">
      <c r="C345" s="4"/>
      <c r="D345" s="6" t="s">
        <v>2145</v>
      </c>
      <c r="E345" s="263">
        <v>9.5</v>
      </c>
      <c r="F345" s="4"/>
      <c r="V345"/>
      <c r="W345"/>
      <c r="X345"/>
      <c r="Y345"/>
      <c r="Z345"/>
    </row>
    <row r="346" spans="1:26" ht="16.05" customHeight="1">
      <c r="C346" s="4"/>
      <c r="D346" s="6" t="s">
        <v>2146</v>
      </c>
      <c r="E346" s="263">
        <v>10</v>
      </c>
      <c r="F346" s="4"/>
      <c r="V346"/>
      <c r="W346"/>
      <c r="X346"/>
      <c r="Y346"/>
      <c r="Z346"/>
    </row>
    <row r="347" spans="1:26" ht="16.05" customHeight="1">
      <c r="C347" s="4"/>
      <c r="D347" s="6" t="s">
        <v>2147</v>
      </c>
      <c r="E347" s="263">
        <v>8</v>
      </c>
      <c r="F347" s="4"/>
      <c r="V347"/>
      <c r="W347"/>
      <c r="X347"/>
      <c r="Y347"/>
      <c r="Z347"/>
    </row>
    <row r="348" spans="1:26" ht="16.05" customHeight="1">
      <c r="C348" s="4"/>
      <c r="D348" s="6" t="s">
        <v>2148</v>
      </c>
      <c r="E348" s="263">
        <v>8.5</v>
      </c>
      <c r="F348" s="4"/>
      <c r="V348"/>
      <c r="W348"/>
      <c r="X348"/>
      <c r="Y348"/>
      <c r="Z348"/>
    </row>
    <row r="349" spans="1:26" ht="16.05" customHeight="1">
      <c r="C349" s="4"/>
      <c r="D349" s="6" t="s">
        <v>2149</v>
      </c>
      <c r="E349" s="263">
        <v>8</v>
      </c>
      <c r="F349" s="4"/>
      <c r="V349"/>
      <c r="W349"/>
      <c r="X349"/>
      <c r="Y349"/>
      <c r="Z349"/>
    </row>
    <row r="350" spans="1:26" ht="16.05" customHeight="1">
      <c r="C350" s="4"/>
      <c r="D350" s="6" t="s">
        <v>2150</v>
      </c>
      <c r="E350" s="263">
        <v>7.5</v>
      </c>
      <c r="F350" s="4"/>
      <c r="V350"/>
      <c r="W350"/>
      <c r="X350"/>
      <c r="Y350"/>
      <c r="Z350"/>
    </row>
    <row r="351" spans="1:26" ht="16.05" customHeight="1">
      <c r="C351" s="4"/>
      <c r="D351" s="6" t="s">
        <v>2151</v>
      </c>
      <c r="E351" s="263">
        <v>9</v>
      </c>
      <c r="F351" s="4"/>
      <c r="V351"/>
      <c r="W351"/>
      <c r="X351"/>
      <c r="Y351"/>
      <c r="Z351"/>
    </row>
    <row r="352" spans="1:26" ht="16.05" customHeight="1">
      <c r="C352" s="4"/>
      <c r="D352" s="6" t="s">
        <v>2152</v>
      </c>
      <c r="E352" s="263">
        <v>8</v>
      </c>
      <c r="F352" s="4"/>
      <c r="V352"/>
      <c r="W352"/>
      <c r="X352"/>
      <c r="Y352"/>
      <c r="Z352"/>
    </row>
    <row r="353" spans="3:26" ht="16.05" customHeight="1">
      <c r="C353" s="4"/>
      <c r="D353" s="6" t="s">
        <v>2153</v>
      </c>
      <c r="E353" s="263"/>
      <c r="F353" s="4"/>
      <c r="V353"/>
      <c r="W353"/>
      <c r="X353"/>
      <c r="Y353"/>
      <c r="Z353"/>
    </row>
    <row r="354" spans="3:26" ht="16.05" customHeight="1">
      <c r="C354" s="4"/>
      <c r="D354" s="6" t="s">
        <v>2154</v>
      </c>
      <c r="E354" s="263">
        <v>8</v>
      </c>
      <c r="F354" s="4"/>
      <c r="V354"/>
      <c r="W354"/>
      <c r="X354"/>
      <c r="Y354"/>
      <c r="Z354"/>
    </row>
    <row r="355" spans="3:26" ht="16.05" customHeight="1">
      <c r="C355" s="4"/>
      <c r="D355" s="6" t="s">
        <v>2155</v>
      </c>
      <c r="E355" s="263">
        <v>8.5</v>
      </c>
      <c r="F355" s="4"/>
      <c r="V355"/>
      <c r="W355"/>
      <c r="X355"/>
      <c r="Y355"/>
      <c r="Z355"/>
    </row>
    <row r="356" spans="3:26" ht="16.05" customHeight="1">
      <c r="C356" s="4"/>
      <c r="D356" s="6" t="s">
        <v>2156</v>
      </c>
      <c r="E356" s="263">
        <v>8</v>
      </c>
      <c r="F356" s="4"/>
      <c r="V356"/>
      <c r="W356"/>
      <c r="X356"/>
      <c r="Y356"/>
      <c r="Z356"/>
    </row>
    <row r="357" spans="3:26" ht="16.05" customHeight="1">
      <c r="C357" s="4"/>
      <c r="D357" s="6" t="s">
        <v>2157</v>
      </c>
      <c r="E357" s="263">
        <v>8.5</v>
      </c>
      <c r="F357" s="4"/>
      <c r="V357"/>
      <c r="W357"/>
      <c r="X357"/>
      <c r="Y357"/>
      <c r="Z357"/>
    </row>
    <row r="358" spans="3:26" ht="16.05" customHeight="1" thickBot="1">
      <c r="C358" s="4"/>
      <c r="D358" s="9" t="s">
        <v>1438</v>
      </c>
      <c r="E358" s="264">
        <v>9</v>
      </c>
      <c r="F358" s="4"/>
      <c r="V358"/>
      <c r="W358"/>
      <c r="X358"/>
      <c r="Y358"/>
      <c r="Z358"/>
    </row>
    <row r="359" spans="3:26" ht="16.05" customHeight="1">
      <c r="C359" s="4"/>
      <c r="D359" s="4"/>
      <c r="E359" s="4"/>
      <c r="F359" s="4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35:AD135"/>
    <mergeCell ref="R158:V158"/>
    <mergeCell ref="AG1:AH1"/>
    <mergeCell ref="R1:AD1"/>
  </mergeCells>
  <phoneticPr fontId="205" type="noConversion"/>
  <conditionalFormatting sqref="A2:B2 D2:E2 G2:H2 J2:K2 M2:N2 A16:B16 A26:B26 D14:E14 G17:H17 J14:K14 M14:N14 D30:E30 J25:K25 AK28:AK31">
    <cfRule type="colorScale" priority="1582">
      <colorScale>
        <cfvo type="num" val="5"/>
        <cfvo type="num" val="10"/>
        <color rgb="FFFF494D"/>
        <color rgb="FF00FF66"/>
      </colorScale>
    </cfRule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922" priority="1199" stopIfTrue="1" operator="between">
      <formula>8</formula>
      <formula>8.9</formula>
    </cfRule>
    <cfRule type="cellIs" dxfId="921" priority="1201" stopIfTrue="1" operator="between">
      <formula>10</formula>
      <formula>10</formula>
    </cfRule>
    <cfRule type="cellIs" dxfId="920" priority="1198" operator="between">
      <formula>7</formula>
      <formula>7.9</formula>
    </cfRule>
    <cfRule type="cellIs" dxfId="919" priority="1160" operator="between">
      <formula>10.1</formula>
      <formula>10.6</formula>
    </cfRule>
    <cfRule type="cellIs" dxfId="918" priority="1200" operator="between">
      <formula>9</formula>
      <formula>9.9</formula>
    </cfRule>
    <cfRule type="containsBlanks" dxfId="917" priority="1202" stopIfTrue="1">
      <formula>LEN(TRIM(B3))=0</formula>
    </cfRule>
  </conditionalFormatting>
  <conditionalFormatting sqref="B17:B24">
    <cfRule type="cellIs" dxfId="916" priority="1136" operator="between">
      <formula>10.1</formula>
      <formula>10.6</formula>
    </cfRule>
    <cfRule type="containsBlanks" dxfId="915" priority="1141" stopIfTrue="1">
      <formula>LEN(TRIM(B17))=0</formula>
    </cfRule>
    <cfRule type="cellIs" dxfId="914" priority="1140" stopIfTrue="1" operator="between">
      <formula>10</formula>
      <formula>10</formula>
    </cfRule>
    <cfRule type="cellIs" dxfId="913" priority="1139" operator="between">
      <formula>9</formula>
      <formula>9.9</formula>
    </cfRule>
    <cfRule type="cellIs" dxfId="912" priority="1138" stopIfTrue="1" operator="between">
      <formula>8</formula>
      <formula>8.9</formula>
    </cfRule>
    <cfRule type="cellIs" dxfId="911" priority="1137" operator="between">
      <formula>7</formula>
      <formula>7.9</formula>
    </cfRule>
  </conditionalFormatting>
  <conditionalFormatting sqref="B27:B31">
    <cfRule type="containsBlanks" dxfId="910" priority="1135" stopIfTrue="1">
      <formula>LEN(TRIM(B27))=0</formula>
    </cfRule>
    <cfRule type="cellIs" dxfId="909" priority="1134" stopIfTrue="1" operator="between">
      <formula>10</formula>
      <formula>10</formula>
    </cfRule>
    <cfRule type="cellIs" dxfId="908" priority="1133" operator="between">
      <formula>9</formula>
      <formula>9.9</formula>
    </cfRule>
    <cfRule type="cellIs" dxfId="907" priority="1130" operator="between">
      <formula>10.1</formula>
      <formula>10.6</formula>
    </cfRule>
    <cfRule type="cellIs" dxfId="906" priority="1131" operator="between">
      <formula>7</formula>
      <formula>7.9</formula>
    </cfRule>
    <cfRule type="cellIs" dxfId="905" priority="1132" stopIfTrue="1" operator="between">
      <formula>8</formula>
      <formula>8.9</formula>
    </cfRule>
  </conditionalFormatting>
  <conditionalFormatting sqref="B33">
    <cfRule type="colorScale" priority="1533">
      <colorScale>
        <cfvo type="num" val="5"/>
        <cfvo type="num" val="10"/>
        <color rgb="FFFF494D"/>
        <color rgb="FF00FF66"/>
      </colorScale>
    </cfRule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04" priority="1128" stopIfTrue="1" operator="between">
      <formula>10</formula>
      <formula>10</formula>
    </cfRule>
    <cfRule type="cellIs" dxfId="903" priority="1127" operator="between">
      <formula>9</formula>
      <formula>9.9</formula>
    </cfRule>
    <cfRule type="cellIs" dxfId="902" priority="1126" stopIfTrue="1" operator="between">
      <formula>8</formula>
      <formula>8.9</formula>
    </cfRule>
    <cfRule type="cellIs" dxfId="901" priority="1125" operator="between">
      <formula>7</formula>
      <formula>7.9</formula>
    </cfRule>
    <cfRule type="cellIs" dxfId="900" priority="1124" operator="between">
      <formula>10.1</formula>
      <formula>10.6</formula>
    </cfRule>
    <cfRule type="containsBlanks" dxfId="899" priority="1129" stopIfTrue="1">
      <formula>LEN(TRIM(B34))=0</formula>
    </cfRule>
  </conditionalFormatting>
  <conditionalFormatting sqref="B47">
    <cfRule type="colorScale" priority="1209">
      <colorScale>
        <cfvo type="num" val="5"/>
        <cfvo type="num" val="10"/>
        <color rgb="FFFF494D"/>
        <color rgb="FF00FF66"/>
      </colorScale>
    </cfRule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898" priority="1099" stopIfTrue="1">
      <formula>LEN(TRIM(B48))=0</formula>
    </cfRule>
    <cfRule type="cellIs" dxfId="897" priority="1095" operator="between">
      <formula>7</formula>
      <formula>7.9</formula>
    </cfRule>
    <cfRule type="cellIs" dxfId="896" priority="1098" stopIfTrue="1" operator="between">
      <formula>10</formula>
      <formula>10</formula>
    </cfRule>
    <cfRule type="cellIs" dxfId="895" priority="1096" stopIfTrue="1" operator="between">
      <formula>8</formula>
      <formula>8.9</formula>
    </cfRule>
    <cfRule type="cellIs" dxfId="894" priority="1097" operator="between">
      <formula>9</formula>
      <formula>9.9</formula>
    </cfRule>
    <cfRule type="cellIs" dxfId="893" priority="1094" operator="between">
      <formula>10.1</formula>
      <formula>10.6</formula>
    </cfRule>
  </conditionalFormatting>
  <conditionalFormatting sqref="B59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92" priority="1075" operator="between">
      <formula>9</formula>
      <formula>9.9</formula>
    </cfRule>
    <cfRule type="containsBlanks" dxfId="891" priority="1077" stopIfTrue="1">
      <formula>LEN(TRIM(B60))=0</formula>
    </cfRule>
    <cfRule type="cellIs" dxfId="890" priority="1076" stopIfTrue="1" operator="between">
      <formula>10</formula>
      <formula>10</formula>
    </cfRule>
    <cfRule type="cellIs" dxfId="889" priority="1074" stopIfTrue="1" operator="between">
      <formula>8</formula>
      <formula>8.9</formula>
    </cfRule>
    <cfRule type="cellIs" dxfId="888" priority="1072" operator="between">
      <formula>10.1</formula>
      <formula>10.6</formula>
    </cfRule>
    <cfRule type="cellIs" dxfId="887" priority="1073" operator="between">
      <formula>7</formula>
      <formula>7.9</formula>
    </cfRule>
  </conditionalFormatting>
  <conditionalFormatting sqref="B70">
    <cfRule type="colorScale" priority="1006">
      <colorScale>
        <cfvo type="num" val="5"/>
        <cfvo type="num" val="10"/>
        <color rgb="FFFF494D"/>
        <color rgb="FF00FF66"/>
      </colorScale>
    </cfRule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86" priority="986" operator="between">
      <formula>10.1</formula>
      <formula>10.6</formula>
    </cfRule>
    <cfRule type="cellIs" dxfId="885" priority="987" operator="between">
      <formula>7</formula>
      <formula>7.9</formula>
    </cfRule>
    <cfRule type="cellIs" dxfId="884" priority="988" stopIfTrue="1" operator="between">
      <formula>8</formula>
      <formula>8.9</formula>
    </cfRule>
    <cfRule type="cellIs" dxfId="883" priority="989" operator="between">
      <formula>9</formula>
      <formula>9.9</formula>
    </cfRule>
    <cfRule type="cellIs" dxfId="882" priority="990" stopIfTrue="1" operator="between">
      <formula>10</formula>
      <formula>10</formula>
    </cfRule>
    <cfRule type="containsBlanks" dxfId="881" priority="991" stopIfTrue="1">
      <formula>LEN(TRIM(B71))=0</formula>
    </cfRule>
  </conditionalFormatting>
  <conditionalFormatting sqref="B73">
    <cfRule type="cellIs" dxfId="880" priority="985" operator="between">
      <formula>6</formula>
      <formula>6.9</formula>
    </cfRule>
  </conditionalFormatting>
  <conditionalFormatting sqref="B79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879" priority="962" operator="between">
      <formula>10.1</formula>
      <formula>10.6</formula>
    </cfRule>
    <cfRule type="cellIs" dxfId="878" priority="964" stopIfTrue="1" operator="between">
      <formula>8</formula>
      <formula>8.9</formula>
    </cfRule>
    <cfRule type="cellIs" dxfId="877" priority="963" operator="between">
      <formula>7</formula>
      <formula>7.9</formula>
    </cfRule>
    <cfRule type="containsBlanks" dxfId="876" priority="967" stopIfTrue="1">
      <formula>LEN(TRIM(B80))=0</formula>
    </cfRule>
    <cfRule type="cellIs" dxfId="875" priority="965" operator="between">
      <formula>9</formula>
      <formula>9.9</formula>
    </cfRule>
    <cfRule type="cellIs" dxfId="874" priority="966" stopIfTrue="1" operator="between">
      <formula>10</formula>
      <formula>10</formula>
    </cfRule>
  </conditionalFormatting>
  <conditionalFormatting sqref="B93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73" priority="916" operator="between">
      <formula>7</formula>
      <formula>7.9</formula>
    </cfRule>
    <cfRule type="cellIs" dxfId="872" priority="918" operator="between">
      <formula>9</formula>
      <formula>9.9</formula>
    </cfRule>
    <cfRule type="cellIs" dxfId="871" priority="917" stopIfTrue="1" operator="between">
      <formula>8</formula>
      <formula>8.9</formula>
    </cfRule>
    <cfRule type="cellIs" dxfId="870" priority="915" operator="between">
      <formula>10.1</formula>
      <formula>10.6</formula>
    </cfRule>
    <cfRule type="containsBlanks" dxfId="869" priority="920" stopIfTrue="1">
      <formula>LEN(TRIM(B94))=0</formula>
    </cfRule>
    <cfRule type="cellIs" dxfId="868" priority="919" stopIfTrue="1" operator="between">
      <formula>10</formula>
      <formula>10</formula>
    </cfRule>
  </conditionalFormatting>
  <conditionalFormatting sqref="B103">
    <cfRule type="colorScale" priority="873">
      <colorScale>
        <cfvo type="num" val="5"/>
        <cfvo type="num" val="10"/>
        <color rgb="FFFF494D"/>
        <color rgb="FF00FF66"/>
      </colorScale>
    </cfRule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67" priority="869" operator="between">
      <formula>9</formula>
      <formula>9.9</formula>
    </cfRule>
    <cfRule type="cellIs" dxfId="866" priority="870" stopIfTrue="1" operator="between">
      <formula>10</formula>
      <formula>10</formula>
    </cfRule>
    <cfRule type="cellIs" dxfId="865" priority="867" operator="between">
      <formula>7</formula>
      <formula>7.9</formula>
    </cfRule>
    <cfRule type="cellIs" dxfId="864" priority="866" operator="between">
      <formula>10.1</formula>
      <formula>10.6</formula>
    </cfRule>
    <cfRule type="containsBlanks" dxfId="863" priority="871" stopIfTrue="1">
      <formula>LEN(TRIM(B104))=0</formula>
    </cfRule>
    <cfRule type="cellIs" dxfId="862" priority="868" stopIfTrue="1" operator="between">
      <formula>8</formula>
      <formula>8.9</formula>
    </cfRule>
  </conditionalFormatting>
  <conditionalFormatting sqref="B114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861" priority="826" stopIfTrue="1">
      <formula>LEN(TRIM(B115))=0</formula>
    </cfRule>
    <cfRule type="cellIs" dxfId="860" priority="820" operator="between">
      <formula>6</formula>
      <formula>6.9</formula>
    </cfRule>
    <cfRule type="cellIs" dxfId="859" priority="821" operator="between">
      <formula>10.1</formula>
      <formula>10.6</formula>
    </cfRule>
    <cfRule type="cellIs" dxfId="858" priority="822" operator="between">
      <formula>7</formula>
      <formula>7.9</formula>
    </cfRule>
    <cfRule type="cellIs" dxfId="857" priority="823" stopIfTrue="1" operator="between">
      <formula>8</formula>
      <formula>8.9</formula>
    </cfRule>
    <cfRule type="cellIs" dxfId="856" priority="824" operator="between">
      <formula>9</formula>
      <formula>9.9</formula>
    </cfRule>
    <cfRule type="cellIs" dxfId="855" priority="825" stopIfTrue="1" operator="between">
      <formula>10</formula>
      <formula>10</formula>
    </cfRule>
  </conditionalFormatting>
  <conditionalFormatting sqref="B134"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854" priority="749" stopIfTrue="1">
      <formula>LEN(TRIM(B135))=0</formula>
    </cfRule>
    <cfRule type="cellIs" dxfId="853" priority="743" operator="between">
      <formula>6</formula>
      <formula>6.9</formula>
    </cfRule>
    <cfRule type="cellIs" dxfId="852" priority="748" stopIfTrue="1" operator="between">
      <formula>10</formula>
      <formula>10</formula>
    </cfRule>
    <cfRule type="cellIs" dxfId="851" priority="744" operator="between">
      <formula>10.1</formula>
      <formula>10.6</formula>
    </cfRule>
    <cfRule type="cellIs" dxfId="850" priority="745" operator="between">
      <formula>7</formula>
      <formula>7.9</formula>
    </cfRule>
    <cfRule type="cellIs" dxfId="849" priority="746" stopIfTrue="1" operator="between">
      <formula>8</formula>
      <formula>8.9</formula>
    </cfRule>
    <cfRule type="cellIs" dxfId="848" priority="747" operator="between">
      <formula>9</formula>
      <formula>9.9</formula>
    </cfRule>
  </conditionalFormatting>
  <conditionalFormatting sqref="B145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847" priority="698" operator="between">
      <formula>6</formula>
      <formula>6.9</formula>
    </cfRule>
    <cfRule type="cellIs" dxfId="846" priority="700" operator="between">
      <formula>7</formula>
      <formula>7.9</formula>
    </cfRule>
    <cfRule type="cellIs" dxfId="845" priority="701" stopIfTrue="1" operator="between">
      <formula>8</formula>
      <formula>8.9</formula>
    </cfRule>
    <cfRule type="cellIs" dxfId="844" priority="699" operator="between">
      <formula>10.1</formula>
      <formula>10.6</formula>
    </cfRule>
    <cfRule type="containsBlanks" dxfId="843" priority="704" stopIfTrue="1">
      <formula>LEN(TRIM(B146))=0</formula>
    </cfRule>
    <cfRule type="cellIs" dxfId="842" priority="703" stopIfTrue="1" operator="between">
      <formula>10</formula>
      <formula>10</formula>
    </cfRule>
    <cfRule type="cellIs" dxfId="841" priority="702" operator="between">
      <formula>9</formula>
      <formula>9.9</formula>
    </cfRule>
  </conditionalFormatting>
  <conditionalFormatting sqref="B162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840" priority="638" operator="between">
      <formula>10.1</formula>
      <formula>10.6</formula>
    </cfRule>
    <cfRule type="cellIs" dxfId="839" priority="637" operator="between">
      <formula>6</formula>
      <formula>6.9</formula>
    </cfRule>
    <cfRule type="containsBlanks" dxfId="838" priority="643" stopIfTrue="1">
      <formula>LEN(TRIM(B163))=0</formula>
    </cfRule>
    <cfRule type="cellIs" dxfId="837" priority="639" operator="between">
      <formula>7</formula>
      <formula>7.9</formula>
    </cfRule>
    <cfRule type="cellIs" dxfId="836" priority="640" stopIfTrue="1" operator="between">
      <formula>8</formula>
      <formula>8.9</formula>
    </cfRule>
    <cfRule type="cellIs" dxfId="835" priority="641" operator="between">
      <formula>9</formula>
      <formula>9.9</formula>
    </cfRule>
    <cfRule type="cellIs" dxfId="834" priority="642" stopIfTrue="1" operator="between">
      <formula>10</formula>
      <formula>10</formula>
    </cfRule>
  </conditionalFormatting>
  <conditionalFormatting sqref="B172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833" priority="605" stopIfTrue="1">
      <formula>LEN(TRIM(B173))=0</formula>
    </cfRule>
    <cfRule type="cellIs" dxfId="832" priority="600" operator="between">
      <formula>10.1</formula>
      <formula>10.6</formula>
    </cfRule>
    <cfRule type="cellIs" dxfId="831" priority="599" operator="between">
      <formula>6</formula>
      <formula>6.9</formula>
    </cfRule>
    <cfRule type="cellIs" dxfId="830" priority="601" operator="between">
      <formula>7</formula>
      <formula>7.9</formula>
    </cfRule>
    <cfRule type="cellIs" dxfId="829" priority="602" stopIfTrue="1" operator="between">
      <formula>8</formula>
      <formula>8.9</formula>
    </cfRule>
    <cfRule type="cellIs" dxfId="828" priority="603" operator="between">
      <formula>9</formula>
      <formula>9.9</formula>
    </cfRule>
    <cfRule type="cellIs" dxfId="827" priority="604" stopIfTrue="1" operator="between">
      <formula>10</formula>
      <formula>10</formula>
    </cfRule>
  </conditionalFormatting>
  <conditionalFormatting sqref="B185">
    <cfRule type="colorScale" priority="569">
      <colorScale>
        <cfvo type="num" val="5"/>
        <cfvo type="num" val="10"/>
        <color rgb="FFFF494D"/>
        <color rgb="FF00FF66"/>
      </colorScale>
    </cfRule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826" priority="567" stopIfTrue="1">
      <formula>LEN(TRIM(B186))=0</formula>
    </cfRule>
    <cfRule type="cellIs" dxfId="825" priority="564" stopIfTrue="1" operator="between">
      <formula>8</formula>
      <formula>8.9</formula>
    </cfRule>
    <cfRule type="cellIs" dxfId="824" priority="563" operator="between">
      <formula>7</formula>
      <formula>7.9</formula>
    </cfRule>
    <cfRule type="cellIs" dxfId="823" priority="562" operator="between">
      <formula>10.1</formula>
      <formula>10.6</formula>
    </cfRule>
    <cfRule type="cellIs" dxfId="822" priority="561" operator="between">
      <formula>6</formula>
      <formula>6.9</formula>
    </cfRule>
    <cfRule type="cellIs" dxfId="821" priority="566" stopIfTrue="1" operator="between">
      <formula>10</formula>
      <formula>10</formula>
    </cfRule>
    <cfRule type="cellIs" dxfId="820" priority="565" operator="between">
      <formula>9</formula>
      <formula>9.9</formula>
    </cfRule>
  </conditionalFormatting>
  <conditionalFormatting sqref="B196">
    <cfRule type="colorScale" priority="511">
      <colorScale>
        <cfvo type="num" val="5"/>
        <cfvo type="num" val="10"/>
        <color rgb="FFFF494D"/>
        <color rgb="FF00FF66"/>
      </colorScale>
    </cfRule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819" priority="518" stopIfTrue="1">
      <formula>LEN(TRIM(B197))=0</formula>
    </cfRule>
    <cfRule type="cellIs" dxfId="818" priority="516" operator="between">
      <formula>9</formula>
      <formula>9.9</formula>
    </cfRule>
    <cfRule type="cellIs" dxfId="817" priority="515" stopIfTrue="1" operator="between">
      <formula>8</formula>
      <formula>8.9</formula>
    </cfRule>
    <cfRule type="cellIs" dxfId="816" priority="514" operator="between">
      <formula>7</formula>
      <formula>7.9</formula>
    </cfRule>
    <cfRule type="cellIs" dxfId="815" priority="513" operator="between">
      <formula>10.1</formula>
      <formula>10.6</formula>
    </cfRule>
    <cfRule type="cellIs" dxfId="814" priority="512" operator="between">
      <formula>6</formula>
      <formula>6.9</formula>
    </cfRule>
    <cfRule type="cellIs" dxfId="813" priority="517" stopIfTrue="1" operator="between">
      <formula>10</formula>
      <formula>10</formula>
    </cfRule>
  </conditionalFormatting>
  <conditionalFormatting sqref="B213">
    <cfRule type="colorScale" priority="444">
      <colorScale>
        <cfvo type="num" val="5"/>
        <cfvo type="num" val="10"/>
        <color rgb="FFFF494D"/>
        <color rgb="FF00FF66"/>
      </colorScale>
    </cfRule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812" priority="438" operator="between">
      <formula>7</formula>
      <formula>7.9</formula>
    </cfRule>
    <cfRule type="cellIs" dxfId="811" priority="436" operator="between">
      <formula>6</formula>
      <formula>6.9</formula>
    </cfRule>
    <cfRule type="cellIs" dxfId="810" priority="437" operator="between">
      <formula>10.1</formula>
      <formula>10.6</formula>
    </cfRule>
    <cfRule type="containsBlanks" dxfId="809" priority="442" stopIfTrue="1">
      <formula>LEN(TRIM(B214))=0</formula>
    </cfRule>
    <cfRule type="cellIs" dxfId="808" priority="441" stopIfTrue="1" operator="between">
      <formula>10</formula>
      <formula>10</formula>
    </cfRule>
    <cfRule type="cellIs" dxfId="807" priority="439" stopIfTrue="1" operator="between">
      <formula>8</formula>
      <formula>8.9</formula>
    </cfRule>
    <cfRule type="cellIs" dxfId="806" priority="440" operator="between">
      <formula>9</formula>
      <formula>9.9</formula>
    </cfRule>
  </conditionalFormatting>
  <conditionalFormatting sqref="B226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05" priority="378" stopIfTrue="1" operator="between">
      <formula>10</formula>
      <formula>10</formula>
    </cfRule>
    <cfRule type="containsBlanks" dxfId="804" priority="379" stopIfTrue="1">
      <formula>LEN(TRIM(B236))=0</formula>
    </cfRule>
    <cfRule type="cellIs" dxfId="803" priority="377" operator="between">
      <formula>9</formula>
      <formula>9.9</formula>
    </cfRule>
    <cfRule type="cellIs" dxfId="802" priority="376" stopIfTrue="1" operator="between">
      <formula>8</formula>
      <formula>8.9</formula>
    </cfRule>
    <cfRule type="cellIs" dxfId="801" priority="375" operator="between">
      <formula>7</formula>
      <formula>7.9</formula>
    </cfRule>
    <cfRule type="cellIs" dxfId="800" priority="374" operator="between">
      <formula>10.1</formula>
      <formula>10.6</formula>
    </cfRule>
    <cfRule type="cellIs" dxfId="799" priority="373" operator="between">
      <formula>6</formula>
      <formula>6.9</formula>
    </cfRule>
  </conditionalFormatting>
  <conditionalFormatting sqref="B246"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98" priority="328" operator="between">
      <formula>6</formula>
      <formula>6.9</formula>
    </cfRule>
    <cfRule type="cellIs" dxfId="797" priority="329" operator="between">
      <formula>10.1</formula>
      <formula>10.6</formula>
    </cfRule>
    <cfRule type="cellIs" dxfId="796" priority="330" operator="between">
      <formula>7</formula>
      <formula>7.9</formula>
    </cfRule>
    <cfRule type="cellIs" dxfId="795" priority="331" stopIfTrue="1" operator="between">
      <formula>8</formula>
      <formula>8.9</formula>
    </cfRule>
    <cfRule type="cellIs" dxfId="794" priority="333" stopIfTrue="1" operator="between">
      <formula>10</formula>
      <formula>10</formula>
    </cfRule>
    <cfRule type="containsBlanks" dxfId="793" priority="334" stopIfTrue="1">
      <formula>LEN(TRIM(B247))=0</formula>
    </cfRule>
    <cfRule type="cellIs" dxfId="792" priority="332" operator="between">
      <formula>9</formula>
      <formula>9.9</formula>
    </cfRule>
  </conditionalFormatting>
  <conditionalFormatting sqref="B260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791" priority="296" stopIfTrue="1">
      <formula>LEN(TRIM(B261))=0</formula>
    </cfRule>
    <cfRule type="cellIs" dxfId="790" priority="295" stopIfTrue="1" operator="between">
      <formula>10</formula>
      <formula>10</formula>
    </cfRule>
    <cfRule type="cellIs" dxfId="789" priority="290" operator="between">
      <formula>6</formula>
      <formula>6.9</formula>
    </cfRule>
    <cfRule type="cellIs" dxfId="788" priority="291" operator="between">
      <formula>10.1</formula>
      <formula>10.6</formula>
    </cfRule>
    <cfRule type="cellIs" dxfId="787" priority="292" operator="between">
      <formula>7</formula>
      <formula>7.9</formula>
    </cfRule>
    <cfRule type="cellIs" dxfId="786" priority="293" stopIfTrue="1" operator="between">
      <formula>8</formula>
      <formula>8.9</formula>
    </cfRule>
    <cfRule type="cellIs" dxfId="785" priority="294" operator="between">
      <formula>9</formula>
      <formula>9.9</formula>
    </cfRule>
  </conditionalFormatting>
  <conditionalFormatting sqref="B272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84" priority="253" stopIfTrue="1" operator="between">
      <formula>10</formula>
      <formula>10</formula>
    </cfRule>
    <cfRule type="containsBlanks" dxfId="783" priority="254" stopIfTrue="1">
      <formula>LEN(TRIM(B273))=0</formula>
    </cfRule>
    <cfRule type="cellIs" dxfId="782" priority="248" operator="between">
      <formula>6</formula>
      <formula>6.9</formula>
    </cfRule>
    <cfRule type="cellIs" dxfId="781" priority="249" operator="between">
      <formula>10.1</formula>
      <formula>10.6</formula>
    </cfRule>
    <cfRule type="cellIs" dxfId="780" priority="250" operator="between">
      <formula>7</formula>
      <formula>7.9</formula>
    </cfRule>
    <cfRule type="cellIs" dxfId="779" priority="251" stopIfTrue="1" operator="between">
      <formula>8</formula>
      <formula>8.9</formula>
    </cfRule>
    <cfRule type="cellIs" dxfId="778" priority="252" operator="between">
      <formula>9</formula>
      <formula>9.9</formula>
    </cfRule>
  </conditionalFormatting>
  <conditionalFormatting sqref="B279">
    <cfRule type="colorScale" priority="208">
      <colorScale>
        <cfvo type="num" val="5"/>
        <cfvo type="num" val="10"/>
        <color rgb="FFFF494D"/>
        <color rgb="FF00FF66"/>
      </colorScale>
    </cfRule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777" priority="206" stopIfTrue="1">
      <formula>LEN(TRIM(B280))=0</formula>
    </cfRule>
    <cfRule type="cellIs" dxfId="776" priority="205" stopIfTrue="1" operator="between">
      <formula>10</formula>
      <formula>10</formula>
    </cfRule>
    <cfRule type="cellIs" dxfId="775" priority="204" operator="between">
      <formula>9</formula>
      <formula>9.9</formula>
    </cfRule>
    <cfRule type="cellIs" dxfId="774" priority="203" stopIfTrue="1" operator="between">
      <formula>8</formula>
      <formula>8.9</formula>
    </cfRule>
    <cfRule type="cellIs" dxfId="773" priority="202" operator="between">
      <formula>7</formula>
      <formula>7.9</formula>
    </cfRule>
    <cfRule type="cellIs" dxfId="772" priority="201" operator="between">
      <formula>10.1</formula>
      <formula>10.6</formula>
    </cfRule>
    <cfRule type="cellIs" dxfId="771" priority="200" operator="between">
      <formula>6</formula>
      <formula>6.9</formula>
    </cfRule>
  </conditionalFormatting>
  <conditionalFormatting sqref="B309">
    <cfRule type="colorScale" priority="97">
      <colorScale>
        <cfvo type="num" val="5"/>
        <cfvo type="num" val="10"/>
        <color rgb="FFFF494D"/>
        <color rgb="FF00FF66"/>
      </colorScale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770" priority="94" stopIfTrue="1" operator="between">
      <formula>10</formula>
      <formula>10</formula>
    </cfRule>
    <cfRule type="containsBlanks" dxfId="769" priority="95" stopIfTrue="1">
      <formula>LEN(TRIM(B310))=0</formula>
    </cfRule>
    <cfRule type="cellIs" dxfId="768" priority="93" operator="between">
      <formula>9</formula>
      <formula>9.9</formula>
    </cfRule>
    <cfRule type="cellIs" dxfId="767" priority="92" stopIfTrue="1" operator="between">
      <formula>8</formula>
      <formula>8.9</formula>
    </cfRule>
    <cfRule type="cellIs" dxfId="766" priority="91" operator="between">
      <formula>7</formula>
      <formula>7.9</formula>
    </cfRule>
    <cfRule type="cellIs" dxfId="765" priority="90" operator="between">
      <formula>10.1</formula>
      <formula>10.6</formula>
    </cfRule>
    <cfRule type="cellIs" dxfId="764" priority="89" operator="between">
      <formula>6</formula>
      <formula>6.9</formula>
    </cfRule>
  </conditionalFormatting>
  <conditionalFormatting sqref="B322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763" priority="23" stopIfTrue="1">
      <formula>LEN(TRIM(B323))=0</formula>
    </cfRule>
    <cfRule type="cellIs" dxfId="762" priority="31" stopIfTrue="1" operator="between">
      <formula>10</formula>
      <formula>10</formula>
    </cfRule>
    <cfRule type="cellIs" dxfId="761" priority="30" operator="between">
      <formula>9</formula>
      <formula>9.9</formula>
    </cfRule>
    <cfRule type="cellIs" dxfId="760" priority="28" operator="between">
      <formula>7</formula>
      <formula>7.9</formula>
    </cfRule>
    <cfRule type="cellIs" dxfId="759" priority="27" operator="between">
      <formula>10.1</formula>
      <formula>10.6</formula>
    </cfRule>
    <cfRule type="cellIs" dxfId="758" priority="26" operator="between">
      <formula>5</formula>
      <formula>6.9</formula>
    </cfRule>
    <cfRule type="cellIs" dxfId="757" priority="25" operator="between">
      <formula>2</formula>
      <formula>4.9</formula>
    </cfRule>
    <cfRule type="cellIs" dxfId="756" priority="24" operator="lessThan">
      <formula>2</formula>
    </cfRule>
    <cfRule type="cellIs" dxfId="755" priority="29" stopIfTrue="1" operator="between">
      <formula>8</formula>
      <formula>8.9</formula>
    </cfRule>
  </conditionalFormatting>
  <conditionalFormatting sqref="E3:E12">
    <cfRule type="cellIs" dxfId="754" priority="1158" stopIfTrue="1" operator="between">
      <formula>10</formula>
      <formula>10</formula>
    </cfRule>
    <cfRule type="containsBlanks" dxfId="753" priority="1159" stopIfTrue="1">
      <formula>LEN(TRIM(E3))=0</formula>
    </cfRule>
    <cfRule type="cellIs" dxfId="752" priority="1154" operator="between">
      <formula>10.1</formula>
      <formula>10.6</formula>
    </cfRule>
    <cfRule type="cellIs" dxfId="751" priority="1155" operator="between">
      <formula>7</formula>
      <formula>7.9</formula>
    </cfRule>
    <cfRule type="cellIs" dxfId="750" priority="1156" stopIfTrue="1" operator="between">
      <formula>8</formula>
      <formula>8.9</formula>
    </cfRule>
    <cfRule type="cellIs" dxfId="749" priority="1157" operator="between">
      <formula>9</formula>
      <formula>9.9</formula>
    </cfRule>
  </conditionalFormatting>
  <conditionalFormatting sqref="E15:E28">
    <cfRule type="cellIs" dxfId="748" priority="465" stopIfTrue="1" operator="between">
      <formula>8</formula>
      <formula>8.9</formula>
    </cfRule>
    <cfRule type="cellIs" dxfId="747" priority="467" stopIfTrue="1" operator="between">
      <formula>10</formula>
      <formula>10</formula>
    </cfRule>
    <cfRule type="containsBlanks" dxfId="746" priority="468" stopIfTrue="1">
      <formula>LEN(TRIM(E15))=0</formula>
    </cfRule>
    <cfRule type="cellIs" dxfId="745" priority="464" operator="between">
      <formula>7</formula>
      <formula>7.9</formula>
    </cfRule>
    <cfRule type="cellIs" dxfId="744" priority="466" operator="between">
      <formula>9</formula>
      <formula>9.9</formula>
    </cfRule>
  </conditionalFormatting>
  <conditionalFormatting sqref="E16">
    <cfRule type="cellIs" dxfId="743" priority="463" operator="between">
      <formula>10.1</formula>
      <formula>10.6</formula>
    </cfRule>
  </conditionalFormatting>
  <conditionalFormatting sqref="E31:E37">
    <cfRule type="containsBlanks" dxfId="742" priority="1123" stopIfTrue="1">
      <formula>LEN(TRIM(E31))=0</formula>
    </cfRule>
    <cfRule type="cellIs" dxfId="741" priority="1121" operator="between">
      <formula>9</formula>
      <formula>9.9</formula>
    </cfRule>
    <cfRule type="cellIs" dxfId="740" priority="1122" stopIfTrue="1" operator="between">
      <formula>10</formula>
      <formula>10</formula>
    </cfRule>
    <cfRule type="cellIs" dxfId="739" priority="1120" stopIfTrue="1" operator="between">
      <formula>8</formula>
      <formula>8.9</formula>
    </cfRule>
    <cfRule type="cellIs" dxfId="738" priority="1119" operator="between">
      <formula>7</formula>
      <formula>7.9</formula>
    </cfRule>
    <cfRule type="cellIs" dxfId="737" priority="1118" operator="between">
      <formula>10.1</formula>
      <formula>10.6</formula>
    </cfRule>
  </conditionalFormatting>
  <conditionalFormatting sqref="E39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36" priority="1233" stopIfTrue="1" operator="between">
      <formula>10</formula>
      <formula>10</formula>
    </cfRule>
    <cfRule type="cellIs" dxfId="735" priority="1231" stopIfTrue="1" operator="between">
      <formula>8</formula>
      <formula>8.9</formula>
    </cfRule>
    <cfRule type="cellIs" dxfId="734" priority="1232" operator="between">
      <formula>9</formula>
      <formula>9.9</formula>
    </cfRule>
    <cfRule type="cellIs" dxfId="733" priority="1230" operator="between">
      <formula>7</formula>
      <formula>7.9</formula>
    </cfRule>
  </conditionalFormatting>
  <conditionalFormatting sqref="E54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32" priority="1101" operator="between">
      <formula>7</formula>
      <formula>7.9</formula>
    </cfRule>
    <cfRule type="cellIs" dxfId="731" priority="1100" operator="between">
      <formula>10.1</formula>
      <formula>10.6</formula>
    </cfRule>
    <cfRule type="cellIs" dxfId="730" priority="1102" stopIfTrue="1" operator="between">
      <formula>8</formula>
      <formula>8.9</formula>
    </cfRule>
    <cfRule type="containsBlanks" dxfId="729" priority="1105" stopIfTrue="1">
      <formula>LEN(TRIM(E55))=0</formula>
    </cfRule>
    <cfRule type="cellIs" dxfId="728" priority="1104" stopIfTrue="1" operator="between">
      <formula>10</formula>
      <formula>10</formula>
    </cfRule>
    <cfRule type="cellIs" dxfId="727" priority="1103" operator="between">
      <formula>9</formula>
      <formula>9.9</formula>
    </cfRule>
  </conditionalFormatting>
  <conditionalFormatting sqref="E65">
    <cfRule type="colorScale" priority="1032">
      <colorScale>
        <cfvo type="num" val="5"/>
        <cfvo type="num" val="10"/>
        <color rgb="FFFF494D"/>
        <color rgb="FF00FF66"/>
      </colorScale>
    </cfRule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726" priority="1038" stopIfTrue="1">
      <formula>LEN(TRIM(E66))=0</formula>
    </cfRule>
    <cfRule type="cellIs" dxfId="725" priority="1036" operator="between">
      <formula>9</formula>
      <formula>9.9</formula>
    </cfRule>
    <cfRule type="cellIs" dxfId="724" priority="1037" stopIfTrue="1" operator="between">
      <formula>10</formula>
      <formula>10</formula>
    </cfRule>
    <cfRule type="cellIs" dxfId="723" priority="1033" operator="between">
      <formula>10.1</formula>
      <formula>10.6</formula>
    </cfRule>
    <cfRule type="cellIs" dxfId="722" priority="1035" stopIfTrue="1" operator="between">
      <formula>8</formula>
      <formula>8.9</formula>
    </cfRule>
    <cfRule type="cellIs" dxfId="721" priority="1034" operator="between">
      <formula>7</formula>
      <formula>7.9</formula>
    </cfRule>
  </conditionalFormatting>
  <conditionalFormatting sqref="E80">
    <cfRule type="colorScale" priority="961">
      <colorScale>
        <cfvo type="num" val="5"/>
        <cfvo type="num" val="10"/>
        <color rgb="FFFF494D"/>
        <color rgb="FF00FF66"/>
      </colorScale>
    </cfRule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20" priority="958" stopIfTrue="1" operator="between">
      <formula>10</formula>
      <formula>10</formula>
    </cfRule>
    <cfRule type="cellIs" dxfId="719" priority="956" stopIfTrue="1" operator="between">
      <formula>8</formula>
      <formula>8.9</formula>
    </cfRule>
    <cfRule type="cellIs" dxfId="718" priority="955" operator="between">
      <formula>7</formula>
      <formula>7.9</formula>
    </cfRule>
    <cfRule type="cellIs" dxfId="717" priority="954" operator="between">
      <formula>10.1</formula>
      <formula>10.6</formula>
    </cfRule>
    <cfRule type="cellIs" dxfId="716" priority="957" operator="between">
      <formula>9</formula>
      <formula>9.9</formula>
    </cfRule>
    <cfRule type="containsBlanks" dxfId="715" priority="959" stopIfTrue="1">
      <formula>LEN(TRIM(E81))=0</formula>
    </cfRule>
  </conditionalFormatting>
  <conditionalFormatting sqref="E101">
    <cfRule type="colorScale" priority="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14" priority="880" stopIfTrue="1" operator="between">
      <formula>10</formula>
      <formula>10</formula>
    </cfRule>
    <cfRule type="cellIs" dxfId="713" priority="876" operator="between">
      <formula>10.1</formula>
      <formula>10.6</formula>
    </cfRule>
    <cfRule type="cellIs" dxfId="712" priority="877" operator="between">
      <formula>7</formula>
      <formula>7.9</formula>
    </cfRule>
    <cfRule type="cellIs" dxfId="711" priority="878" stopIfTrue="1" operator="between">
      <formula>8</formula>
      <formula>8.9</formula>
    </cfRule>
    <cfRule type="cellIs" dxfId="710" priority="879" operator="between">
      <formula>9</formula>
      <formula>9.9</formula>
    </cfRule>
    <cfRule type="containsBlanks" dxfId="709" priority="881" stopIfTrue="1">
      <formula>LEN(TRIM(E102))=0</formula>
    </cfRule>
  </conditionalFormatting>
  <conditionalFormatting sqref="E117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08" priority="811" operator="between">
      <formula>7</formula>
      <formula>7.9</formula>
    </cfRule>
    <cfRule type="cellIs" dxfId="707" priority="812" stopIfTrue="1" operator="between">
      <formula>8</formula>
      <formula>8.9</formula>
    </cfRule>
    <cfRule type="cellIs" dxfId="706" priority="814" stopIfTrue="1" operator="between">
      <formula>10</formula>
      <formula>10</formula>
    </cfRule>
    <cfRule type="containsBlanks" dxfId="705" priority="815" stopIfTrue="1">
      <formula>LEN(TRIM(E118))=0</formula>
    </cfRule>
    <cfRule type="cellIs" dxfId="704" priority="810" operator="between">
      <formula>10.1</formula>
      <formula>10.6</formula>
    </cfRule>
    <cfRule type="cellIs" dxfId="703" priority="809" operator="between">
      <formula>6</formula>
      <formula>6.9</formula>
    </cfRule>
    <cfRule type="cellIs" dxfId="702" priority="813" operator="between">
      <formula>9</formula>
      <formula>9.9</formula>
    </cfRule>
  </conditionalFormatting>
  <conditionalFormatting sqref="E128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701" priority="779" stopIfTrue="1" operator="between">
      <formula>8</formula>
      <formula>8.9</formula>
    </cfRule>
    <cfRule type="cellIs" dxfId="700" priority="776" operator="between">
      <formula>6</formula>
      <formula>6.9</formula>
    </cfRule>
    <cfRule type="cellIs" dxfId="699" priority="777" operator="between">
      <formula>10.1</formula>
      <formula>10.6</formula>
    </cfRule>
    <cfRule type="cellIs" dxfId="698" priority="781" stopIfTrue="1" operator="between">
      <formula>10</formula>
      <formula>10</formula>
    </cfRule>
    <cfRule type="cellIs" dxfId="697" priority="778" operator="between">
      <formula>7</formula>
      <formula>7.9</formula>
    </cfRule>
    <cfRule type="containsBlanks" dxfId="696" priority="782" stopIfTrue="1">
      <formula>LEN(TRIM(E129))=0</formula>
    </cfRule>
    <cfRule type="cellIs" dxfId="695" priority="780" operator="between">
      <formula>9</formula>
      <formula>9.9</formula>
    </cfRule>
  </conditionalFormatting>
  <conditionalFormatting sqref="E146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694" priority="695" stopIfTrue="1">
      <formula>LEN(TRIM(E147))=0</formula>
    </cfRule>
    <cfRule type="cellIs" dxfId="693" priority="694" stopIfTrue="1" operator="between">
      <formula>10</formula>
      <formula>10</formula>
    </cfRule>
    <cfRule type="cellIs" dxfId="692" priority="693" operator="between">
      <formula>9</formula>
      <formula>9.9</formula>
    </cfRule>
    <cfRule type="cellIs" dxfId="691" priority="690" operator="between">
      <formula>10.1</formula>
      <formula>10.6</formula>
    </cfRule>
    <cfRule type="cellIs" dxfId="690" priority="691" operator="between">
      <formula>7</formula>
      <formula>7.9</formula>
    </cfRule>
    <cfRule type="cellIs" dxfId="689" priority="692" stopIfTrue="1" operator="between">
      <formula>8</formula>
      <formula>8.9</formula>
    </cfRule>
    <cfRule type="cellIs" dxfId="688" priority="689" operator="between">
      <formula>6</formula>
      <formula>6.9</formula>
    </cfRule>
  </conditionalFormatting>
  <conditionalFormatting sqref="E161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87" priority="656" stopIfTrue="1" operator="between">
      <formula>8</formula>
      <formula>8.9</formula>
    </cfRule>
    <cfRule type="cellIs" dxfId="686" priority="654" operator="between">
      <formula>10.1</formula>
      <formula>10.6</formula>
    </cfRule>
    <cfRule type="cellIs" dxfId="685" priority="653" operator="between">
      <formula>6</formula>
      <formula>6.9</formula>
    </cfRule>
    <cfRule type="cellIs" dxfId="684" priority="655" operator="between">
      <formula>7</formula>
      <formula>7.9</formula>
    </cfRule>
    <cfRule type="containsBlanks" dxfId="683" priority="659" stopIfTrue="1">
      <formula>LEN(TRIM(E162))=0</formula>
    </cfRule>
    <cfRule type="cellIs" dxfId="682" priority="658" stopIfTrue="1" operator="between">
      <formula>10</formula>
      <formula>10</formula>
    </cfRule>
    <cfRule type="cellIs" dxfId="681" priority="657" operator="between">
      <formula>9</formula>
      <formula>9.9</formula>
    </cfRule>
  </conditionalFormatting>
  <conditionalFormatting sqref="E172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680" priority="614" stopIfTrue="1">
      <formula>LEN(TRIM(E173))=0</formula>
    </cfRule>
    <cfRule type="cellIs" dxfId="679" priority="610" operator="between">
      <formula>7</formula>
      <formula>7.9</formula>
    </cfRule>
    <cfRule type="cellIs" dxfId="678" priority="611" stopIfTrue="1" operator="between">
      <formula>8</formula>
      <formula>8.9</formula>
    </cfRule>
    <cfRule type="cellIs" dxfId="677" priority="612" operator="between">
      <formula>9</formula>
      <formula>9.9</formula>
    </cfRule>
    <cfRule type="cellIs" dxfId="676" priority="608" operator="between">
      <formula>6</formula>
      <formula>6.9</formula>
    </cfRule>
    <cfRule type="cellIs" dxfId="675" priority="613" stopIfTrue="1" operator="between">
      <formula>10</formula>
      <formula>10</formula>
    </cfRule>
    <cfRule type="cellIs" dxfId="674" priority="609" operator="between">
      <formula>10.1</formula>
      <formula>10.6</formula>
    </cfRule>
  </conditionalFormatting>
  <conditionalFormatting sqref="E186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73" priority="549" stopIfTrue="1" operator="between">
      <formula>8</formula>
      <formula>8.9</formula>
    </cfRule>
    <cfRule type="cellIs" dxfId="672" priority="550" operator="between">
      <formula>9</formula>
      <formula>9.9</formula>
    </cfRule>
    <cfRule type="containsBlanks" dxfId="671" priority="552" stopIfTrue="1">
      <formula>LEN(TRIM(E187))=0</formula>
    </cfRule>
    <cfRule type="cellIs" dxfId="670" priority="551" stopIfTrue="1" operator="between">
      <formula>10</formula>
      <formula>10</formula>
    </cfRule>
    <cfRule type="cellIs" dxfId="669" priority="546" operator="between">
      <formula>6</formula>
      <formula>6.9</formula>
    </cfRule>
    <cfRule type="cellIs" dxfId="668" priority="547" operator="between">
      <formula>10.1</formula>
      <formula>10.6</formula>
    </cfRule>
    <cfRule type="cellIs" dxfId="667" priority="548" operator="between">
      <formula>7</formula>
      <formula>7.9</formula>
    </cfRule>
  </conditionalFormatting>
  <conditionalFormatting sqref="E201"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66" priority="497" stopIfTrue="1" operator="between">
      <formula>10</formula>
      <formula>10</formula>
    </cfRule>
    <cfRule type="cellIs" dxfId="665" priority="492" operator="between">
      <formula>6</formula>
      <formula>6.9</formula>
    </cfRule>
    <cfRule type="cellIs" dxfId="664" priority="493" operator="between">
      <formula>10.1</formula>
      <formula>11</formula>
    </cfRule>
    <cfRule type="cellIs" dxfId="663" priority="495" stopIfTrue="1" operator="between">
      <formula>8</formula>
      <formula>8.9</formula>
    </cfRule>
    <cfRule type="cellIs" dxfId="662" priority="494" operator="between">
      <formula>7</formula>
      <formula>7.9</formula>
    </cfRule>
    <cfRule type="cellIs" dxfId="661" priority="496" operator="between">
      <formula>9</formula>
      <formula>9.9</formula>
    </cfRule>
    <cfRule type="containsBlanks" dxfId="660" priority="498" stopIfTrue="1">
      <formula>LEN(TRIM(E202))=0</formula>
    </cfRule>
  </conditionalFormatting>
  <conditionalFormatting sqref="E213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59" priority="452" stopIfTrue="1" operator="between">
      <formula>10</formula>
      <formula>10</formula>
    </cfRule>
    <cfRule type="containsBlanks" dxfId="658" priority="453" stopIfTrue="1">
      <formula>LEN(TRIM(E214))=0</formula>
    </cfRule>
    <cfRule type="cellIs" dxfId="657" priority="448" operator="between">
      <formula>10.1</formula>
      <formula>10.6</formula>
    </cfRule>
    <cfRule type="cellIs" dxfId="656" priority="451" operator="between">
      <formula>9</formula>
      <formula>9.9</formula>
    </cfRule>
    <cfRule type="cellIs" dxfId="655" priority="450" stopIfTrue="1" operator="between">
      <formula>8</formula>
      <formula>8.9</formula>
    </cfRule>
    <cfRule type="cellIs" dxfId="654" priority="449" operator="between">
      <formula>7</formula>
      <formula>7.9</formula>
    </cfRule>
    <cfRule type="cellIs" dxfId="653" priority="447" operator="between">
      <formula>6</formula>
      <formula>6.9</formula>
    </cfRule>
  </conditionalFormatting>
  <conditionalFormatting sqref="E229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52" priority="411" operator="between">
      <formula>9</formula>
      <formula>9.9</formula>
    </cfRule>
    <cfRule type="cellIs" dxfId="651" priority="407" operator="between">
      <formula>6</formula>
      <formula>6.9</formula>
    </cfRule>
    <cfRule type="cellIs" dxfId="650" priority="408" operator="between">
      <formula>10.1</formula>
      <formula>10.6</formula>
    </cfRule>
    <cfRule type="cellIs" dxfId="649" priority="409" operator="between">
      <formula>7</formula>
      <formula>7.9</formula>
    </cfRule>
    <cfRule type="cellIs" dxfId="648" priority="410" stopIfTrue="1" operator="between">
      <formula>8</formula>
      <formula>8.9</formula>
    </cfRule>
    <cfRule type="containsBlanks" dxfId="647" priority="413" stopIfTrue="1">
      <formula>LEN(TRIM(E230))=0</formula>
    </cfRule>
    <cfRule type="cellIs" dxfId="646" priority="412" stopIfTrue="1" operator="between">
      <formula>10</formula>
      <formula>10</formula>
    </cfRule>
  </conditionalFormatting>
  <conditionalFormatting sqref="E237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45" priority="371" stopIfTrue="1" operator="between">
      <formula>10</formula>
      <formula>10</formula>
    </cfRule>
    <cfRule type="containsBlanks" dxfId="644" priority="372" stopIfTrue="1">
      <formula>LEN(TRIM(E238))=0</formula>
    </cfRule>
    <cfRule type="cellIs" dxfId="643" priority="370" operator="between">
      <formula>9</formula>
      <formula>9.9</formula>
    </cfRule>
    <cfRule type="cellIs" dxfId="642" priority="369" stopIfTrue="1" operator="between">
      <formula>8</formula>
      <formula>8.9</formula>
    </cfRule>
    <cfRule type="cellIs" dxfId="641" priority="368" operator="between">
      <formula>7</formula>
      <formula>7.9</formula>
    </cfRule>
    <cfRule type="cellIs" dxfId="640" priority="367" operator="between">
      <formula>10.1</formula>
      <formula>10.6</formula>
    </cfRule>
    <cfRule type="cellIs" dxfId="639" priority="366" operator="between">
      <formula>6</formula>
      <formula>6.9</formula>
    </cfRule>
  </conditionalFormatting>
  <conditionalFormatting sqref="E254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38" priority="272" operator="between">
      <formula>6</formula>
      <formula>6.9</formula>
    </cfRule>
    <cfRule type="cellIs" dxfId="637" priority="273" operator="between">
      <formula>10.1</formula>
      <formula>10.6</formula>
    </cfRule>
    <cfRule type="cellIs" dxfId="636" priority="275" stopIfTrue="1" operator="between">
      <formula>8</formula>
      <formula>8.9</formula>
    </cfRule>
    <cfRule type="cellIs" dxfId="635" priority="277" stopIfTrue="1" operator="between">
      <formula>10</formula>
      <formula>10</formula>
    </cfRule>
    <cfRule type="containsBlanks" dxfId="634" priority="278" stopIfTrue="1">
      <formula>LEN(TRIM(E267))=0</formula>
    </cfRule>
    <cfRule type="cellIs" dxfId="633" priority="274" operator="between">
      <formula>7</formula>
      <formula>7.9</formula>
    </cfRule>
    <cfRule type="cellIs" dxfId="632" priority="276" operator="between">
      <formula>9</formula>
      <formula>9.9</formula>
    </cfRule>
  </conditionalFormatting>
  <conditionalFormatting sqref="E278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31" priority="224" stopIfTrue="1" operator="between">
      <formula>10</formula>
      <formula>10</formula>
    </cfRule>
    <cfRule type="cellIs" dxfId="630" priority="223" operator="between">
      <formula>9</formula>
      <formula>9.9</formula>
    </cfRule>
    <cfRule type="cellIs" dxfId="629" priority="222" stopIfTrue="1" operator="between">
      <formula>8</formula>
      <formula>8.9</formula>
    </cfRule>
    <cfRule type="cellIs" dxfId="628" priority="221" operator="between">
      <formula>7</formula>
      <formula>7.9</formula>
    </cfRule>
    <cfRule type="cellIs" dxfId="627" priority="219" operator="between">
      <formula>6</formula>
      <formula>6.9</formula>
    </cfRule>
    <cfRule type="cellIs" dxfId="626" priority="220" operator="between">
      <formula>10.1</formula>
      <formula>10.6</formula>
    </cfRule>
    <cfRule type="containsBlanks" dxfId="625" priority="225" stopIfTrue="1">
      <formula>LEN(TRIM(E279))=0</formula>
    </cfRule>
  </conditionalFormatting>
  <conditionalFormatting sqref="E288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24" priority="175" operator="between">
      <formula>9</formula>
      <formula>9.9</formula>
    </cfRule>
    <cfRule type="cellIs" dxfId="623" priority="174" stopIfTrue="1" operator="between">
      <formula>8</formula>
      <formula>8.9</formula>
    </cfRule>
    <cfRule type="cellIs" dxfId="622" priority="176" stopIfTrue="1" operator="between">
      <formula>10</formula>
      <formula>10</formula>
    </cfRule>
    <cfRule type="cellIs" dxfId="621" priority="171" operator="between">
      <formula>6</formula>
      <formula>6.9</formula>
    </cfRule>
    <cfRule type="cellIs" dxfId="620" priority="172" operator="between">
      <formula>10.1</formula>
      <formula>10.6</formula>
    </cfRule>
    <cfRule type="containsBlanks" dxfId="619" priority="177" stopIfTrue="1">
      <formula>LEN(TRIM(E289))=0</formula>
    </cfRule>
    <cfRule type="cellIs" dxfId="618" priority="173" operator="between">
      <formula>7</formula>
      <formula>7.9</formula>
    </cfRule>
  </conditionalFormatting>
  <conditionalFormatting sqref="E299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17" priority="122" operator="between">
      <formula>7</formula>
      <formula>7.9</formula>
    </cfRule>
    <cfRule type="cellIs" dxfId="616" priority="123" stopIfTrue="1" operator="between">
      <formula>8</formula>
      <formula>8.9</formula>
    </cfRule>
    <cfRule type="cellIs" dxfId="615" priority="120" operator="between">
      <formula>6</formula>
      <formula>6.9</formula>
    </cfRule>
    <cfRule type="containsBlanks" dxfId="614" priority="126" stopIfTrue="1">
      <formula>LEN(TRIM(E300))=0</formula>
    </cfRule>
    <cfRule type="cellIs" dxfId="613" priority="125" stopIfTrue="1" operator="between">
      <formula>10</formula>
      <formula>10</formula>
    </cfRule>
    <cfRule type="cellIs" dxfId="612" priority="124" operator="between">
      <formula>9</formula>
      <formula>9.9</formula>
    </cfRule>
    <cfRule type="cellIs" dxfId="611" priority="121" operator="between">
      <formula>10.1</formula>
      <formula>10.6</formula>
    </cfRule>
  </conditionalFormatting>
  <conditionalFormatting sqref="E310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10" priority="70" operator="between">
      <formula>5</formula>
      <formula>6.9</formula>
    </cfRule>
    <cfRule type="cellIs" dxfId="609" priority="72" operator="between">
      <formula>7</formula>
      <formula>7.9</formula>
    </cfRule>
    <cfRule type="cellIs" dxfId="608" priority="73" stopIfTrue="1" operator="between">
      <formula>8</formula>
      <formula>8.9</formula>
    </cfRule>
    <cfRule type="cellIs" dxfId="607" priority="74" operator="between">
      <formula>9</formula>
      <formula>9.9</formula>
    </cfRule>
    <cfRule type="cellIs" dxfId="606" priority="71" operator="between">
      <formula>10.1</formula>
      <formula>10.6</formula>
    </cfRule>
    <cfRule type="cellIs" dxfId="605" priority="75" stopIfTrue="1" operator="between">
      <formula>10</formula>
      <formula>10</formula>
    </cfRule>
    <cfRule type="containsBlanks" dxfId="604" priority="67" stopIfTrue="1">
      <formula>LEN(TRIM(E311))=0</formula>
    </cfRule>
    <cfRule type="cellIs" dxfId="603" priority="68" operator="lessThan">
      <formula>2</formula>
    </cfRule>
    <cfRule type="cellIs" dxfId="602" priority="69" operator="between">
      <formula>2</formula>
      <formula>4.9</formula>
    </cfRule>
  </conditionalFormatting>
  <conditionalFormatting sqref="E320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601" priority="64" stopIfTrue="1" operator="between">
      <formula>8</formula>
      <formula>8.9</formula>
    </cfRule>
    <cfRule type="cellIs" dxfId="600" priority="65" operator="between">
      <formula>9</formula>
      <formula>9.9</formula>
    </cfRule>
    <cfRule type="cellIs" dxfId="599" priority="66" stopIfTrue="1" operator="between">
      <formula>10</formula>
      <formula>10</formula>
    </cfRule>
    <cfRule type="containsBlanks" dxfId="598" priority="58" stopIfTrue="1">
      <formula>LEN(TRIM(E321))=0</formula>
    </cfRule>
    <cfRule type="cellIs" dxfId="597" priority="59" operator="lessThan">
      <formula>2</formula>
    </cfRule>
    <cfRule type="cellIs" dxfId="596" priority="60" operator="between">
      <formula>2</formula>
      <formula>4.9</formula>
    </cfRule>
    <cfRule type="cellIs" dxfId="595" priority="61" operator="between">
      <formula>5</formula>
      <formula>6.9</formula>
    </cfRule>
    <cfRule type="cellIs" dxfId="594" priority="62" operator="between">
      <formula>10.1</formula>
      <formula>10.6</formula>
    </cfRule>
    <cfRule type="cellIs" dxfId="593" priority="63" operator="between">
      <formula>7</formula>
      <formula>7.9</formula>
    </cfRule>
  </conditionalFormatting>
  <conditionalFormatting sqref="E328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592" priority="14" stopIfTrue="1">
      <formula>LEN(TRIM(E329))=0</formula>
    </cfRule>
    <cfRule type="cellIs" dxfId="591" priority="15" operator="lessThan">
      <formula>2</formula>
    </cfRule>
    <cfRule type="cellIs" dxfId="590" priority="16" operator="between">
      <formula>2</formula>
      <formula>4.9</formula>
    </cfRule>
    <cfRule type="cellIs" dxfId="589" priority="17" operator="between">
      <formula>5</formula>
      <formula>6.9</formula>
    </cfRule>
    <cfRule type="cellIs" dxfId="588" priority="19" operator="between">
      <formula>7</formula>
      <formula>7.9</formula>
    </cfRule>
    <cfRule type="cellIs" dxfId="587" priority="22" stopIfTrue="1" operator="between">
      <formula>10</formula>
      <formula>10</formula>
    </cfRule>
    <cfRule type="cellIs" dxfId="586" priority="21" operator="between">
      <formula>9</formula>
      <formula>9.9</formula>
    </cfRule>
    <cfRule type="cellIs" dxfId="585" priority="20" stopIfTrue="1" operator="between">
      <formula>8</formula>
      <formula>8.9</formula>
    </cfRule>
    <cfRule type="cellIs" dxfId="584" priority="18" operator="between">
      <formula>10.1</formula>
      <formula>10.6</formula>
    </cfRule>
  </conditionalFormatting>
  <conditionalFormatting sqref="H3:H15">
    <cfRule type="cellIs" dxfId="583" priority="256" operator="between">
      <formula>7</formula>
      <formula>7.9</formula>
    </cfRule>
    <cfRule type="cellIs" dxfId="582" priority="258" operator="between">
      <formula>9</formula>
      <formula>9.9</formula>
    </cfRule>
    <cfRule type="cellIs" dxfId="581" priority="259" stopIfTrue="1" operator="between">
      <formula>10</formula>
      <formula>10</formula>
    </cfRule>
    <cfRule type="cellIs" dxfId="580" priority="257" stopIfTrue="1" operator="between">
      <formula>8</formula>
      <formula>8.9</formula>
    </cfRule>
  </conditionalFormatting>
  <conditionalFormatting sqref="H7">
    <cfRule type="containsBlanks" dxfId="579" priority="260" stopIfTrue="1">
      <formula>LEN(TRIM(H7))=0</formula>
    </cfRule>
    <cfRule type="cellIs" dxfId="578" priority="255" operator="between">
      <formula>10.1</formula>
      <formula>10.6</formula>
    </cfRule>
  </conditionalFormatting>
  <conditionalFormatting sqref="H18:H28">
    <cfRule type="cellIs" dxfId="577" priority="1250" operator="between">
      <formula>7</formula>
      <formula>7.9</formula>
    </cfRule>
    <cfRule type="cellIs" dxfId="576" priority="1251" stopIfTrue="1" operator="between">
      <formula>8</formula>
      <formula>8.9</formula>
    </cfRule>
    <cfRule type="cellIs" dxfId="575" priority="1253" stopIfTrue="1" operator="between">
      <formula>10</formula>
      <formula>10</formula>
    </cfRule>
    <cfRule type="cellIs" dxfId="574" priority="1252" operator="between">
      <formula>9</formula>
      <formula>9.9</formula>
    </cfRule>
  </conditionalFormatting>
  <conditionalFormatting sqref="H30">
    <cfRule type="colorScale" priority="1535">
      <colorScale>
        <cfvo type="num" val="5"/>
        <cfvo type="num" val="10"/>
        <color rgb="FFFF494D"/>
        <color rgb="FF00FF66"/>
      </colorScale>
    </cfRule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73" priority="1115" operator="between">
      <formula>9</formula>
      <formula>9.9</formula>
    </cfRule>
    <cfRule type="cellIs" dxfId="572" priority="1116" stopIfTrue="1" operator="between">
      <formula>10</formula>
      <formula>10</formula>
    </cfRule>
    <cfRule type="containsBlanks" dxfId="571" priority="1117" stopIfTrue="1">
      <formula>LEN(TRIM(H31))=0</formula>
    </cfRule>
    <cfRule type="cellIs" dxfId="570" priority="1113" operator="between">
      <formula>7</formula>
      <formula>7.9</formula>
    </cfRule>
    <cfRule type="cellIs" dxfId="569" priority="1112" operator="between">
      <formula>10.1</formula>
      <formula>10.6</formula>
    </cfRule>
    <cfRule type="cellIs" dxfId="568" priority="1114" stopIfTrue="1" operator="between">
      <formula>8</formula>
      <formula>8.9</formula>
    </cfRule>
  </conditionalFormatting>
  <conditionalFormatting sqref="H47">
    <cfRule type="colorScale" priority="1467">
      <colorScale>
        <cfvo type="num" val="5"/>
        <cfvo type="num" val="10"/>
        <color rgb="FFFF494D"/>
        <color rgb="FF00FF66"/>
      </colorScale>
    </cfRule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567" priority="1107" operator="between">
      <formula>7</formula>
      <formula>7.9</formula>
    </cfRule>
    <cfRule type="cellIs" dxfId="566" priority="1106" operator="between">
      <formula>10.1</formula>
      <formula>10.6</formula>
    </cfRule>
    <cfRule type="containsBlanks" dxfId="565" priority="1111" stopIfTrue="1">
      <formula>LEN(TRIM(H48))=0</formula>
    </cfRule>
    <cfRule type="cellIs" dxfId="564" priority="1110" stopIfTrue="1" operator="between">
      <formula>10</formula>
      <formula>10</formula>
    </cfRule>
    <cfRule type="cellIs" dxfId="563" priority="1109" operator="between">
      <formula>9</formula>
      <formula>9.9</formula>
    </cfRule>
    <cfRule type="cellIs" dxfId="562" priority="1108" stopIfTrue="1" operator="between">
      <formula>8</formula>
      <formula>8.9</formula>
    </cfRule>
  </conditionalFormatting>
  <conditionalFormatting sqref="H57">
    <cfRule type="colorScale" priority="1049">
      <colorScale>
        <cfvo type="num" val="5"/>
        <cfvo type="num" val="10"/>
        <color rgb="FFFF494D"/>
        <color rgb="FF00FF66"/>
      </colorScale>
    </cfRule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61" priority="983" stopIfTrue="1" operator="between">
      <formula>10</formula>
      <formula>10</formula>
    </cfRule>
    <cfRule type="cellIs" dxfId="560" priority="982" operator="between">
      <formula>9</formula>
      <formula>9.9</formula>
    </cfRule>
    <cfRule type="cellIs" dxfId="559" priority="981" stopIfTrue="1" operator="between">
      <formula>8</formula>
      <formula>8.9</formula>
    </cfRule>
    <cfRule type="cellIs" dxfId="558" priority="980" operator="between">
      <formula>7</formula>
      <formula>7.9</formula>
    </cfRule>
    <cfRule type="cellIs" dxfId="557" priority="979" operator="between">
      <formula>10.1</formula>
      <formula>10.6</formula>
    </cfRule>
    <cfRule type="cellIs" dxfId="556" priority="978" operator="between">
      <formula>6</formula>
      <formula>6.9</formula>
    </cfRule>
    <cfRule type="containsBlanks" dxfId="555" priority="984" stopIfTrue="1">
      <formula>LEN(TRIM(H58))=0</formula>
    </cfRule>
  </conditionalFormatting>
  <conditionalFormatting sqref="H69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554" priority="1012" stopIfTrue="1">
      <formula>LEN(TRIM(H70))=0</formula>
    </cfRule>
    <cfRule type="cellIs" dxfId="553" priority="1011" stopIfTrue="1" operator="between">
      <formula>10</formula>
      <formula>10</formula>
    </cfRule>
    <cfRule type="cellIs" dxfId="552" priority="1010" operator="between">
      <formula>9</formula>
      <formula>9.9</formula>
    </cfRule>
    <cfRule type="cellIs" dxfId="551" priority="1009" stopIfTrue="1" operator="between">
      <formula>8</formula>
      <formula>8.9</formula>
    </cfRule>
    <cfRule type="cellIs" dxfId="550" priority="1008" operator="between">
      <formula>7</formula>
      <formula>7.9</formula>
    </cfRule>
    <cfRule type="cellIs" dxfId="549" priority="1007" operator="between">
      <formula>10.1</formula>
      <formula>10.6</formula>
    </cfRule>
  </conditionalFormatting>
  <conditionalFormatting sqref="H83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48" priority="933" operator="between">
      <formula>7</formula>
      <formula>7.9</formula>
    </cfRule>
    <cfRule type="cellIs" dxfId="547" priority="932" operator="between">
      <formula>10.1</formula>
      <formula>10.6</formula>
    </cfRule>
    <cfRule type="cellIs" dxfId="546" priority="931" operator="between">
      <formula>6</formula>
      <formula>6.9</formula>
    </cfRule>
    <cfRule type="cellIs" dxfId="545" priority="936" stopIfTrue="1" operator="between">
      <formula>10</formula>
      <formula>10</formula>
    </cfRule>
    <cfRule type="cellIs" dxfId="544" priority="934" stopIfTrue="1" operator="between">
      <formula>8</formula>
      <formula>8.9</formula>
    </cfRule>
    <cfRule type="containsBlanks" dxfId="543" priority="937" stopIfTrue="1">
      <formula>LEN(TRIM(H84))=0</formula>
    </cfRule>
    <cfRule type="cellIs" dxfId="542" priority="935" operator="between">
      <formula>9</formula>
      <formula>9.9</formula>
    </cfRule>
  </conditionalFormatting>
  <conditionalFormatting sqref="H97">
    <cfRule type="colorScale" priority="8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41" priority="883" operator="between">
      <formula>10.1</formula>
      <formula>10.6</formula>
    </cfRule>
    <cfRule type="cellIs" dxfId="540" priority="887" stopIfTrue="1" operator="between">
      <formula>10</formula>
      <formula>10</formula>
    </cfRule>
    <cfRule type="containsBlanks" dxfId="539" priority="888" stopIfTrue="1">
      <formula>LEN(TRIM(H98))=0</formula>
    </cfRule>
    <cfRule type="cellIs" dxfId="538" priority="886" operator="between">
      <formula>9</formula>
      <formula>9.9</formula>
    </cfRule>
    <cfRule type="cellIs" dxfId="537" priority="884" operator="between">
      <formula>7</formula>
      <formula>7.9</formula>
    </cfRule>
    <cfRule type="cellIs" dxfId="536" priority="885" stopIfTrue="1" operator="between">
      <formula>8</formula>
      <formula>8.9</formula>
    </cfRule>
    <cfRule type="cellIs" dxfId="535" priority="882" operator="between">
      <formula>6</formula>
      <formula>6.9</formula>
    </cfRule>
  </conditionalFormatting>
  <conditionalFormatting sqref="H110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34" priority="862" stopIfTrue="1" operator="between">
      <formula>10</formula>
      <formula>10</formula>
    </cfRule>
    <cfRule type="cellIs" dxfId="533" priority="860" stopIfTrue="1" operator="between">
      <formula>8</formula>
      <formula>8.9</formula>
    </cfRule>
    <cfRule type="containsBlanks" dxfId="532" priority="863" stopIfTrue="1">
      <formula>LEN(TRIM(H111))=0</formula>
    </cfRule>
    <cfRule type="cellIs" dxfId="531" priority="859" operator="between">
      <formula>7</formula>
      <formula>7.9</formula>
    </cfRule>
    <cfRule type="cellIs" dxfId="530" priority="858" operator="between">
      <formula>10.1</formula>
      <formula>10.6</formula>
    </cfRule>
    <cfRule type="cellIs" dxfId="529" priority="861" operator="between">
      <formula>9</formula>
      <formula>9.9</formula>
    </cfRule>
  </conditionalFormatting>
  <conditionalFormatting sqref="H125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28" priority="790" stopIfTrue="1" operator="between">
      <formula>10</formula>
      <formula>10</formula>
    </cfRule>
    <cfRule type="cellIs" dxfId="527" priority="789" operator="between">
      <formula>9</formula>
      <formula>9.9</formula>
    </cfRule>
    <cfRule type="cellIs" dxfId="526" priority="788" stopIfTrue="1" operator="between">
      <formula>8</formula>
      <formula>8.9</formula>
    </cfRule>
    <cfRule type="cellIs" dxfId="525" priority="787" operator="between">
      <formula>7</formula>
      <formula>7.9</formula>
    </cfRule>
    <cfRule type="cellIs" dxfId="524" priority="786" operator="between">
      <formula>10.1</formula>
      <formula>10.6</formula>
    </cfRule>
    <cfRule type="cellIs" dxfId="523" priority="785" operator="between">
      <formula>6</formula>
      <formula>6.9</formula>
    </cfRule>
    <cfRule type="containsBlanks" dxfId="522" priority="791" stopIfTrue="1">
      <formula>LEN(TRIM(H126))=0</formula>
    </cfRule>
  </conditionalFormatting>
  <conditionalFormatting sqref="H131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521" priority="757" stopIfTrue="1" operator="between">
      <formula>10</formula>
      <formula>10</formula>
    </cfRule>
    <cfRule type="cellIs" dxfId="520" priority="756" operator="between">
      <formula>9</formula>
      <formula>9.9</formula>
    </cfRule>
    <cfRule type="cellIs" dxfId="519" priority="755" stopIfTrue="1" operator="between">
      <formula>8</formula>
      <formula>8.9</formula>
    </cfRule>
    <cfRule type="cellIs" dxfId="518" priority="754" operator="between">
      <formula>7</formula>
      <formula>7.9</formula>
    </cfRule>
    <cfRule type="containsBlanks" dxfId="517" priority="758" stopIfTrue="1">
      <formula>LEN(TRIM(H132))=0</formula>
    </cfRule>
    <cfRule type="cellIs" dxfId="516" priority="753" operator="between">
      <formula>10.1</formula>
      <formula>10.6</formula>
    </cfRule>
    <cfRule type="cellIs" dxfId="515" priority="752" operator="between">
      <formula>6</formula>
      <formula>6.9</formula>
    </cfRule>
  </conditionalFormatting>
  <conditionalFormatting sqref="H149"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14" priority="682" operator="between">
      <formula>7</formula>
      <formula>7.9</formula>
    </cfRule>
    <cfRule type="cellIs" dxfId="513" priority="685" stopIfTrue="1" operator="between">
      <formula>10</formula>
      <formula>10</formula>
    </cfRule>
    <cfRule type="cellIs" dxfId="512" priority="680" operator="between">
      <formula>6</formula>
      <formula>6.9</formula>
    </cfRule>
    <cfRule type="cellIs" dxfId="511" priority="681" operator="between">
      <formula>10.1</formula>
      <formula>10.6</formula>
    </cfRule>
    <cfRule type="containsBlanks" dxfId="510" priority="686" stopIfTrue="1">
      <formula>LEN(TRIM(H150))=0</formula>
    </cfRule>
    <cfRule type="cellIs" dxfId="509" priority="683" stopIfTrue="1" operator="between">
      <formula>8</formula>
      <formula>8.9</formula>
    </cfRule>
    <cfRule type="cellIs" dxfId="508" priority="684" operator="between">
      <formula>9</formula>
      <formula>9.9</formula>
    </cfRule>
  </conditionalFormatting>
  <conditionalFormatting sqref="H165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507" priority="629" operator="between">
      <formula>10.1</formula>
      <formula>10.6</formula>
    </cfRule>
    <cfRule type="containsBlanks" dxfId="506" priority="634" stopIfTrue="1">
      <formula>LEN(TRIM(H166))=0</formula>
    </cfRule>
    <cfRule type="cellIs" dxfId="505" priority="633" stopIfTrue="1" operator="between">
      <formula>10</formula>
      <formula>10</formula>
    </cfRule>
    <cfRule type="cellIs" dxfId="504" priority="632" operator="between">
      <formula>9</formula>
      <formula>9.9</formula>
    </cfRule>
    <cfRule type="cellIs" dxfId="503" priority="631" stopIfTrue="1" operator="between">
      <formula>8</formula>
      <formula>8.9</formula>
    </cfRule>
    <cfRule type="cellIs" dxfId="502" priority="630" operator="between">
      <formula>7</formula>
      <formula>7.9</formula>
    </cfRule>
    <cfRule type="cellIs" dxfId="501" priority="628" operator="between">
      <formula>6</formula>
      <formula>6.9</formula>
    </cfRule>
  </conditionalFormatting>
  <conditionalFormatting sqref="H177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00" priority="583" operator="between">
      <formula>9</formula>
      <formula>9.9</formula>
    </cfRule>
    <cfRule type="cellIs" dxfId="499" priority="582" stopIfTrue="1" operator="between">
      <formula>8</formula>
      <formula>8.9</formula>
    </cfRule>
    <cfRule type="cellIs" dxfId="498" priority="584" stopIfTrue="1" operator="between">
      <formula>10</formula>
      <formula>10</formula>
    </cfRule>
    <cfRule type="containsBlanks" dxfId="497" priority="585" stopIfTrue="1">
      <formula>LEN(TRIM(H178))=0</formula>
    </cfRule>
    <cfRule type="cellIs" dxfId="496" priority="579" operator="between">
      <formula>6</formula>
      <formula>6.9</formula>
    </cfRule>
    <cfRule type="cellIs" dxfId="495" priority="580" operator="between">
      <formula>10.1</formula>
      <formula>10.6</formula>
    </cfRule>
    <cfRule type="cellIs" dxfId="494" priority="581" operator="between">
      <formula>7</formula>
      <formula>7.9</formula>
    </cfRule>
  </conditionalFormatting>
  <conditionalFormatting sqref="H191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493" priority="523" operator="between">
      <formula>9</formula>
      <formula>9.9</formula>
    </cfRule>
    <cfRule type="cellIs" dxfId="492" priority="519" operator="between">
      <formula>6</formula>
      <formula>6.9</formula>
    </cfRule>
    <cfRule type="cellIs" dxfId="491" priority="524" stopIfTrue="1" operator="between">
      <formula>10</formula>
      <formula>10</formula>
    </cfRule>
    <cfRule type="containsBlanks" dxfId="490" priority="525" stopIfTrue="1">
      <formula>LEN(TRIM(H192))=0</formula>
    </cfRule>
    <cfRule type="cellIs" dxfId="489" priority="521" operator="between">
      <formula>7</formula>
      <formula>7.9</formula>
    </cfRule>
    <cfRule type="cellIs" dxfId="488" priority="520" operator="between">
      <formula>10.1</formula>
      <formula>10.6</formula>
    </cfRule>
    <cfRule type="cellIs" dxfId="487" priority="522" stopIfTrue="1" operator="between">
      <formula>8</formula>
      <formula>8.9</formula>
    </cfRule>
  </conditionalFormatting>
  <conditionalFormatting sqref="H202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486" priority="483" stopIfTrue="1" operator="between">
      <formula>8</formula>
      <formula>8.9</formula>
    </cfRule>
    <cfRule type="cellIs" dxfId="485" priority="481" operator="between">
      <formula>10.1</formula>
      <formula>11</formula>
    </cfRule>
    <cfRule type="containsBlanks" dxfId="484" priority="486" stopIfTrue="1">
      <formula>LEN(TRIM(H203))=0</formula>
    </cfRule>
    <cfRule type="cellIs" dxfId="483" priority="485" stopIfTrue="1" operator="between">
      <formula>10</formula>
      <formula>10</formula>
    </cfRule>
    <cfRule type="cellIs" dxfId="482" priority="484" operator="between">
      <formula>9</formula>
      <formula>9.9</formula>
    </cfRule>
    <cfRule type="cellIs" dxfId="481" priority="482" operator="between">
      <formula>7</formula>
      <formula>7.9</formula>
    </cfRule>
    <cfRule type="cellIs" dxfId="480" priority="480" operator="between">
      <formula>6</formula>
      <formula>6.9</formula>
    </cfRule>
  </conditionalFormatting>
  <conditionalFormatting sqref="H215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479" priority="435" stopIfTrue="1">
      <formula>LEN(TRIM(H216))=0</formula>
    </cfRule>
    <cfRule type="cellIs" dxfId="478" priority="429" operator="between">
      <formula>6</formula>
      <formula>6.9</formula>
    </cfRule>
    <cfRule type="cellIs" dxfId="477" priority="432" stopIfTrue="1" operator="between">
      <formula>8</formula>
      <formula>8.9</formula>
    </cfRule>
    <cfRule type="cellIs" dxfId="476" priority="434" stopIfTrue="1" operator="between">
      <formula>10</formula>
      <formula>10</formula>
    </cfRule>
    <cfRule type="cellIs" dxfId="475" priority="433" operator="between">
      <formula>9</formula>
      <formula>9.9</formula>
    </cfRule>
    <cfRule type="cellIs" dxfId="474" priority="431" operator="between">
      <formula>7</formula>
      <formula>7.9</formula>
    </cfRule>
    <cfRule type="cellIs" dxfId="473" priority="430" operator="between">
      <formula>10.1</formula>
      <formula>10.6</formula>
    </cfRule>
  </conditionalFormatting>
  <conditionalFormatting sqref="H229">
    <cfRule type="colorScale" priority="397">
      <colorScale>
        <cfvo type="num" val="5"/>
        <cfvo type="num" val="10"/>
        <color rgb="FFFF494D"/>
        <color rgb="FF00FF66"/>
      </colorScale>
    </cfRule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472" priority="389" operator="between">
      <formula>6</formula>
      <formula>6.9</formula>
    </cfRule>
    <cfRule type="cellIs" dxfId="471" priority="390" operator="between">
      <formula>10.1</formula>
      <formula>10.6</formula>
    </cfRule>
    <cfRule type="cellIs" dxfId="470" priority="391" operator="between">
      <formula>7</formula>
      <formula>7.9</formula>
    </cfRule>
    <cfRule type="cellIs" dxfId="469" priority="392" stopIfTrue="1" operator="between">
      <formula>8</formula>
      <formula>8.9</formula>
    </cfRule>
    <cfRule type="cellIs" dxfId="468" priority="393" operator="between">
      <formula>9</formula>
      <formula>9.9</formula>
    </cfRule>
    <cfRule type="cellIs" dxfId="467" priority="394" stopIfTrue="1" operator="between">
      <formula>10</formula>
      <formula>10</formula>
    </cfRule>
    <cfRule type="containsBlanks" dxfId="466" priority="395" stopIfTrue="1">
      <formula>LEN(TRIM(H230))=0</formula>
    </cfRule>
  </conditionalFormatting>
  <conditionalFormatting sqref="H246">
    <cfRule type="colorScale" priority="338">
      <colorScale>
        <cfvo type="num" val="5"/>
        <cfvo type="num" val="10"/>
        <color rgb="FFFF494D"/>
        <color rgb="FF00FF66"/>
      </colorScale>
    </cfRule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465" priority="341" operator="between">
      <formula>7</formula>
      <formula>7.9</formula>
    </cfRule>
    <cfRule type="containsBlanks" dxfId="464" priority="345" stopIfTrue="1">
      <formula>LEN(TRIM(H247))=0</formula>
    </cfRule>
    <cfRule type="cellIs" dxfId="463" priority="344" stopIfTrue="1" operator="between">
      <formula>10</formula>
      <formula>10</formula>
    </cfRule>
    <cfRule type="cellIs" dxfId="462" priority="343" operator="between">
      <formula>9</formula>
      <formula>9.9</formula>
    </cfRule>
    <cfRule type="cellIs" dxfId="461" priority="342" stopIfTrue="1" operator="between">
      <formula>8</formula>
      <formula>8.9</formula>
    </cfRule>
    <cfRule type="cellIs" dxfId="460" priority="340" operator="between">
      <formula>10.1</formula>
      <formula>10.6</formula>
    </cfRule>
    <cfRule type="cellIs" dxfId="459" priority="339" operator="between">
      <formula>6</formula>
      <formula>6.9</formula>
    </cfRule>
  </conditionalFormatting>
  <conditionalFormatting sqref="H258">
    <cfRule type="colorScale" priority="298">
      <colorScale>
        <cfvo type="num" val="5"/>
        <cfvo type="num" val="10"/>
        <color rgb="FFFF494D"/>
        <color rgb="FF00FF66"/>
      </colorScale>
    </cfRule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458" priority="304" stopIfTrue="1" operator="between">
      <formula>10</formula>
      <formula>10</formula>
    </cfRule>
    <cfRule type="cellIs" dxfId="457" priority="300" operator="between">
      <formula>10.1</formula>
      <formula>10.6</formula>
    </cfRule>
    <cfRule type="cellIs" dxfId="456" priority="302" stopIfTrue="1" operator="between">
      <formula>8</formula>
      <formula>8.9</formula>
    </cfRule>
    <cfRule type="cellIs" dxfId="455" priority="303" operator="between">
      <formula>9</formula>
      <formula>9.9</formula>
    </cfRule>
    <cfRule type="cellIs" dxfId="454" priority="301" operator="between">
      <formula>7</formula>
      <formula>7.9</formula>
    </cfRule>
    <cfRule type="cellIs" dxfId="453" priority="299" operator="between">
      <formula>6</formula>
      <formula>6.9</formula>
    </cfRule>
    <cfRule type="containsBlanks" dxfId="452" priority="305" stopIfTrue="1">
      <formula>LEN(TRIM(H259))=0</formula>
    </cfRule>
  </conditionalFormatting>
  <conditionalFormatting sqref="H265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51" priority="266" stopIfTrue="1" operator="between">
      <formula>10</formula>
      <formula>10</formula>
    </cfRule>
    <cfRule type="cellIs" dxfId="450" priority="265" operator="between">
      <formula>9</formula>
      <formula>9.9</formula>
    </cfRule>
    <cfRule type="cellIs" dxfId="449" priority="264" stopIfTrue="1" operator="between">
      <formula>8</formula>
      <formula>8.9</formula>
    </cfRule>
    <cfRule type="cellIs" dxfId="448" priority="263" operator="between">
      <formula>7</formula>
      <formula>7.9</formula>
    </cfRule>
    <cfRule type="cellIs" dxfId="447" priority="261" operator="between">
      <formula>6</formula>
      <formula>6.9</formula>
    </cfRule>
    <cfRule type="cellIs" dxfId="446" priority="262" operator="between">
      <formula>10.1</formula>
      <formula>10.6</formula>
    </cfRule>
    <cfRule type="containsBlanks" dxfId="445" priority="267" stopIfTrue="1">
      <formula>LEN(TRIM(H266))=0</formula>
    </cfRule>
  </conditionalFormatting>
  <conditionalFormatting sqref="H276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444" priority="237" operator="between">
      <formula>6</formula>
      <formula>6.9</formula>
    </cfRule>
    <cfRule type="cellIs" dxfId="443" priority="240" stopIfTrue="1" operator="between">
      <formula>8</formula>
      <formula>8.9</formula>
    </cfRule>
    <cfRule type="cellIs" dxfId="442" priority="239" operator="between">
      <formula>7</formula>
      <formula>7.9</formula>
    </cfRule>
    <cfRule type="containsBlanks" dxfId="441" priority="243" stopIfTrue="1">
      <formula>LEN(TRIM(H277))=0</formula>
    </cfRule>
    <cfRule type="cellIs" dxfId="440" priority="238" operator="between">
      <formula>10.1</formula>
      <formula>10.6</formula>
    </cfRule>
    <cfRule type="cellIs" dxfId="439" priority="242" stopIfTrue="1" operator="between">
      <formula>10</formula>
      <formula>10</formula>
    </cfRule>
    <cfRule type="cellIs" dxfId="438" priority="241" operator="between">
      <formula>9</formula>
      <formula>9.9</formula>
    </cfRule>
  </conditionalFormatting>
  <conditionalFormatting sqref="H288">
    <cfRule type="colorScale" priority="170">
      <colorScale>
        <cfvo type="num" val="5"/>
        <cfvo type="num" val="10"/>
        <color rgb="FFFF494D"/>
        <color rgb="FF00FF66"/>
      </colorScale>
    </cfRule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437" priority="165" stopIfTrue="1" operator="between">
      <formula>8</formula>
      <formula>8.9</formula>
    </cfRule>
    <cfRule type="cellIs" dxfId="436" priority="162" operator="between">
      <formula>6</formula>
      <formula>6.9</formula>
    </cfRule>
    <cfRule type="cellIs" dxfId="435" priority="166" operator="between">
      <formula>9</formula>
      <formula>9.9</formula>
    </cfRule>
    <cfRule type="cellIs" dxfId="434" priority="167" stopIfTrue="1" operator="between">
      <formula>10</formula>
      <formula>10</formula>
    </cfRule>
    <cfRule type="cellIs" dxfId="433" priority="163" operator="between">
      <formula>10.1</formula>
      <formula>10.6</formula>
    </cfRule>
    <cfRule type="containsBlanks" dxfId="432" priority="168" stopIfTrue="1">
      <formula>LEN(TRIM(H289))=0</formula>
    </cfRule>
    <cfRule type="cellIs" dxfId="431" priority="164" operator="between">
      <formula>7</formula>
      <formula>7.9</formula>
    </cfRule>
  </conditionalFormatting>
  <conditionalFormatting sqref="H296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430" priority="154" operator="between">
      <formula>5</formula>
      <formula>6.9</formula>
    </cfRule>
    <cfRule type="cellIs" dxfId="429" priority="155" operator="between">
      <formula>10.1</formula>
      <formula>10.6</formula>
    </cfRule>
    <cfRule type="cellIs" dxfId="428" priority="153" operator="between">
      <formula>2</formula>
      <formula>4.9</formula>
    </cfRule>
    <cfRule type="cellIs" dxfId="427" priority="158" operator="between">
      <formula>9</formula>
      <formula>9.9</formula>
    </cfRule>
    <cfRule type="cellIs" dxfId="426" priority="159" stopIfTrue="1" operator="between">
      <formula>10</formula>
      <formula>10</formula>
    </cfRule>
    <cfRule type="containsBlanks" dxfId="425" priority="151" stopIfTrue="1">
      <formula>LEN(TRIM(H297))=0</formula>
    </cfRule>
    <cfRule type="cellIs" dxfId="424" priority="152" operator="lessThan">
      <formula>2</formula>
    </cfRule>
    <cfRule type="cellIs" dxfId="423" priority="156" operator="between">
      <formula>7</formula>
      <formula>7.9</formula>
    </cfRule>
    <cfRule type="cellIs" dxfId="422" priority="157" stopIfTrue="1" operator="between">
      <formula>8</formula>
      <formula>8.9</formula>
    </cfRule>
  </conditionalFormatting>
  <conditionalFormatting sqref="H309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421" priority="86" stopIfTrue="1" operator="between">
      <formula>10</formula>
      <formula>10</formula>
    </cfRule>
    <cfRule type="cellIs" dxfId="420" priority="85" operator="between">
      <formula>9</formula>
      <formula>9.9</formula>
    </cfRule>
    <cfRule type="cellIs" dxfId="419" priority="84" stopIfTrue="1" operator="between">
      <formula>8</formula>
      <formula>8.9</formula>
    </cfRule>
    <cfRule type="cellIs" dxfId="418" priority="83" operator="between">
      <formula>7</formula>
      <formula>7.9</formula>
    </cfRule>
    <cfRule type="cellIs" dxfId="417" priority="82" operator="between">
      <formula>10.1</formula>
      <formula>10.6</formula>
    </cfRule>
    <cfRule type="cellIs" dxfId="416" priority="81" operator="between">
      <formula>5</formula>
      <formula>6.9</formula>
    </cfRule>
    <cfRule type="cellIs" dxfId="415" priority="80" operator="between">
      <formula>2</formula>
      <formula>4.9</formula>
    </cfRule>
    <cfRule type="cellIs" dxfId="414" priority="79" operator="lessThan">
      <formula>2</formula>
    </cfRule>
    <cfRule type="containsBlanks" dxfId="413" priority="78" stopIfTrue="1">
      <formula>LEN(TRIM(H310))=0</formula>
    </cfRule>
  </conditionalFormatting>
  <conditionalFormatting sqref="K3:K12">
    <cfRule type="containsBlanks" dxfId="412" priority="1153" stopIfTrue="1">
      <formula>LEN(TRIM(K3))=0</formula>
    </cfRule>
    <cfRule type="cellIs" dxfId="411" priority="1148" operator="between">
      <formula>10.1</formula>
      <formula>10.6</formula>
    </cfRule>
    <cfRule type="cellIs" dxfId="410" priority="1149" operator="between">
      <formula>7</formula>
      <formula>7.9</formula>
    </cfRule>
    <cfRule type="cellIs" dxfId="409" priority="1150" stopIfTrue="1" operator="between">
      <formula>8</formula>
      <formula>8.9</formula>
    </cfRule>
    <cfRule type="cellIs" dxfId="408" priority="1151" operator="between">
      <formula>9</formula>
      <formula>9.9</formula>
    </cfRule>
    <cfRule type="cellIs" dxfId="407" priority="1152" stopIfTrue="1" operator="between">
      <formula>10</formula>
      <formula>10</formula>
    </cfRule>
  </conditionalFormatting>
  <conditionalFormatting sqref="K15:K23">
    <cfRule type="cellIs" dxfId="406" priority="559" stopIfTrue="1" operator="between">
      <formula>10</formula>
      <formula>10</formula>
    </cfRule>
    <cfRule type="cellIs" dxfId="405" priority="558" operator="between">
      <formula>9</formula>
      <formula>9.9</formula>
    </cfRule>
    <cfRule type="cellIs" dxfId="404" priority="557" stopIfTrue="1" operator="between">
      <formula>8</formula>
      <formula>8.9</formula>
    </cfRule>
    <cfRule type="cellIs" dxfId="403" priority="556" operator="between">
      <formula>7</formula>
      <formula>7.9</formula>
    </cfRule>
  </conditionalFormatting>
  <conditionalFormatting sqref="K23">
    <cfRule type="containsBlanks" dxfId="402" priority="560" stopIfTrue="1">
      <formula>LEN(TRIM(K23))=0</formula>
    </cfRule>
    <cfRule type="cellIs" dxfId="401" priority="555" operator="between">
      <formula>10.1</formula>
      <formula>10.6</formula>
    </cfRule>
  </conditionalFormatting>
  <conditionalFormatting sqref="K26:K38">
    <cfRule type="cellIs" dxfId="400" priority="1186" stopIfTrue="1" operator="between">
      <formula>10</formula>
      <formula>10</formula>
    </cfRule>
    <cfRule type="cellIs" dxfId="399" priority="1183" operator="between">
      <formula>7</formula>
      <formula>7.9</formula>
    </cfRule>
    <cfRule type="cellIs" dxfId="398" priority="1184" stopIfTrue="1" operator="between">
      <formula>8</formula>
      <formula>8.9</formula>
    </cfRule>
    <cfRule type="cellIs" dxfId="397" priority="1185" operator="between">
      <formula>9</formula>
      <formula>9.9</formula>
    </cfRule>
    <cfRule type="containsBlanks" dxfId="396" priority="1187" stopIfTrue="1">
      <formula>LEN(TRIM(K26))=0</formula>
    </cfRule>
  </conditionalFormatting>
  <conditionalFormatting sqref="K40">
    <cfRule type="colorScale" priority="1506">
      <colorScale>
        <cfvo type="num" val="5"/>
        <cfvo type="num" val="10"/>
        <color rgb="FFFF494D"/>
        <color rgb="FF00FF66"/>
      </colorScale>
    </cfRule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95" priority="1091" operator="between">
      <formula>9</formula>
      <formula>9.9</formula>
    </cfRule>
    <cfRule type="containsBlanks" dxfId="394" priority="1093" stopIfTrue="1">
      <formula>LEN(TRIM(K41))=0</formula>
    </cfRule>
    <cfRule type="cellIs" dxfId="393" priority="1092" stopIfTrue="1" operator="between">
      <formula>10</formula>
      <formula>10</formula>
    </cfRule>
    <cfRule type="cellIs" dxfId="392" priority="1090" stopIfTrue="1" operator="between">
      <formula>8</formula>
      <formula>8.9</formula>
    </cfRule>
    <cfRule type="cellIs" dxfId="391" priority="1089" operator="between">
      <formula>7</formula>
      <formula>7.9</formula>
    </cfRule>
    <cfRule type="cellIs" dxfId="390" priority="1088" operator="between">
      <formula>10.1</formula>
      <formula>10.6</formula>
    </cfRule>
  </conditionalFormatting>
  <conditionalFormatting sqref="K54">
    <cfRule type="colorScale" priority="1057">
      <colorScale>
        <cfvo type="num" val="5"/>
        <cfvo type="num" val="10"/>
        <color rgb="FFFF494D"/>
        <color rgb="FF00FF66"/>
      </colorScale>
    </cfRule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89" priority="1051" operator="between">
      <formula>7</formula>
      <formula>7.9</formula>
    </cfRule>
    <cfRule type="cellIs" dxfId="388" priority="1050" operator="between">
      <formula>10.1</formula>
      <formula>10.6</formula>
    </cfRule>
    <cfRule type="containsBlanks" dxfId="387" priority="1055" stopIfTrue="1">
      <formula>LEN(TRIM(K55))=0</formula>
    </cfRule>
    <cfRule type="cellIs" dxfId="386" priority="1054" stopIfTrue="1" operator="between">
      <formula>10</formula>
      <formula>10</formula>
    </cfRule>
    <cfRule type="cellIs" dxfId="385" priority="1052" stopIfTrue="1" operator="between">
      <formula>8</formula>
      <formula>8.9</formula>
    </cfRule>
    <cfRule type="cellIs" dxfId="384" priority="1053" operator="between">
      <formula>9</formula>
      <formula>9.9</formula>
    </cfRule>
  </conditionalFormatting>
  <conditionalFormatting sqref="K66">
    <cfRule type="colorScale" priority="1030">
      <colorScale>
        <cfvo type="num" val="5"/>
        <cfvo type="num" val="10"/>
        <color rgb="FFFF494D"/>
        <color rgb="FF00FF66"/>
      </colorScale>
    </cfRule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383" priority="1028" stopIfTrue="1">
      <formula>LEN(TRIM(K67))=0</formula>
    </cfRule>
    <cfRule type="cellIs" dxfId="382" priority="1027" stopIfTrue="1" operator="between">
      <formula>10</formula>
      <formula>10</formula>
    </cfRule>
    <cfRule type="cellIs" dxfId="381" priority="1026" operator="between">
      <formula>9</formula>
      <formula>9.9</formula>
    </cfRule>
    <cfRule type="cellIs" dxfId="380" priority="1025" stopIfTrue="1" operator="between">
      <formula>8</formula>
      <formula>8.9</formula>
    </cfRule>
    <cfRule type="cellIs" dxfId="379" priority="1023" operator="between">
      <formula>10.1</formula>
      <formula>10.6</formula>
    </cfRule>
    <cfRule type="cellIs" dxfId="378" priority="1024" operator="between">
      <formula>7</formula>
      <formula>7.9</formula>
    </cfRule>
  </conditionalFormatting>
  <conditionalFormatting sqref="K77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77" priority="974" stopIfTrue="1" operator="between">
      <formula>10</formula>
      <formula>10</formula>
    </cfRule>
    <cfRule type="containsBlanks" dxfId="376" priority="975" stopIfTrue="1">
      <formula>LEN(TRIM(K78))=0</formula>
    </cfRule>
    <cfRule type="cellIs" dxfId="375" priority="973" operator="between">
      <formula>9</formula>
      <formula>9.9</formula>
    </cfRule>
    <cfRule type="cellIs" dxfId="374" priority="971" operator="between">
      <formula>7</formula>
      <formula>7.9</formula>
    </cfRule>
    <cfRule type="cellIs" dxfId="373" priority="972" stopIfTrue="1" operator="between">
      <formula>8</formula>
      <formula>8.9</formula>
    </cfRule>
    <cfRule type="cellIs" dxfId="372" priority="970" operator="between">
      <formula>10.1</formula>
      <formula>10.6</formula>
    </cfRule>
  </conditionalFormatting>
  <conditionalFormatting sqref="K90">
    <cfRule type="colorScale" priority="924">
      <colorScale>
        <cfvo type="num" val="5"/>
        <cfvo type="num" val="10"/>
        <color rgb="FFFF494D"/>
        <color rgb="FF00FF66"/>
      </colorScale>
    </cfRule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71" priority="928" operator="between">
      <formula>9</formula>
      <formula>9.9</formula>
    </cfRule>
    <cfRule type="containsBlanks" dxfId="370" priority="930" stopIfTrue="1">
      <formula>LEN(TRIM(K91))=0</formula>
    </cfRule>
    <cfRule type="cellIs" dxfId="369" priority="927" stopIfTrue="1" operator="between">
      <formula>8</formula>
      <formula>8.9</formula>
    </cfRule>
    <cfRule type="cellIs" dxfId="368" priority="926" operator="between">
      <formula>7</formula>
      <formula>7.9</formula>
    </cfRule>
    <cfRule type="cellIs" dxfId="367" priority="925" operator="between">
      <formula>10.1</formula>
      <formula>10.6</formula>
    </cfRule>
    <cfRule type="cellIs" dxfId="366" priority="929" stopIfTrue="1" operator="between">
      <formula>10</formula>
      <formula>10</formula>
    </cfRule>
  </conditionalFormatting>
  <conditionalFormatting sqref="K98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65" priority="893" operator="between">
      <formula>7</formula>
      <formula>7.9</formula>
    </cfRule>
    <cfRule type="cellIs" dxfId="364" priority="894" stopIfTrue="1" operator="between">
      <formula>8</formula>
      <formula>8.9</formula>
    </cfRule>
    <cfRule type="cellIs" dxfId="363" priority="895" operator="between">
      <formula>9</formula>
      <formula>9.9</formula>
    </cfRule>
    <cfRule type="cellIs" dxfId="362" priority="896" stopIfTrue="1" operator="between">
      <formula>10</formula>
      <formula>10</formula>
    </cfRule>
    <cfRule type="containsBlanks" dxfId="361" priority="897" stopIfTrue="1">
      <formula>LEN(TRIM(K99))=0</formula>
    </cfRule>
    <cfRule type="cellIs" dxfId="360" priority="891" operator="between">
      <formula>6</formula>
      <formula>6.9</formula>
    </cfRule>
    <cfRule type="cellIs" dxfId="359" priority="892" operator="between">
      <formula>10.1</formula>
      <formula>10.6</formula>
    </cfRule>
  </conditionalFormatting>
  <conditionalFormatting sqref="K111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58" priority="844" operator="between">
      <formula>10.1</formula>
      <formula>10.6</formula>
    </cfRule>
    <cfRule type="cellIs" dxfId="357" priority="845" operator="between">
      <formula>7</formula>
      <formula>7.9</formula>
    </cfRule>
    <cfRule type="containsBlanks" dxfId="356" priority="849" stopIfTrue="1">
      <formula>LEN(TRIM(K112))=0</formula>
    </cfRule>
    <cfRule type="cellIs" dxfId="355" priority="848" stopIfTrue="1" operator="between">
      <formula>10</formula>
      <formula>10</formula>
    </cfRule>
    <cfRule type="cellIs" dxfId="354" priority="847" operator="between">
      <formula>9</formula>
      <formula>9.9</formula>
    </cfRule>
    <cfRule type="cellIs" dxfId="353" priority="846" stopIfTrue="1" operator="between">
      <formula>8</formula>
      <formula>8.9</formula>
    </cfRule>
  </conditionalFormatting>
  <conditionalFormatting sqref="K114">
    <cfRule type="cellIs" dxfId="352" priority="843" operator="between">
      <formula>6</formula>
      <formula>6.9</formula>
    </cfRule>
  </conditionalFormatting>
  <conditionalFormatting sqref="K124">
    <cfRule type="colorScale" priority="808">
      <colorScale>
        <cfvo type="num" val="5"/>
        <cfvo type="num" val="10"/>
        <color rgb="FFFF494D"/>
        <color rgb="FF00FF66"/>
      </colorScale>
    </cfRule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351" priority="804" operator="between">
      <formula>9</formula>
      <formula>9.9</formula>
    </cfRule>
    <cfRule type="containsBlanks" dxfId="350" priority="806" stopIfTrue="1">
      <formula>LEN(TRIM(K125))=0</formula>
    </cfRule>
    <cfRule type="cellIs" dxfId="349" priority="805" stopIfTrue="1" operator="between">
      <formula>10</formula>
      <formula>10</formula>
    </cfRule>
    <cfRule type="cellIs" dxfId="348" priority="803" stopIfTrue="1" operator="between">
      <formula>8</formula>
      <formula>8.9</formula>
    </cfRule>
    <cfRule type="cellIs" dxfId="347" priority="802" operator="between">
      <formula>7</formula>
      <formula>7.9</formula>
    </cfRule>
    <cfRule type="cellIs" dxfId="346" priority="801" operator="between">
      <formula>10.1</formula>
      <formula>10.6</formula>
    </cfRule>
  </conditionalFormatting>
  <conditionalFormatting sqref="K125:K134">
    <cfRule type="cellIs" dxfId="345" priority="798" operator="between">
      <formula>9</formula>
      <formula>9.9</formula>
    </cfRule>
    <cfRule type="cellIs" dxfId="344" priority="799" stopIfTrue="1" operator="between">
      <formula>10</formula>
      <formula>10</formula>
    </cfRule>
    <cfRule type="cellIs" dxfId="343" priority="794" operator="between">
      <formula>6</formula>
      <formula>6.9</formula>
    </cfRule>
    <cfRule type="cellIs" dxfId="342" priority="795" operator="between">
      <formula>10.1</formula>
      <formula>10.6</formula>
    </cfRule>
    <cfRule type="cellIs" dxfId="341" priority="797" stopIfTrue="1" operator="between">
      <formula>8</formula>
      <formula>8.9</formula>
    </cfRule>
    <cfRule type="cellIs" dxfId="340" priority="796" operator="between">
      <formula>7</formula>
      <formula>7.9</formula>
    </cfRule>
    <cfRule type="containsBlanks" dxfId="339" priority="800" stopIfTrue="1">
      <formula>LEN(TRIM(K125))=0</formula>
    </cfRule>
  </conditionalFormatting>
  <conditionalFormatting sqref="K136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38" priority="739" stopIfTrue="1" operator="between">
      <formula>8</formula>
      <formula>8.9</formula>
    </cfRule>
    <cfRule type="cellIs" dxfId="337" priority="737" operator="between">
      <formula>10.1</formula>
      <formula>10.6</formula>
    </cfRule>
    <cfRule type="cellIs" dxfId="336" priority="738" operator="between">
      <formula>7</formula>
      <formula>7.9</formula>
    </cfRule>
    <cfRule type="cellIs" dxfId="335" priority="736" operator="between">
      <formula>6</formula>
      <formula>6.9</formula>
    </cfRule>
    <cfRule type="cellIs" dxfId="334" priority="741" stopIfTrue="1" operator="between">
      <formula>10</formula>
      <formula>10</formula>
    </cfRule>
    <cfRule type="cellIs" dxfId="333" priority="740" operator="between">
      <formula>9</formula>
      <formula>9.9</formula>
    </cfRule>
    <cfRule type="containsBlanks" dxfId="332" priority="742" stopIfTrue="1">
      <formula>LEN(TRIM(K137))=0</formula>
    </cfRule>
  </conditionalFormatting>
  <conditionalFormatting sqref="K149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331" priority="679" stopIfTrue="1">
      <formula>LEN(TRIM(K150))=0</formula>
    </cfRule>
    <cfRule type="cellIs" dxfId="330" priority="673" operator="between">
      <formula>6</formula>
      <formula>6.9</formula>
    </cfRule>
    <cfRule type="cellIs" dxfId="329" priority="674" operator="between">
      <formula>10.1</formula>
      <formula>10.6</formula>
    </cfRule>
    <cfRule type="cellIs" dxfId="328" priority="675" operator="between">
      <formula>7</formula>
      <formula>7.9</formula>
    </cfRule>
    <cfRule type="cellIs" dxfId="327" priority="676" stopIfTrue="1" operator="between">
      <formula>8</formula>
      <formula>8.9</formula>
    </cfRule>
    <cfRule type="cellIs" dxfId="326" priority="677" operator="between">
      <formula>9</formula>
      <formula>9.9</formula>
    </cfRule>
    <cfRule type="cellIs" dxfId="325" priority="678" stopIfTrue="1" operator="between">
      <formula>10</formula>
      <formula>10</formula>
    </cfRule>
  </conditionalFormatting>
  <conditionalFormatting sqref="K165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24" priority="621" operator="between">
      <formula>9</formula>
      <formula>9.9</formula>
    </cfRule>
    <cfRule type="cellIs" dxfId="323" priority="619" operator="between">
      <formula>7</formula>
      <formula>7.9</formula>
    </cfRule>
    <cfRule type="cellIs" dxfId="322" priority="622" stopIfTrue="1" operator="between">
      <formula>10</formula>
      <formula>10</formula>
    </cfRule>
    <cfRule type="containsBlanks" dxfId="321" priority="623" stopIfTrue="1">
      <formula>LEN(TRIM(K166))=0</formula>
    </cfRule>
    <cfRule type="cellIs" dxfId="320" priority="618" operator="between">
      <formula>10.1</formula>
      <formula>10.6</formula>
    </cfRule>
    <cfRule type="cellIs" dxfId="319" priority="620" stopIfTrue="1" operator="between">
      <formula>8</formula>
      <formula>8.9</formula>
    </cfRule>
    <cfRule type="cellIs" dxfId="318" priority="617" operator="between">
      <formula>6</formula>
      <formula>6.9</formula>
    </cfRule>
  </conditionalFormatting>
  <conditionalFormatting sqref="K175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17" priority="593" stopIfTrue="1" operator="between">
      <formula>8</formula>
      <formula>8.9</formula>
    </cfRule>
    <cfRule type="cellIs" dxfId="316" priority="591" operator="between">
      <formula>10.1</formula>
      <formula>10.6</formula>
    </cfRule>
    <cfRule type="containsBlanks" dxfId="315" priority="596" stopIfTrue="1">
      <formula>LEN(TRIM(K176))=0</formula>
    </cfRule>
    <cfRule type="cellIs" dxfId="314" priority="590" operator="between">
      <formula>6</formula>
      <formula>6.9</formula>
    </cfRule>
    <cfRule type="cellIs" dxfId="313" priority="592" operator="between">
      <formula>7</formula>
      <formula>7.9</formula>
    </cfRule>
    <cfRule type="cellIs" dxfId="312" priority="594" operator="between">
      <formula>9</formula>
      <formula>9.9</formula>
    </cfRule>
    <cfRule type="cellIs" dxfId="311" priority="595" stopIfTrue="1" operator="between">
      <formula>10</formula>
      <formula>10</formula>
    </cfRule>
  </conditionalFormatting>
  <conditionalFormatting sqref="K182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0" priority="571" operator="between">
      <formula>10.1</formula>
      <formula>10.6</formula>
    </cfRule>
    <cfRule type="cellIs" dxfId="309" priority="570" operator="between">
      <formula>6</formula>
      <formula>6.9</formula>
    </cfRule>
    <cfRule type="cellIs" dxfId="308" priority="574" operator="between">
      <formula>9</formula>
      <formula>9.9</formula>
    </cfRule>
    <cfRule type="containsBlanks" dxfId="307" priority="576" stopIfTrue="1">
      <formula>LEN(TRIM(K183))=0</formula>
    </cfRule>
    <cfRule type="cellIs" dxfId="306" priority="575" stopIfTrue="1" operator="between">
      <formula>10</formula>
      <formula>10</formula>
    </cfRule>
    <cfRule type="cellIs" dxfId="305" priority="573" stopIfTrue="1" operator="between">
      <formula>8</formula>
      <formula>8.9</formula>
    </cfRule>
    <cfRule type="cellIs" dxfId="304" priority="572" operator="between">
      <formula>7</formula>
      <formula>7.9</formula>
    </cfRule>
  </conditionalFormatting>
  <conditionalFormatting sqref="K189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03" priority="532" operator="between">
      <formula>7</formula>
      <formula>7.9</formula>
    </cfRule>
    <cfRule type="cellIs" dxfId="302" priority="534" operator="between">
      <formula>9</formula>
      <formula>9.9</formula>
    </cfRule>
    <cfRule type="containsBlanks" dxfId="301" priority="536" stopIfTrue="1">
      <formula>LEN(TRIM(K190))=0</formula>
    </cfRule>
    <cfRule type="cellIs" dxfId="300" priority="530" operator="between">
      <formula>6</formula>
      <formula>6.9</formula>
    </cfRule>
    <cfRule type="cellIs" dxfId="299" priority="531" operator="between">
      <formula>10.1</formula>
      <formula>10.6</formula>
    </cfRule>
    <cfRule type="cellIs" dxfId="298" priority="533" stopIfTrue="1" operator="between">
      <formula>8</formula>
      <formula>8.9</formula>
    </cfRule>
    <cfRule type="cellIs" dxfId="297" priority="535" stopIfTrue="1" operator="between">
      <formula>10</formula>
      <formula>10</formula>
    </cfRule>
  </conditionalFormatting>
  <conditionalFormatting sqref="K199">
    <cfRule type="colorScale" priority="509">
      <colorScale>
        <cfvo type="num" val="5"/>
        <cfvo type="num" val="10"/>
        <color rgb="FFFF494D"/>
        <color rgb="FF00FF66"/>
      </colorScale>
    </cfRule>
    <cfRule type="colorScale" priority="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96" priority="504" stopIfTrue="1" operator="between">
      <formula>8</formula>
      <formula>8.9</formula>
    </cfRule>
    <cfRule type="cellIs" dxfId="295" priority="506" stopIfTrue="1" operator="between">
      <formula>10</formula>
      <formula>10</formula>
    </cfRule>
    <cfRule type="cellIs" dxfId="294" priority="505" operator="between">
      <formula>9</formula>
      <formula>9.9</formula>
    </cfRule>
    <cfRule type="cellIs" dxfId="293" priority="502" operator="between">
      <formula>10.1</formula>
      <formula>10.6</formula>
    </cfRule>
    <cfRule type="cellIs" dxfId="292" priority="501" operator="between">
      <formula>6</formula>
      <formula>6.9</formula>
    </cfRule>
    <cfRule type="containsBlanks" dxfId="291" priority="507" stopIfTrue="1">
      <formula>LEN(TRIM(K200))=0</formula>
    </cfRule>
    <cfRule type="cellIs" dxfId="290" priority="503" operator="between">
      <formula>7</formula>
      <formula>7.9</formula>
    </cfRule>
  </conditionalFormatting>
  <conditionalFormatting sqref="K208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289" priority="471" operator="between">
      <formula>6</formula>
      <formula>6.9</formula>
    </cfRule>
    <cfRule type="cellIs" dxfId="288" priority="473" operator="between">
      <formula>7</formula>
      <formula>7.9</formula>
    </cfRule>
    <cfRule type="cellIs" dxfId="287" priority="474" stopIfTrue="1" operator="between">
      <formula>8</formula>
      <formula>8.9</formula>
    </cfRule>
    <cfRule type="cellIs" dxfId="286" priority="475" operator="between">
      <formula>9</formula>
      <formula>9.9</formula>
    </cfRule>
    <cfRule type="cellIs" dxfId="285" priority="476" stopIfTrue="1" operator="between">
      <formula>10</formula>
      <formula>10</formula>
    </cfRule>
    <cfRule type="containsBlanks" dxfId="284" priority="477" stopIfTrue="1">
      <formula>LEN(TRIM(K209))=0</formula>
    </cfRule>
    <cfRule type="cellIs" dxfId="283" priority="472" operator="between">
      <formula>10.1</formula>
      <formula>11</formula>
    </cfRule>
  </conditionalFormatting>
  <conditionalFormatting sqref="K219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82" priority="421" stopIfTrue="1" operator="between">
      <formula>8</formula>
      <formula>8.9</formula>
    </cfRule>
    <cfRule type="cellIs" dxfId="281" priority="422" operator="between">
      <formula>9</formula>
      <formula>9.9</formula>
    </cfRule>
    <cfRule type="cellIs" dxfId="280" priority="423" stopIfTrue="1" operator="between">
      <formula>10</formula>
      <formula>10</formula>
    </cfRule>
    <cfRule type="containsBlanks" dxfId="279" priority="424" stopIfTrue="1">
      <formula>LEN(TRIM(K220))=0</formula>
    </cfRule>
    <cfRule type="cellIs" dxfId="278" priority="420" operator="between">
      <formula>7</formula>
      <formula>7.9</formula>
    </cfRule>
    <cfRule type="cellIs" dxfId="277" priority="418" operator="between">
      <formula>6</formula>
      <formula>6.9</formula>
    </cfRule>
    <cfRule type="cellIs" dxfId="276" priority="419" operator="between">
      <formula>10.1</formula>
      <formula>10.6</formula>
    </cfRule>
  </conditionalFormatting>
  <conditionalFormatting sqref="K237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75" priority="359" operator="between">
      <formula>9</formula>
      <formula>9.9</formula>
    </cfRule>
    <cfRule type="cellIs" dxfId="274" priority="356" operator="between">
      <formula>10.1</formula>
      <formula>10.6</formula>
    </cfRule>
    <cfRule type="cellIs" dxfId="273" priority="360" stopIfTrue="1" operator="between">
      <formula>10</formula>
      <formula>10</formula>
    </cfRule>
    <cfRule type="cellIs" dxfId="272" priority="355" operator="between">
      <formula>6</formula>
      <formula>6.9</formula>
    </cfRule>
    <cfRule type="containsBlanks" dxfId="271" priority="361" stopIfTrue="1">
      <formula>LEN(TRIM(K238))=0</formula>
    </cfRule>
    <cfRule type="cellIs" dxfId="270" priority="357" operator="between">
      <formula>7</formula>
      <formula>7.9</formula>
    </cfRule>
    <cfRule type="cellIs" dxfId="269" priority="358" stopIfTrue="1" operator="between">
      <formula>8</formula>
      <formula>8.9</formula>
    </cfRule>
  </conditionalFormatting>
  <conditionalFormatting sqref="K252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268" priority="316" stopIfTrue="1">
      <formula>LEN(TRIM(K253))=0</formula>
    </cfRule>
    <cfRule type="cellIs" dxfId="267" priority="310" operator="between">
      <formula>6</formula>
      <formula>6.9</formula>
    </cfRule>
    <cfRule type="cellIs" dxfId="266" priority="315" stopIfTrue="1" operator="between">
      <formula>10</formula>
      <formula>10</formula>
    </cfRule>
    <cfRule type="cellIs" dxfId="265" priority="314" operator="between">
      <formula>9</formula>
      <formula>9.9</formula>
    </cfRule>
    <cfRule type="cellIs" dxfId="264" priority="313" stopIfTrue="1" operator="between">
      <formula>8</formula>
      <formula>8.9</formula>
    </cfRule>
    <cfRule type="cellIs" dxfId="263" priority="312" operator="between">
      <formula>7</formula>
      <formula>7.9</formula>
    </cfRule>
    <cfRule type="cellIs" dxfId="262" priority="311" operator="between">
      <formula>10.1</formula>
      <formula>10.6</formula>
    </cfRule>
  </conditionalFormatting>
  <conditionalFormatting sqref="K264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261" priority="287" stopIfTrue="1">
      <formula>LEN(TRIM(K265))=0</formula>
    </cfRule>
    <cfRule type="cellIs" dxfId="260" priority="286" stopIfTrue="1" operator="between">
      <formula>10</formula>
      <formula>10</formula>
    </cfRule>
    <cfRule type="cellIs" dxfId="259" priority="281" operator="between">
      <formula>6</formula>
      <formula>6.9</formula>
    </cfRule>
    <cfRule type="cellIs" dxfId="258" priority="285" operator="between">
      <formula>9</formula>
      <formula>9.9</formula>
    </cfRule>
    <cfRule type="cellIs" dxfId="257" priority="283" operator="between">
      <formula>7</formula>
      <formula>7.9</formula>
    </cfRule>
    <cfRule type="cellIs" dxfId="256" priority="282" operator="between">
      <formula>10.1</formula>
      <formula>10.6</formula>
    </cfRule>
    <cfRule type="cellIs" dxfId="255" priority="284" stopIfTrue="1" operator="between">
      <formula>8</formula>
      <formula>8.9</formula>
    </cfRule>
  </conditionalFormatting>
  <conditionalFormatting sqref="K276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54" priority="228" operator="between">
      <formula>6</formula>
      <formula>6.9</formula>
    </cfRule>
    <cfRule type="cellIs" dxfId="253" priority="229" operator="between">
      <formula>10.1</formula>
      <formula>10.6</formula>
    </cfRule>
    <cfRule type="cellIs" dxfId="252" priority="230" operator="between">
      <formula>7</formula>
      <formula>7.9</formula>
    </cfRule>
    <cfRule type="cellIs" dxfId="251" priority="231" stopIfTrue="1" operator="between">
      <formula>8</formula>
      <formula>8.9</formula>
    </cfRule>
    <cfRule type="cellIs" dxfId="250" priority="232" operator="between">
      <formula>9</formula>
      <formula>9.9</formula>
    </cfRule>
    <cfRule type="cellIs" dxfId="249" priority="233" stopIfTrue="1" operator="between">
      <formula>10</formula>
      <formula>10</formula>
    </cfRule>
    <cfRule type="containsBlanks" dxfId="248" priority="234" stopIfTrue="1">
      <formula>LEN(TRIM(K277))=0</formula>
    </cfRule>
  </conditionalFormatting>
  <conditionalFormatting sqref="K286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47" priority="181" operator="between">
      <formula>10.1</formula>
      <formula>10.6</formula>
    </cfRule>
    <cfRule type="containsBlanks" dxfId="246" priority="186" stopIfTrue="1">
      <formula>LEN(TRIM(K287))=0</formula>
    </cfRule>
    <cfRule type="cellIs" dxfId="245" priority="185" stopIfTrue="1" operator="between">
      <formula>10</formula>
      <formula>10</formula>
    </cfRule>
    <cfRule type="cellIs" dxfId="244" priority="184" operator="between">
      <formula>9</formula>
      <formula>9.9</formula>
    </cfRule>
    <cfRule type="cellIs" dxfId="243" priority="183" stopIfTrue="1" operator="between">
      <formula>8</formula>
      <formula>8.9</formula>
    </cfRule>
    <cfRule type="cellIs" dxfId="242" priority="182" operator="between">
      <formula>7</formula>
      <formula>7.9</formula>
    </cfRule>
    <cfRule type="cellIs" dxfId="241" priority="180" operator="between">
      <formula>6</formula>
      <formula>6.9</formula>
    </cfRule>
  </conditionalFormatting>
  <conditionalFormatting sqref="K296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40" priority="146" stopIfTrue="1" operator="between">
      <formula>8</formula>
      <formula>8.9</formula>
    </cfRule>
    <cfRule type="cellIs" dxfId="239" priority="142" operator="between">
      <formula>2</formula>
      <formula>4.9</formula>
    </cfRule>
    <cfRule type="containsBlanks" dxfId="238" priority="140" stopIfTrue="1">
      <formula>LEN(TRIM(K297))=0</formula>
    </cfRule>
    <cfRule type="cellIs" dxfId="237" priority="141" operator="lessThan">
      <formula>2</formula>
    </cfRule>
    <cfRule type="cellIs" dxfId="236" priority="143" operator="between">
      <formula>5</formula>
      <formula>6.9</formula>
    </cfRule>
    <cfRule type="cellIs" dxfId="235" priority="148" stopIfTrue="1" operator="between">
      <formula>10</formula>
      <formula>10</formula>
    </cfRule>
    <cfRule type="cellIs" dxfId="234" priority="147" operator="between">
      <formula>9</formula>
      <formula>9.9</formula>
    </cfRule>
    <cfRule type="cellIs" dxfId="233" priority="145" operator="between">
      <formula>7</formula>
      <formula>7.9</formula>
    </cfRule>
    <cfRule type="cellIs" dxfId="232" priority="144" operator="between">
      <formula>10.1</formula>
      <formula>10.6</formula>
    </cfRule>
  </conditionalFormatting>
  <conditionalFormatting sqref="K304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31" priority="111" operator="between">
      <formula>2</formula>
      <formula>4.9</formula>
    </cfRule>
    <cfRule type="containsBlanks" dxfId="230" priority="109" stopIfTrue="1">
      <formula>LEN(TRIM(K305))=0</formula>
    </cfRule>
    <cfRule type="cellIs" dxfId="229" priority="116" operator="between">
      <formula>9</formula>
      <formula>9.9</formula>
    </cfRule>
    <cfRule type="cellIs" dxfId="228" priority="110" operator="lessThan">
      <formula>2</formula>
    </cfRule>
    <cfRule type="cellIs" dxfId="227" priority="117" stopIfTrue="1" operator="between">
      <formula>10</formula>
      <formula>10</formula>
    </cfRule>
    <cfRule type="cellIs" dxfId="226" priority="115" stopIfTrue="1" operator="between">
      <formula>8</formula>
      <formula>8.9</formula>
    </cfRule>
    <cfRule type="cellIs" dxfId="225" priority="114" operator="between">
      <formula>7</formula>
      <formula>7.9</formula>
    </cfRule>
    <cfRule type="cellIs" dxfId="224" priority="113" operator="between">
      <formula>10.1</formula>
      <formula>10.6</formula>
    </cfRule>
    <cfRule type="cellIs" dxfId="223" priority="112" operator="between">
      <formula>5</formula>
      <formula>6.9</formula>
    </cfRule>
  </conditionalFormatting>
  <conditionalFormatting sqref="K318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22" priority="55" stopIfTrue="1" operator="between">
      <formula>10</formula>
      <formula>10</formula>
    </cfRule>
    <cfRule type="cellIs" dxfId="221" priority="54" operator="between">
      <formula>9</formula>
      <formula>9.9</formula>
    </cfRule>
    <cfRule type="cellIs" dxfId="220" priority="53" stopIfTrue="1" operator="between">
      <formula>8</formula>
      <formula>8.9</formula>
    </cfRule>
    <cfRule type="cellIs" dxfId="219" priority="48" operator="lessThan">
      <formula>2</formula>
    </cfRule>
    <cfRule type="containsBlanks" dxfId="218" priority="47" stopIfTrue="1">
      <formula>LEN(TRIM(K319))=0</formula>
    </cfRule>
    <cfRule type="cellIs" dxfId="217" priority="50" operator="between">
      <formula>5</formula>
      <formula>6.9</formula>
    </cfRule>
    <cfRule type="cellIs" dxfId="216" priority="51" operator="between">
      <formula>10.1</formula>
      <formula>10.6</formula>
    </cfRule>
    <cfRule type="cellIs" dxfId="215" priority="49" operator="between">
      <formula>2</formula>
      <formula>4.9</formula>
    </cfRule>
    <cfRule type="cellIs" dxfId="214" priority="52" operator="between">
      <formula>7</formula>
      <formula>7.9</formula>
    </cfRule>
  </conditionalFormatting>
  <conditionalFormatting sqref="M28">
    <cfRule type="colorScale" priority="1546">
      <colorScale>
        <cfvo type="num" val="5"/>
        <cfvo type="num" val="10"/>
        <color rgb="FFFF494D"/>
        <color rgb="FF00FF66"/>
      </colorScale>
    </cfRule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13" priority="1147" stopIfTrue="1">
      <formula>LEN(TRIM(N3))=0</formula>
    </cfRule>
    <cfRule type="cellIs" dxfId="212" priority="1142" operator="between">
      <formula>10.1</formula>
      <formula>10.6</formula>
    </cfRule>
    <cfRule type="cellIs" dxfId="211" priority="1146" stopIfTrue="1" operator="between">
      <formula>10</formula>
      <formula>10</formula>
    </cfRule>
    <cfRule type="cellIs" dxfId="210" priority="1145" operator="between">
      <formula>9</formula>
      <formula>9.9</formula>
    </cfRule>
    <cfRule type="cellIs" dxfId="209" priority="1144" stopIfTrue="1" operator="between">
      <formula>8</formula>
      <formula>8.9</formula>
    </cfRule>
    <cfRule type="cellIs" dxfId="208" priority="1143" operator="between">
      <formula>7</formula>
      <formula>7.9</formula>
    </cfRule>
  </conditionalFormatting>
  <conditionalFormatting sqref="N15:N26">
    <cfRule type="cellIs" dxfId="207" priority="1274" operator="between">
      <formula>7</formula>
      <formula>7.9</formula>
    </cfRule>
    <cfRule type="cellIs" dxfId="206" priority="1275" stopIfTrue="1" operator="between">
      <formula>8</formula>
      <formula>8.9</formula>
    </cfRule>
    <cfRule type="cellIs" dxfId="205" priority="1276" operator="between">
      <formula>9</formula>
      <formula>9.9</formula>
    </cfRule>
    <cfRule type="cellIs" dxfId="204" priority="1277" stopIfTrue="1" operator="between">
      <formula>10</formula>
      <formula>10</formula>
    </cfRule>
  </conditionalFormatting>
  <conditionalFormatting sqref="N28">
    <cfRule type="colorScale" priority="1040">
      <colorScale>
        <cfvo type="num" val="5"/>
        <cfvo type="num" val="10"/>
        <color rgb="FFFF494D"/>
        <color rgb="FF00FF66"/>
      </colorScale>
    </cfRule>
    <cfRule type="colorScale" priority="10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03" priority="1279" stopIfTrue="1" operator="between">
      <formula>8</formula>
      <formula>8.9</formula>
    </cfRule>
    <cfRule type="cellIs" dxfId="202" priority="1278" operator="between">
      <formula>7</formula>
      <formula>7.9</formula>
    </cfRule>
    <cfRule type="cellIs" dxfId="201" priority="1281" stopIfTrue="1" operator="between">
      <formula>10</formula>
      <formula>10</formula>
    </cfRule>
    <cfRule type="cellIs" dxfId="200" priority="1280" operator="between">
      <formula>9</formula>
      <formula>9.9</formula>
    </cfRule>
  </conditionalFormatting>
  <conditionalFormatting sqref="N39">
    <cfRule type="colorScale" priority="1513">
      <colorScale>
        <cfvo type="num" val="5"/>
        <cfvo type="num" val="10"/>
        <color rgb="FFFF494D"/>
        <color rgb="FF00FF66"/>
      </colorScale>
    </cfRule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99" priority="1086" stopIfTrue="1" operator="between">
      <formula>10</formula>
      <formula>10</formula>
    </cfRule>
    <cfRule type="containsBlanks" dxfId="198" priority="1087" stopIfTrue="1">
      <formula>LEN(TRIM(N40))=0</formula>
    </cfRule>
    <cfRule type="cellIs" dxfId="197" priority="1082" operator="between">
      <formula>10.1</formula>
      <formula>10.6</formula>
    </cfRule>
    <cfRule type="cellIs" dxfId="196" priority="1083" operator="between">
      <formula>7</formula>
      <formula>7.9</formula>
    </cfRule>
    <cfRule type="cellIs" dxfId="195" priority="1084" stopIfTrue="1" operator="between">
      <formula>8</formula>
      <formula>8.9</formula>
    </cfRule>
    <cfRule type="cellIs" dxfId="194" priority="1085" operator="between">
      <formula>9</formula>
      <formula>9.9</formula>
    </cfRule>
  </conditionalFormatting>
  <conditionalFormatting sqref="N54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93" priority="1066" stopIfTrue="1" operator="between">
      <formula>8</formula>
      <formula>8.9</formula>
    </cfRule>
    <cfRule type="cellIs" dxfId="192" priority="1067" operator="between">
      <formula>9</formula>
      <formula>9.9</formula>
    </cfRule>
    <cfRule type="containsBlanks" dxfId="191" priority="1069" stopIfTrue="1">
      <formula>LEN(TRIM(N55))=0</formula>
    </cfRule>
    <cfRule type="cellIs" dxfId="190" priority="1064" operator="between">
      <formula>10.1</formula>
      <formula>10.6</formula>
    </cfRule>
    <cfRule type="cellIs" dxfId="189" priority="1065" operator="between">
      <formula>7</formula>
      <formula>7.9</formula>
    </cfRule>
    <cfRule type="cellIs" dxfId="188" priority="1068" stopIfTrue="1" operator="between">
      <formula>10</formula>
      <formula>10</formula>
    </cfRule>
  </conditionalFormatting>
  <conditionalFormatting sqref="N67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87" priority="1019" stopIfTrue="1" operator="between">
      <formula>10</formula>
      <formula>10</formula>
    </cfRule>
    <cfRule type="cellIs" dxfId="186" priority="1015" operator="between">
      <formula>10.1</formula>
      <formula>10.6</formula>
    </cfRule>
    <cfRule type="cellIs" dxfId="185" priority="1016" operator="between">
      <formula>7</formula>
      <formula>7.9</formula>
    </cfRule>
    <cfRule type="containsBlanks" dxfId="184" priority="1020" stopIfTrue="1">
      <formula>LEN(TRIM(N68))=0</formula>
    </cfRule>
    <cfRule type="cellIs" dxfId="183" priority="1017" stopIfTrue="1" operator="between">
      <formula>8</formula>
      <formula>8.9</formula>
    </cfRule>
    <cfRule type="cellIs" dxfId="182" priority="1018" operator="between">
      <formula>9</formula>
      <formula>9.9</formula>
    </cfRule>
  </conditionalFormatting>
  <conditionalFormatting sqref="N79">
    <cfRule type="colorScale" priority="953">
      <colorScale>
        <cfvo type="num" val="5"/>
        <cfvo type="num" val="10"/>
        <color rgb="FFFF494D"/>
        <color rgb="FF00FF66"/>
      </colorScale>
    </cfRule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81" priority="946" operator="between">
      <formula>10.1</formula>
      <formula>10.6</formula>
    </cfRule>
    <cfRule type="containsBlanks" dxfId="180" priority="951" stopIfTrue="1">
      <formula>LEN(TRIM(N80))=0</formula>
    </cfRule>
    <cfRule type="cellIs" dxfId="179" priority="948" stopIfTrue="1" operator="between">
      <formula>8</formula>
      <formula>8.9</formula>
    </cfRule>
    <cfRule type="cellIs" dxfId="178" priority="949" operator="between">
      <formula>9</formula>
      <formula>9.9</formula>
    </cfRule>
    <cfRule type="cellIs" dxfId="177" priority="950" stopIfTrue="1" operator="between">
      <formula>10</formula>
      <formula>10</formula>
    </cfRule>
    <cfRule type="cellIs" dxfId="176" priority="947" operator="between">
      <formula>7</formula>
      <formula>7.9</formula>
    </cfRule>
  </conditionalFormatting>
  <conditionalFormatting sqref="N93">
    <cfRule type="colorScale" priority="9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75" priority="909" operator="between">
      <formula>10.1</formula>
      <formula>10.6</formula>
    </cfRule>
    <cfRule type="cellIs" dxfId="174" priority="910" operator="between">
      <formula>7</formula>
      <formula>7.9</formula>
    </cfRule>
    <cfRule type="cellIs" dxfId="173" priority="911" stopIfTrue="1" operator="between">
      <formula>8</formula>
      <formula>8.9</formula>
    </cfRule>
    <cfRule type="cellIs" dxfId="172" priority="912" operator="between">
      <formula>9</formula>
      <formula>9.9</formula>
    </cfRule>
    <cfRule type="cellIs" dxfId="171" priority="913" stopIfTrue="1" operator="between">
      <formula>10</formula>
      <formula>10</formula>
    </cfRule>
    <cfRule type="containsBlanks" dxfId="170" priority="914" stopIfTrue="1">
      <formula>LEN(TRIM(N94))=0</formula>
    </cfRule>
  </conditionalFormatting>
  <conditionalFormatting sqref="N112"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9" priority="838" operator="between">
      <formula>9</formula>
      <formula>9.9</formula>
    </cfRule>
    <cfRule type="cellIs" dxfId="168" priority="839" stopIfTrue="1" operator="between">
      <formula>10</formula>
      <formula>10</formula>
    </cfRule>
    <cfRule type="containsBlanks" dxfId="167" priority="840" stopIfTrue="1">
      <formula>LEN(TRIM(N113))=0</formula>
    </cfRule>
    <cfRule type="cellIs" dxfId="166" priority="837" stopIfTrue="1" operator="between">
      <formula>8</formula>
      <formula>8.9</formula>
    </cfRule>
    <cfRule type="cellIs" dxfId="165" priority="836" operator="between">
      <formula>7</formula>
      <formula>7.9</formula>
    </cfRule>
    <cfRule type="cellIs" dxfId="164" priority="835" operator="between">
      <formula>10.1</formula>
      <formula>10.6</formula>
    </cfRule>
  </conditionalFormatting>
  <conditionalFormatting sqref="N127">
    <cfRule type="colorScale" priority="775">
      <colorScale>
        <cfvo type="num" val="5"/>
        <cfvo type="num" val="10"/>
        <color rgb="FFFF494D"/>
        <color rgb="FF00FF66"/>
      </colorScale>
    </cfRule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63" priority="767" stopIfTrue="1">
      <formula>LEN(TRIM(N128))=0</formula>
    </cfRule>
    <cfRule type="cellIs" dxfId="162" priority="772" stopIfTrue="1" operator="between">
      <formula>10</formula>
      <formula>10</formula>
    </cfRule>
    <cfRule type="cellIs" dxfId="161" priority="765" operator="between">
      <formula>9</formula>
      <formula>9.9</formula>
    </cfRule>
    <cfRule type="containsBlanks" dxfId="160" priority="773" stopIfTrue="1">
      <formula>LEN(TRIM(N128))=0</formula>
    </cfRule>
    <cfRule type="cellIs" dxfId="159" priority="766" stopIfTrue="1" operator="between">
      <formula>10</formula>
      <formula>10</formula>
    </cfRule>
    <cfRule type="cellIs" dxfId="158" priority="764" stopIfTrue="1" operator="between">
      <formula>8</formula>
      <formula>8.9</formula>
    </cfRule>
    <cfRule type="cellIs" dxfId="157" priority="763" operator="between">
      <formula>7</formula>
      <formula>7.9</formula>
    </cfRule>
    <cfRule type="cellIs" dxfId="156" priority="762" operator="between">
      <formula>10.1</formula>
      <formula>10.6</formula>
    </cfRule>
    <cfRule type="cellIs" dxfId="155" priority="761" operator="between">
      <formula>6</formula>
      <formula>6.9</formula>
    </cfRule>
    <cfRule type="cellIs" dxfId="154" priority="771" operator="between">
      <formula>9</formula>
      <formula>9.9</formula>
    </cfRule>
    <cfRule type="cellIs" dxfId="153" priority="770" stopIfTrue="1" operator="between">
      <formula>8</formula>
      <formula>8.9</formula>
    </cfRule>
    <cfRule type="cellIs" dxfId="152" priority="769" operator="between">
      <formula>7</formula>
      <formula>7.9</formula>
    </cfRule>
    <cfRule type="cellIs" dxfId="151" priority="768" operator="between">
      <formula>10.1</formula>
      <formula>10.6</formula>
    </cfRule>
  </conditionalFormatting>
  <conditionalFormatting sqref="N137">
    <cfRule type="colorScale" priority="733">
      <colorScale>
        <cfvo type="num" val="5"/>
        <cfvo type="num" val="10"/>
        <color rgb="FFFF494D"/>
        <color rgb="FF00FF66"/>
      </colorScale>
    </cfRule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50" priority="729" operator="between">
      <formula>9</formula>
      <formula>9.9</formula>
    </cfRule>
    <cfRule type="cellIs" dxfId="149" priority="726" operator="between">
      <formula>10.1</formula>
      <formula>10.6</formula>
    </cfRule>
    <cfRule type="cellIs" dxfId="148" priority="727" operator="between">
      <formula>7</formula>
      <formula>7.9</formula>
    </cfRule>
    <cfRule type="cellIs" dxfId="147" priority="725" operator="between">
      <formula>6</formula>
      <formula>6.9</formula>
    </cfRule>
    <cfRule type="cellIs" dxfId="146" priority="730" stopIfTrue="1" operator="between">
      <formula>10</formula>
      <formula>10</formula>
    </cfRule>
    <cfRule type="containsBlanks" dxfId="145" priority="731" stopIfTrue="1">
      <formula>LEN(TRIM(N138))=0</formula>
    </cfRule>
    <cfRule type="cellIs" dxfId="144" priority="728" stopIfTrue="1" operator="between">
      <formula>8</formula>
      <formula>8.9</formula>
    </cfRule>
  </conditionalFormatting>
  <conditionalFormatting sqref="N144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3" priority="719" stopIfTrue="1" operator="between">
      <formula>8</formula>
      <formula>8.9</formula>
    </cfRule>
    <cfRule type="containsBlanks" dxfId="142" priority="722" stopIfTrue="1">
      <formula>LEN(TRIM(N145))=0</formula>
    </cfRule>
    <cfRule type="cellIs" dxfId="141" priority="716" operator="between">
      <formula>6</formula>
      <formula>6.9</formula>
    </cfRule>
    <cfRule type="cellIs" dxfId="140" priority="717" operator="between">
      <formula>10.1</formula>
      <formula>10.6</formula>
    </cfRule>
    <cfRule type="cellIs" dxfId="139" priority="718" operator="between">
      <formula>7</formula>
      <formula>7.9</formula>
    </cfRule>
    <cfRule type="cellIs" dxfId="138" priority="720" operator="between">
      <formula>9</formula>
      <formula>9.9</formula>
    </cfRule>
    <cfRule type="cellIs" dxfId="137" priority="721" stopIfTrue="1" operator="between">
      <formula>10</formula>
      <formula>10</formula>
    </cfRule>
  </conditionalFormatting>
  <conditionalFormatting sqref="N152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36" priority="668" stopIfTrue="1">
      <formula>LEN(TRIM(N153))=0</formula>
    </cfRule>
    <cfRule type="cellIs" dxfId="135" priority="667" stopIfTrue="1" operator="between">
      <formula>10</formula>
      <formula>10</formula>
    </cfRule>
    <cfRule type="cellIs" dxfId="134" priority="664" operator="between">
      <formula>7</formula>
      <formula>7.9</formula>
    </cfRule>
    <cfRule type="cellIs" dxfId="133" priority="663" operator="between">
      <formula>10.1</formula>
      <formula>10.6</formula>
    </cfRule>
    <cfRule type="cellIs" dxfId="132" priority="662" operator="between">
      <formula>6</formula>
      <formula>6.9</formula>
    </cfRule>
    <cfRule type="cellIs" dxfId="131" priority="666" operator="between">
      <formula>9</formula>
      <formula>9.9</formula>
    </cfRule>
    <cfRule type="cellIs" dxfId="130" priority="665" stopIfTrue="1" operator="between">
      <formula>8</formula>
      <formula>8.9</formula>
    </cfRule>
  </conditionalFormatting>
  <conditionalFormatting sqref="N161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29" priority="652" stopIfTrue="1">
      <formula>LEN(TRIM(N162))=0</formula>
    </cfRule>
    <cfRule type="cellIs" dxfId="128" priority="646" operator="between">
      <formula>6</formula>
      <formula>6.9</formula>
    </cfRule>
    <cfRule type="cellIs" dxfId="127" priority="647" operator="between">
      <formula>10.1</formula>
      <formula>10.6</formula>
    </cfRule>
    <cfRule type="cellIs" dxfId="126" priority="648" operator="between">
      <formula>7</formula>
      <formula>7.9</formula>
    </cfRule>
    <cfRule type="cellIs" dxfId="125" priority="649" stopIfTrue="1" operator="between">
      <formula>8</formula>
      <formula>8.9</formula>
    </cfRule>
    <cfRule type="cellIs" dxfId="124" priority="650" operator="between">
      <formula>9</formula>
      <formula>9.9</formula>
    </cfRule>
    <cfRule type="cellIs" dxfId="123" priority="651" stopIfTrue="1" operator="between">
      <formula>10</formula>
      <formula>10</formula>
    </cfRule>
  </conditionalFormatting>
  <conditionalFormatting sqref="N182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22" priority="537" operator="between">
      <formula>6</formula>
      <formula>6.9</formula>
    </cfRule>
    <cfRule type="cellIs" dxfId="121" priority="538" operator="between">
      <formula>10.1</formula>
      <formula>10.6</formula>
    </cfRule>
    <cfRule type="cellIs" dxfId="120" priority="541" operator="between">
      <formula>9</formula>
      <formula>9.9</formula>
    </cfRule>
    <cfRule type="containsBlanks" dxfId="119" priority="543" stopIfTrue="1">
      <formula>LEN(TRIM(N186))=0</formula>
    </cfRule>
    <cfRule type="cellIs" dxfId="118" priority="542" stopIfTrue="1" operator="between">
      <formula>10</formula>
      <formula>10</formula>
    </cfRule>
    <cfRule type="cellIs" dxfId="117" priority="539" operator="between">
      <formula>7</formula>
      <formula>7.9</formula>
    </cfRule>
    <cfRule type="cellIs" dxfId="116" priority="540" stopIfTrue="1" operator="between">
      <formula>8</formula>
      <formula>8.9</formula>
    </cfRule>
  </conditionalFormatting>
  <conditionalFormatting sqref="N211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15" priority="459" stopIfTrue="1" operator="between">
      <formula>10</formula>
      <formula>10</formula>
    </cfRule>
    <cfRule type="cellIs" dxfId="114" priority="458" operator="between">
      <formula>9</formula>
      <formula>9.9</formula>
    </cfRule>
    <cfRule type="cellIs" dxfId="113" priority="457" stopIfTrue="1" operator="between">
      <formula>8</formula>
      <formula>8.9</formula>
    </cfRule>
    <cfRule type="cellIs" dxfId="112" priority="456" operator="between">
      <formula>7</formula>
      <formula>7.9</formula>
    </cfRule>
    <cfRule type="cellIs" dxfId="111" priority="455" operator="between">
      <formula>10.1</formula>
      <formula>11</formula>
    </cfRule>
    <cfRule type="cellIs" dxfId="110" priority="454" operator="between">
      <formula>6</formula>
      <formula>6.9</formula>
    </cfRule>
    <cfRule type="containsBlanks" dxfId="109" priority="460" stopIfTrue="1">
      <formula>LEN(TRIM(N212))=0</formula>
    </cfRule>
  </conditionalFormatting>
  <conditionalFormatting sqref="N228">
    <cfRule type="colorScale" priority="399">
      <colorScale>
        <cfvo type="num" val="5"/>
        <cfvo type="num" val="10"/>
        <color rgb="FFFF494D"/>
        <color rgb="FF00FF66"/>
      </colorScale>
    </cfRule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08" priority="401" operator="between">
      <formula>10.1</formula>
      <formula>11</formula>
    </cfRule>
    <cfRule type="containsBlanks" dxfId="107" priority="406" stopIfTrue="1">
      <formula>LEN(TRIM(N229))=0</formula>
    </cfRule>
    <cfRule type="cellIs" dxfId="106" priority="405" stopIfTrue="1" operator="between">
      <formula>10</formula>
      <formula>10</formula>
    </cfRule>
    <cfRule type="cellIs" dxfId="105" priority="404" operator="between">
      <formula>9</formula>
      <formula>9.9</formula>
    </cfRule>
    <cfRule type="cellIs" dxfId="104" priority="403" stopIfTrue="1" operator="between">
      <formula>8</formula>
      <formula>8.9</formula>
    </cfRule>
    <cfRule type="cellIs" dxfId="103" priority="402" operator="between">
      <formula>7</formula>
      <formula>7.9</formula>
    </cfRule>
    <cfRule type="cellIs" dxfId="102" priority="400" operator="between">
      <formula>6</formula>
      <formula>6.9</formula>
    </cfRule>
  </conditionalFormatting>
  <conditionalFormatting sqref="N240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01" priority="351" stopIfTrue="1" operator="between">
      <formula>10</formula>
      <formula>10</formula>
    </cfRule>
    <cfRule type="containsBlanks" dxfId="100" priority="352" stopIfTrue="1">
      <formula>LEN(TRIM(N241))=0</formula>
    </cfRule>
    <cfRule type="cellIs" dxfId="99" priority="350" operator="between">
      <formula>9</formula>
      <formula>9.9</formula>
    </cfRule>
    <cfRule type="cellIs" dxfId="98" priority="349" stopIfTrue="1" operator="between">
      <formula>8</formula>
      <formula>8.9</formula>
    </cfRule>
    <cfRule type="cellIs" dxfId="97" priority="348" operator="between">
      <formula>7</formula>
      <formula>7.9</formula>
    </cfRule>
    <cfRule type="cellIs" dxfId="96" priority="347" operator="between">
      <formula>10.1</formula>
      <formula>10.6</formula>
    </cfRule>
    <cfRule type="cellIs" dxfId="95" priority="346" operator="between">
      <formula>6</formula>
      <formula>6.9</formula>
    </cfRule>
  </conditionalFormatting>
  <conditionalFormatting sqref="N249">
    <cfRule type="colorScale" priority="327">
      <colorScale>
        <cfvo type="num" val="5"/>
        <cfvo type="num" val="10"/>
        <color rgb="FFFF494D"/>
        <color rgb="FF00FF66"/>
      </colorScale>
    </cfRule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94" priority="322" stopIfTrue="1" operator="between">
      <formula>8</formula>
      <formula>8.9</formula>
    </cfRule>
    <cfRule type="cellIs" dxfId="93" priority="321" operator="between">
      <formula>7</formula>
      <formula>7.9</formula>
    </cfRule>
    <cfRule type="cellIs" dxfId="92" priority="320" operator="between">
      <formula>10.1</formula>
      <formula>10.6</formula>
    </cfRule>
    <cfRule type="cellIs" dxfId="91" priority="319" operator="between">
      <formula>6</formula>
      <formula>6.9</formula>
    </cfRule>
    <cfRule type="containsBlanks" dxfId="90" priority="325" stopIfTrue="1">
      <formula>LEN(TRIM(N250))=0</formula>
    </cfRule>
    <cfRule type="cellIs" dxfId="89" priority="324" stopIfTrue="1" operator="between">
      <formula>10</formula>
      <formula>10</formula>
    </cfRule>
    <cfRule type="cellIs" dxfId="88" priority="323" operator="between">
      <formula>9</formula>
      <formula>9.9</formula>
    </cfRule>
  </conditionalFormatting>
  <conditionalFormatting sqref="N277">
    <cfRule type="colorScale" priority="217">
      <colorScale>
        <cfvo type="num" val="5"/>
        <cfvo type="num" val="10"/>
        <color rgb="FFFF494D"/>
        <color rgb="FF00FF66"/>
      </colorScale>
    </cfRule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87" priority="215" stopIfTrue="1">
      <formula>LEN(TRIM(N278))=0</formula>
    </cfRule>
    <cfRule type="cellIs" dxfId="86" priority="209" operator="between">
      <formula>6</formula>
      <formula>6.9</formula>
    </cfRule>
    <cfRule type="cellIs" dxfId="85" priority="210" operator="between">
      <formula>10.1</formula>
      <formula>10.6</formula>
    </cfRule>
    <cfRule type="cellIs" dxfId="84" priority="211" operator="between">
      <formula>7</formula>
      <formula>7.9</formula>
    </cfRule>
    <cfRule type="cellIs" dxfId="83" priority="212" stopIfTrue="1" operator="between">
      <formula>8</formula>
      <formula>8.9</formula>
    </cfRule>
    <cfRule type="cellIs" dxfId="82" priority="213" operator="between">
      <formula>9</formula>
      <formula>9.9</formula>
    </cfRule>
    <cfRule type="cellIs" dxfId="81" priority="214" stopIfTrue="1" operator="between">
      <formula>10</formula>
      <formula>10</formula>
    </cfRule>
  </conditionalFormatting>
  <conditionalFormatting sqref="N284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80" priority="193" operator="between">
      <formula>7</formula>
      <formula>7.9</formula>
    </cfRule>
    <cfRule type="cellIs" dxfId="79" priority="194" stopIfTrue="1" operator="between">
      <formula>8</formula>
      <formula>8.9</formula>
    </cfRule>
    <cfRule type="cellIs" dxfId="78" priority="192" operator="between">
      <formula>10.1</formula>
      <formula>10.6</formula>
    </cfRule>
    <cfRule type="cellIs" dxfId="77" priority="191" operator="between">
      <formula>6</formula>
      <formula>6.9</formula>
    </cfRule>
    <cfRule type="cellIs" dxfId="76" priority="196" stopIfTrue="1" operator="between">
      <formula>10</formula>
      <formula>10</formula>
    </cfRule>
    <cfRule type="containsBlanks" dxfId="75" priority="197" stopIfTrue="1">
      <formula>LEN(TRIM(N285))=0</formula>
    </cfRule>
    <cfRule type="cellIs" dxfId="74" priority="195" operator="between">
      <formula>9</formula>
      <formula>9.9</formula>
    </cfRule>
  </conditionalFormatting>
  <conditionalFormatting sqref="N297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73" priority="130" operator="lessThan">
      <formula>2</formula>
    </cfRule>
    <cfRule type="containsBlanks" dxfId="72" priority="129" stopIfTrue="1">
      <formula>LEN(TRIM(N298))=0</formula>
    </cfRule>
    <cfRule type="cellIs" dxfId="71" priority="131" operator="between">
      <formula>2</formula>
      <formula>4.9</formula>
    </cfRule>
    <cfRule type="cellIs" dxfId="70" priority="132" operator="between">
      <formula>5</formula>
      <formula>6.9</formula>
    </cfRule>
    <cfRule type="cellIs" dxfId="69" priority="134" operator="between">
      <formula>7</formula>
      <formula>7.9</formula>
    </cfRule>
    <cfRule type="cellIs" dxfId="68" priority="135" stopIfTrue="1" operator="between">
      <formula>8</formula>
      <formula>8.9</formula>
    </cfRule>
    <cfRule type="cellIs" dxfId="67" priority="136" operator="between">
      <formula>9</formula>
      <formula>9.9</formula>
    </cfRule>
    <cfRule type="cellIs" dxfId="66" priority="137" stopIfTrue="1" operator="between">
      <formula>10</formula>
      <formula>10</formula>
    </cfRule>
    <cfRule type="cellIs" dxfId="65" priority="133" operator="between">
      <formula>10.1</formula>
      <formula>10.6</formula>
    </cfRule>
  </conditionalFormatting>
  <conditionalFormatting sqref="N306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64" priority="103" operator="between">
      <formula>7</formula>
      <formula>7.9</formula>
    </cfRule>
    <cfRule type="cellIs" dxfId="63" priority="101" operator="between">
      <formula>5</formula>
      <formula>6.9</formula>
    </cfRule>
    <cfRule type="cellIs" dxfId="62" priority="100" operator="between">
      <formula>2</formula>
      <formula>4.9</formula>
    </cfRule>
    <cfRule type="cellIs" dxfId="61" priority="99" operator="lessThan">
      <formula>2</formula>
    </cfRule>
    <cfRule type="containsBlanks" dxfId="60" priority="98" stopIfTrue="1">
      <formula>LEN(TRIM(N307))=0</formula>
    </cfRule>
    <cfRule type="cellIs" dxfId="59" priority="102" operator="between">
      <formula>10.1</formula>
      <formula>10.6</formula>
    </cfRule>
    <cfRule type="cellIs" dxfId="58" priority="106" stopIfTrue="1" operator="between">
      <formula>10</formula>
      <formula>10</formula>
    </cfRule>
    <cfRule type="cellIs" dxfId="57" priority="105" operator="between">
      <formula>9</formula>
      <formula>9.9</formula>
    </cfRule>
    <cfRule type="cellIs" dxfId="56" priority="104" stopIfTrue="1" operator="between">
      <formula>8</formula>
      <formula>8.9</formula>
    </cfRule>
  </conditionalFormatting>
  <conditionalFormatting sqref="N318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55" priority="41" operator="between">
      <formula>9</formula>
      <formula>9.9</formula>
    </cfRule>
    <cfRule type="cellIs" dxfId="54" priority="42" stopIfTrue="1" operator="between">
      <formula>10</formula>
      <formula>10</formula>
    </cfRule>
    <cfRule type="cellIs" dxfId="53" priority="40" stopIfTrue="1" operator="between">
      <formula>8</formula>
      <formula>8.9</formula>
    </cfRule>
    <cfRule type="cellIs" dxfId="52" priority="39" operator="between">
      <formula>7</formula>
      <formula>7.9</formula>
    </cfRule>
    <cfRule type="cellIs" dxfId="51" priority="37" operator="between">
      <formula>5</formula>
      <formula>6.9</formula>
    </cfRule>
    <cfRule type="cellIs" dxfId="50" priority="38" operator="between">
      <formula>10.1</formula>
      <formula>10.6</formula>
    </cfRule>
    <cfRule type="containsBlanks" dxfId="49" priority="34" stopIfTrue="1">
      <formula>LEN(TRIM(N319))=0</formula>
    </cfRule>
    <cfRule type="cellIs" dxfId="48" priority="35" operator="lessThan">
      <formula>2</formula>
    </cfRule>
    <cfRule type="cellIs" dxfId="47" priority="36" operator="between">
      <formula>2</formula>
      <formula>4.9</formula>
    </cfRule>
  </conditionalFormatting>
  <conditionalFormatting sqref="AM3:AM9">
    <cfRule type="cellIs" dxfId="46" priority="1213" operator="between">
      <formula>10</formula>
      <formula>10</formula>
    </cfRule>
    <cfRule type="cellIs" dxfId="45" priority="1211" operator="between">
      <formula>8</formula>
      <formula>8.9</formula>
    </cfRule>
    <cfRule type="cellIs" dxfId="44" priority="1210" operator="between">
      <formula>7</formula>
      <formula>7.9</formula>
    </cfRule>
    <cfRule type="cellIs" dxfId="43" priority="1212" operator="between">
      <formula>9</formula>
      <formula>9.9</formula>
    </cfRule>
  </conditionalFormatting>
  <conditionalFormatting sqref="K329:K338">
    <cfRule type="containsBlanks" dxfId="0" priority="3" stopIfTrue="1">
      <formula>LEN(TRIM(K329))=0</formula>
    </cfRule>
    <cfRule type="cellIs" dxfId="1" priority="4" operator="lessThan">
      <formula>2</formula>
    </cfRule>
    <cfRule type="cellIs" dxfId="2" priority="5" operator="between">
      <formula>2</formula>
      <formula>4.9</formula>
    </cfRule>
    <cfRule type="cellIs" dxfId="3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5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8" priority="11" stopIfTrue="1" operator="between">
      <formula>10</formula>
      <formula>10</formula>
    </cfRule>
  </conditionalFormatting>
  <conditionalFormatting sqref="K32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2026-04-08T10:48:54Z</dcterms:modified>
</cp:coreProperties>
</file>