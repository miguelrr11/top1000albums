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581DBCEA-E0C4-1846-ABCB-226E1F41D517}" xr6:coauthVersionLast="47" xr6:coauthVersionMax="47" xr10:uidLastSave="{00000000-0000-0000-0000-000000000000}"/>
  <bookViews>
    <workbookView xWindow="-38400" yWindow="-1760" windowWidth="38400" windowHeight="21000" tabRatio="767" activeTab="6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9" i="4" l="1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<sst xmlns="http://schemas.openxmlformats.org/spreadsheetml/2006/main" count="6477" uniqueCount="3981">
  <si>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</si>
  <si>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</si>
  <si>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</si>
  <si>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</si>
  <si>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</si>
  <si>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</si>
  <si>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</si>
  <si>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</si>
  <si>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</si>
  <si>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</si>
  <si>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</si>
  <si>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</si>
  <si>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</si>
  <si>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</si>
  <si>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</si>
  <si>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</si>
  <si>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</si>
  <si>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</si>
  <si>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</si>
  <si>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</si>
  <si>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</si>
  <si>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</si>
  <si>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</si>
  <si>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</si>
  <si>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</si>
  <si>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</si>
  <si>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</si>
  <si>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</si>
  <si>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</si>
  <si>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</si>
  <si>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</si>
  <si>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</si>
  <si>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</si>
  <si>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</si>
  <si>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</si>
  <si>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</si>
  <si>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</si>
  <si>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</si>
  <si>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</si>
  <si>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</si>
  <si>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</si>
  <si>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</si>
  <si>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</si>
  <si>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</si>
  <si>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</si>
  <si>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</si>
  <si>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</si>
  <si>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</si>
  <si>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</si>
  <si>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</si>
  <si>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</si>
  <si>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</si>
  <si>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</si>
  <si>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</si>
  <si>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</si>
  <si>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</si>
  <si>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</si>
  <si>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</si>
  <si>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</si>
  <si>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</si>
  <si>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</si>
  <si>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</si>
  <si>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</si>
  <si>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</si>
  <si>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</si>
  <si>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</si>
  <si>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</si>
  <si>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</si>
  <si>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</si>
  <si>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</si>
  <si>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</si>
  <si>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</si>
  <si>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</si>
  <si>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</si>
  <si>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</si>
  <si>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</si>
  <si>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</si>
  <si>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</si>
  <si>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</si>
  <si>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</si>
  <si>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</si>
  <si>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</si>
  <si>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</si>
  <si>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</si>
  <si>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</si>
  <si>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</si>
  <si>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</si>
  <si>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</si>
  <si>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</si>
  <si>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</si>
  <si>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</si>
  <si>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</si>
  <si>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</si>
  <si>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</si>
  <si>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</si>
  <si>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</si>
  <si>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</si>
  <si>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</si>
  <si>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</si>
  <si>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</si>
  <si>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</si>
  <si>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</si>
  <si>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</si>
  <si>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</si>
  <si>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</si>
  <si>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</si>
  <si>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</si>
  <si>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</si>
  <si>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</si>
  <si>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</si>
  <si>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</si>
  <si>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</si>
  <si>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</si>
  <si>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</si>
  <si>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</si>
  <si>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</si>
  <si>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</si>
  <si>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</si>
  <si>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</si>
  <si>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</si>
  <si>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</si>
  <si>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</si>
  <si>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</si>
  <si>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</si>
  <si>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</si>
  <si>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</si>
  <si>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</si>
  <si>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</si>
  <si>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</si>
  <si>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</si>
  <si>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</si>
  <si>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</si>
  <si>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</si>
  <si>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</si>
  <si>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</si>
  <si>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</si>
  <si>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</si>
  <si>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</si>
  <si>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</si>
  <si>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</si>
  <si>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</si>
  <si>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</si>
  <si>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</si>
  <si>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</si>
  <si>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</si>
  <si>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</si>
  <si>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</si>
  <si>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</si>
  <si>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</si>
  <si>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</si>
  <si>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</si>
  <si>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</si>
  <si>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</si>
  <si>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</si>
  <si>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</si>
  <si>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</si>
  <si>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</si>
  <si>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</si>
  <si>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</si>
  <si>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</si>
  <si>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</si>
  <si>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</si>
  <si>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</si>
  <si>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</si>
  <si>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</si>
  <si>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</si>
  <si>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</si>
  <si>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</si>
  <si>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</si>
  <si>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</si>
  <si>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</si>
  <si>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</si>
  <si>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</si>
  <si>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</si>
  <si>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</si>
  <si>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</si>
  <si>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</si>
  <si>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</si>
  <si>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</si>
  <si>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</si>
  <si>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</si>
  <si>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</si>
  <si>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</si>
  <si>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</si>
  <si>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</si>
  <si>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</si>
  <si>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</si>
  <si>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</si>
  <si>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</si>
  <si>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</si>
  <si>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</si>
  <si>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</si>
  <si>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</si>
  <si>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</si>
  <si>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</si>
  <si>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</si>
  <si>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</si>
  <si>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</si>
  <si>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</si>
  <si>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</si>
  <si>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</si>
  <si>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</si>
  <si>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</si>
  <si>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</si>
  <si>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</si>
  <si>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</si>
  <si>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</si>
  <si>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</si>
  <si>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</si>
  <si>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</si>
  <si>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</si>
  <si>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</si>
  <si>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</si>
  <si>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</si>
  <si>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</si>
  <si>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</si>
  <si>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</si>
  <si>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</si>
  <si>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</si>
  <si>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</si>
  <si>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</si>
  <si>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</si>
  <si>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</si>
  <si>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</si>
  <si>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</si>
  <si>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</si>
  <si>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</si>
  <si>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</si>
  <si>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</si>
  <si>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</si>
  <si>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</si>
  <si>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</si>
  <si>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</si>
  <si>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</si>
  <si>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</si>
  <si>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</si>
  <si>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</si>
  <si>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</si>
  <si>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</si>
  <si>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</si>
  <si>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</si>
  <si>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</si>
  <si>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</si>
  <si>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</si>
  <si>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</si>
  <si>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</si>
  <si>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</si>
  <si>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</si>
  <si>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</si>
  <si>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</si>
  <si>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</si>
  <si>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</si>
  <si>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</si>
  <si>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</si>
  <si>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</si>
  <si>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</si>
  <si>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</si>
  <si>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</si>
  <si>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</si>
  <si>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</si>
  <si>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</si>
  <si>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</si>
  <si>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</si>
  <si>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</si>
  <si>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</si>
  <si>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</si>
  <si>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</si>
  <si>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</si>
  <si>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</si>
  <si>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</si>
  <si>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</si>
  <si>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</si>
  <si>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</si>
  <si>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</si>
  <si>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</si>
  <si>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</si>
  <si>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</si>
  <si>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</si>
  <si>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</si>
  <si>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</si>
  <si>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</si>
  <si>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</si>
  <si>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</si>
  <si>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</si>
  <si>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</si>
  <si>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</si>
  <si>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</si>
  <si>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</si>
  <si>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</si>
  <si>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</si>
  <si>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</si>
  <si>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</si>
  <si>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</si>
  <si>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</si>
  <si>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</si>
  <si>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</si>
  <si>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</si>
  <si>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</si>
  <si>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</si>
  <si>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</si>
  <si>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</si>
  <si>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</si>
  <si>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</si>
  <si>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</si>
  <si>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</si>
  <si>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</si>
  <si>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</si>
  <si>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</si>
  <si>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</si>
  <si>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</si>
  <si>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</si>
  <si>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</si>
  <si>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</si>
  <si>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</si>
  <si>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</si>
  <si>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</si>
  <si>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</si>
  <si>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</si>
  <si>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</si>
  <si>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</si>
  <si>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</si>
  <si>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</si>
  <si>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</si>
  <si>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</si>
  <si>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</si>
  <si>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</si>
  <si>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</si>
  <si>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</si>
  <si>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</si>
  <si>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</si>
  <si>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</si>
  <si>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</si>
  <si>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</si>
  <si>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</si>
  <si>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</si>
  <si>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</si>
  <si>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</si>
  <si>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</si>
  <si>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</si>
  <si>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</si>
  <si>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</si>
  <si>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</si>
  <si>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</si>
  <si>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</si>
  <si>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</si>
  <si>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</si>
  <si>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</si>
  <si>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</si>
  <si>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</si>
  <si>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</si>
  <si>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</si>
  <si>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</si>
  <si>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</si>
  <si>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</si>
  <si>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</si>
  <si>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</si>
  <si>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</si>
  <si>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</si>
  <si>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</si>
  <si>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</si>
  <si>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</si>
  <si>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</si>
  <si>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</si>
  <si>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</si>
  <si>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</si>
  <si>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</si>
  <si>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</si>
  <si>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</si>
  <si>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</si>
  <si>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</si>
  <si>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</si>
  <si>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</si>
  <si>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</si>
  <si>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</si>
  <si>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</si>
  <si>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</si>
  <si>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</si>
  <si>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</si>
  <si>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</si>
  <si>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</si>
  <si>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</si>
  <si>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</si>
  <si>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</si>
  <si>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</si>
  <si>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</si>
  <si>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</si>
  <si>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</si>
  <si>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</si>
  <si>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</si>
  <si>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</si>
  <si>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</si>
  <si>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</si>
  <si>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</si>
  <si>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</si>
  <si>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</si>
  <si>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</si>
  <si>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</si>
  <si>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</si>
  <si>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</si>
  <si>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</si>
  <si>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</si>
  <si>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</si>
  <si>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</si>
  <si>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</si>
  <si>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</si>
  <si>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</si>
  <si>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</si>
  <si>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</si>
  <si>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</si>
  <si>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</si>
  <si>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</si>
  <si>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</si>
  <si>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</si>
  <si>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</si>
  <si>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</si>
  <si>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</si>
  <si>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</si>
  <si>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</si>
  <si>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</si>
  <si>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</si>
  <si>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</si>
  <si>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</si>
  <si>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</si>
  <si>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</si>
  <si>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</si>
  <si>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</si>
  <si>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</si>
  <si>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</si>
  <si>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</si>
  <si>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</si>
  <si>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</si>
  <si>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</si>
  <si>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</si>
  <si>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</si>
  <si>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</si>
  <si>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</si>
  <si>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</si>
  <si>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</si>
  <si>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</si>
  <si>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</si>
  <si>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</si>
  <si>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</si>
  <si>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</si>
  <si>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</si>
  <si>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</si>
  <si>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</si>
  <si>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</si>
  <si>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</si>
  <si>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</si>
  <si>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</si>
  <si>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</si>
  <si>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</si>
  <si>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</si>
  <si>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</si>
  <si>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</si>
  <si>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</si>
  <si>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</si>
  <si>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</si>
  <si>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</si>
  <si>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</si>
  <si>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</si>
  <si>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</si>
  <si>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</si>
  <si>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</si>
  <si>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</si>
  <si>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</si>
  <si>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</si>
  <si>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</si>
  <si>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</si>
  <si>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</si>
  <si>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</si>
  <si>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</si>
  <si>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</si>
  <si>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</si>
  <si>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</si>
  <si>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</si>
  <si>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</si>
  <si>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</si>
  <si>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</si>
  <si>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</si>
  <si>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</si>
  <si>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</si>
  <si>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</si>
  <si>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</si>
  <si>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</si>
  <si>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</si>
  <si>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</si>
  <si>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</si>
  <si>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</si>
  <si>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</si>
  <si>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</si>
  <si>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</si>
  <si>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</si>
  <si>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</si>
  <si>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</si>
  <si>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</si>
  <si>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</si>
  <si>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</si>
  <si>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</si>
  <si>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</si>
  <si>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</si>
  <si>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</si>
  <si>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</si>
  <si>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</si>
  <si>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</si>
  <si>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</si>
  <si>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</si>
  <si>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</si>
  <si>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</si>
  <si>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</si>
  <si>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</si>
  <si>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</si>
  <si>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</si>
  <si>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</si>
  <si>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</si>
  <si>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</si>
  <si>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</si>
  <si>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</si>
  <si>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</si>
  <si>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</si>
  <si>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</si>
  <si>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</si>
  <si>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</si>
  <si>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</si>
  <si>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</si>
  <si>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</si>
  <si>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</si>
  <si>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</si>
  <si>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</si>
  <si>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</si>
  <si>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</si>
  <si>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</si>
  <si>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</si>
  <si>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</si>
  <si>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</si>
  <si>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</si>
  <si>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</si>
  <si>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</si>
  <si>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</si>
  <si>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</si>
  <si>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</si>
  <si>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</si>
  <si>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</si>
  <si>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</si>
  <si>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</si>
  <si>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</si>
  <si>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</si>
  <si>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</si>
  <si>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</si>
  <si>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</si>
  <si>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</si>
  <si>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</si>
  <si>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</si>
  <si>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</si>
  <si>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</si>
  <si>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</si>
  <si>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</si>
  <si>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</si>
  <si>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</si>
  <si>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</si>
  <si>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</si>
  <si>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</si>
  <si>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</si>
  <si>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</si>
  <si>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</si>
  <si>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</si>
  <si>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</si>
  <si>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</si>
  <si>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</si>
  <si>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</si>
  <si>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</si>
  <si>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</si>
  <si>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</si>
  <si>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</si>
  <si>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</si>
  <si>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</si>
  <si>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</si>
  <si>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</si>
  <si>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</si>
  <si>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</si>
  <si>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</si>
  <si>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</si>
  <si>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</si>
  <si>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</si>
  <si>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</si>
  <si>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</si>
  <si>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</si>
  <si>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</si>
  <si>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</si>
  <si>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</si>
  <si>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</si>
  <si>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</si>
  <si>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</si>
  <si>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</si>
  <si>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</si>
  <si>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</si>
  <si>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</si>
  <si>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</si>
  <si>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</si>
  <si>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</si>
  <si>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</si>
  <si>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</si>
  <si>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</si>
  <si>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</si>
  <si>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</si>
  <si>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</si>
  <si>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</si>
  <si>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</si>
  <si>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</si>
  <si>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</si>
  <si>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</si>
  <si>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</si>
  <si>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</si>
  <si>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</si>
  <si>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</si>
  <si>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</si>
  <si>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</si>
  <si>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</si>
  <si>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</si>
  <si>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</si>
  <si>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</si>
  <si>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</si>
  <si>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</si>
  <si>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</si>
  <si>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</si>
  <si>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</si>
  <si>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</si>
  <si>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</si>
  <si>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</si>
  <si>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</si>
  <si>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</si>
  <si>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</si>
  <si>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</si>
  <si>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</si>
  <si>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</si>
  <si>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</si>
  <si>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</si>
  <si>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</si>
  <si>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</si>
  <si>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</si>
  <si>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</si>
  <si>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</si>
  <si>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</si>
  <si>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</si>
  <si>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</si>
  <si>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</si>
  <si>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</si>
  <si>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</si>
  <si>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</si>
  <si>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</si>
  <si>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</si>
  <si>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</si>
  <si>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</si>
  <si>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</si>
  <si>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</si>
  <si>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</si>
  <si>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</si>
  <si>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</si>
  <si>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</si>
  <si>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</si>
  <si>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</si>
  <si>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</si>
  <si>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</si>
  <si>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</si>
  <si>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</si>
  <si>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</si>
  <si>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</si>
  <si>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</si>
  <si>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</si>
  <si>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</si>
  <si>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</si>
  <si>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</si>
  <si>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</si>
  <si>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</si>
  <si>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</si>
  <si>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</si>
  <si>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</si>
  <si>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</si>
  <si>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</si>
  <si>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</si>
  <si>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</si>
  <si>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</si>
  <si>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</si>
  <si>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</si>
  <si>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</si>
  <si>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</si>
  <si>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</si>
  <si>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</si>
  <si>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</si>
  <si>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</si>
  <si>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</si>
  <si>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</si>
  <si>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</si>
  <si>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</si>
  <si>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</si>
  <si>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</si>
  <si>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</si>
  <si>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</si>
  <si>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</si>
  <si>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</si>
  <si>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</si>
  <si>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</si>
  <si>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</si>
  <si>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</si>
  <si>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</si>
  <si>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</si>
  <si>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</si>
  <si>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</si>
  <si>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</si>
  <si>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</si>
  <si>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</si>
  <si>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</si>
  <si>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</si>
  <si>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</si>
  <si>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</si>
  <si>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</si>
  <si>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</si>
  <si>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</si>
  <si>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</si>
  <si>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</si>
  <si>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</si>
  <si>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</si>
  <si>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</si>
  <si>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</si>
  <si>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</si>
  <si>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</si>
  <si>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</si>
  <si>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</si>
  <si>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</si>
  <si>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</si>
  <si>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</si>
  <si>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</si>
  <si>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</si>
  <si>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</si>
  <si>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</si>
  <si>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</si>
  <si>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</si>
  <si>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</si>
  <si>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</si>
  <si>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</si>
  <si>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</si>
  <si>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</si>
  <si>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</si>
  <si>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</si>
  <si>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</si>
  <si>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</si>
  <si>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</si>
  <si>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</si>
  <si>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</si>
  <si>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</si>
  <si>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</si>
  <si>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</si>
  <si>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</si>
  <si>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</si>
  <si>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</si>
  <si>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</si>
  <si>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</si>
  <si>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</si>
  <si>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</si>
  <si>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</si>
  <si>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</si>
  <si>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</si>
  <si>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</si>
  <si>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</si>
  <si>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</si>
  <si>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</si>
  <si>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</si>
  <si>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</si>
  <si>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</si>
  <si>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</si>
  <si>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</si>
  <si>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</si>
  <si>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</si>
  <si>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</si>
  <si>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</si>
  <si>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</si>
  <si>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</si>
  <si>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</si>
  <si>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</si>
  <si>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</si>
  <si>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</si>
  <si>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</si>
  <si>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</si>
  <si>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</si>
  <si>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</si>
  <si>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</si>
  <si>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</si>
  <si>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</si>
  <si>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</si>
  <si>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</si>
  <si>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</si>
  <si>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</si>
  <si>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</si>
  <si>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</si>
  <si>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</si>
  <si>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</si>
  <si>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</si>
  <si>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</si>
  <si>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</si>
  <si>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</si>
  <si>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</si>
  <si>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</si>
  <si>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</si>
  <si>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</si>
  <si>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</si>
  <si>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</si>
  <si>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</si>
  <si>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</si>
  <si>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</si>
  <si>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</si>
  <si>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</si>
  <si>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</si>
  <si>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</si>
  <si>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</si>
  <si>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</si>
  <si>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</si>
  <si>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</si>
  <si>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</si>
  <si>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</si>
  <si>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</si>
  <si>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</si>
  <si>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</si>
  <si>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</si>
  <si>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</si>
  <si>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</si>
  <si>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</si>
  <si>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</si>
  <si>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</si>
  <si>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</si>
  <si>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</si>
  <si>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</si>
  <si>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</si>
  <si>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</si>
  <si>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</si>
  <si>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</si>
  <si>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</si>
  <si>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</si>
  <si>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</si>
  <si>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</si>
  <si>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</si>
  <si>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</si>
  <si>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</si>
  <si>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</si>
  <si>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</si>
  <si>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</si>
  <si>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</si>
  <si>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</si>
  <si>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</si>
  <si>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</si>
  <si>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</si>
  <si>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</si>
  <si>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</si>
  <si>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</si>
  <si>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</si>
  <si>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</si>
  <si>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</si>
  <si>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</si>
  <si>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</si>
  <si>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</si>
  <si>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</si>
  <si>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</si>
  <si>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</si>
  <si>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</si>
  <si>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</si>
  <si>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</si>
  <si>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</si>
  <si>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</si>
  <si>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</si>
  <si>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</si>
  <si>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</si>
  <si>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</si>
  <si>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</si>
  <si>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</si>
  <si>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</si>
  <si>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</si>
  <si>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</si>
  <si>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</si>
  <si>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</si>
  <si>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</si>
  <si>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</si>
  <si>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</si>
  <si>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</si>
  <si>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</si>
  <si>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</si>
  <si>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</si>
  <si>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</si>
  <si>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</si>
  <si>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</si>
  <si>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</si>
  <si>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</si>
  <si>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</si>
  <si>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</si>
  <si>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</si>
  <si>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</si>
  <si>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</si>
  <si>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</si>
  <si>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</si>
  <si>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</si>
  <si>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</si>
  <si>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</si>
  <si>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</si>
  <si>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</si>
  <si>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</si>
  <si>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</si>
  <si>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</si>
  <si>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</si>
  <si>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</si>
  <si>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</si>
  <si>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</si>
  <si>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</si>
  <si>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</si>
  <si>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</si>
  <si>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</si>
  <si>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</si>
  <si>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</si>
  <si>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</si>
  <si>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</si>
  <si>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</si>
  <si>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</si>
  <si>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</si>
  <si>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</si>
  <si>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</si>
  <si>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</si>
  <si>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</si>
  <si>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</si>
  <si>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</si>
  <si>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</si>
  <si>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</si>
  <si>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</si>
  <si>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</si>
  <si>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</si>
  <si>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</si>
  <si>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</si>
  <si>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</si>
  <si>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</si>
  <si>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</si>
  <si>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</si>
  <si>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</si>
  <si>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</si>
  <si>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</si>
  <si>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</si>
  <si>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</si>
  <si>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</si>
  <si>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</si>
  <si>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</si>
  <si>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</si>
  <si>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</si>
  <si>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</si>
  <si>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</si>
  <si>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</si>
  <si>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</si>
  <si>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</si>
  <si>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</si>
  <si>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</si>
  <si>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</si>
  <si>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</si>
  <si>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</si>
  <si>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</si>
  <si>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</si>
  <si>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</si>
  <si>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</si>
  <si>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</si>
  <si>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</si>
  <si>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</si>
  <si>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</si>
  <si>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</si>
  <si>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</si>
  <si>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</si>
  <si>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</si>
  <si>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</si>
  <si>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</si>
  <si>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</si>
  <si>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</si>
  <si>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</si>
  <si>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</si>
  <si>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</si>
  <si>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</si>
  <si>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</si>
  <si>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</si>
  <si>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</si>
  <si>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</si>
  <si>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</si>
  <si>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</si>
  <si>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</si>
  <si>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</si>
  <si>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</si>
  <si>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</si>
  <si>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</si>
  <si>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</si>
  <si>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</si>
  <si>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</si>
  <si>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</si>
  <si>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</si>
  <si>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</si>
  <si>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</si>
  <si>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</si>
  <si>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</si>
  <si>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</si>
  <si>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</si>
  <si>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</si>
  <si>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</si>
  <si>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</si>
  <si>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</si>
  <si>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</si>
  <si>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</si>
  <si>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</si>
  <si>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</si>
  <si>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</si>
  <si>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</si>
  <si>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</si>
  <si>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</si>
  <si>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</si>
  <si>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</si>
  <si>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</si>
  <si>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</si>
  <si>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</si>
  <si>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</si>
  <si>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</si>
  <si>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</si>
  <si>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</si>
  <si>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</si>
  <si>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</si>
  <si>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</si>
  <si>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</si>
  <si>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</si>
  <si>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</si>
  <si>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</si>
  <si>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</si>
  <si>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</si>
  <si>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</si>
  <si>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</si>
  <si>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</si>
  <si>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</si>
  <si>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</si>
  <si>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</si>
  <si>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</si>
  <si>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</si>
  <si>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</si>
  <si>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</si>
  <si>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</si>
  <si>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</si>
  <si>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</si>
  <si>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</si>
  <si>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</si>
  <si>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</si>
  <si>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</si>
  <si>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</si>
  <si>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</si>
  <si>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</si>
  <si>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</si>
  <si>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</si>
  <si>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</si>
  <si>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</si>
  <si>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</si>
  <si>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</si>
  <si>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</si>
  <si>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</si>
  <si>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</si>
  <si>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</si>
  <si>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</si>
  <si>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</si>
  <si>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</si>
  <si>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</si>
  <si>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</si>
  <si>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</si>
  <si>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</si>
  <si>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</si>
  <si>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</si>
  <si>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</si>
  <si>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</si>
  <si>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</si>
  <si>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</si>
  <si>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</si>
  <si>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</si>
  <si>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</si>
  <si>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</si>
  <si>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</si>
  <si>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</si>
  <si>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</si>
  <si>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</si>
  <si>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</si>
  <si>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</si>
  <si>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</si>
  <si>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</si>
  <si>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</si>
  <si>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</si>
  <si>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</si>
  <si>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</si>
  <si>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</si>
  <si>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</si>
  <si>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</si>
  <si>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</si>
  <si>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</si>
  <si>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</si>
  <si>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</si>
  <si>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</si>
  <si>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</si>
  <si>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</si>
  <si>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</si>
  <si>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</si>
  <si>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</si>
  <si>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</si>
  <si>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</si>
  <si>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</si>
  <si>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</si>
  <si>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</si>
  <si>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</si>
  <si>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</si>
  <si>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</si>
  <si>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</si>
  <si>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</si>
  <si>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</si>
  <si>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</si>
  <si>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</si>
  <si>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</si>
  <si>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</si>
  <si>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</si>
  <si>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</si>
  <si>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</si>
  <si>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</si>
  <si>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</si>
  <si>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</si>
  <si>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</si>
  <si>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</si>
  <si>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</si>
  <si>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</si>
  <si>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</si>
  <si>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</si>
  <si>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</si>
  <si>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</si>
  <si>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</si>
  <si>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</si>
  <si>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</si>
  <si>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</si>
  <si>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</si>
  <si>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</si>
  <si>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</si>
  <si>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</si>
  <si>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</si>
  <si>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</si>
  <si>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</si>
  <si>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</si>
  <si>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</si>
  <si>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</si>
  <si>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</si>
  <si>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</si>
  <si>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</si>
  <si>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</si>
  <si>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</si>
  <si>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</si>
  <si>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</si>
  <si>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</si>
  <si>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</si>
  <si>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</si>
  <si>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</si>
  <si>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</si>
  <si>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</si>
  <si>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</si>
  <si>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</si>
  <si>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</si>
  <si>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</si>
  <si>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</si>
  <si>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</si>
  <si>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</si>
  <si>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</si>
  <si>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</si>
  <si>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</si>
  <si>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</si>
  <si>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</si>
  <si>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</si>
  <si>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</si>
  <si>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</si>
  <si>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</si>
  <si>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</si>
  <si>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</si>
  <si>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</si>
  <si>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</si>
  <si>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</si>
  <si>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</si>
  <si>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</si>
  <si>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</si>
  <si>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</si>
  <si>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</si>
  <si>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</si>
  <si>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</si>
  <si>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</si>
  <si>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</si>
  <si>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</si>
  <si>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</si>
  <si>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</si>
  <si>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</si>
  <si>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</si>
  <si>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</si>
  <si>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</si>
  <si>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</si>
  <si>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</si>
  <si>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</si>
  <si>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</si>
  <si>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</si>
  <si>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</si>
  <si>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</si>
  <si>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</si>
  <si>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</si>
  <si>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</si>
  <si>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</si>
  <si>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</si>
  <si>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</si>
  <si>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</si>
  <si>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</si>
  <si>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</si>
  <si>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</si>
  <si>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</si>
  <si>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</si>
  <si>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</si>
  <si>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</si>
  <si>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</si>
  <si>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</si>
  <si>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</si>
  <si>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</si>
  <si>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</si>
  <si>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</si>
  <si>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</si>
  <si>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</si>
  <si>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</si>
  <si>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</si>
  <si>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</si>
  <si>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</si>
  <si>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</si>
  <si>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</si>
  <si>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</si>
  <si>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</si>
  <si>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</si>
  <si>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</si>
  <si>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</si>
  <si>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</si>
  <si>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</si>
  <si>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</si>
  <si>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</si>
  <si>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</si>
  <si>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</si>
  <si>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</si>
  <si>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</si>
  <si>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</si>
  <si>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</si>
  <si>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</si>
  <si>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</si>
  <si>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</si>
  <si>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</si>
  <si>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</si>
  <si>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</si>
  <si>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</si>
  <si>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</si>
  <si>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</si>
  <si>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</si>
  <si>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</si>
  <si>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</si>
  <si>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</si>
  <si>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</si>
  <si>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</si>
  <si>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</si>
  <si>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</si>
  <si>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</si>
  <si>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</si>
  <si>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</si>
  <si>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</si>
  <si>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</si>
  <si>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</si>
  <si>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</si>
  <si>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</si>
  <si>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</si>
  <si>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</si>
  <si>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</si>
  <si>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</si>
  <si>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</si>
  <si>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</si>
  <si>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</si>
  <si>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</si>
  <si>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</si>
  <si>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</si>
  <si>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</si>
  <si>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</si>
  <si>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</si>
  <si>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</si>
  <si>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</si>
  <si>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</si>
  <si>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</si>
  <si>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</si>
  <si>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</si>
  <si>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</si>
  <si>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</si>
  <si>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</si>
  <si>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</si>
  <si>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</si>
  <si>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</si>
  <si>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</si>
  <si>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</si>
  <si>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</si>
  <si>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</si>
  <si>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</si>
  <si>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</si>
  <si>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</si>
  <si>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</si>
  <si>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</si>
  <si>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</si>
  <si>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</si>
  <si>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</si>
  <si>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</si>
  <si>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</si>
  <si>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</si>
  <si>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</si>
  <si>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</si>
  <si>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</si>
  <si>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</si>
  <si>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</si>
  <si>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</si>
  <si>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</si>
  <si>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</si>
  <si>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</si>
  <si>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</si>
  <si>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</si>
  <si>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</si>
  <si>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</si>
  <si>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</si>
  <si>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</si>
  <si>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</si>
  <si>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</si>
  <si>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</si>
  <si>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</si>
  <si>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</si>
  <si>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</si>
  <si>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</si>
  <si>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</si>
  <si>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</si>
  <si>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</si>
  <si>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</si>
  <si>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</si>
  <si>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</si>
  <si>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</si>
  <si>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</si>
  <si>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</si>
  <si>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</si>
  <si>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</si>
  <si>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</si>
  <si>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</si>
  <si>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</si>
  <si>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</si>
  <si>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</si>
  <si>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</si>
  <si>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</si>
  <si>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</si>
  <si>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</si>
  <si>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</si>
  <si>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</si>
  <si>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</si>
  <si>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</si>
  <si>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</si>
  <si>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</si>
  <si>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</si>
  <si>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</si>
  <si>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</si>
  <si>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</si>
  <si>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</si>
  <si>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</si>
  <si>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</si>
  <si>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</si>
  <si>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</si>
  <si>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</si>
  <si>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</si>
  <si>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</si>
  <si>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</si>
  <si>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</si>
  <si>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</si>
  <si>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</si>
  <si>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</si>
  <si>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</si>
  <si>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</si>
  <si>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</si>
  <si>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</si>
  <si>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</si>
  <si>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</si>
  <si>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</si>
  <si>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</si>
  <si>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</si>
  <si>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</si>
  <si>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</si>
  <si>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</si>
  <si>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</si>
  <si>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</si>
  <si>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</si>
  <si>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</si>
  <si>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</si>
  <si>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</si>
  <si>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</si>
  <si>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</si>
  <si>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</si>
  <si>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</si>
  <si>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</si>
  <si>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</si>
  <si>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</si>
  <si>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</si>
  <si>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</si>
  <si>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</si>
  <si>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</si>
  <si>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</si>
  <si>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</si>
  <si>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</si>
  <si>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</si>
  <si>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</si>
  <si>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</si>
  <si>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</si>
  <si>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</si>
  <si>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</si>
  <si>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</si>
  <si>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</si>
  <si>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</si>
  <si>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</si>
  <si>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</si>
  <si>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</si>
  <si>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</si>
  <si>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</si>
  <si>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</si>
  <si>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</si>
  <si>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</si>
  <si>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</si>
  <si>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</si>
  <si>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</si>
  <si>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</si>
  <si>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</si>
  <si>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</si>
  <si>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</si>
  <si>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</si>
  <si>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</si>
  <si>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</si>
  <si>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</si>
  <si>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</si>
  <si>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</si>
  <si>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</si>
  <si>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</si>
  <si>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</si>
  <si>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</si>
  <si>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</si>
  <si>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</si>
  <si>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</si>
  <si>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</si>
  <si>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</si>
  <si>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</si>
  <si>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</si>
  <si>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</si>
  <si>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</si>
  <si>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</si>
  <si>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</si>
  <si>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</si>
  <si>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</si>
  <si>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</si>
  <si>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</si>
  <si>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</si>
  <si>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</si>
  <si>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</si>
  <si>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</si>
  <si>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</si>
  <si>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</si>
  <si>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</si>
  <si>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</si>
  <si>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</si>
  <si>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</si>
  <si>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</si>
  <si>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</si>
  <si>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</si>
  <si>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</si>
  <si>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</si>
  <si>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</si>
  <si>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</si>
  <si>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</si>
  <si>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</si>
  <si>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</si>
  <si>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</si>
  <si>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</si>
  <si>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</si>
  <si>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</si>
  <si>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</si>
  <si>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</si>
  <si>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</si>
  <si>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</si>
  <si>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</si>
  <si>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</si>
  <si>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</si>
  <si>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</si>
  <si>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</si>
  <si>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</si>
  <si>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</si>
  <si>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</si>
  <si>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</si>
  <si>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</si>
  <si>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</si>
  <si>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</si>
  <si>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</si>
  <si>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</si>
  <si>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</si>
  <si>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</si>
  <si>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</si>
  <si>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</si>
  <si>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</si>
  <si>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</si>
  <si>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</si>
  <si>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</si>
  <si>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</si>
  <si>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</si>
  <si>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</si>
  <si>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</si>
  <si>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</si>
  <si>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</si>
  <si>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</si>
  <si>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</si>
  <si>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</si>
  <si>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</si>
  <si>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</si>
  <si>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</si>
  <si>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</si>
  <si>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</si>
  <si>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</si>
  <si>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</si>
  <si>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</si>
  <si>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</si>
  <si>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</si>
  <si>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</si>
  <si>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</si>
  <si>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</si>
  <si>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</si>
  <si>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</si>
  <si>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</si>
  <si>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</si>
  <si>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</si>
  <si>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</si>
  <si>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</si>
  <si>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</si>
  <si>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</si>
  <si>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</si>
  <si>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</si>
  <si>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</si>
  <si>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</si>
  <si>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</si>
  <si>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</si>
  <si>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</si>
  <si>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</si>
  <si>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</si>
  <si>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</si>
  <si>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</si>
  <si>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</si>
  <si>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</si>
  <si>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</si>
  <si>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</si>
  <si>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</si>
  <si>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</si>
  <si>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</si>
  <si>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</si>
  <si>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</si>
  <si>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</si>
  <si>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</si>
  <si>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</si>
  <si>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</si>
  <si>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</si>
  <si>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</si>
  <si>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</si>
  <si>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</si>
  <si>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</si>
  <si>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</si>
  <si>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</si>
  <si>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</si>
  <si>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</si>
  <si>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</si>
  <si>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</si>
  <si>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</si>
  <si>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</si>
  <si>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</si>
  <si>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</si>
  <si>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</si>
  <si>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</si>
  <si>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</si>
  <si>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</si>
  <si>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</si>
  <si>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</si>
  <si>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</si>
  <si>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</si>
  <si>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</si>
  <si>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</si>
  <si>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</si>
  <si>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</si>
  <si>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</si>
  <si>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</si>
  <si>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</si>
  <si>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</si>
  <si>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</si>
  <si>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</si>
  <si>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</si>
  <si>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</si>
  <si>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</si>
  <si>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</si>
  <si>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</si>
  <si>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</si>
  <si>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</si>
  <si>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</si>
  <si>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</si>
  <si>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</si>
  <si>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</si>
  <si>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</si>
  <si>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</si>
  <si>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</si>
  <si>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</si>
  <si>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</si>
  <si>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</si>
  <si>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</si>
  <si>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</si>
  <si>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</si>
  <si>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</si>
  <si>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</si>
  <si>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</si>
  <si>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</si>
  <si>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</si>
  <si>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</si>
  <si>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</si>
  <si>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</si>
  <si>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</si>
  <si>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</si>
  <si>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</si>
  <si>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</si>
  <si>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</si>
  <si>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</si>
  <si>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</si>
  <si>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</si>
  <si>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</si>
  <si>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</si>
  <si>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</si>
  <si>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</si>
  <si>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</si>
  <si>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</si>
  <si>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</si>
  <si>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</si>
  <si>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</si>
  <si>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</si>
  <si>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</si>
  <si>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</si>
  <si>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</si>
  <si>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</si>
  <si>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</si>
  <si>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</si>
  <si>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</si>
  <si>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</si>
  <si>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</si>
  <si>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</si>
  <si>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</si>
  <si>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</si>
  <si>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</si>
  <si>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</si>
  <si>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</si>
  <si>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</si>
  <si>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</si>
  <si>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</si>
  <si>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</si>
  <si>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</si>
  <si>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</si>
  <si>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</si>
  <si>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</si>
  <si>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</si>
  <si>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</si>
  <si>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</si>
  <si>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</si>
  <si>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</si>
  <si>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</si>
  <si>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</si>
  <si>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</si>
  <si>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</si>
  <si>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</si>
  <si>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</si>
  <si>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</si>
  <si>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</si>
  <si>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</si>
  <si>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</si>
  <si>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</si>
  <si>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</si>
  <si>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</si>
  <si>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</si>
  <si>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</si>
  <si>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</si>
  <si>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</si>
  <si>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</si>
  <si>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</si>
  <si>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</si>
  <si>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</si>
  <si>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</si>
  <si>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</si>
  <si>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</si>
  <si>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</si>
  <si>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</si>
  <si>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</si>
  <si>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</si>
  <si>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</si>
  <si>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</si>
  <si>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</si>
  <si>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</si>
  <si>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</si>
  <si>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</si>
  <si>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</si>
  <si>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</si>
  <si>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</si>
  <si>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</si>
  <si>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</si>
  <si>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</si>
  <si>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</si>
  <si>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</si>
  <si>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</si>
  <si>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</si>
  <si>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</si>
  <si>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</si>
  <si>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</si>
  <si>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</si>
  <si>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</si>
  <si>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</si>
  <si>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</si>
  <si>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</si>
  <si>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</si>
  <si>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</si>
  <si>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</si>
  <si>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</si>
  <si>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</si>
  <si>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</si>
  <si>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</si>
  <si>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</si>
  <si>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</si>
  <si>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</si>
  <si>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</si>
  <si>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</si>
  <si>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</si>
  <si>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</si>
  <si>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</si>
  <si>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</si>
  <si>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</si>
  <si>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</si>
  <si>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</si>
  <si>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</si>
  <si>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</si>
  <si>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</si>
  <si>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</si>
  <si>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</si>
  <si>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</si>
  <si>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</si>
  <si>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</si>
  <si>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</si>
  <si>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</si>
  <si>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</si>
  <si>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</si>
  <si>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</si>
  <si>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</si>
  <si>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</si>
  <si>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</si>
  <si>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</si>
  <si>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</si>
  <si>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</si>
  <si>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</si>
  <si>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</si>
  <si>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</si>
  <si>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</si>
  <si>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</si>
  <si>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</si>
  <si>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</si>
  <si>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</si>
  <si>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</si>
  <si>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</si>
  <si>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</si>
  <si>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</si>
  <si>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</si>
  <si>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</si>
  <si>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</si>
  <si>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</si>
  <si>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</si>
  <si>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</si>
  <si>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</si>
  <si>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</si>
  <si>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</si>
  <si>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</si>
  <si>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</si>
  <si>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</si>
  <si>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</si>
  <si>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</si>
  <si>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</si>
  <si>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</si>
  <si>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</si>
  <si>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</si>
  <si>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</si>
  <si>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</si>
  <si>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</si>
  <si>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</si>
  <si>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</si>
  <si>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</si>
  <si>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</si>
  <si>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</si>
  <si>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</si>
  <si>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</si>
  <si>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</si>
  <si>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</si>
  <si>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</si>
  <si>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</si>
  <si>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</si>
  <si>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</si>
  <si>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</si>
  <si>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</si>
  <si>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</si>
  <si>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</si>
  <si>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</si>
  <si>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</si>
  <si>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</si>
  <si>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</si>
  <si>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</si>
  <si>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</si>
  <si>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</si>
  <si>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</si>
  <si>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</si>
  <si>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</si>
  <si>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</si>
  <si>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</si>
  <si>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</si>
  <si>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</si>
  <si>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</si>
  <si>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</si>
  <si>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</si>
  <si>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</si>
  <si>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</si>
  <si>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</si>
  <si>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</si>
  <si>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</si>
  <si>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</si>
  <si>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</si>
  <si>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</si>
  <si>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</si>
  <si>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</si>
  <si>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</si>
  <si>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</si>
  <si>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</si>
  <si>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</si>
  <si>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</si>
  <si>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</si>
  <si>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</si>
  <si>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</si>
  <si>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</si>
  <si>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</si>
  <si>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</si>
  <si>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</si>
  <si>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</si>
  <si>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</si>
  <si>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</si>
  <si>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</si>
  <si>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</si>
  <si>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</si>
  <si>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</si>
  <si>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</si>
  <si>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</si>
  <si>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</si>
  <si>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</si>
  <si>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</si>
  <si>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</si>
  <si>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</si>
  <si>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</si>
  <si>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</si>
  <si>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</si>
  <si>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</si>
  <si>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</si>
  <si>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</si>
  <si>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</si>
  <si>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</si>
  <si>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</si>
  <si>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</si>
  <si>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</si>
  <si>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</si>
  <si>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</si>
  <si>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</si>
  <si>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</si>
  <si>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</si>
  <si>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</si>
  <si>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</si>
  <si>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</si>
  <si>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</si>
  <si>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</si>
  <si>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</si>
  <si>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</si>
  <si>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</si>
  <si>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</si>
  <si>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</si>
  <si>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</si>
  <si>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</si>
  <si>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</si>
  <si>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</si>
  <si>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</si>
  <si>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</si>
  <si>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</si>
  <si>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</si>
  <si>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</si>
  <si>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</si>
  <si>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</si>
  <si>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</si>
  <si>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</si>
  <si>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</si>
  <si>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</si>
  <si>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</si>
  <si>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</si>
  <si>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</si>
  <si>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</si>
  <si>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</si>
  <si>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</si>
  <si>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</si>
  <si>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</si>
  <si>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</si>
  <si>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</si>
  <si>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</si>
  <si>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</si>
  <si>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</si>
  <si>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</si>
  <si>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</si>
  <si>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</si>
  <si>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</si>
  <si>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</si>
  <si>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</si>
  <si>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</si>
  <si>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</si>
  <si>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</si>
  <si>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</si>
  <si>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</si>
  <si>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</si>
  <si>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</si>
  <si>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</si>
  <si>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</si>
  <si>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</si>
  <si>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</si>
  <si>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</si>
  <si>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</si>
  <si>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</si>
  <si>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</si>
  <si>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</si>
  <si>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</si>
  <si>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</si>
  <si>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</si>
  <si>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</si>
  <si>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</si>
  <si>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</si>
  <si>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</si>
  <si>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</si>
  <si>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</si>
  <si>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</si>
  <si>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</si>
  <si>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</si>
  <si>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</si>
  <si>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</si>
  <si>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</si>
  <si>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</si>
  <si>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</si>
  <si>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</si>
  <si>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</si>
  <si>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</si>
  <si>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</si>
  <si>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</si>
  <si>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</si>
  <si>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</si>
  <si>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</si>
  <si>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</si>
  <si>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</si>
  <si>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</si>
  <si>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</si>
  <si>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</si>
  <si>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</si>
  <si>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</si>
  <si>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</si>
  <si>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</si>
  <si>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</si>
  <si>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</si>
  <si>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</si>
  <si>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</si>
  <si>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</si>
  <si>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</si>
  <si>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</si>
  <si>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</si>
  <si>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</si>
  <si>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</si>
  <si>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</si>
  <si>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</si>
  <si>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</si>
  <si>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</si>
  <si>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</si>
  <si>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</si>
  <si>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</si>
  <si>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</si>
  <si>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</si>
  <si>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</si>
  <si>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</si>
  <si>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</si>
  <si>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</si>
  <si>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</si>
  <si>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</si>
  <si>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</si>
  <si>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</si>
  <si>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</si>
  <si>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</si>
  <si>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</si>
  <si>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</si>
  <si>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</si>
  <si>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</si>
  <si>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</si>
  <si>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</si>
  <si>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</si>
  <si>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</si>
  <si>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</si>
  <si>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</si>
  <si>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</si>
  <si>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</si>
  <si>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</si>
  <si>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</si>
  <si>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</si>
  <si>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</si>
  <si>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</si>
  <si>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</si>
  <si>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</si>
  <si>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</si>
  <si>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</si>
  <si>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</si>
  <si>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</si>
  <si>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</si>
  <si>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</si>
  <si>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</si>
  <si>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</si>
  <si>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</si>
  <si>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</si>
  <si>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</si>
  <si>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</si>
  <si>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</si>
  <si>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</si>
  <si>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</si>
  <si>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</si>
  <si>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</si>
  <si>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</si>
  <si>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</si>
  <si>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</si>
  <si>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</si>
  <si>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</si>
  <si>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</si>
  <si>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</si>
  <si>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</si>
  <si>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</si>
  <si>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</si>
  <si>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</si>
  <si>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</si>
  <si>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</si>
  <si>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</si>
  <si>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</si>
  <si>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</si>
  <si>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</si>
  <si>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</si>
  <si>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</si>
  <si>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</si>
  <si>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</si>
  <si>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</si>
  <si>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</si>
  <si>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</si>
  <si>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</si>
  <si>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</si>
  <si>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</si>
  <si>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</si>
  <si>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</si>
  <si>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</si>
  <si>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</si>
  <si>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</si>
  <si>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</si>
  <si>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</si>
  <si>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</si>
  <si>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</si>
  <si>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</si>
  <si>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</si>
  <si>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</si>
  <si>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</si>
  <si>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</si>
  <si>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</si>
  <si>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</si>
  <si>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</si>
  <si>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</si>
  <si>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</si>
  <si>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</si>
  <si>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</si>
  <si>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</si>
  <si>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</si>
  <si>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</si>
  <si>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</si>
  <si>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</si>
  <si>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</si>
  <si>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</si>
  <si>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</si>
  <si>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</si>
  <si>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</si>
  <si>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</si>
  <si>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</si>
  <si>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</si>
  <si>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</si>
  <si>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</si>
  <si>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</si>
  <si>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</si>
  <si>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</si>
  <si>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</si>
  <si>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</si>
  <si>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</si>
  <si>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</si>
  <si>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</si>
  <si>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</si>
  <si>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</si>
  <si>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</si>
  <si>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</si>
  <si>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</si>
  <si>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</si>
  <si>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</si>
  <si>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</si>
  <si>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</si>
  <si>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</si>
  <si>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</si>
  <si>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</si>
  <si>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</si>
  <si>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</si>
  <si>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</si>
  <si>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</si>
  <si>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</si>
  <si>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</si>
  <si>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</si>
  <si>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</si>
  <si>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</si>
  <si>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</si>
  <si>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</si>
  <si>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</si>
  <si>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</si>
  <si>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</si>
  <si>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</si>
  <si>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</si>
  <si>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</si>
  <si>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</si>
  <si>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</si>
  <si>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</si>
  <si>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</si>
  <si>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</si>
  <si>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</si>
  <si>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</si>
  <si>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</si>
  <si>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</si>
  <si>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</si>
  <si>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</si>
  <si>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</si>
  <si>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</si>
  <si>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</si>
  <si>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</si>
  <si>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</si>
  <si>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</si>
  <si>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</si>
  <si>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</si>
  <si>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</si>
  <si>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</si>
  <si>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</si>
  <si>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</si>
  <si>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</si>
  <si>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</si>
  <si>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</si>
  <si>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</si>
  <si>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</si>
  <si>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</si>
  <si>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</si>
  <si>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</si>
  <si>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</si>
  <si>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</si>
  <si>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</si>
  <si>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</si>
  <si>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</si>
  <si>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</si>
  <si>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</si>
  <si>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</si>
  <si>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</si>
  <si>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</si>
  <si>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</si>
  <si>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</si>
  <si>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</si>
  <si>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</si>
  <si>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</si>
  <si>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</si>
  <si>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</si>
  <si>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</si>
  <si>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</si>
  <si>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</si>
  <si>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</si>
  <si>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</si>
  <si>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</si>
  <si>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</si>
  <si>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</si>
  <si>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</si>
  <si>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</si>
  <si>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</si>
  <si>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</si>
  <si>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</si>
  <si>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</si>
  <si>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</si>
  <si>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</si>
  <si>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</si>
  <si>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</si>
  <si>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</si>
  <si>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</si>
  <si>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</si>
  <si>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</si>
  <si>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</si>
  <si>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</si>
  <si>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</si>
  <si>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</si>
  <si>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</si>
  <si>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</si>
  <si>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</si>
  <si>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</si>
  <si>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</si>
  <si>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</si>
  <si>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</si>
  <si>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</si>
  <si>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</si>
  <si>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</si>
  <si>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</si>
  <si>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</si>
  <si>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</si>
  <si>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</si>
  <si>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</si>
  <si>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</si>
  <si>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</si>
  <si>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</si>
  <si>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</si>
  <si>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</si>
  <si>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</si>
  <si>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</si>
  <si>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</si>
  <si>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</si>
  <si>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</si>
  <si>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</si>
  <si>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</si>
  <si>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</si>
  <si>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</si>
  <si>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</si>
  <si>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</si>
  <si>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</si>
  <si>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</si>
  <si>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</si>
  <si>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</si>
  <si>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</si>
  <si>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</si>
  <si>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</si>
  <si>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</si>
  <si>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</si>
  <si>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</si>
  <si>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</si>
  <si>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</si>
  <si>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</si>
  <si>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</si>
  <si>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</si>
  <si>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</si>
  <si>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</si>
  <si>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</si>
  <si>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</si>
  <si>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</si>
  <si>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</si>
  <si>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</si>
  <si>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</si>
  <si>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</si>
  <si>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</si>
  <si>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</si>
  <si>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</si>
  <si>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</si>
  <si>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</si>
  <si>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</si>
  <si>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</si>
  <si>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</si>
  <si>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</si>
  <si>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</si>
  <si>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</si>
  <si>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</si>
  <si>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</si>
  <si>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</si>
  <si>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</si>
  <si>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</si>
  <si>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</si>
  <si>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</si>
  <si>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</si>
  <si>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</si>
  <si>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</si>
  <si>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</si>
  <si>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</si>
  <si>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</si>
  <si>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</si>
  <si>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</si>
  <si>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</si>
  <si>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</si>
  <si>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</si>
  <si>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</si>
  <si>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</si>
  <si>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</si>
  <si>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</si>
  <si>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</si>
  <si>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</si>
  <si>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</si>
  <si>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</si>
  <si>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</si>
  <si>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</si>
  <si>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</si>
  <si>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</si>
  <si>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</si>
  <si>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</si>
  <si>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</si>
  <si>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</si>
  <si>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</si>
  <si>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</si>
  <si>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</si>
  <si>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</si>
  <si>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</si>
  <si>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</si>
  <si>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</si>
  <si>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</si>
  <si>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</si>
  <si>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</si>
  <si>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</si>
  <si>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</si>
  <si>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</si>
  <si>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</si>
  <si>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</si>
  <si>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</si>
  <si>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</si>
  <si>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</si>
  <si>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</si>
  <si>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</si>
  <si>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</si>
  <si>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</si>
  <si>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</si>
  <si>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</si>
  <si>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</si>
  <si>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</si>
  <si>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</si>
  <si>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</si>
  <si>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</si>
  <si>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</si>
  <si>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</si>
  <si>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</si>
  <si>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</si>
  <si>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</si>
  <si>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</si>
  <si>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</si>
  <si>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</si>
  <si>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</si>
  <si>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</si>
  <si>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</si>
  <si>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</si>
  <si>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</si>
  <si>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</si>
  <si>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</si>
  <si>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</si>
  <si>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</si>
  <si>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</si>
  <si>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</si>
  <si>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</si>
  <si>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</si>
  <si>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</si>
  <si>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</si>
  <si>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</si>
  <si>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</si>
  <si>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</si>
  <si>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</si>
  <si>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</si>
  <si>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</si>
  <si>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</si>
  <si>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</si>
  <si>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</si>
  <si>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</si>
  <si>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</si>
  <si>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</si>
  <si>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</si>
  <si>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</si>
  <si>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</si>
  <si>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</si>
  <si>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</si>
  <si>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</si>
  <si>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</si>
  <si>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</si>
  <si>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</si>
  <si>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</si>
  <si>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</si>
  <si>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</si>
  <si>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</si>
  <si>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</si>
  <si>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</si>
  <si>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</si>
  <si>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</si>
  <si>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</si>
  <si>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</si>
  <si>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</si>
  <si>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</si>
  <si>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</si>
  <si>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</si>
  <si>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</si>
  <si>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</si>
  <si>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</si>
  <si>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</si>
  <si>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</si>
  <si>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</si>
  <si>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</si>
  <si>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</si>
  <si>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</si>
  <si>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</si>
  <si>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</si>
  <si>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</si>
  <si>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</si>
  <si>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</si>
  <si>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</si>
  <si>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</si>
  <si>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</si>
  <si>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</si>
  <si>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</si>
  <si>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</si>
  <si>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</si>
  <si>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</si>
  <si>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</si>
  <si>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</si>
  <si>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</si>
  <si>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</si>
  <si>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</si>
  <si>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</si>
  <si>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</si>
  <si>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</si>
  <si>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</si>
  <si>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</si>
  <si>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</si>
  <si>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</si>
  <si>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</si>
  <si>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</si>
  <si>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</si>
  <si>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</si>
  <si>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</si>
  <si>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</si>
  <si>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</si>
  <si>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</si>
  <si>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</si>
  <si>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</si>
  <si>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</si>
  <si>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</si>
  <si>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</si>
  <si>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</si>
  <si>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</si>
  <si>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</si>
  <si>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</si>
  <si>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</si>
  <si>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</si>
  <si>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</si>
  <si>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</si>
  <si>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</si>
  <si>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</si>
  <si>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</si>
  <si>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</si>
  <si>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</si>
  <si>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</si>
  <si>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</si>
  <si>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</si>
  <si>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</si>
  <si>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</si>
  <si>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</si>
  <si>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</si>
  <si>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</si>
  <si>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</si>
  <si>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</si>
  <si>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</si>
  <si>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</si>
  <si>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</si>
  <si>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</si>
  <si>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</si>
  <si>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</si>
  <si>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</si>
  <si>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</si>
  <si>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</si>
  <si>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</si>
  <si>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</si>
  <si>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</si>
  <si>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</si>
  <si>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</si>
  <si>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</si>
  <si>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</si>
  <si>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</si>
  <si>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</si>
  <si>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</si>
  <si>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</si>
  <si>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</si>
  <si>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</si>
  <si>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</si>
  <si>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</si>
  <si>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</si>
  <si>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</si>
  <si>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</si>
  <si>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</si>
  <si>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</si>
  <si>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</si>
  <si>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</si>
  <si>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</si>
  <si>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</si>
  <si>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</si>
  <si>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</si>
  <si>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</si>
  <si>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</si>
  <si>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</si>
  <si>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</si>
  <si>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</si>
  <si>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</si>
  <si>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</si>
  <si>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</si>
  <si>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</si>
  <si>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</si>
  <si>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</si>
  <si>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</si>
  <si>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</si>
  <si>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</si>
  <si>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</si>
  <si>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</si>
  <si>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</si>
  <si>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</si>
  <si>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</si>
  <si>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</si>
  <si>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</si>
  <si>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</si>
  <si>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</si>
  <si>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</si>
  <si>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</si>
  <si>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</si>
  <si>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</si>
  <si>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</si>
  <si>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</si>
  <si>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</si>
  <si>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</si>
  <si>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</si>
  <si>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</si>
  <si>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</si>
  <si>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</si>
  <si>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</si>
  <si>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</si>
  <si>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</si>
  <si>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</si>
  <si>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</si>
  <si>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</si>
  <si>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</si>
  <si>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</si>
  <si>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</si>
  <si>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</si>
  <si>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</si>
  <si>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</si>
  <si>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</si>
  <si>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</si>
  <si>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</si>
  <si>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</si>
  <si>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</si>
  <si>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</si>
  <si>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</si>
  <si>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</si>
  <si>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</si>
  <si>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</si>
  <si>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</si>
  <si>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</si>
  <si>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</si>
  <si>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</si>
  <si>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</si>
  <si>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</si>
  <si>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</si>
  <si>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</si>
  <si>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</si>
  <si>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</si>
  <si>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</si>
  <si>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</si>
  <si>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</si>
  <si>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</si>
  <si>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</si>
  <si>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</si>
  <si>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</si>
  <si>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</si>
  <si>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</si>
  <si>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</si>
  <si>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</si>
  <si>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</si>
  <si>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</si>
  <si>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</si>
  <si>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</si>
  <si>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</si>
  <si>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</si>
  <si>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</si>
  <si>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</si>
  <si>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</si>
  <si>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</si>
  <si>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</si>
  <si>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</si>
  <si>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</si>
  <si>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</si>
  <si>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</si>
  <si>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</si>
  <si>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</si>
  <si>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</si>
  <si>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</si>
  <si>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</si>
  <si>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</si>
  <si>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</si>
  <si>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</si>
  <si>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</si>
  <si>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</si>
  <si>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</si>
  <si>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</si>
  <si>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</si>
  <si>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</si>
  <si>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</si>
  <si>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</si>
  <si>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</si>
  <si>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</si>
  <si>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</si>
  <si>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</si>
  <si>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</si>
  <si>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</si>
  <si>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</si>
  <si>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</si>
  <si>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</si>
  <si>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</si>
  <si>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</si>
  <si>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</si>
  <si>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</si>
  <si>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</si>
  <si>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</si>
  <si>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</si>
  <si>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</si>
  <si>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</si>
  <si>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</si>
  <si>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</si>
  <si>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</si>
  <si>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</si>
  <si>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</si>
  <si>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</si>
  <si>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</si>
  <si>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</si>
  <si>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</si>
  <si>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</si>
  <si>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</si>
  <si>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</si>
  <si>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</si>
  <si>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</si>
  <si>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</si>
  <si>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</si>
  <si>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</si>
  <si>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</si>
  <si>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</si>
  <si>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</si>
  <si>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</si>
  <si>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</si>
  <si>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</si>
  <si>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</si>
  <si>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</si>
  <si>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</si>
  <si>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</si>
  <si>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</si>
  <si>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</si>
  <si>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</si>
  <si>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</si>
  <si>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</si>
  <si>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</si>
  <si>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</si>
  <si>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</si>
  <si>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</si>
  <si>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</si>
  <si>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</si>
  <si>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</si>
  <si>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</si>
  <si>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</si>
  <si>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</si>
  <si>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</si>
  <si>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</si>
  <si>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</si>
  <si>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</si>
  <si>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</si>
  <si>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</si>
  <si>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</si>
  <si>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</si>
  <si>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</si>
  <si>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</si>
  <si>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</si>
  <si>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</si>
  <si>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</si>
  <si>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</si>
  <si>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</si>
  <si>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</si>
  <si>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</si>
  <si>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</si>
  <si>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</si>
  <si>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</si>
  <si>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</si>
  <si>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</si>
  <si>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</si>
  <si>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</si>
  <si>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</si>
  <si>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</si>
  <si>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</si>
  <si>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</si>
  <si>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</si>
  <si>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</si>
  <si>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</si>
  <si>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</si>
  <si>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</si>
  <si>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</si>
  <si>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</si>
  <si>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</si>
  <si>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</si>
  <si>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</si>
  <si>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</si>
  <si>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</si>
  <si>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</si>
  <si>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</si>
  <si>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</si>
  <si>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</si>
  <si>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</si>
  <si>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</si>
  <si>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</si>
  <si>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</si>
  <si>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</si>
  <si>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</si>
  <si>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</si>
  <si>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</si>
  <si>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</si>
  <si>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</si>
  <si>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</si>
  <si>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</si>
  <si>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</si>
  <si>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</si>
  <si>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</si>
  <si>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</si>
  <si>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</si>
  <si>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</si>
  <si>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</si>
  <si>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</si>
  <si>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</si>
  <si>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</si>
  <si>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</si>
  <si>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</si>
  <si>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</si>
  <si>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</si>
  <si>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</si>
  <si>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</si>
  <si>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</si>
  <si>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</si>
  <si>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</si>
  <si>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</si>
  <si>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</si>
  <si>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</si>
  <si>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</si>
  <si>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</si>
  <si>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</si>
  <si>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</si>
  <si>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</si>
  <si>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</si>
  <si>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</si>
  <si>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</si>
  <si>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</si>
  <si>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</si>
  <si>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</si>
  <si>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</si>
  <si>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</si>
  <si>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</si>
  <si>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</si>
  <si>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</si>
  <si>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</si>
  <si>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</si>
  <si>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</si>
  <si>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</si>
  <si>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</si>
  <si>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</si>
  <si>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</si>
  <si>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</si>
  <si>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</si>
  <si>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</si>
  <si>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</si>
  <si>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</si>
  <si>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</si>
  <si>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</si>
  <si>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</si>
  <si>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</si>
  <si>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</si>
  <si>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</si>
  <si>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</si>
  <si>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</si>
  <si>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</si>
  <si>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</si>
  <si>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</si>
  <si>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</si>
  <si>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</si>
  <si>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</si>
  <si>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</si>
  <si>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</si>
  <si>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</si>
  <si>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</si>
  <si>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</si>
  <si>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</si>
  <si>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</si>
  <si>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</si>
  <si>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</si>
  <si>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</si>
  <si>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</si>
  <si>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</si>
  <si>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</si>
  <si>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</si>
  <si>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</si>
  <si>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</si>
  <si>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</si>
  <si>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</si>
  <si>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</si>
  <si>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</si>
  <si>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</si>
  <si>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</si>
  <si>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</si>
  <si>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</si>
  <si>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</si>
  <si>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</si>
  <si>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</si>
  <si>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</si>
  <si>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</si>
  <si>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</si>
  <si>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</si>
  <si>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</si>
  <si>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</si>
  <si>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</si>
  <si>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</si>
  <si>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</si>
  <si>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</si>
  <si>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</si>
  <si>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</si>
  <si>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</si>
  <si>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</si>
  <si>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</si>
  <si>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</si>
  <si>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</si>
  <si>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</si>
  <si>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</si>
  <si>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</si>
  <si>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</si>
  <si>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</si>
  <si>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</si>
  <si>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</si>
  <si>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</si>
  <si>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</si>
  <si>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</si>
  <si>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</si>
  <si>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</si>
  <si>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</si>
  <si>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</si>
  <si>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</si>
  <si>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</si>
  <si>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</si>
  <si>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</si>
  <si>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</si>
  <si>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</si>
  <si>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</si>
  <si>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</si>
  <si>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</si>
  <si>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</si>
  <si>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</si>
  <si>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</si>
  <si>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</si>
  <si>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</si>
  <si>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</si>
  <si>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</si>
  <si>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</si>
  <si>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</si>
  <si>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</si>
  <si>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</si>
  <si>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</si>
  <si>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</si>
  <si>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</si>
  <si>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</si>
  <si>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</si>
  <si>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</si>
  <si>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</si>
  <si>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</si>
  <si>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</si>
  <si>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</si>
  <si>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</si>
  <si>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</si>
  <si>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</si>
  <si>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</si>
  <si>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</si>
  <si>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</si>
  <si>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</si>
  <si>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</si>
  <si>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</si>
  <si>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</si>
  <si>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</si>
  <si>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</si>
  <si>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</si>
  <si>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</si>
  <si>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</si>
  <si>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</si>
  <si>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</si>
  <si>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</si>
  <si>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</si>
  <si>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</si>
  <si>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</si>
  <si>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</si>
  <si>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</si>
  <si>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</si>
  <si>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</si>
  <si>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</si>
  <si>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</si>
  <si>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</si>
  <si>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</si>
  <si>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</si>
  <si>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</si>
  <si>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</si>
  <si>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</si>
  <si>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</si>
  <si>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</si>
  <si>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</si>
  <si>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</si>
  <si>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</si>
  <si>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</si>
  <si>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</si>
  <si>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</si>
  <si>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</si>
  <si>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</si>
  <si>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</si>
  <si>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</si>
  <si>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</si>
  <si>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</si>
  <si>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</si>
  <si>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</si>
  <si>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</si>
  <si>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</si>
  <si>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</si>
  <si>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</si>
  <si>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</si>
  <si>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</si>
  <si>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</si>
  <si>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</si>
  <si>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</si>
  <si>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</si>
  <si>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</si>
  <si>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</si>
  <si>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</si>
  <si>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</si>
  <si>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</si>
  <si>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</si>
  <si>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</si>
  <si>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</si>
  <si>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</si>
  <si>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</si>
  <si>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</si>
  <si>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</si>
  <si>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</si>
  <si>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</si>
  <si>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</si>
  <si>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</si>
  <si>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</si>
  <si>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</si>
  <si>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</si>
  <si>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</si>
  <si>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</si>
  <si>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</si>
  <si>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</si>
  <si>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</si>
  <si>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</si>
  <si>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</si>
  <si>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</si>
  <si>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</si>
  <si>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</si>
  <si>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</si>
  <si>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</si>
  <si>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</si>
  <si>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</si>
  <si>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</si>
  <si>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</si>
  <si>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</si>
  <si>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</si>
  <si>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</si>
  <si>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</si>
  <si>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</si>
  <si>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</si>
  <si>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</si>
  <si>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</si>
  <si>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</si>
  <si>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</si>
  <si>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</si>
  <si>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</si>
  <si>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</si>
  <si>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</si>
  <si>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</si>
  <si>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</si>
  <si>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</si>
  <si>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</si>
  <si>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</si>
  <si>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</si>
  <si>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</si>
  <si>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</si>
  <si>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</si>
  <si>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</si>
  <si>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</si>
  <si>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</si>
  <si>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</si>
  <si>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</si>
  <si>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</si>
  <si>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</si>
  <si>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</si>
  <si>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</si>
  <si>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</si>
  <si>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</si>
  <si>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</si>
  <si>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</si>
  <si>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</si>
  <si>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</si>
  <si>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</si>
  <si>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</si>
  <si>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</si>
  <si>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</si>
  <si>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</si>
  <si>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</si>
  <si>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</si>
  <si>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</si>
  <si>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</si>
  <si>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</si>
  <si>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</si>
  <si>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</si>
  <si>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</si>
  <si>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</si>
  <si>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</si>
  <si>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</si>
  <si>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</si>
  <si>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</si>
  <si>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</si>
  <si>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</si>
  <si>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</si>
  <si>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</si>
  <si>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</si>
  <si>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</si>
  <si>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</si>
  <si>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</si>
  <si>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</si>
  <si>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</si>
  <si>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</si>
  <si>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</si>
  <si>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</si>
  <si>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</si>
  <si>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</si>
  <si>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</si>
  <si>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</si>
  <si>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</si>
  <si>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</si>
  <si>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</si>
  <si>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</si>
  <si>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</si>
  <si>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</si>
  <si>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</si>
  <si>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</si>
  <si>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</si>
  <si>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</si>
  <si>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</si>
  <si>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</si>
  <si>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</si>
  <si>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</si>
  <si>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</si>
  <si>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</si>
  <si>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</si>
  <si>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</si>
  <si>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</si>
  <si>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</si>
  <si>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</si>
  <si>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</si>
  <si>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</si>
  <si>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</si>
  <si>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</si>
  <si>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</si>
  <si>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</si>
  <si>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</si>
  <si>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</si>
  <si>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</si>
  <si>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</si>
  <si>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</si>
  <si>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</si>
  <si>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</si>
  <si>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</si>
  <si>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</si>
  <si>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</si>
  <si>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</si>
  <si>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</si>
  <si>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</si>
  <si>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</si>
  <si>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</si>
  <si>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</si>
  <si>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</si>
  <si>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</si>
  <si>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</si>
  <si>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</si>
  <si>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</si>
  <si>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</si>
  <si>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</si>
  <si>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</si>
  <si>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</si>
  <si>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</si>
  <si>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</si>
  <si>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</si>
  <si>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</si>
  <si>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</si>
  <si>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</si>
  <si>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</si>
  <si>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</si>
  <si>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</si>
  <si>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</si>
  <si>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</si>
  <si>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</si>
  <si>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</si>
  <si>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</si>
  <si>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</si>
  <si>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</si>
  <si>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</si>
  <si>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</si>
  <si>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</si>
  <si>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</si>
  <si>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</si>
  <si>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</si>
  <si>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</si>
  <si>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</si>
  <si>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</si>
  <si>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</si>
  <si>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</si>
  <si>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</si>
  <si>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</si>
  <si>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</si>
  <si>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</si>
  <si>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</si>
  <si>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</si>
  <si>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</si>
  <si>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</si>
  <si>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</si>
  <si>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</si>
  <si>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</si>
  <si>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</si>
  <si>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</si>
  <si>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</si>
  <si>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</si>
  <si>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</si>
  <si>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</si>
  <si>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</si>
  <si>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</si>
  <si>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</si>
  <si>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</si>
  <si>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</si>
  <si>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</si>
  <si>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</si>
  <si>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</si>
  <si>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</si>
  <si>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</si>
  <si>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</si>
  <si>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</si>
  <si>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</si>
  <si>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</si>
  <si>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</si>
  <si>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</si>
  <si>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</si>
  <si>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</si>
  <si>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</si>
  <si>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</si>
  <si>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</si>
  <si>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</si>
  <si>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</si>
  <si>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</si>
  <si>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</si>
  <si>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</si>
  <si>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</si>
  <si>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</si>
  <si>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</si>
  <si>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</si>
  <si>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</si>
  <si>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</si>
  <si>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</si>
  <si>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</si>
  <si>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</si>
  <si>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</si>
  <si>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</si>
  <si>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</si>
  <si>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</si>
  <si>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</si>
  <si>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</si>
  <si>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</si>
  <si>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</si>
  <si>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</si>
  <si>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</si>
  <si>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</si>
  <si>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</si>
  <si>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</si>
  <si>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</si>
  <si>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</si>
  <si>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</si>
  <si>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</si>
  <si>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</si>
  <si>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</si>
  <si>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</si>
  <si>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</si>
  <si>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</si>
  <si>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</si>
  <si>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</si>
  <si>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</si>
  <si>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</si>
  <si>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</si>
  <si>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</si>
  <si>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</si>
  <si>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</si>
  <si>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</si>
  <si>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</si>
  <si>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</si>
  <si>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</si>
  <si>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</si>
  <si>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</si>
  <si>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</si>
  <si>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</si>
  <si>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</si>
  <si>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</si>
  <si>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</si>
  <si>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</si>
  <si>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</si>
  <si>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</si>
  <si>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</si>
  <si>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</si>
  <si>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</si>
  <si>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</si>
  <si>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</si>
  <si>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</si>
  <si>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</si>
  <si>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</si>
  <si>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</si>
  <si>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</si>
  <si>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</si>
  <si>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</si>
  <si>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</si>
  <si>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</si>
  <si>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</si>
  <si>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</si>
  <si>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</si>
  <si>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</si>
  <si>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</si>
  <si>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</si>
  <si>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</si>
  <si>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</si>
  <si>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</si>
  <si>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</si>
  <si>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</si>
  <si>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</si>
  <si>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</si>
  <si>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</si>
  <si>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</si>
  <si>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</si>
  <si>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</si>
  <si>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</si>
  <si>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</si>
  <si>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</si>
  <si>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</si>
  <si>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</si>
  <si>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</si>
  <si>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</si>
  <si>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</si>
  <si>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</si>
  <si>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</si>
  <si>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</si>
  <si>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</si>
  <si>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</si>
  <si>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</si>
  <si>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</si>
  <si>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</si>
  <si>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</si>
  <si>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</si>
  <si>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</si>
  <si>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</si>
  <si>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</si>
  <si>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</si>
  <si>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</si>
  <si>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</si>
  <si>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</si>
  <si>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</si>
  <si>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</si>
  <si>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</si>
  <si>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</si>
  <si>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</si>
  <si>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</si>
  <si>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</si>
  <si>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</si>
  <si>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</si>
  <si>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</si>
  <si>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</si>
  <si>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</si>
  <si>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</si>
  <si>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</si>
  <si>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</si>
  <si>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</si>
  <si>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</si>
  <si>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</si>
  <si>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</si>
  <si>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</si>
  <si>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</si>
  <si>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</si>
  <si>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</si>
  <si>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</si>
  <si>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</si>
  <si>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</si>
  <si>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</si>
  <si>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</si>
  <si>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</si>
  <si>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</si>
  <si>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</si>
  <si>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</si>
  <si>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</si>
  <si>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</si>
  <si>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</si>
  <si>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</si>
  <si>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</si>
  <si>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</si>
  <si>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</si>
  <si>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</si>
  <si>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</si>
  <si>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</si>
  <si>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</si>
  <si>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</si>
  <si>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</si>
  <si>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</si>
  <si>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</si>
  <si>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</si>
  <si>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</si>
  <si>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</si>
  <si>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</si>
  <si>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</si>
  <si>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</si>
  <si>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</si>
  <si>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</si>
  <si>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</si>
  <si>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</si>
  <si>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</si>
  <si>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</si>
  <si>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</si>
  <si>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</si>
  <si>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</si>
  <si>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</si>
  <si>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</si>
  <si>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</si>
  <si>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</si>
  <si>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</si>
  <si>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</si>
  <si>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</si>
  <si>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</si>
  <si>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</si>
  <si>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</si>
  <si>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</si>
  <si>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</si>
  <si>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</si>
  <si>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</si>
  <si>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</si>
  <si>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</si>
  <si>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</si>
  <si>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</si>
  <si>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</si>
  <si>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</si>
  <si>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</si>
  <si>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</si>
  <si>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</si>
  <si>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</si>
  <si>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</si>
  <si>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</si>
  <si>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</si>
  <si>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</si>
  <si>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</si>
  <si>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</si>
  <si>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</si>
  <si>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</si>
  <si>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</si>
  <si>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</si>
  <si>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</si>
  <si>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</si>
  <si>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</si>
  <si>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</si>
  <si>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</si>
  <si>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</si>
  <si>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</si>
  <si>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</si>
  <si>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</si>
  <si>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</si>
  <si>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</si>
  <si>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</si>
  <si>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</si>
  <si>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</si>
  <si>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</si>
  <si>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</si>
  <si>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</si>
  <si>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</si>
  <si>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</si>
  <si>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</si>
  <si>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</si>
  <si>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</si>
  <si>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</si>
  <si>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</si>
  <si>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</si>
  <si>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</si>
  <si>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</si>
  <si>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</si>
  <si>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</si>
  <si>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</si>
  <si>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</si>
  <si>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</si>
  <si>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</si>
  <si>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</si>
  <si>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</si>
  <si>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</si>
  <si>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</si>
  <si>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</si>
  <si>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</si>
  <si>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</si>
  <si>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</si>
  <si>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</si>
  <si>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</si>
  <si>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</si>
  <si>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</si>
  <si>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</si>
  <si>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</si>
  <si>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</si>
  <si>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</si>
  <si>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</si>
  <si>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</si>
  <si>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</si>
  <si>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</si>
  <si>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</si>
  <si>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</si>
  <si>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</si>
  <si>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</si>
  <si>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</si>
  <si>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</si>
  <si>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</si>
  <si>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</si>
  <si>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</si>
  <si>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</si>
  <si>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</si>
  <si>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</si>
  <si>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</si>
  <si>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</si>
  <si>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</si>
  <si>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</si>
  <si>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</si>
  <si>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</si>
  <si>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</si>
  <si>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</si>
  <si>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</si>
  <si>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</si>
  <si>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</si>
  <si>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</si>
  <si>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</si>
  <si>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</si>
  <si>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</si>
  <si>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</si>
  <si>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</si>
  <si>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</si>
  <si>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</si>
  <si>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</si>
  <si>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</si>
  <si>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</si>
  <si>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</si>
  <si>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</si>
  <si>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</si>
  <si>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</si>
  <si>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</si>
  <si>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</si>
  <si>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</si>
  <si>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</si>
  <si>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</si>
  <si>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</si>
  <si>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</si>
  <si>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</si>
  <si>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</si>
  <si>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</si>
  <si>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</si>
  <si>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</si>
  <si>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</si>
  <si>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</si>
  <si>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</si>
  <si>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</si>
  <si>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</si>
  <si>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</si>
  <si>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</si>
  <si>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</si>
  <si>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</si>
  <si>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</si>
  <si>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</si>
  <si>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</si>
  <si>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</si>
  <si>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</si>
  <si>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</si>
  <si>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</si>
  <si>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</si>
  <si>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</si>
  <si>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</si>
  <si>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</si>
  <si>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</si>
  <si>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</si>
  <si>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</si>
  <si>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</si>
  <si>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</si>
  <si>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</si>
  <si>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</si>
  <si>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</si>
  <si>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</si>
  <si>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</si>
  <si>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</si>
  <si>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</si>
  <si>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</si>
  <si>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</si>
  <si>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</si>
  <si>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</si>
  <si>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</si>
  <si>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</si>
  <si>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</si>
  <si>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</si>
  <si>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</si>
  <si>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</si>
  <si>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</si>
  <si>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</si>
  <si>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</si>
  <si>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</si>
  <si>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</si>
  <si>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</si>
  <si>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</si>
  <si>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</si>
  <si>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</si>
  <si>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</si>
  <si>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</si>
  <si>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</si>
  <si>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</si>
  <si>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</si>
  <si>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</si>
  <si>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</si>
  <si>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</si>
  <si>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</si>
  <si>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</si>
  <si>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</si>
  <si>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</si>
  <si>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</si>
  <si>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</si>
  <si>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</si>
  <si>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</si>
  <si>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</si>
  <si>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</si>
  <si>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</si>
  <si>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</si>
  <si>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</si>
  <si>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</si>
  <si>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</si>
  <si>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</si>
  <si>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</si>
  <si>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</si>
  <si>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</si>
  <si>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</si>
  <si>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</si>
  <si>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</si>
  <si>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</si>
  <si>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</si>
  <si>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</si>
  <si>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</si>
  <si>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</si>
  <si>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</si>
  <si>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</si>
  <si>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</si>
  <si>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</si>
  <si>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</si>
  <si>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</si>
  <si>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</si>
  <si>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</si>
  <si>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</si>
  <si>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</si>
  <si>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</si>
  <si>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</si>
  <si>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</si>
  <si>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</si>
  <si>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</si>
  <si>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</si>
  <si>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</si>
  <si>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</si>
  <si>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</si>
  <si>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</si>
  <si>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</si>
  <si>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</si>
  <si>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</si>
  <si>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</si>
  <si>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</si>
  <si>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</si>
  <si>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</si>
  <si>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</si>
  <si>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</si>
  <si>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</si>
  <si>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</si>
  <si>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</si>
  <si>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</si>
  <si>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</si>
  <si>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</si>
  <si>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</si>
  <si>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</si>
  <si>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</si>
  <si>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</si>
  <si>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</si>
  <si>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</si>
  <si>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</si>
  <si>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</si>
  <si>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</si>
  <si>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</si>
  <si>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</si>
  <si>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</si>
  <si>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</si>
  <si>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</si>
  <si>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</si>
  <si>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</si>
  <si>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</si>
  <si>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</si>
  <si>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</si>
  <si>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</si>
  <si>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</si>
  <si>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</si>
  <si>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</si>
  <si>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</si>
  <si>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</si>
  <si>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</si>
  <si>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</si>
  <si>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</si>
  <si>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</si>
  <si>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</si>
  <si>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</si>
  <si>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</si>
  <si>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</si>
  <si>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</si>
  <si>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</si>
  <si>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</si>
  <si>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</si>
  <si>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</si>
  <si>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</si>
  <si>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</si>
  <si>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</si>
  <si>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</si>
  <si>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</si>
  <si>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</si>
  <si>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</si>
  <si>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</si>
  <si>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</si>
  <si>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</si>
  <si>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</si>
  <si>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</si>
  <si>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</si>
  <si>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</si>
  <si>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</si>
  <si>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</si>
  <si>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</si>
  <si>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</si>
  <si>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</si>
  <si>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</si>
  <si>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</si>
  <si>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</si>
  <si>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</si>
  <si>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</si>
  <si>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</si>
  <si>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</si>
  <si>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</si>
  <si>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</si>
  <si>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</si>
  <si>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</si>
  <si>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</si>
  <si>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</si>
  <si>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</si>
  <si>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</si>
  <si>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</si>
  <si>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</si>
  <si>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</si>
  <si>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</si>
  <si>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</si>
  <si>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</si>
  <si>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</si>
  <si>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</si>
  <si>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</si>
  <si>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</si>
  <si>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</si>
  <si>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</si>
  <si>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</si>
  <si>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</si>
  <si>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</si>
  <si>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</si>
  <si>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</si>
  <si>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</si>
  <si>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</si>
  <si>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</si>
  <si>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</si>
  <si>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</si>
  <si>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</si>
  <si>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</si>
  <si>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</si>
  <si>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</si>
  <si>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</si>
  <si>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</si>
  <si>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</si>
  <si>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</si>
  <si>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</si>
  <si>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</si>
  <si>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</si>
  <si>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</si>
  <si>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</si>
  <si>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</si>
  <si>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</si>
  <si>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</si>
  <si>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</si>
  <si>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</si>
  <si>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</si>
  <si>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</si>
  <si>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</si>
  <si>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</si>
  <si>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</si>
  <si>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</si>
  <si>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</si>
  <si>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</si>
  <si>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</si>
  <si>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</si>
  <si>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</si>
  <si>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</si>
  <si>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</si>
  <si>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</si>
  <si>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</si>
  <si>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</si>
  <si>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</si>
  <si>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</si>
  <si>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</si>
  <si>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</si>
  <si>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</si>
  <si>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</si>
  <si>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</si>
  <si>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</si>
  <si>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</si>
  <si>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</si>
  <si>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</si>
  <si>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</si>
  <si>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</si>
  <si>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</si>
  <si>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</si>
  <si>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</si>
  <si>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</si>
  <si>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</si>
  <si>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</si>
  <si>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</si>
  <si>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</si>
  <si>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</si>
  <si>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</si>
  <si>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</si>
  <si>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</si>
  <si>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</si>
  <si>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</si>
  <si>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</si>
  <si>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</si>
  <si>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</si>
  <si>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</si>
  <si>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</si>
  <si>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</si>
  <si>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</si>
  <si>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8.81, [+0.21]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</si>
  <si>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</si>
  <si>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</si>
  <si>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</si>
  <si>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</si>
  <si>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</si>
  <si>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</si>
  <si>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</si>
  <si>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</si>
  <si>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</si>
  <si>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</si>
  <si>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</si>
  <si>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</si>
  <si>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Artista *</t>
  </si>
  <si>
    <t>idm, drill and bass, ambient techno, IDM, d&amp;b, ambient, electronic</t>
  </si>
  <si>
    <t>TOP  Alternative Rock (17 álbumes)</t>
  </si>
  <si>
    <t>17 · media 8.66 · score 8.69</t>
  </si>
  <si>
    <t>Michael Jackson - Thriller (9.02)</t>
  </si>
  <si>
    <t>8.34, [-0.25]</t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</si>
  <si>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</si>
  <si>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</si>
  <si>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</si>
  <si>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</si>
  <si>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</si>
  <si>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</si>
  <si>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</si>
  <si>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</si>
  <si>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</si>
  <si>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</si>
  <si>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</si>
  <si>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</si>
  <si>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</si>
  <si>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8.86, [+0.26]</t>
  </si>
  <si>
    <t>2h 21m</t>
  </si>
  <si>
    <t>18/06/2026</t>
  </si>
  <si>
    <t>1996 - 2014</t>
  </si>
  <si>
    <t>2h 11m</t>
  </si>
  <si>
    <t>2005 - 2026</t>
  </si>
  <si>
    <t>TOP  Progressive Metal (30 álbumes)</t>
  </si>
  <si>
    <t>TOP  Alternative Metal (15 álbumes)</t>
  </si>
  <si>
    <t>Lateralus, 10,000 Days, Ænima, Salival [LIVE]</t>
  </si>
  <si>
    <t>TOP  Post Rock (10 álbumes)</t>
  </si>
  <si>
    <t>progressive metal (30)</t>
  </si>
  <si>
    <t>10 · media 8.93 · score 8.9</t>
  </si>
  <si>
    <t>4 · media 8.46 · score 8.38</t>
  </si>
  <si>
    <t>15 · media 8.45 · score 8.53</t>
  </si>
  <si>
    <t>32 álbumes · media 8.5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</si>
  <si>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</si>
  <si>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</si>
  <si>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</si>
  <si>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</si>
  <si>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</si>
  <si>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</si>
  <si>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</si>
  <si>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</si>
  <si>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</si>
  <si>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</si>
  <si>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</si>
  <si>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</si>
  <si>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</si>
  <si>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</si>
  <si>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7 · media 8.8 · score 8.77</t>
  </si>
  <si>
    <t>1 · media 8.8 · score 8.7</t>
  </si>
  <si>
    <t>8.97, [+0.36]</t>
  </si>
  <si>
    <t>8.48, [-0.13]</t>
  </si>
  <si>
    <t>future garage, dubstep</t>
  </si>
  <si>
    <t>dubstep</t>
  </si>
  <si>
    <t>future garage</t>
  </si>
  <si>
    <t>2000s (62)</t>
  </si>
  <si>
    <t>62 álbumes · media 8.74</t>
  </si>
  <si>
    <t>TOP Electronic (33 álbumes)</t>
  </si>
  <si>
    <t>33 álb · 18 subg · media 8.65 · score 8.63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</si>
  <si>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</si>
  <si>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</si>
  <si>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</si>
  <si>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</si>
  <si>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</si>
  <si>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</si>
  <si>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</si>
  <si>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</si>
  <si>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</si>
  <si>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</si>
  <si>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</si>
  <si>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</si>
  <si>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9.01, [+0.40]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</si>
  <si>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</si>
  <si>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</si>
  <si>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</si>
  <si>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</si>
  <si>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</si>
  <si>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</si>
  <si>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</si>
  <si>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</si>
  <si>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</si>
  <si>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</si>
  <si>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</si>
  <si>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</si>
  <si>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</si>
  <si>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</si>
  <si>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</si>
  <si>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</si>
  <si>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melodic death metal, progressive metal, death metal</t>
  </si>
  <si>
    <t>1995 - 1998</t>
  </si>
  <si>
    <t>-1.5 ← sesgo alto</t>
  </si>
  <si>
    <t>4 · media 8.44 · score 8.38</t>
  </si>
  <si>
    <t>r=0.107 · ≈ nula</t>
  </si>
  <si>
    <t>8.54, [-0.04]</t>
  </si>
  <si>
    <t>8.23, [-0.29]</t>
  </si>
  <si>
    <t>8.24, [-0.22]</t>
  </si>
  <si>
    <t>Álbumes con al menos 11 canciones: 98</t>
  </si>
  <si>
    <t>8.30, [-0.19]</t>
  </si>
  <si>
    <t>Álbumes con al menos 12 canciones: 72</t>
  </si>
  <si>
    <t>8.31, [-0.18]</t>
  </si>
  <si>
    <t>Álbumes con al menos 13 canciones: 50</t>
  </si>
  <si>
    <t>8.12, [-0.35]</t>
  </si>
  <si>
    <t>Álbumes con al menos 14 canciones: 34</t>
  </si>
  <si>
    <t>8.31, [-0.05]</t>
  </si>
  <si>
    <t>8.74, [+0.13]</t>
  </si>
  <si>
    <t>8.39, [-0.20]</t>
  </si>
  <si>
    <t>8.49, [-0.09]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</si>
  <si>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</si>
  <si>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</si>
  <si>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</si>
  <si>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</si>
  <si>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</si>
  <si>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</si>
  <si>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</si>
  <si>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</si>
  <si>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</si>
  <si>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</si>
  <si>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</si>
  <si>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</si>
  <si>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</si>
  <si>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thrash metal, heavy metal, hard rock, alternative metal</t>
  </si>
  <si>
    <t>TOP  Heavy Metal (6 álbumes)</t>
  </si>
  <si>
    <t>Metallica, Load</t>
  </si>
  <si>
    <t>TOP Metal (70 álbumes)</t>
  </si>
  <si>
    <t>6 · media 8.67 · score 8.68</t>
  </si>
  <si>
    <t>70 álb · 20 subg · media 8.59 · score 8.59</t>
  </si>
  <si>
    <t>52 álbumes · media 8.6</t>
  </si>
  <si>
    <t>r=-0.13   · ≈ nula</t>
  </si>
  <si>
    <t>r=-0.317 · ↓ débil</t>
  </si>
  <si>
    <t>8.43, [-0.12]</t>
  </si>
  <si>
    <t>8.45, [-0.15]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</si>
  <si>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</si>
  <si>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</si>
  <si>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</si>
  <si>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</si>
  <si>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</si>
  <si>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</si>
  <si>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</si>
  <si>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</si>
  <si>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</si>
  <si>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</si>
  <si>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</si>
  <si>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</si>
  <si>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</si>
  <si>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</si>
  <si>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</si>
  <si>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</si>
  <si>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</si>
  <si>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</si>
  <si>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</si>
  <si>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</si>
  <si>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</si>
  <si>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</si>
  <si>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</si>
  <si>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</si>
  <si>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</si>
  <si>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</si>
  <si>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</si>
  <si>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</si>
  <si>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8 (×553)</t>
  </si>
  <si>
    <t>8.33 ← colas pesadas</t>
  </si>
  <si>
    <t>24   (1%)</t>
  </si>
  <si>
    <t>41   (1.71%)</t>
  </si>
  <si>
    <t>301   (12.59%)</t>
  </si>
  <si>
    <t>1080   (45.17%)</t>
  </si>
  <si>
    <t>562  (23.5%)</t>
  </si>
  <si>
    <t>383(16.02%)</t>
  </si>
  <si>
    <t>rock (37)</t>
  </si>
  <si>
    <t>r=0.113 · ≈ nula</t>
  </si>
  <si>
    <t>r=-0.244         · ↓ débil</t>
  </si>
  <si>
    <t>r=0.541      · ↑ moderada</t>
  </si>
  <si>
    <t>Notas ≥10 (r=0.541)</t>
  </si>
  <si>
    <t>Álbumes con al menos 1 cancion: 230</t>
  </si>
  <si>
    <t>Álbumes con al menos 2 canciones: 229</t>
  </si>
  <si>
    <t>Álbumes con al menos 3 canciones: 229</t>
  </si>
  <si>
    <t>Álbumes con al menos 4 canciones: 227</t>
  </si>
  <si>
    <t>8.72, [+0.12]</t>
  </si>
  <si>
    <t>Álbumes con al menos 5 canciones: 223</t>
  </si>
  <si>
    <t>Álbumes con al menos 6 canciones: 210</t>
  </si>
  <si>
    <t>8.55, [-0.01]</t>
  </si>
  <si>
    <t>Álbumes con al menos 7 canciones: 199</t>
  </si>
  <si>
    <t>Álbumes con al menos 8 canciones: 180</t>
  </si>
  <si>
    <t>8.38, [-0.17]</t>
  </si>
  <si>
    <t>Álbumes con al menos 9 canciones: 160</t>
  </si>
  <si>
    <t>Álbumes con al menos 10 canciones: 130</t>
  </si>
  <si>
    <t>8.78, [+0.17]</t>
  </si>
  <si>
    <t>8.69, [+0.08]</t>
  </si>
  <si>
    <t>8.46, [-0.15]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</si>
  <si>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</si>
  <si>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</si>
  <si>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</si>
  <si>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</si>
  <si>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</si>
  <si>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TOP  Hard Rock (6 álbumes)</t>
  </si>
  <si>
    <t>progressive electronic</t>
  </si>
  <si>
    <t>TOP Rock (107 álbumes)</t>
  </si>
  <si>
    <t>TOP Ambient (7 álbumes)</t>
  </si>
  <si>
    <t>230 de 230</t>
  </si>
  <si>
    <t>25 · media 8.85 · score 8.89</t>
  </si>
  <si>
    <t>6 · media 8.68 · score 8.78</t>
  </si>
  <si>
    <t>6 · media 8.65 · score 8.62</t>
  </si>
  <si>
    <t>1 · media 8.35 · score 8.27</t>
  </si>
  <si>
    <t>rock (107)</t>
  </si>
  <si>
    <t>ambient (8.78)</t>
  </si>
  <si>
    <t>7 álb · 2 subg · media 8.71 · score 8.78</t>
  </si>
  <si>
    <t>107 álb · 37 subg · media 8.69 · score 8.69</t>
  </si>
  <si>
    <t>20 álbumes · media 8.84</t>
  </si>
  <si>
    <t>36 álbumes · media 7.98</t>
  </si>
  <si>
    <t>r=0.09 · ≈ nula</t>
  </si>
  <si>
    <t>Duración   (r=0.09)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</si>
</sst>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</fonts>
  <fills count="29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23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4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767"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63FB44"/>
      <color rgb="FF0354BF"/>
      <color rgb="FFD40000"/>
      <color rgb="FF4E97F0"/>
      <color rgb="FFFF9966"/>
      <color rgb="FFDE0000"/>
      <color rgb="FFE292DA"/>
      <color rgb="FF8E823A"/>
      <color rgb="FFFAF9EA"/>
      <color rgb="FFF6F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3439</v>
      </c>
    </row>
    <row r="2" spans="1:2" x14ac:dyDescent="0.2">
      <c r="A2" t="s">
        <v>3440</v>
      </c>
    </row>
    <row r="4" spans="1:2" x14ac:dyDescent="0.2">
      <c r="A4" s="386" t="s">
        <v>3441</v>
      </c>
    </row>
    <row r="5" spans="1:2" x14ac:dyDescent="0.2">
      <c r="A5" t="s">
        <v>3442</v>
      </c>
    </row>
    <row r="6" spans="1:2" x14ac:dyDescent="0.2">
      <c r="B6" t="s">
        <v>3443</v>
      </c>
    </row>
    <row r="7" spans="1:2" x14ac:dyDescent="0.2">
      <c r="B7" t="s">
        <v>3444</v>
      </c>
    </row>
    <row r="8" spans="1:2" x14ac:dyDescent="0.2">
      <c r="B8" t="s">
        <v>3445</v>
      </c>
    </row>
    <row r="9" spans="1:2" x14ac:dyDescent="0.2">
      <c r="B9" t="s">
        <v>3446</v>
      </c>
    </row>
    <row r="10" spans="1:2" x14ac:dyDescent="0.2">
      <c r="A10" t="s">
        <v>3454</v>
      </c>
    </row>
    <row r="11" spans="1:2" x14ac:dyDescent="0.2">
      <c r="B11" t="s">
        <v>3447</v>
      </c>
    </row>
    <row r="12" spans="1:2" x14ac:dyDescent="0.2">
      <c r="B12" t="s">
        <v>3448</v>
      </c>
    </row>
    <row r="13" spans="1:2" x14ac:dyDescent="0.2">
      <c r="B13" t="s">
        <v>3449</v>
      </c>
    </row>
    <row r="14" spans="1:2" x14ac:dyDescent="0.2">
      <c r="A14" t="s">
        <v>3450</v>
      </c>
    </row>
    <row r="15" spans="1:2" x14ac:dyDescent="0.2">
      <c r="B15" t="s">
        <v>3451</v>
      </c>
    </row>
    <row r="16" spans="1:2" x14ac:dyDescent="0.2">
      <c r="B16" t="s">
        <v>3452</v>
      </c>
    </row>
    <row r="17" spans="1:3" x14ac:dyDescent="0.2">
      <c r="B17" t="s">
        <v>3501</v>
      </c>
    </row>
    <row r="18" spans="1:3" x14ac:dyDescent="0.2">
      <c r="B18" t="s">
        <v>3453</v>
      </c>
    </row>
    <row r="19" spans="1:3" x14ac:dyDescent="0.2">
      <c r="A19" t="s">
        <v>3455</v>
      </c>
    </row>
    <row r="20" spans="1:3" x14ac:dyDescent="0.2">
      <c r="B20" t="s">
        <v>3456</v>
      </c>
    </row>
    <row r="21" spans="1:3" x14ac:dyDescent="0.2">
      <c r="B21" t="s">
        <v>3457</v>
      </c>
    </row>
    <row r="22" spans="1:3" x14ac:dyDescent="0.2">
      <c r="B22" t="s">
        <v>3458</v>
      </c>
    </row>
    <row r="23" spans="1:3" x14ac:dyDescent="0.2">
      <c r="A23" t="s">
        <v>3459</v>
      </c>
    </row>
    <row r="24" spans="1:3" x14ac:dyDescent="0.2">
      <c r="A24" t="s">
        <v>3491</v>
      </c>
    </row>
    <row r="27" spans="1:3" x14ac:dyDescent="0.2">
      <c r="A27" t="s">
        <v>3496</v>
      </c>
    </row>
    <row r="29" spans="1:3" x14ac:dyDescent="0.2">
      <c r="A29" t="s">
        <v>3460</v>
      </c>
    </row>
    <row r="30" spans="1:3" x14ac:dyDescent="0.2">
      <c r="A30" s="387" t="s">
        <v>3471</v>
      </c>
      <c r="B30" s="387" t="s">
        <v>3472</v>
      </c>
      <c r="C30" s="387" t="s">
        <v>3473</v>
      </c>
    </row>
    <row r="31" spans="1:3" x14ac:dyDescent="0.2">
      <c r="A31" t="s">
        <v>3461</v>
      </c>
      <c r="B31" t="s">
        <v>3462</v>
      </c>
      <c r="C31" t="s">
        <v>3476</v>
      </c>
    </row>
    <row r="32" spans="1:3" x14ac:dyDescent="0.2">
      <c r="A32" t="s">
        <v>3463</v>
      </c>
      <c r="B32" t="s">
        <v>3468</v>
      </c>
      <c r="C32" t="s">
        <v>3474</v>
      </c>
    </row>
    <row r="33" spans="1:3" x14ac:dyDescent="0.2">
      <c r="A33" t="s">
        <v>3464</v>
      </c>
      <c r="B33" t="s">
        <v>3469</v>
      </c>
    </row>
    <row r="34" spans="1:3" x14ac:dyDescent="0.2">
      <c r="A34" t="s">
        <v>3465</v>
      </c>
      <c r="B34" t="s">
        <v>3469</v>
      </c>
    </row>
    <row r="35" spans="1:3" x14ac:dyDescent="0.2">
      <c r="A35" t="s">
        <v>3466</v>
      </c>
      <c r="B35" t="s">
        <v>3469</v>
      </c>
    </row>
    <row r="36" spans="1:3" x14ac:dyDescent="0.2">
      <c r="A36" t="s">
        <v>3470</v>
      </c>
      <c r="B36" t="s">
        <v>3468</v>
      </c>
      <c r="C36" t="s">
        <v>3475</v>
      </c>
    </row>
    <row r="37" spans="1:3" x14ac:dyDescent="0.2">
      <c r="A37" t="s">
        <v>3467</v>
      </c>
      <c r="B37" t="s">
        <v>3469</v>
      </c>
    </row>
    <row r="39" spans="1:3" x14ac:dyDescent="0.2">
      <c r="A39" t="s">
        <v>3478</v>
      </c>
    </row>
    <row r="40" spans="1:3" x14ac:dyDescent="0.2">
      <c r="A40" t="s">
        <v>3479</v>
      </c>
    </row>
    <row r="41" spans="1:3" x14ac:dyDescent="0.2">
      <c r="A41" t="s">
        <v>3480</v>
      </c>
    </row>
    <row r="43" spans="1:3" x14ac:dyDescent="0.2">
      <c r="A43" t="s">
        <v>3481</v>
      </c>
    </row>
    <row r="44" spans="1:3" x14ac:dyDescent="0.2">
      <c r="A44" t="s">
        <v>3482</v>
      </c>
    </row>
    <row r="46" spans="1:3" x14ac:dyDescent="0.2">
      <c r="A46" t="s">
        <v>3483</v>
      </c>
    </row>
    <row r="47" spans="1:3" x14ac:dyDescent="0.2">
      <c r="A47" s="387" t="s">
        <v>3471</v>
      </c>
      <c r="B47" s="387" t="s">
        <v>3472</v>
      </c>
      <c r="C47" s="387" t="s">
        <v>3473</v>
      </c>
    </row>
    <row r="48" spans="1:3" x14ac:dyDescent="0.2">
      <c r="A48" t="s">
        <v>3461</v>
      </c>
      <c r="B48" s="388" t="s">
        <v>3484</v>
      </c>
      <c r="C48" t="s">
        <v>3487</v>
      </c>
    </row>
    <row r="49" spans="1:3" x14ac:dyDescent="0.2">
      <c r="A49" t="s">
        <v>3463</v>
      </c>
      <c r="B49" s="388" t="s">
        <v>3485</v>
      </c>
      <c r="C49" t="s">
        <v>3488</v>
      </c>
    </row>
    <row r="50" spans="1:3" x14ac:dyDescent="0.2">
      <c r="A50" t="s">
        <v>3464</v>
      </c>
      <c r="B50" t="s">
        <v>3486</v>
      </c>
      <c r="C50" t="s">
        <v>3489</v>
      </c>
    </row>
    <row r="51" spans="1:3" x14ac:dyDescent="0.2">
      <c r="A51" t="s">
        <v>3465</v>
      </c>
      <c r="B51" t="s">
        <v>3486</v>
      </c>
      <c r="C51" t="s">
        <v>3489</v>
      </c>
    </row>
    <row r="52" spans="1:3" x14ac:dyDescent="0.2">
      <c r="A52" t="s">
        <v>3466</v>
      </c>
      <c r="B52" t="s">
        <v>3486</v>
      </c>
      <c r="C52" t="s">
        <v>3489</v>
      </c>
    </row>
    <row r="53" spans="1:3" x14ac:dyDescent="0.2">
      <c r="A53" t="s">
        <v>3470</v>
      </c>
      <c r="B53" s="388" t="s">
        <v>3484</v>
      </c>
      <c r="C53" t="s">
        <v>3490</v>
      </c>
    </row>
    <row r="54" spans="1:3" x14ac:dyDescent="0.2">
      <c r="A54" t="s">
        <v>3467</v>
      </c>
      <c r="B54" t="s">
        <v>3486</v>
      </c>
      <c r="C54" t="s">
        <v>3489</v>
      </c>
    </row>
    <row r="55" spans="1:3" x14ac:dyDescent="0.2">
      <c r="A55" t="s">
        <v>3494</v>
      </c>
    </row>
    <row r="57" spans="1:3" x14ac:dyDescent="0.2">
      <c r="A57" t="s">
        <v>3492</v>
      </c>
    </row>
    <row r="59" spans="1:3" x14ac:dyDescent="0.2">
      <c r="A59" t="s">
        <v>3493</v>
      </c>
    </row>
    <row r="60" spans="1:3" x14ac:dyDescent="0.2">
      <c r="B60" t="s">
        <v>3497</v>
      </c>
    </row>
    <row r="62" spans="1:3" x14ac:dyDescent="0.2">
      <c r="A62" t="s">
        <v>3495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Normal="100" zoomScaleSheetLayoutView="90" workbookViewId="0">
      <pane ySplit="1" topLeftCell="A571" activePane="bottomLeft" state="frozen"/>
      <selection pane="bottomLeft" activeCell="D604" sqref="D604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0" bestFit="1" customWidth="1"/>
    <col min="23" max="23" width="8.1640625" style="200" bestFit="1" customWidth="1"/>
    <col min="24" max="24" width="11.1640625" style="200" bestFit="1" customWidth="1"/>
    <col min="25" max="25" width="9.5" style="200" bestFit="1" customWidth="1"/>
    <col min="26" max="26" width="14.33203125" style="200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3410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0" t="s">
        <v>3297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2329</v>
      </c>
      <c r="B385" s="134">
        <v>7.5</v>
      </c>
      <c r="C385" s="2"/>
      <c r="D385" s="4" t="s">
        <v>3411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5" t="s">
        <v>2938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2862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2868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2869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2883</v>
      </c>
      <c r="H467" s="12">
        <f>ROUND(SUM(H468:H472)/COUNT(H468:H472), 2)</f>
        <v>8.8000000000000007</v>
      </c>
      <c r="I467" s="2"/>
      <c r="J467" s="4" t="s">
        <v>2870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2884</v>
      </c>
      <c r="H468" s="190">
        <v>8</v>
      </c>
      <c r="I468" s="2"/>
      <c r="J468" s="4" t="s">
        <v>2871</v>
      </c>
      <c r="K468" s="136">
        <v>7.5</v>
      </c>
      <c r="L468" s="2"/>
      <c r="M468" s="221" t="s">
        <v>2891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2872</v>
      </c>
      <c r="K469" s="136">
        <v>8</v>
      </c>
      <c r="L469" s="2"/>
      <c r="M469" s="11" t="s">
        <v>2892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2885</v>
      </c>
      <c r="H470" s="136">
        <v>8.5</v>
      </c>
      <c r="I470" s="2"/>
      <c r="J470" s="4" t="s">
        <v>2873</v>
      </c>
      <c r="K470" s="136">
        <v>8</v>
      </c>
      <c r="L470" s="2"/>
      <c r="M470" s="4" t="s">
        <v>2893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2886</v>
      </c>
      <c r="H471" s="136">
        <v>10</v>
      </c>
      <c r="I471" s="2"/>
      <c r="J471" s="4" t="s">
        <v>2874</v>
      </c>
      <c r="K471" s="136">
        <v>8</v>
      </c>
      <c r="L471" s="2"/>
      <c r="M471" s="4" t="s">
        <v>2894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2875</v>
      </c>
      <c r="K472" s="136">
        <v>9</v>
      </c>
      <c r="L472" s="2"/>
      <c r="M472" s="4" t="s">
        <v>2895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3" t="s">
        <v>2917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2876</v>
      </c>
      <c r="K473" s="136">
        <v>8.5</v>
      </c>
      <c r="L473" s="2"/>
      <c r="M473" s="4" t="s">
        <v>2896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2906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2935</v>
      </c>
      <c r="H474" s="12">
        <f>ROUND(SUM(H475:H486)/COUNT(H475:H486), 2)</f>
        <v>8.9600000000000009</v>
      </c>
      <c r="I474" s="2"/>
      <c r="J474" s="4" t="s">
        <v>2877</v>
      </c>
      <c r="K474" s="136">
        <v>8</v>
      </c>
      <c r="L474" s="2"/>
      <c r="M474" s="4" t="s">
        <v>2897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2907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2923</v>
      </c>
      <c r="H475" s="190">
        <v>9.5</v>
      </c>
      <c r="I475" s="2"/>
      <c r="J475" s="4" t="s">
        <v>2878</v>
      </c>
      <c r="K475" s="136">
        <v>9</v>
      </c>
      <c r="L475" s="2"/>
      <c r="M475" s="4" t="s">
        <v>2898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2908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2924</v>
      </c>
      <c r="H476" s="136">
        <v>8</v>
      </c>
      <c r="I476" s="2"/>
      <c r="J476" s="4" t="s">
        <v>2879</v>
      </c>
      <c r="K476" s="136">
        <v>8.5</v>
      </c>
      <c r="L476" s="2"/>
      <c r="M476" s="4" t="s">
        <v>2899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2909</v>
      </c>
      <c r="B477" s="136">
        <v>8</v>
      </c>
      <c r="C477" s="2"/>
      <c r="D477" s="4" t="s">
        <v>2848</v>
      </c>
      <c r="E477" s="136"/>
      <c r="F477" s="2"/>
      <c r="G477" s="4" t="s">
        <v>2925</v>
      </c>
      <c r="H477" s="136">
        <v>10</v>
      </c>
      <c r="I477" s="2"/>
      <c r="J477" s="7" t="s">
        <v>2880</v>
      </c>
      <c r="K477" s="191">
        <v>7</v>
      </c>
      <c r="L477" s="2"/>
      <c r="M477" s="4" t="s">
        <v>2900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2910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2926</v>
      </c>
      <c r="H478" s="136">
        <v>8.5</v>
      </c>
      <c r="I478" s="2"/>
      <c r="J478" s="2"/>
      <c r="K478" s="2"/>
      <c r="L478" s="2"/>
      <c r="M478" s="7" t="s">
        <v>2901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2911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2927</v>
      </c>
      <c r="H479" s="136">
        <v>9</v>
      </c>
      <c r="I479" s="2"/>
      <c r="J479" s="349" t="s">
        <v>2939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2912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2928</v>
      </c>
      <c r="H480" s="136">
        <v>8</v>
      </c>
      <c r="I480" s="2"/>
      <c r="J480" s="11" t="s">
        <v>2940</v>
      </c>
      <c r="K480" s="190">
        <v>8</v>
      </c>
      <c r="L480" s="2"/>
      <c r="M480" s="350" t="s">
        <v>2953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2913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2929</v>
      </c>
      <c r="H481" s="136">
        <v>8</v>
      </c>
      <c r="I481" s="2"/>
      <c r="J481" s="4" t="s">
        <v>2941</v>
      </c>
      <c r="K481" s="136">
        <v>9</v>
      </c>
      <c r="L481" s="2"/>
      <c r="M481" s="11" t="s">
        <v>2954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2914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2930</v>
      </c>
      <c r="H482" s="136">
        <v>9</v>
      </c>
      <c r="I482" s="2"/>
      <c r="J482" s="4" t="s">
        <v>2942</v>
      </c>
      <c r="K482" s="136">
        <v>9</v>
      </c>
      <c r="L482" s="2"/>
      <c r="M482" s="4" t="s">
        <v>2955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2915</v>
      </c>
      <c r="B483" s="136">
        <v>10</v>
      </c>
      <c r="C483" s="2"/>
      <c r="D483" s="4" t="s">
        <v>2854</v>
      </c>
      <c r="E483" s="136"/>
      <c r="F483" s="2"/>
      <c r="G483" s="4" t="s">
        <v>2931</v>
      </c>
      <c r="H483" s="136">
        <v>8.5</v>
      </c>
      <c r="I483" s="2"/>
      <c r="J483" s="4" t="s">
        <v>2943</v>
      </c>
      <c r="K483" s="136">
        <v>10</v>
      </c>
      <c r="L483" s="2"/>
      <c r="M483" s="4" t="s">
        <v>2956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2932</v>
      </c>
      <c r="H484" s="136">
        <v>10</v>
      </c>
      <c r="I484" s="2"/>
      <c r="J484" s="4" t="s">
        <v>2944</v>
      </c>
      <c r="K484" s="136">
        <v>7.5</v>
      </c>
      <c r="L484" s="2"/>
      <c r="M484" s="4" t="s">
        <v>2957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2916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2933</v>
      </c>
      <c r="H485" s="136">
        <v>10</v>
      </c>
      <c r="I485" s="2"/>
      <c r="J485" s="4" t="s">
        <v>2945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2934</v>
      </c>
      <c r="H486" s="191">
        <v>9</v>
      </c>
      <c r="I486" s="2"/>
      <c r="J486" s="4" t="s">
        <v>2946</v>
      </c>
      <c r="K486" s="136">
        <v>8</v>
      </c>
      <c r="L486" s="2"/>
      <c r="M486" s="7" t="s">
        <v>2958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2" t="s">
        <v>3004</v>
      </c>
      <c r="B487" s="12">
        <f>ROUND(SUM(B488:B501)/COUNT(B488:B501), 2)</f>
        <v>8.85</v>
      </c>
      <c r="C487" s="2"/>
      <c r="D487" s="351" t="s">
        <v>2977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1731</v>
      </c>
      <c r="B488" s="190">
        <v>8.5</v>
      </c>
      <c r="C488" s="2"/>
      <c r="D488" s="11" t="s">
        <v>2978</v>
      </c>
      <c r="E488" s="190">
        <v>9</v>
      </c>
      <c r="F488" s="2"/>
      <c r="G488" s="353" t="s">
        <v>3008</v>
      </c>
      <c r="H488" s="12">
        <f>ROUND(SUM(H489:H498)/COUNT(H489:H498), 2)</f>
        <v>8.4</v>
      </c>
      <c r="I488" s="2"/>
      <c r="J488" s="4" t="s">
        <v>2948</v>
      </c>
      <c r="K488" s="136">
        <v>8.5</v>
      </c>
      <c r="L488" s="2"/>
      <c r="M488" s="355" t="s">
        <v>3022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2964</v>
      </c>
      <c r="B489" s="136">
        <v>9</v>
      </c>
      <c r="C489" s="2"/>
      <c r="D489" s="4" t="s">
        <v>2979</v>
      </c>
      <c r="E489" s="136">
        <v>8.5</v>
      </c>
      <c r="F489" s="2"/>
      <c r="G489" s="11" t="s">
        <v>3009</v>
      </c>
      <c r="H489" s="190">
        <v>10</v>
      </c>
      <c r="I489" s="2"/>
      <c r="J489" s="7" t="s">
        <v>2949</v>
      </c>
      <c r="K489" s="191">
        <v>7.5</v>
      </c>
      <c r="L489" s="2"/>
      <c r="M489" s="11" t="s">
        <v>3023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2965</v>
      </c>
      <c r="B490" s="136">
        <v>8.5</v>
      </c>
      <c r="C490" s="2"/>
      <c r="D490" s="4" t="s">
        <v>2980</v>
      </c>
      <c r="E490" s="136">
        <v>9</v>
      </c>
      <c r="F490" s="2"/>
      <c r="G490" s="4" t="s">
        <v>3010</v>
      </c>
      <c r="H490" s="136">
        <v>8.5</v>
      </c>
      <c r="I490" s="2"/>
      <c r="J490" s="2"/>
      <c r="K490" s="2"/>
      <c r="L490" s="2"/>
      <c r="M490" s="4" t="s">
        <v>3024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2966</v>
      </c>
      <c r="B491" s="136">
        <v>8</v>
      </c>
      <c r="C491" s="2"/>
      <c r="D491" s="4" t="s">
        <v>2981</v>
      </c>
      <c r="E491" s="136">
        <v>8</v>
      </c>
      <c r="F491" s="2"/>
      <c r="G491" s="4" t="s">
        <v>3011</v>
      </c>
      <c r="H491" s="136">
        <v>8</v>
      </c>
      <c r="I491" s="2"/>
      <c r="J491" s="360" t="s">
        <v>3042</v>
      </c>
      <c r="K491" s="12">
        <f>ROUND(SUM(K492:K497)/COUNT(K492:K497), 2)</f>
        <v>7.92</v>
      </c>
      <c r="L491" s="2"/>
      <c r="M491" s="4" t="s">
        <v>3025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2967</v>
      </c>
      <c r="B492" s="136">
        <v>8.5</v>
      </c>
      <c r="C492" s="2"/>
      <c r="D492" s="4" t="s">
        <v>2982</v>
      </c>
      <c r="E492" s="136">
        <v>8.5</v>
      </c>
      <c r="F492" s="2"/>
      <c r="G492" s="4" t="s">
        <v>3012</v>
      </c>
      <c r="H492" s="136">
        <v>9</v>
      </c>
      <c r="I492" s="2"/>
      <c r="J492" s="11" t="s">
        <v>3036</v>
      </c>
      <c r="K492" s="190">
        <v>8.5</v>
      </c>
      <c r="L492" s="2"/>
      <c r="M492" s="4" t="s">
        <v>3026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2968</v>
      </c>
      <c r="B493" s="136">
        <v>9.5</v>
      </c>
      <c r="C493" s="2"/>
      <c r="D493" s="4" t="s">
        <v>2983</v>
      </c>
      <c r="E493" s="136">
        <v>10</v>
      </c>
      <c r="F493" s="2"/>
      <c r="G493" s="4" t="s">
        <v>3013</v>
      </c>
      <c r="H493" s="136">
        <v>8</v>
      </c>
      <c r="I493" s="2"/>
      <c r="J493" s="4" t="s">
        <v>3037</v>
      </c>
      <c r="K493" s="136">
        <v>8</v>
      </c>
      <c r="L493" s="2"/>
      <c r="M493" s="4" t="s">
        <v>3027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2969</v>
      </c>
      <c r="B494" s="136"/>
      <c r="C494" s="2"/>
      <c r="D494" s="4" t="s">
        <v>2984</v>
      </c>
      <c r="E494" s="136">
        <v>9</v>
      </c>
      <c r="F494" s="2"/>
      <c r="G494" s="4" t="s">
        <v>3014</v>
      </c>
      <c r="H494" s="136">
        <v>9</v>
      </c>
      <c r="I494" s="2"/>
      <c r="J494" s="4" t="s">
        <v>3038</v>
      </c>
      <c r="K494" s="136">
        <v>7.5</v>
      </c>
      <c r="L494" s="2"/>
      <c r="M494" s="4" t="s">
        <v>3028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2970</v>
      </c>
      <c r="B495" s="136">
        <v>9.5</v>
      </c>
      <c r="C495" s="2"/>
      <c r="D495" s="4" t="s">
        <v>2985</v>
      </c>
      <c r="E495" s="136">
        <v>7.5</v>
      </c>
      <c r="F495" s="2"/>
      <c r="G495" s="4" t="s">
        <v>3015</v>
      </c>
      <c r="H495" s="136">
        <v>7.5</v>
      </c>
      <c r="I495" s="2"/>
      <c r="J495" s="4" t="s">
        <v>3039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2971</v>
      </c>
      <c r="B496" s="136">
        <v>8.5</v>
      </c>
      <c r="C496" s="2"/>
      <c r="D496" s="4" t="s">
        <v>2986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3040</v>
      </c>
      <c r="K496" s="136">
        <v>6.5</v>
      </c>
      <c r="L496" s="2"/>
      <c r="M496" s="4" t="s">
        <v>3029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2972</v>
      </c>
      <c r="B497" s="136">
        <v>10</v>
      </c>
      <c r="C497" s="2"/>
      <c r="D497" s="7" t="s">
        <v>2987</v>
      </c>
      <c r="E497" s="191">
        <v>8</v>
      </c>
      <c r="F497" s="2"/>
      <c r="G497" s="4" t="s">
        <v>3016</v>
      </c>
      <c r="H497" s="136">
        <v>8</v>
      </c>
      <c r="I497" s="2"/>
      <c r="J497" s="7" t="s">
        <v>3041</v>
      </c>
      <c r="K497" s="191">
        <v>9</v>
      </c>
      <c r="L497" s="2"/>
      <c r="M497" s="4" t="s">
        <v>3030</v>
      </c>
      <c r="N497" s="136">
        <v>8</v>
      </c>
      <c r="O497" s="16"/>
    </row>
    <row r="498" spans="1:15" s="3" customFormat="1" ht="17" thickBot="1" x14ac:dyDescent="0.25">
      <c r="A498" s="4" t="s">
        <v>2973</v>
      </c>
      <c r="B498" s="136">
        <v>8.5</v>
      </c>
      <c r="C498" s="2"/>
      <c r="D498" s="2"/>
      <c r="E498" s="2"/>
      <c r="F498" s="2"/>
      <c r="G498" s="7" t="s">
        <v>3017</v>
      </c>
      <c r="H498" s="191">
        <v>7.5</v>
      </c>
      <c r="I498" s="2"/>
      <c r="J498" s="2"/>
      <c r="K498" s="2"/>
      <c r="L498" s="2"/>
      <c r="M498" s="7" t="s">
        <v>3031</v>
      </c>
      <c r="N498" s="191">
        <v>10</v>
      </c>
      <c r="O498" s="16"/>
    </row>
    <row r="499" spans="1:15" s="3" customFormat="1" ht="15.5" customHeight="1" thickBot="1" x14ac:dyDescent="0.25">
      <c r="A499" s="4" t="s">
        <v>2974</v>
      </c>
      <c r="B499" s="136">
        <v>10</v>
      </c>
      <c r="C499" s="2"/>
      <c r="D499" s="368" t="s">
        <v>3295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3059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2975</v>
      </c>
      <c r="B500" s="136">
        <v>8</v>
      </c>
      <c r="C500" s="2"/>
      <c r="D500" s="11" t="s">
        <v>3044</v>
      </c>
      <c r="E500" s="190">
        <v>8.5</v>
      </c>
      <c r="F500" s="2"/>
      <c r="G500" s="361" t="s">
        <v>3086</v>
      </c>
      <c r="H500" s="12">
        <f>ROUND(SUM(H501:H510)/COUNT(H501:H510), 2)</f>
        <v>8.6</v>
      </c>
      <c r="I500" s="2"/>
      <c r="J500" s="11" t="s">
        <v>3060</v>
      </c>
      <c r="K500" s="190"/>
      <c r="L500" s="2"/>
      <c r="M500" s="362" t="s">
        <v>3101</v>
      </c>
      <c r="N500" s="12">
        <f>ROUND(SUM(N501:N510)/COUNT(N501:N510), 2)</f>
        <v>8.6999999999999993</v>
      </c>
      <c r="O500" s="16"/>
    </row>
    <row r="501" spans="1:15" s="3" customFormat="1" ht="17" thickBot="1" x14ac:dyDescent="0.25">
      <c r="A501" s="7" t="s">
        <v>2976</v>
      </c>
      <c r="B501" s="191">
        <v>8.5</v>
      </c>
      <c r="C501" s="2"/>
      <c r="D501" s="4" t="s">
        <v>3045</v>
      </c>
      <c r="E501" s="136">
        <v>8.5</v>
      </c>
      <c r="F501" s="2"/>
      <c r="G501" s="11" t="s">
        <v>3087</v>
      </c>
      <c r="H501" s="190">
        <v>9</v>
      </c>
      <c r="I501" s="2"/>
      <c r="J501" s="4" t="s">
        <v>3061</v>
      </c>
      <c r="K501" s="136">
        <v>9</v>
      </c>
      <c r="L501" s="2"/>
      <c r="M501" s="11" t="s">
        <v>3102</v>
      </c>
      <c r="N501" s="190">
        <v>9</v>
      </c>
      <c r="O501" s="16"/>
    </row>
    <row r="502" spans="1:15" s="3" customFormat="1" ht="17" thickBot="1" x14ac:dyDescent="0.25">
      <c r="A502" s="2"/>
      <c r="B502" s="2"/>
      <c r="C502" s="2"/>
      <c r="D502" s="4" t="s">
        <v>3046</v>
      </c>
      <c r="E502" s="136">
        <v>8</v>
      </c>
      <c r="F502" s="2"/>
      <c r="G502" s="4" t="s">
        <v>3088</v>
      </c>
      <c r="H502" s="136">
        <v>9</v>
      </c>
      <c r="I502" s="2"/>
      <c r="J502" s="4" t="s">
        <v>3062</v>
      </c>
      <c r="K502" s="136">
        <v>8.5</v>
      </c>
      <c r="L502" s="2"/>
      <c r="M502" s="4" t="s">
        <v>3103</v>
      </c>
      <c r="N502" s="136">
        <v>10</v>
      </c>
      <c r="O502" s="16"/>
    </row>
    <row r="503" spans="1:15" s="3" customFormat="1" ht="15" customHeight="1" thickBot="1" x14ac:dyDescent="0.25">
      <c r="A503" s="363" t="s">
        <v>3116</v>
      </c>
      <c r="B503" s="12">
        <f>ROUND(SUM(B504:B513)/COUNT(B504:B513), 2)</f>
        <v>7.95</v>
      </c>
      <c r="C503" s="2"/>
      <c r="D503" s="4" t="s">
        <v>3047</v>
      </c>
      <c r="E503" s="136">
        <v>9.5</v>
      </c>
      <c r="F503" s="2"/>
      <c r="G503" s="4" t="s">
        <v>3089</v>
      </c>
      <c r="H503" s="136">
        <v>8.5</v>
      </c>
      <c r="I503" s="2"/>
      <c r="J503" s="4" t="s">
        <v>3063</v>
      </c>
      <c r="K503" s="136">
        <v>9</v>
      </c>
      <c r="L503" s="2"/>
      <c r="M503" s="4" t="s">
        <v>3104</v>
      </c>
      <c r="N503" s="136">
        <v>8.5</v>
      </c>
      <c r="O503" s="16"/>
    </row>
    <row r="504" spans="1:15" s="3" customFormat="1" x14ac:dyDescent="0.2">
      <c r="A504" s="11" t="s">
        <v>3117</v>
      </c>
      <c r="B504" s="190">
        <v>7.5</v>
      </c>
      <c r="C504" s="2"/>
      <c r="D504" s="4" t="s">
        <v>3048</v>
      </c>
      <c r="E504" s="136">
        <v>8</v>
      </c>
      <c r="F504" s="2"/>
      <c r="G504" s="4" t="s">
        <v>3090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3105</v>
      </c>
      <c r="N504" s="136">
        <v>8</v>
      </c>
      <c r="O504" s="16"/>
    </row>
    <row r="505" spans="1:15" s="3" customFormat="1" x14ac:dyDescent="0.2">
      <c r="A505" s="4" t="s">
        <v>3118</v>
      </c>
      <c r="B505" s="136">
        <v>8.5</v>
      </c>
      <c r="C505" s="2"/>
      <c r="D505" s="4" t="s">
        <v>3049</v>
      </c>
      <c r="E505" s="136">
        <v>10</v>
      </c>
      <c r="F505" s="2"/>
      <c r="G505" s="4" t="s">
        <v>3091</v>
      </c>
      <c r="H505" s="136">
        <v>8.5</v>
      </c>
      <c r="I505" s="2"/>
      <c r="J505" s="4" t="s">
        <v>3064</v>
      </c>
      <c r="K505" s="136">
        <v>8.5</v>
      </c>
      <c r="L505" s="2"/>
      <c r="M505" s="4" t="s">
        <v>3106</v>
      </c>
      <c r="N505" s="136">
        <v>8.5</v>
      </c>
      <c r="O505" s="16"/>
    </row>
    <row r="506" spans="1:15" s="3" customFormat="1" x14ac:dyDescent="0.2">
      <c r="A506" s="4" t="s">
        <v>3119</v>
      </c>
      <c r="B506" s="136">
        <v>9</v>
      </c>
      <c r="C506" s="2"/>
      <c r="D506" s="4" t="s">
        <v>3050</v>
      </c>
      <c r="E506" s="136"/>
      <c r="F506" s="2"/>
      <c r="G506" s="4" t="s">
        <v>3092</v>
      </c>
      <c r="H506" s="136">
        <v>8</v>
      </c>
      <c r="I506" s="2"/>
      <c r="J506" s="4" t="s">
        <v>3065</v>
      </c>
      <c r="K506" s="136">
        <v>9</v>
      </c>
      <c r="L506" s="2"/>
      <c r="M506" s="4" t="s">
        <v>3107</v>
      </c>
      <c r="N506" s="136">
        <v>8</v>
      </c>
      <c r="O506" s="16"/>
    </row>
    <row r="507" spans="1:15" s="3" customFormat="1" x14ac:dyDescent="0.2">
      <c r="A507" s="4" t="s">
        <v>3120</v>
      </c>
      <c r="B507" s="136">
        <v>7</v>
      </c>
      <c r="C507" s="2"/>
      <c r="D507" s="4" t="s">
        <v>3051</v>
      </c>
      <c r="E507" s="136">
        <v>8</v>
      </c>
      <c r="F507" s="2"/>
      <c r="G507" s="4" t="s">
        <v>3093</v>
      </c>
      <c r="H507" s="136">
        <v>8</v>
      </c>
      <c r="I507" s="2"/>
      <c r="J507" s="4" t="s">
        <v>3066</v>
      </c>
      <c r="K507" s="136"/>
      <c r="L507" s="2"/>
      <c r="M507" s="4" t="s">
        <v>3108</v>
      </c>
      <c r="N507" s="136">
        <v>8.5</v>
      </c>
      <c r="O507" s="16"/>
    </row>
    <row r="508" spans="1:15" s="3" customFormat="1" x14ac:dyDescent="0.2">
      <c r="A508" s="4" t="s">
        <v>3121</v>
      </c>
      <c r="B508" s="136">
        <v>8</v>
      </c>
      <c r="C508" s="2"/>
      <c r="D508" s="4" t="s">
        <v>3052</v>
      </c>
      <c r="E508" s="136">
        <v>8</v>
      </c>
      <c r="F508" s="2"/>
      <c r="G508" s="4" t="s">
        <v>3094</v>
      </c>
      <c r="H508" s="136">
        <v>8.5</v>
      </c>
      <c r="I508" s="2"/>
      <c r="J508" s="4" t="s">
        <v>3067</v>
      </c>
      <c r="K508" s="136">
        <v>9</v>
      </c>
      <c r="L508" s="2"/>
      <c r="M508" s="4" t="s">
        <v>3109</v>
      </c>
      <c r="N508" s="136">
        <v>9</v>
      </c>
      <c r="O508" s="16"/>
    </row>
    <row r="509" spans="1:15" s="3" customFormat="1" x14ac:dyDescent="0.2">
      <c r="A509" s="4" t="s">
        <v>3122</v>
      </c>
      <c r="B509" s="136">
        <v>7.5</v>
      </c>
      <c r="C509" s="2"/>
      <c r="D509" s="4" t="s">
        <v>3053</v>
      </c>
      <c r="E509" s="136">
        <v>8.5</v>
      </c>
      <c r="F509" s="2"/>
      <c r="G509" s="4" t="s">
        <v>3095</v>
      </c>
      <c r="H509" s="136">
        <v>8.5</v>
      </c>
      <c r="I509" s="2"/>
      <c r="J509" s="4" t="s">
        <v>3068</v>
      </c>
      <c r="K509" s="136">
        <v>8.5</v>
      </c>
      <c r="L509" s="2"/>
      <c r="M509" s="4" t="s">
        <v>3110</v>
      </c>
      <c r="N509" s="136">
        <v>9</v>
      </c>
      <c r="O509" s="16"/>
    </row>
    <row r="510" spans="1:15" s="3" customFormat="1" ht="17" thickBot="1" x14ac:dyDescent="0.25">
      <c r="A510" s="4" t="s">
        <v>3123</v>
      </c>
      <c r="B510" s="136">
        <v>8</v>
      </c>
      <c r="C510" s="2"/>
      <c r="D510" s="4" t="s">
        <v>3054</v>
      </c>
      <c r="E510" s="136">
        <v>9</v>
      </c>
      <c r="F510" s="2"/>
      <c r="G510" s="7" t="s">
        <v>3096</v>
      </c>
      <c r="H510" s="191">
        <v>8</v>
      </c>
      <c r="I510" s="2"/>
      <c r="J510" s="4" t="s">
        <v>3069</v>
      </c>
      <c r="K510" s="136">
        <v>9</v>
      </c>
      <c r="L510" s="2"/>
      <c r="M510" s="7" t="s">
        <v>3111</v>
      </c>
      <c r="N510" s="191">
        <v>8.5</v>
      </c>
      <c r="O510" s="16"/>
    </row>
    <row r="511" spans="1:15" s="3" customFormat="1" ht="17" thickBot="1" x14ac:dyDescent="0.25">
      <c r="A511" s="4" t="s">
        <v>3124</v>
      </c>
      <c r="B511" s="136">
        <v>8</v>
      </c>
      <c r="C511" s="2"/>
      <c r="D511" s="4" t="s">
        <v>3055</v>
      </c>
      <c r="E511" s="136">
        <v>9.5</v>
      </c>
      <c r="F511" s="2"/>
      <c r="G511" s="2"/>
      <c r="H511" s="2"/>
      <c r="I511" s="2"/>
      <c r="J511" s="4" t="s">
        <v>3070</v>
      </c>
      <c r="K511" s="136">
        <v>8.5</v>
      </c>
      <c r="L511" s="2"/>
      <c r="M511" s="2"/>
      <c r="N511" s="2"/>
      <c r="O511" s="16"/>
    </row>
    <row r="512" spans="1:15" s="3" customFormat="1" ht="15.5" customHeight="1" thickBot="1" x14ac:dyDescent="0.25">
      <c r="A512" s="4" t="s">
        <v>3125</v>
      </c>
      <c r="B512" s="136">
        <v>7.5</v>
      </c>
      <c r="C512" s="2"/>
      <c r="D512" s="7" t="s">
        <v>3056</v>
      </c>
      <c r="E512" s="191">
        <v>8</v>
      </c>
      <c r="F512" s="2"/>
      <c r="G512" s="365" t="s">
        <v>3131</v>
      </c>
      <c r="H512" s="12">
        <f>ROUND(SUM(H513:H519)/COUNT(H513:H519), 2)</f>
        <v>9.14</v>
      </c>
      <c r="I512" s="2"/>
      <c r="J512" s="4" t="s">
        <v>3071</v>
      </c>
      <c r="K512" s="136">
        <v>10</v>
      </c>
      <c r="L512" s="2"/>
      <c r="M512" s="367" t="s">
        <v>3280</v>
      </c>
      <c r="N512" s="12">
        <f>ROUND(SUM(N513:N523)/COUNT(N513:N523), 2)</f>
        <v>8.73</v>
      </c>
      <c r="O512" s="16"/>
    </row>
    <row r="513" spans="1:15" s="3" customFormat="1" ht="17" thickBot="1" x14ac:dyDescent="0.25">
      <c r="A513" s="7" t="s">
        <v>3126</v>
      </c>
      <c r="B513" s="191">
        <v>8.5</v>
      </c>
      <c r="C513" s="2"/>
      <c r="D513" s="2"/>
      <c r="E513" s="2"/>
      <c r="F513" s="2"/>
      <c r="G513" s="11" t="s">
        <v>3132</v>
      </c>
      <c r="H513" s="190">
        <v>8.5</v>
      </c>
      <c r="I513" s="2"/>
      <c r="J513" s="4" t="s">
        <v>3072</v>
      </c>
      <c r="K513" s="136">
        <v>8</v>
      </c>
      <c r="L513" s="2"/>
      <c r="M513" s="11" t="s">
        <v>3269</v>
      </c>
      <c r="N513" s="190">
        <v>10</v>
      </c>
      <c r="O513" s="16"/>
    </row>
    <row r="514" spans="1:15" s="3" customFormat="1" ht="15.5" customHeight="1" thickBot="1" x14ac:dyDescent="0.25">
      <c r="A514" s="2"/>
      <c r="B514" s="2"/>
      <c r="C514" s="2"/>
      <c r="D514" s="369" t="s">
        <v>3296</v>
      </c>
      <c r="E514" s="12">
        <f>ROUND(SUM(E515:E526)/COUNT(E515:E526), 2)</f>
        <v>8.58</v>
      </c>
      <c r="F514" s="2"/>
      <c r="G514" s="4" t="s">
        <v>3133</v>
      </c>
      <c r="H514" s="136">
        <v>9</v>
      </c>
      <c r="I514" s="2"/>
      <c r="J514" s="4" t="s">
        <v>3073</v>
      </c>
      <c r="K514" s="136">
        <v>8.5</v>
      </c>
      <c r="L514" s="2"/>
      <c r="M514" s="4" t="s">
        <v>3270</v>
      </c>
      <c r="N514" s="136">
        <v>8.5</v>
      </c>
      <c r="O514" s="16"/>
    </row>
    <row r="515" spans="1:15" s="3" customFormat="1" ht="15.5" customHeight="1" thickBot="1" x14ac:dyDescent="0.25">
      <c r="A515" s="129" t="s">
        <v>3319</v>
      </c>
      <c r="B515" s="12">
        <f>ROUND(SUM(B516:B522)/COUNT(B516:B522), 2)</f>
        <v>8.7899999999999991</v>
      </c>
      <c r="C515" s="2"/>
      <c r="D515" s="11" t="s">
        <v>3283</v>
      </c>
      <c r="E515" s="190">
        <v>8.5</v>
      </c>
      <c r="F515" s="2"/>
      <c r="G515" s="4" t="s">
        <v>3134</v>
      </c>
      <c r="H515" s="136">
        <v>9</v>
      </c>
      <c r="I515" s="2"/>
      <c r="J515" s="4" t="s">
        <v>3074</v>
      </c>
      <c r="K515" s="136">
        <v>7.5</v>
      </c>
      <c r="L515" s="2"/>
      <c r="M515" s="4" t="s">
        <v>3271</v>
      </c>
      <c r="N515" s="136">
        <v>8</v>
      </c>
      <c r="O515" s="16"/>
    </row>
    <row r="516" spans="1:15" s="3" customFormat="1" ht="17" x14ac:dyDescent="0.2">
      <c r="A516" s="372" t="s">
        <v>3313</v>
      </c>
      <c r="B516" s="190">
        <v>9</v>
      </c>
      <c r="C516" s="2"/>
      <c r="D516" s="4" t="s">
        <v>3284</v>
      </c>
      <c r="E516" s="136">
        <v>9</v>
      </c>
      <c r="F516" s="2"/>
      <c r="G516" s="4" t="s">
        <v>3135</v>
      </c>
      <c r="H516" s="136">
        <v>10.5</v>
      </c>
      <c r="I516" s="2"/>
      <c r="J516" s="4" t="s">
        <v>3075</v>
      </c>
      <c r="K516" s="136">
        <v>10</v>
      </c>
      <c r="L516" s="2"/>
      <c r="M516" s="4" t="s">
        <v>3272</v>
      </c>
      <c r="N516" s="136">
        <v>8</v>
      </c>
      <c r="O516" s="16"/>
    </row>
    <row r="517" spans="1:15" s="3" customFormat="1" ht="17" thickBot="1" x14ac:dyDescent="0.25">
      <c r="A517" s="373" t="s">
        <v>3314</v>
      </c>
      <c r="B517" s="136">
        <v>8.5</v>
      </c>
      <c r="C517" s="2"/>
      <c r="D517" s="4" t="s">
        <v>3285</v>
      </c>
      <c r="E517" s="136">
        <v>10</v>
      </c>
      <c r="F517" s="2"/>
      <c r="G517" s="4" t="s">
        <v>3136</v>
      </c>
      <c r="H517" s="136">
        <v>10</v>
      </c>
      <c r="I517" s="2"/>
      <c r="J517" s="7" t="s">
        <v>3076</v>
      </c>
      <c r="K517" s="191">
        <v>8.5</v>
      </c>
      <c r="L517" s="2"/>
      <c r="M517" s="4" t="s">
        <v>3273</v>
      </c>
      <c r="N517" s="136">
        <v>10</v>
      </c>
      <c r="O517" s="16"/>
    </row>
    <row r="518" spans="1:15" s="3" customFormat="1" ht="17" thickBot="1" x14ac:dyDescent="0.25">
      <c r="A518" s="4" t="s">
        <v>450</v>
      </c>
      <c r="B518" s="136">
        <v>10</v>
      </c>
      <c r="C518" s="2"/>
      <c r="D518" s="4" t="s">
        <v>3286</v>
      </c>
      <c r="E518" s="136">
        <v>10</v>
      </c>
      <c r="F518" s="2"/>
      <c r="G518" s="4" t="s">
        <v>3137</v>
      </c>
      <c r="H518" s="136">
        <v>8.5</v>
      </c>
      <c r="I518" s="2"/>
      <c r="J518" s="2"/>
      <c r="K518" s="2"/>
      <c r="L518" s="2"/>
      <c r="M518" s="4" t="s">
        <v>3274</v>
      </c>
      <c r="N518" s="136">
        <v>7.5</v>
      </c>
      <c r="O518" s="16"/>
    </row>
    <row r="519" spans="1:15" s="3" customFormat="1" ht="15.5" customHeight="1" thickBot="1" x14ac:dyDescent="0.25">
      <c r="A519" s="4" t="s">
        <v>3315</v>
      </c>
      <c r="B519" s="136">
        <v>8</v>
      </c>
      <c r="C519" s="2"/>
      <c r="D519" s="4" t="s">
        <v>3287</v>
      </c>
      <c r="E519" s="136">
        <v>8</v>
      </c>
      <c r="F519" s="2"/>
      <c r="G519" s="7" t="s">
        <v>3138</v>
      </c>
      <c r="H519" s="191">
        <v>8.5</v>
      </c>
      <c r="I519" s="2"/>
      <c r="J519" s="374" t="s">
        <v>3323</v>
      </c>
      <c r="K519" s="12">
        <f>ROUND(SUM(K520:K526)/COUNT(K520:K526), 2)</f>
        <v>8</v>
      </c>
      <c r="L519" s="2"/>
      <c r="M519" s="4" t="s">
        <v>3275</v>
      </c>
      <c r="N519" s="136">
        <v>9</v>
      </c>
      <c r="O519" s="16"/>
    </row>
    <row r="520" spans="1:15" s="3" customFormat="1" ht="17" thickBot="1" x14ac:dyDescent="0.25">
      <c r="A520" s="4" t="s">
        <v>3316</v>
      </c>
      <c r="B520" s="136">
        <v>8</v>
      </c>
      <c r="C520" s="2"/>
      <c r="D520" s="4" t="s">
        <v>3288</v>
      </c>
      <c r="E520" s="136">
        <v>7.5</v>
      </c>
      <c r="F520" s="2"/>
      <c r="G520" s="2"/>
      <c r="H520" s="2"/>
      <c r="I520" s="2"/>
      <c r="J520" s="11" t="s">
        <v>3324</v>
      </c>
      <c r="K520" s="190">
        <v>9</v>
      </c>
      <c r="L520" s="2"/>
      <c r="M520" s="4" t="s">
        <v>3276</v>
      </c>
      <c r="N520" s="136">
        <v>8</v>
      </c>
      <c r="O520" s="16"/>
    </row>
    <row r="521" spans="1:15" s="3" customFormat="1" ht="15.5" customHeight="1" thickBot="1" x14ac:dyDescent="0.25">
      <c r="A521" s="4" t="s">
        <v>3317</v>
      </c>
      <c r="B521" s="136">
        <v>9.5</v>
      </c>
      <c r="C521" s="2"/>
      <c r="D521" s="4" t="s">
        <v>3289</v>
      </c>
      <c r="E521" s="136">
        <v>8.5</v>
      </c>
      <c r="F521" s="2"/>
      <c r="G521" s="375" t="s">
        <v>3349</v>
      </c>
      <c r="H521" s="12">
        <f>ROUND(SUM(H522:H533)/COUNT(H522:H533), 2)</f>
        <v>8.89</v>
      </c>
      <c r="I521" s="2"/>
      <c r="J521" s="4" t="s">
        <v>3325</v>
      </c>
      <c r="K521" s="136">
        <v>8</v>
      </c>
      <c r="L521" s="2"/>
      <c r="M521" s="4" t="s">
        <v>3277</v>
      </c>
      <c r="N521" s="136">
        <v>10.5</v>
      </c>
      <c r="O521" s="16"/>
    </row>
    <row r="522" spans="1:15" s="3" customFormat="1" ht="17" thickBot="1" x14ac:dyDescent="0.25">
      <c r="A522" s="7" t="s">
        <v>3318</v>
      </c>
      <c r="B522" s="191">
        <v>8.5</v>
      </c>
      <c r="C522" s="2"/>
      <c r="D522" s="4" t="s">
        <v>3290</v>
      </c>
      <c r="E522" s="136">
        <v>8</v>
      </c>
      <c r="F522" s="2"/>
      <c r="G522" s="11" t="s">
        <v>3350</v>
      </c>
      <c r="H522" s="190">
        <v>9</v>
      </c>
      <c r="I522" s="2"/>
      <c r="J522" s="4" t="s">
        <v>3326</v>
      </c>
      <c r="K522" s="136">
        <v>8</v>
      </c>
      <c r="L522" s="2"/>
      <c r="M522" s="4" t="s">
        <v>3278</v>
      </c>
      <c r="N522" s="136">
        <v>8.5</v>
      </c>
      <c r="O522" s="16"/>
    </row>
    <row r="523" spans="1:15" s="3" customFormat="1" ht="17" thickBot="1" x14ac:dyDescent="0.25">
      <c r="A523" s="2"/>
      <c r="B523" s="2"/>
      <c r="C523" s="2"/>
      <c r="D523" s="4" t="s">
        <v>3291</v>
      </c>
      <c r="E523" s="136">
        <v>8</v>
      </c>
      <c r="F523" s="2"/>
      <c r="G523" s="4" t="s">
        <v>3351</v>
      </c>
      <c r="H523" s="136">
        <v>9</v>
      </c>
      <c r="I523" s="2"/>
      <c r="J523" s="4" t="s">
        <v>3327</v>
      </c>
      <c r="K523" s="136">
        <v>7.5</v>
      </c>
      <c r="L523" s="2"/>
      <c r="M523" s="7" t="s">
        <v>3279</v>
      </c>
      <c r="N523" s="191">
        <v>8</v>
      </c>
      <c r="O523" s="16"/>
    </row>
    <row r="524" spans="1:15" s="3" customFormat="1" ht="15.5" customHeight="1" thickBot="1" x14ac:dyDescent="0.25">
      <c r="A524" s="376" t="s">
        <v>3364</v>
      </c>
      <c r="B524" s="12">
        <f>ROUND(SUM(B525:B541)/COUNT(B525:B541), 2)</f>
        <v>4.79</v>
      </c>
      <c r="C524" s="2"/>
      <c r="D524" s="4" t="s">
        <v>3292</v>
      </c>
      <c r="E524" s="136">
        <v>9</v>
      </c>
      <c r="F524" s="2"/>
      <c r="G524" s="4" t="s">
        <v>3352</v>
      </c>
      <c r="H524" s="136">
        <v>9</v>
      </c>
      <c r="I524" s="2"/>
      <c r="J524" s="4" t="s">
        <v>3328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3365</v>
      </c>
      <c r="B525" s="190">
        <v>5</v>
      </c>
      <c r="C525" s="2"/>
      <c r="D525" s="145" t="s">
        <v>3293</v>
      </c>
      <c r="E525" s="136">
        <v>8</v>
      </c>
      <c r="F525" s="2"/>
      <c r="G525" s="4" t="s">
        <v>3353</v>
      </c>
      <c r="H525" s="136">
        <v>8.5</v>
      </c>
      <c r="I525" s="2"/>
      <c r="J525" s="4" t="s">
        <v>3329</v>
      </c>
      <c r="K525" s="136"/>
      <c r="L525" s="2"/>
      <c r="M525" s="377" t="s">
        <v>3386</v>
      </c>
      <c r="N525" s="12">
        <f>ROUND(SUM(N526:N534)/COUNT(N526:N534), 2)</f>
        <v>8.56</v>
      </c>
      <c r="O525" s="16"/>
    </row>
    <row r="526" spans="1:15" s="3" customFormat="1" ht="17" thickBot="1" x14ac:dyDescent="0.25">
      <c r="A526" s="4" t="s">
        <v>3366</v>
      </c>
      <c r="B526" s="136">
        <v>4</v>
      </c>
      <c r="C526" s="2"/>
      <c r="D526" s="7" t="s">
        <v>3294</v>
      </c>
      <c r="E526" s="191">
        <v>8.5</v>
      </c>
      <c r="F526" s="2"/>
      <c r="G526" s="4" t="s">
        <v>3354</v>
      </c>
      <c r="H526" s="136">
        <v>8</v>
      </c>
      <c r="I526" s="2"/>
      <c r="J526" s="7" t="s">
        <v>3330</v>
      </c>
      <c r="K526" s="191">
        <v>7.5</v>
      </c>
      <c r="L526" s="2"/>
      <c r="M526" s="11" t="s">
        <v>3387</v>
      </c>
      <c r="N526" s="190">
        <v>10</v>
      </c>
      <c r="O526" s="16"/>
    </row>
    <row r="527" spans="1:15" s="3" customFormat="1" ht="17" thickBot="1" x14ac:dyDescent="0.25">
      <c r="A527" s="4" t="s">
        <v>3367</v>
      </c>
      <c r="B527" s="136">
        <v>7</v>
      </c>
      <c r="C527" s="2"/>
      <c r="D527" s="2"/>
      <c r="E527" s="2"/>
      <c r="F527" s="2"/>
      <c r="G527" s="4" t="s">
        <v>3355</v>
      </c>
      <c r="H527" s="136">
        <v>9</v>
      </c>
      <c r="I527" s="2"/>
      <c r="J527" s="2"/>
      <c r="K527" s="2"/>
      <c r="L527" s="2"/>
      <c r="M527" s="4" t="s">
        <v>3388</v>
      </c>
      <c r="N527" s="136">
        <v>7.5</v>
      </c>
      <c r="O527" s="16"/>
    </row>
    <row r="528" spans="1:15" s="3" customFormat="1" ht="16" customHeight="1" thickBot="1" x14ac:dyDescent="0.25">
      <c r="A528" s="4" t="s">
        <v>3368</v>
      </c>
      <c r="B528" s="136">
        <v>6</v>
      </c>
      <c r="C528" s="2"/>
      <c r="D528" s="382" t="s">
        <v>3413</v>
      </c>
      <c r="E528" s="12">
        <f>ROUND(SUM(E529:E540)/COUNT(E529:E540), 2)</f>
        <v>8.64</v>
      </c>
      <c r="F528" s="2"/>
      <c r="G528" s="7" t="s">
        <v>3356</v>
      </c>
      <c r="H528" s="191">
        <v>7.5</v>
      </c>
      <c r="I528" s="2"/>
      <c r="J528" s="385" t="s">
        <v>3426</v>
      </c>
      <c r="K528" s="12">
        <f>ROUND(SUM(K529:K543)/COUNT(K529:K543), 2)</f>
        <v>8.6300000000000008</v>
      </c>
      <c r="L528" s="2"/>
      <c r="M528" s="4" t="s">
        <v>3389</v>
      </c>
      <c r="N528" s="136">
        <v>8</v>
      </c>
      <c r="O528" s="16"/>
    </row>
    <row r="529" spans="1:15" s="3" customFormat="1" ht="17" thickBot="1" x14ac:dyDescent="0.25">
      <c r="A529" s="4" t="s">
        <v>3369</v>
      </c>
      <c r="B529" s="136">
        <v>6</v>
      </c>
      <c r="C529" s="2"/>
      <c r="D529" s="11" t="s">
        <v>3414</v>
      </c>
      <c r="E529" s="190">
        <v>9</v>
      </c>
      <c r="F529" s="2"/>
      <c r="G529" s="2"/>
      <c r="H529" s="2"/>
      <c r="I529" s="2"/>
      <c r="J529" s="383" t="s">
        <v>3438</v>
      </c>
      <c r="K529" s="190">
        <v>8.5</v>
      </c>
      <c r="L529" s="2"/>
      <c r="M529" s="4" t="s">
        <v>3390</v>
      </c>
      <c r="N529" s="136">
        <v>8</v>
      </c>
      <c r="O529" s="16"/>
    </row>
    <row r="530" spans="1:15" s="3" customFormat="1" ht="15.5" customHeight="1" thickBot="1" x14ac:dyDescent="0.25">
      <c r="A530" s="4" t="s">
        <v>3370</v>
      </c>
      <c r="B530" s="136">
        <v>3</v>
      </c>
      <c r="C530" s="2"/>
      <c r="D530" s="4" t="s">
        <v>3416</v>
      </c>
      <c r="E530" s="136">
        <v>10</v>
      </c>
      <c r="F530" s="2"/>
      <c r="G530" s="389" t="s">
        <v>3519</v>
      </c>
      <c r="H530" s="12">
        <f>ROUND(SUM(H531:H542)/COUNT(H531:H542), 2)</f>
        <v>8.82</v>
      </c>
      <c r="I530" s="2"/>
      <c r="J530" s="384" t="s">
        <v>2674</v>
      </c>
      <c r="K530" s="136">
        <v>9</v>
      </c>
      <c r="L530" s="2"/>
      <c r="M530" s="4" t="s">
        <v>3391</v>
      </c>
      <c r="N530" s="136"/>
      <c r="O530" s="16"/>
    </row>
    <row r="531" spans="1:15" s="3" customFormat="1" x14ac:dyDescent="0.2">
      <c r="A531" s="4" t="s">
        <v>3371</v>
      </c>
      <c r="B531" s="136">
        <v>5</v>
      </c>
      <c r="C531" s="2"/>
      <c r="D531" s="4" t="s">
        <v>3415</v>
      </c>
      <c r="E531" s="136">
        <v>8.5</v>
      </c>
      <c r="F531" s="2"/>
      <c r="G531" s="11" t="s">
        <v>3508</v>
      </c>
      <c r="H531" s="190">
        <v>10.5</v>
      </c>
      <c r="I531" s="2"/>
      <c r="J531" s="384" t="s">
        <v>3427</v>
      </c>
      <c r="K531" s="136">
        <v>8</v>
      </c>
      <c r="L531" s="2"/>
      <c r="M531" s="4" t="s">
        <v>3392</v>
      </c>
      <c r="N531" s="136">
        <v>8.5</v>
      </c>
      <c r="O531" s="16"/>
    </row>
    <row r="532" spans="1:15" s="3" customFormat="1" x14ac:dyDescent="0.2">
      <c r="A532" s="4" t="s">
        <v>3372</v>
      </c>
      <c r="B532" s="136">
        <v>4</v>
      </c>
      <c r="C532" s="2"/>
      <c r="D532" s="4" t="s">
        <v>3417</v>
      </c>
      <c r="E532" s="136">
        <v>8</v>
      </c>
      <c r="F532" s="2"/>
      <c r="G532" s="4" t="s">
        <v>3509</v>
      </c>
      <c r="H532" s="136">
        <v>9</v>
      </c>
      <c r="I532" s="2"/>
      <c r="J532" s="384" t="s">
        <v>3428</v>
      </c>
      <c r="K532" s="136">
        <v>10</v>
      </c>
      <c r="L532" s="2"/>
      <c r="M532" s="4" t="s">
        <v>3393</v>
      </c>
      <c r="N532" s="136">
        <v>8.5</v>
      </c>
      <c r="O532" s="16"/>
    </row>
    <row r="533" spans="1:15" s="3" customFormat="1" x14ac:dyDescent="0.2">
      <c r="A533" s="4" t="s">
        <v>3373</v>
      </c>
      <c r="B533" s="136">
        <v>3</v>
      </c>
      <c r="C533" s="2"/>
      <c r="D533" s="4" t="s">
        <v>3418</v>
      </c>
      <c r="E533" s="136"/>
      <c r="F533" s="2"/>
      <c r="G533" s="4" t="s">
        <v>3510</v>
      </c>
      <c r="H533" s="136">
        <v>9.5</v>
      </c>
      <c r="I533" s="2"/>
      <c r="J533" s="384" t="s">
        <v>3429</v>
      </c>
      <c r="K533" s="136">
        <v>9</v>
      </c>
      <c r="L533" s="2"/>
      <c r="M533" s="4" t="s">
        <v>3394</v>
      </c>
      <c r="N533" s="136">
        <v>9</v>
      </c>
      <c r="O533" s="16"/>
    </row>
    <row r="534" spans="1:15" s="3" customFormat="1" ht="17" thickBot="1" x14ac:dyDescent="0.25">
      <c r="A534" s="4" t="s">
        <v>3374</v>
      </c>
      <c r="B534" s="136">
        <v>6</v>
      </c>
      <c r="C534" s="2"/>
      <c r="D534" s="4" t="s">
        <v>3419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3430</v>
      </c>
      <c r="K534" s="136">
        <v>9</v>
      </c>
      <c r="L534" s="2"/>
      <c r="M534" s="7" t="s">
        <v>3395</v>
      </c>
      <c r="N534" s="191">
        <v>9</v>
      </c>
      <c r="O534" s="16"/>
    </row>
    <row r="535" spans="1:15" s="3" customFormat="1" ht="17" thickBot="1" x14ac:dyDescent="0.25">
      <c r="A535" s="4" t="s">
        <v>3375</v>
      </c>
      <c r="B535" s="136">
        <v>5</v>
      </c>
      <c r="C535" s="2"/>
      <c r="D535" s="4" t="s">
        <v>3420</v>
      </c>
      <c r="E535" s="136">
        <v>8</v>
      </c>
      <c r="F535" s="2"/>
      <c r="G535" s="4" t="s">
        <v>3511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5" customHeight="1" thickBot="1" x14ac:dyDescent="0.25">
      <c r="A536" s="4" t="s">
        <v>3376</v>
      </c>
      <c r="B536" s="136">
        <v>4</v>
      </c>
      <c r="C536" s="2"/>
      <c r="D536" s="4" t="s">
        <v>3421</v>
      </c>
      <c r="E536" s="136">
        <v>10.5</v>
      </c>
      <c r="F536" s="2"/>
      <c r="G536" s="4" t="s">
        <v>3512</v>
      </c>
      <c r="H536" s="136"/>
      <c r="I536" s="2"/>
      <c r="J536" s="4" t="s">
        <v>3431</v>
      </c>
      <c r="K536" s="136">
        <v>9.5</v>
      </c>
      <c r="L536" s="2"/>
      <c r="M536" s="390" t="s">
        <v>3520</v>
      </c>
      <c r="N536" s="12">
        <f>ROUND(SUM(N537:N544)/COUNT(N537:N544), 2)</f>
        <v>8.2899999999999991</v>
      </c>
      <c r="O536" s="16"/>
    </row>
    <row r="537" spans="1:15" s="3" customFormat="1" x14ac:dyDescent="0.2">
      <c r="A537" s="4" t="s">
        <v>3377</v>
      </c>
      <c r="B537" s="136">
        <v>4</v>
      </c>
      <c r="C537" s="2"/>
      <c r="D537" s="4" t="s">
        <v>3422</v>
      </c>
      <c r="E537" s="136">
        <v>9</v>
      </c>
      <c r="F537" s="2"/>
      <c r="G537" s="4" t="s">
        <v>3513</v>
      </c>
      <c r="H537" s="136">
        <v>8</v>
      </c>
      <c r="I537" s="2"/>
      <c r="J537" s="4" t="s">
        <v>3432</v>
      </c>
      <c r="K537" s="136">
        <v>8</v>
      </c>
      <c r="L537" s="2"/>
      <c r="M537" s="11" t="s">
        <v>3521</v>
      </c>
      <c r="N537" s="190"/>
      <c r="O537" s="16"/>
    </row>
    <row r="538" spans="1:15" s="3" customFormat="1" x14ac:dyDescent="0.2">
      <c r="A538" s="4" t="s">
        <v>3378</v>
      </c>
      <c r="B538" s="136">
        <v>6</v>
      </c>
      <c r="C538" s="2"/>
      <c r="D538" s="4" t="s">
        <v>3423</v>
      </c>
      <c r="E538" s="136">
        <v>8</v>
      </c>
      <c r="F538" s="2"/>
      <c r="G538" s="4" t="s">
        <v>3514</v>
      </c>
      <c r="H538" s="136">
        <v>10</v>
      </c>
      <c r="I538" s="2"/>
      <c r="J538" s="4" t="s">
        <v>3433</v>
      </c>
      <c r="K538" s="136">
        <v>8.5</v>
      </c>
      <c r="L538" s="2"/>
      <c r="M538" s="4" t="s">
        <v>3522</v>
      </c>
      <c r="N538" s="136">
        <v>8</v>
      </c>
      <c r="O538" s="16"/>
    </row>
    <row r="539" spans="1:15" s="3" customFormat="1" x14ac:dyDescent="0.2">
      <c r="A539" s="4" t="s">
        <v>3379</v>
      </c>
      <c r="B539" s="136">
        <v>6.5</v>
      </c>
      <c r="C539" s="2"/>
      <c r="D539" s="4" t="s">
        <v>3424</v>
      </c>
      <c r="E539" s="136">
        <v>8</v>
      </c>
      <c r="F539" s="2"/>
      <c r="G539" s="4" t="s">
        <v>3515</v>
      </c>
      <c r="H539" s="136">
        <v>7.5</v>
      </c>
      <c r="I539" s="2"/>
      <c r="J539" s="4" t="s">
        <v>3434</v>
      </c>
      <c r="K539" s="136">
        <v>8</v>
      </c>
      <c r="L539" s="2"/>
      <c r="M539" s="4" t="s">
        <v>3523</v>
      </c>
      <c r="N539" s="136">
        <v>8.5</v>
      </c>
      <c r="O539" s="16"/>
    </row>
    <row r="540" spans="1:15" s="3" customFormat="1" ht="17" thickBot="1" x14ac:dyDescent="0.25">
      <c r="A540" s="4" t="s">
        <v>3380</v>
      </c>
      <c r="B540" s="136">
        <v>0</v>
      </c>
      <c r="C540" s="2"/>
      <c r="D540" s="7" t="s">
        <v>3425</v>
      </c>
      <c r="E540" s="191">
        <v>8.5</v>
      </c>
      <c r="F540" s="2"/>
      <c r="G540" s="4" t="s">
        <v>3516</v>
      </c>
      <c r="H540" s="136">
        <v>8.5</v>
      </c>
      <c r="I540" s="2"/>
      <c r="J540" s="4" t="s">
        <v>3435</v>
      </c>
      <c r="K540" s="136">
        <v>7.5</v>
      </c>
      <c r="L540" s="2"/>
      <c r="M540" s="4" t="s">
        <v>3524</v>
      </c>
      <c r="N540" s="136">
        <v>8</v>
      </c>
      <c r="O540" s="16"/>
    </row>
    <row r="541" spans="1:15" s="3" customFormat="1" ht="17" thickBot="1" x14ac:dyDescent="0.25">
      <c r="A541" s="7" t="s">
        <v>3381</v>
      </c>
      <c r="B541" s="191">
        <v>7</v>
      </c>
      <c r="C541" s="2"/>
      <c r="D541" s="2"/>
      <c r="E541" s="2"/>
      <c r="F541" s="2"/>
      <c r="G541" s="4" t="s">
        <v>3517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3537</v>
      </c>
      <c r="N541" s="136">
        <v>8</v>
      </c>
      <c r="O541" s="16"/>
    </row>
    <row r="542" spans="1:15" s="3" customFormat="1" ht="15" customHeight="1" thickBot="1" x14ac:dyDescent="0.25">
      <c r="A542" s="2"/>
      <c r="B542" s="2"/>
      <c r="C542" s="2"/>
      <c r="D542" s="391" t="s">
        <v>3545</v>
      </c>
      <c r="E542" s="12">
        <f>ROUND(SUM(E543:E552)/COUNT(E543:E552), 2)</f>
        <v>8.1999999999999993</v>
      </c>
      <c r="F542" s="2"/>
      <c r="G542" s="7" t="s">
        <v>3518</v>
      </c>
      <c r="H542" s="191">
        <v>8.5</v>
      </c>
      <c r="I542" s="2"/>
      <c r="J542" s="4" t="s">
        <v>3436</v>
      </c>
      <c r="K542" s="136">
        <v>9</v>
      </c>
      <c r="L542" s="2"/>
      <c r="M542" s="4" t="s">
        <v>3525</v>
      </c>
      <c r="N542" s="136">
        <v>8.5</v>
      </c>
      <c r="O542" s="16"/>
    </row>
    <row r="543" spans="1:15" s="3" customFormat="1" ht="15.5" customHeight="1" thickBot="1" x14ac:dyDescent="0.25">
      <c r="A543" s="392" t="s">
        <v>3556</v>
      </c>
      <c r="B543" s="12">
        <f>ROUND(SUM(B544:B555)/COUNT(B544:B555), 2)</f>
        <v>8.82</v>
      </c>
      <c r="C543" s="2"/>
      <c r="D543" s="11" t="s">
        <v>3546</v>
      </c>
      <c r="E543" s="190">
        <v>8.5</v>
      </c>
      <c r="F543" s="2"/>
      <c r="G543" s="2"/>
      <c r="H543" s="2"/>
      <c r="I543" s="2"/>
      <c r="J543" s="7" t="s">
        <v>3437</v>
      </c>
      <c r="K543" s="191">
        <v>9.5</v>
      </c>
      <c r="L543" s="2"/>
      <c r="M543" s="4" t="s">
        <v>3526</v>
      </c>
      <c r="N543" s="136">
        <v>8.5</v>
      </c>
      <c r="O543" s="16"/>
    </row>
    <row r="544" spans="1:15" s="3" customFormat="1" ht="15" customHeight="1" thickBot="1" x14ac:dyDescent="0.25">
      <c r="A544" s="141">
        <v>4</v>
      </c>
      <c r="B544" s="190">
        <v>10</v>
      </c>
      <c r="C544" s="2"/>
      <c r="D544" s="4" t="s">
        <v>3547</v>
      </c>
      <c r="E544" s="136">
        <v>10.5</v>
      </c>
      <c r="F544" s="2"/>
      <c r="G544" s="394" t="s">
        <v>3578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3527</v>
      </c>
      <c r="N544" s="191">
        <v>8.5</v>
      </c>
      <c r="O544" s="16"/>
    </row>
    <row r="545" spans="1:15" s="3" customFormat="1" ht="15.5" customHeight="1" thickBot="1" x14ac:dyDescent="0.25">
      <c r="A545" s="4" t="s">
        <v>3557</v>
      </c>
      <c r="B545" s="136">
        <v>8.5</v>
      </c>
      <c r="C545" s="2"/>
      <c r="D545" s="4" t="s">
        <v>3548</v>
      </c>
      <c r="E545" s="136">
        <v>9</v>
      </c>
      <c r="F545" s="2"/>
      <c r="G545" s="11" t="s">
        <v>3579</v>
      </c>
      <c r="H545" s="190">
        <v>8.5</v>
      </c>
      <c r="I545" s="2"/>
      <c r="J545" s="397" t="s">
        <v>3597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5" customHeight="1" thickBot="1" x14ac:dyDescent="0.25">
      <c r="A546" s="4" t="s">
        <v>3558</v>
      </c>
      <c r="B546" s="136">
        <v>8</v>
      </c>
      <c r="C546" s="2"/>
      <c r="D546" s="4" t="s">
        <v>3549</v>
      </c>
      <c r="E546" s="136">
        <v>8.5</v>
      </c>
      <c r="F546" s="2"/>
      <c r="G546" s="4" t="s">
        <v>3580</v>
      </c>
      <c r="H546" s="136">
        <v>10</v>
      </c>
      <c r="I546" s="2"/>
      <c r="J546" s="11" t="s">
        <v>3598</v>
      </c>
      <c r="K546" s="190">
        <v>10</v>
      </c>
      <c r="L546" s="2"/>
      <c r="M546" s="398" t="s">
        <v>3629</v>
      </c>
      <c r="N546" s="12">
        <f>ROUND(SUM(N547:N557)/COUNT(N547:N557), 2)</f>
        <v>8.65</v>
      </c>
      <c r="O546" s="16"/>
    </row>
    <row r="547" spans="1:15" s="3" customFormat="1" x14ac:dyDescent="0.2">
      <c r="A547" s="4" t="s">
        <v>3559</v>
      </c>
      <c r="B547" s="136">
        <v>10</v>
      </c>
      <c r="C547" s="2"/>
      <c r="D547" s="4" t="s">
        <v>3550</v>
      </c>
      <c r="E547" s="136">
        <v>8</v>
      </c>
      <c r="F547" s="2"/>
      <c r="G547" s="4" t="s">
        <v>3581</v>
      </c>
      <c r="H547" s="136">
        <v>9</v>
      </c>
      <c r="I547" s="2"/>
      <c r="J547" s="4" t="s">
        <v>3599</v>
      </c>
      <c r="K547" s="136">
        <v>7.5</v>
      </c>
      <c r="L547" s="2"/>
      <c r="M547" s="11" t="s">
        <v>3630</v>
      </c>
      <c r="N547" s="190">
        <v>8.5</v>
      </c>
      <c r="O547" s="16"/>
    </row>
    <row r="548" spans="1:15" s="3" customFormat="1" x14ac:dyDescent="0.2">
      <c r="A548" s="4" t="s">
        <v>3560</v>
      </c>
      <c r="B548" s="136">
        <v>8.5</v>
      </c>
      <c r="C548" s="2"/>
      <c r="D548" s="4" t="s">
        <v>3551</v>
      </c>
      <c r="E548" s="136">
        <v>7.5</v>
      </c>
      <c r="F548" s="2"/>
      <c r="G548" s="4" t="s">
        <v>3582</v>
      </c>
      <c r="H548" s="136">
        <v>8.5</v>
      </c>
      <c r="I548" s="2"/>
      <c r="J548" s="4" t="s">
        <v>3600</v>
      </c>
      <c r="K548" s="136">
        <v>10</v>
      </c>
      <c r="L548" s="2"/>
      <c r="M548" s="4" t="s">
        <v>3631</v>
      </c>
      <c r="N548" s="136">
        <v>9.5</v>
      </c>
      <c r="O548" s="16"/>
    </row>
    <row r="549" spans="1:15" s="3" customFormat="1" x14ac:dyDescent="0.2">
      <c r="A549" s="4" t="s">
        <v>2543</v>
      </c>
      <c r="B549" s="136">
        <v>9</v>
      </c>
      <c r="C549" s="2"/>
      <c r="D549" s="4" t="s">
        <v>3552</v>
      </c>
      <c r="E549" s="136">
        <v>8</v>
      </c>
      <c r="F549" s="2"/>
      <c r="G549" s="4" t="s">
        <v>3583</v>
      </c>
      <c r="H549" s="136">
        <v>9</v>
      </c>
      <c r="I549" s="2"/>
      <c r="J549" s="4" t="s">
        <v>3601</v>
      </c>
      <c r="K549" s="136">
        <v>8</v>
      </c>
      <c r="L549" s="2"/>
      <c r="M549" s="4" t="s">
        <v>3632</v>
      </c>
      <c r="N549" s="136">
        <v>9.5</v>
      </c>
      <c r="O549" s="16"/>
    </row>
    <row r="550" spans="1:15" s="3" customFormat="1" x14ac:dyDescent="0.2">
      <c r="A550" s="4" t="s">
        <v>3561</v>
      </c>
      <c r="B550" s="136">
        <v>8.5</v>
      </c>
      <c r="C550" s="2"/>
      <c r="D550" s="4" t="s">
        <v>3553</v>
      </c>
      <c r="E550" s="136">
        <v>7.5</v>
      </c>
      <c r="F550" s="2"/>
      <c r="G550" s="4" t="s">
        <v>3584</v>
      </c>
      <c r="H550" s="136">
        <v>8</v>
      </c>
      <c r="I550" s="2"/>
      <c r="J550" s="4" t="s">
        <v>3602</v>
      </c>
      <c r="K550" s="136">
        <v>8.5</v>
      </c>
      <c r="L550" s="2"/>
      <c r="M550" s="4" t="s">
        <v>3633</v>
      </c>
      <c r="N550" s="136">
        <v>8.5</v>
      </c>
      <c r="O550" s="16"/>
    </row>
    <row r="551" spans="1:15" s="3" customFormat="1" x14ac:dyDescent="0.2">
      <c r="A551" s="4" t="s">
        <v>3562</v>
      </c>
      <c r="B551" s="136">
        <v>8.5</v>
      </c>
      <c r="C551" s="2"/>
      <c r="D551" s="4" t="s">
        <v>3554</v>
      </c>
      <c r="E551" s="136">
        <v>7.5</v>
      </c>
      <c r="F551" s="2"/>
      <c r="G551" s="4" t="s">
        <v>3585</v>
      </c>
      <c r="H551" s="136">
        <v>9</v>
      </c>
      <c r="I551" s="2"/>
      <c r="J551" s="4" t="s">
        <v>3603</v>
      </c>
      <c r="K551" s="136">
        <v>8</v>
      </c>
      <c r="L551" s="2"/>
      <c r="M551" s="4" t="s">
        <v>3634</v>
      </c>
      <c r="N551" s="136">
        <v>8.5</v>
      </c>
      <c r="O551" s="16"/>
    </row>
    <row r="552" spans="1:15" s="3" customFormat="1" ht="17" thickBot="1" x14ac:dyDescent="0.25">
      <c r="A552" s="4" t="s">
        <v>3563</v>
      </c>
      <c r="B552" s="136">
        <v>9</v>
      </c>
      <c r="C552" s="2"/>
      <c r="D552" s="7" t="s">
        <v>3555</v>
      </c>
      <c r="E552" s="191">
        <v>7</v>
      </c>
      <c r="F552" s="2"/>
      <c r="G552" s="4" t="s">
        <v>3586</v>
      </c>
      <c r="H552" s="136">
        <v>8</v>
      </c>
      <c r="I552" s="2"/>
      <c r="J552" s="4" t="s">
        <v>3604</v>
      </c>
      <c r="K552" s="136">
        <v>9</v>
      </c>
      <c r="L552" s="2"/>
      <c r="M552" s="4" t="s">
        <v>3635</v>
      </c>
      <c r="N552" s="136">
        <v>9</v>
      </c>
      <c r="O552" s="16"/>
    </row>
    <row r="553" spans="1:15" s="3" customFormat="1" ht="17" thickBot="1" x14ac:dyDescent="0.25">
      <c r="A553" s="7" t="s">
        <v>3564</v>
      </c>
      <c r="B553" s="191">
        <v>8</v>
      </c>
      <c r="C553" s="2"/>
      <c r="D553" s="2"/>
      <c r="E553" s="2"/>
      <c r="F553" s="2"/>
      <c r="G553" s="4" t="s">
        <v>3587</v>
      </c>
      <c r="H553" s="136">
        <v>8</v>
      </c>
      <c r="I553" s="2"/>
      <c r="J553" s="4" t="s">
        <v>3605</v>
      </c>
      <c r="K553" s="136">
        <v>9</v>
      </c>
      <c r="L553" s="2"/>
      <c r="M553" s="4" t="s">
        <v>3636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9" t="s">
        <v>3669</v>
      </c>
      <c r="E554" s="12">
        <f>ROUND(SUM(E555:E569)/COUNT(E555:E569), 2)</f>
        <v>7.75</v>
      </c>
      <c r="F554" s="2"/>
      <c r="G554" s="4" t="s">
        <v>3588</v>
      </c>
      <c r="H554" s="136">
        <v>9</v>
      </c>
      <c r="I554" s="2"/>
      <c r="J554" s="4" t="s">
        <v>3606</v>
      </c>
      <c r="K554" s="136">
        <v>8.5</v>
      </c>
      <c r="L554" s="2"/>
      <c r="M554" s="4" t="s">
        <v>3637</v>
      </c>
      <c r="N554" s="136">
        <v>8</v>
      </c>
      <c r="O554" s="16"/>
    </row>
    <row r="555" spans="1:15" s="3" customFormat="1" ht="16" customHeight="1" thickBot="1" x14ac:dyDescent="0.25">
      <c r="A555" s="401" t="s">
        <v>3673</v>
      </c>
      <c r="B555" s="12">
        <f>ROUND(SUM(B556:B559)/COUNT(B556:B559), 2)</f>
        <v>9</v>
      </c>
      <c r="C555" s="2"/>
      <c r="D555" s="141" t="s">
        <v>3667</v>
      </c>
      <c r="E555" s="190"/>
      <c r="F555" s="2"/>
      <c r="G555" s="4" t="s">
        <v>3589</v>
      </c>
      <c r="H555" s="136">
        <v>8.5</v>
      </c>
      <c r="I555" s="2"/>
      <c r="J555" s="4" t="s">
        <v>3607</v>
      </c>
      <c r="K555" s="136">
        <v>8</v>
      </c>
      <c r="L555" s="2"/>
      <c r="M555" s="4" t="s">
        <v>3638</v>
      </c>
      <c r="N555" s="136">
        <v>8</v>
      </c>
      <c r="O555" s="16"/>
    </row>
    <row r="556" spans="1:15" s="3" customFormat="1" x14ac:dyDescent="0.2">
      <c r="A556" s="11" t="s">
        <v>3677</v>
      </c>
      <c r="B556" s="190">
        <v>10</v>
      </c>
      <c r="C556" s="2"/>
      <c r="D556" s="4" t="s">
        <v>3653</v>
      </c>
      <c r="E556" s="136">
        <v>8</v>
      </c>
      <c r="F556" s="2"/>
      <c r="G556" s="4" t="s">
        <v>3590</v>
      </c>
      <c r="H556" s="136">
        <v>8</v>
      </c>
      <c r="I556" s="2"/>
      <c r="J556" s="4" t="s">
        <v>3608</v>
      </c>
      <c r="K556" s="136">
        <v>8</v>
      </c>
      <c r="L556" s="2"/>
      <c r="M556" s="4" t="s">
        <v>3639</v>
      </c>
      <c r="N556" s="136"/>
      <c r="O556" s="16"/>
    </row>
    <row r="557" spans="1:15" s="3" customFormat="1" ht="17" thickBot="1" x14ac:dyDescent="0.25">
      <c r="A557" s="4" t="s">
        <v>3674</v>
      </c>
      <c r="B557" s="136">
        <v>8.5</v>
      </c>
      <c r="C557" s="2"/>
      <c r="D557" s="4" t="s">
        <v>3654</v>
      </c>
      <c r="E557" s="136">
        <v>9</v>
      </c>
      <c r="F557" s="2"/>
      <c r="G557" s="4" t="s">
        <v>3591</v>
      </c>
      <c r="H557" s="136">
        <v>7.5</v>
      </c>
      <c r="I557" s="2"/>
      <c r="J557" s="4" t="s">
        <v>3609</v>
      </c>
      <c r="K557" s="136">
        <v>8</v>
      </c>
      <c r="L557" s="2"/>
      <c r="M557" s="7" t="s">
        <v>3640</v>
      </c>
      <c r="N557" s="191">
        <v>8.5</v>
      </c>
      <c r="O557" s="16"/>
    </row>
    <row r="558" spans="1:15" s="3" customFormat="1" ht="17" thickBot="1" x14ac:dyDescent="0.25">
      <c r="A558" s="4" t="s">
        <v>3675</v>
      </c>
      <c r="B558" s="136">
        <v>9</v>
      </c>
      <c r="C558" s="2"/>
      <c r="D558" s="4" t="s">
        <v>3655</v>
      </c>
      <c r="E558" s="136">
        <v>9</v>
      </c>
      <c r="F558" s="2"/>
      <c r="G558" s="4" t="s">
        <v>3592</v>
      </c>
      <c r="H558" s="136">
        <v>8</v>
      </c>
      <c r="I558" s="2"/>
      <c r="J558" s="4" t="s">
        <v>3610</v>
      </c>
      <c r="K558" s="136">
        <v>9.5</v>
      </c>
      <c r="L558" s="2"/>
      <c r="M558" s="2"/>
      <c r="N558" s="2"/>
      <c r="O558" s="16"/>
    </row>
    <row r="559" spans="1:15" s="3" customFormat="1" ht="15.5" customHeight="1" thickBot="1" x14ac:dyDescent="0.25">
      <c r="A559" s="7" t="s">
        <v>3676</v>
      </c>
      <c r="B559" s="191">
        <v>8.5</v>
      </c>
      <c r="C559" s="2"/>
      <c r="D559" s="4" t="s">
        <v>3656</v>
      </c>
      <c r="E559" s="136">
        <v>8.5</v>
      </c>
      <c r="F559" s="2"/>
      <c r="G559" s="4" t="s">
        <v>3593</v>
      </c>
      <c r="H559" s="136">
        <v>7.5</v>
      </c>
      <c r="I559" s="2"/>
      <c r="J559" s="4" t="s">
        <v>3611</v>
      </c>
      <c r="K559" s="136">
        <v>9</v>
      </c>
      <c r="L559" s="2"/>
      <c r="M559" s="403" t="s">
        <v>3683</v>
      </c>
      <c r="N559" s="12">
        <f>ROUND(SUM(N560:N564)/COUNT(N560:N564), 2)</f>
        <v>9</v>
      </c>
      <c r="O559" s="16"/>
    </row>
    <row r="560" spans="1:15" s="3" customFormat="1" ht="17" thickBot="1" x14ac:dyDescent="0.25">
      <c r="A560" s="2"/>
      <c r="B560" s="2"/>
      <c r="C560" s="2"/>
      <c r="D560" s="4" t="s">
        <v>3657</v>
      </c>
      <c r="E560" s="136">
        <v>8</v>
      </c>
      <c r="F560" s="2"/>
      <c r="G560" s="7" t="s">
        <v>3594</v>
      </c>
      <c r="H560" s="191">
        <v>7.5</v>
      </c>
      <c r="I560" s="2"/>
      <c r="J560" s="4" t="s">
        <v>3612</v>
      </c>
      <c r="K560" s="136">
        <v>8</v>
      </c>
      <c r="L560" s="2"/>
      <c r="M560" s="11" t="s">
        <v>3684</v>
      </c>
      <c r="N560" s="190">
        <v>9</v>
      </c>
      <c r="O560" s="16"/>
    </row>
    <row r="561" spans="1:15" s="3" customFormat="1" ht="15.5" customHeight="1" thickBot="1" x14ac:dyDescent="0.25">
      <c r="A561" s="404" t="s">
        <v>3689</v>
      </c>
      <c r="B561" s="12">
        <f>ROUND(SUM(B562:B587)/COUNT(B562:B587), 2)</f>
        <v>8.61</v>
      </c>
      <c r="C561" s="2"/>
      <c r="D561" s="4" t="s">
        <v>3658</v>
      </c>
      <c r="E561" s="136">
        <v>7</v>
      </c>
      <c r="F561" s="2" t="s">
        <v>3668</v>
      </c>
      <c r="G561" s="2"/>
      <c r="H561" s="2"/>
      <c r="I561" s="2"/>
      <c r="J561" s="4" t="s">
        <v>3613</v>
      </c>
      <c r="K561" s="136">
        <v>7.5</v>
      </c>
      <c r="L561" s="2"/>
      <c r="M561" s="4" t="s">
        <v>3685</v>
      </c>
      <c r="N561" s="136">
        <v>8.5</v>
      </c>
      <c r="O561" s="16"/>
    </row>
    <row r="562" spans="1:15" s="3" customFormat="1" ht="15.5" customHeight="1" thickBot="1" x14ac:dyDescent="0.25">
      <c r="A562" s="11" t="s">
        <v>3690</v>
      </c>
      <c r="B562" s="190">
        <v>8.5</v>
      </c>
      <c r="C562" s="2"/>
      <c r="D562" s="4" t="s">
        <v>3659</v>
      </c>
      <c r="E562" s="136">
        <v>8</v>
      </c>
      <c r="F562" s="2"/>
      <c r="G562" s="405" t="s">
        <v>3728</v>
      </c>
      <c r="H562" s="12">
        <f>ROUND(SUM(H563:H570)/COUNT(H563:H570), 2)</f>
        <v>8.81</v>
      </c>
      <c r="I562" s="2"/>
      <c r="J562" s="4" t="s">
        <v>3614</v>
      </c>
      <c r="K562" s="136">
        <v>10</v>
      </c>
      <c r="L562" s="2"/>
      <c r="M562" s="4" t="s">
        <v>3686</v>
      </c>
      <c r="N562" s="136">
        <v>9</v>
      </c>
      <c r="O562" s="16"/>
    </row>
    <row r="563" spans="1:15" s="3" customFormat="1" x14ac:dyDescent="0.2">
      <c r="A563" s="4" t="s">
        <v>3691</v>
      </c>
      <c r="B563" s="136">
        <v>8</v>
      </c>
      <c r="C563" s="2"/>
      <c r="D563" s="4" t="s">
        <v>3660</v>
      </c>
      <c r="E563" s="136">
        <v>7.5</v>
      </c>
      <c r="F563" s="2"/>
      <c r="G563" s="11" t="s">
        <v>3720</v>
      </c>
      <c r="H563" s="190">
        <v>8.5</v>
      </c>
      <c r="I563" s="2"/>
      <c r="J563" s="4" t="s">
        <v>3615</v>
      </c>
      <c r="K563" s="136">
        <v>8.5</v>
      </c>
      <c r="L563" s="2"/>
      <c r="M563" s="4" t="s">
        <v>3687</v>
      </c>
      <c r="N563" s="136">
        <v>9.5</v>
      </c>
      <c r="O563" s="16"/>
    </row>
    <row r="564" spans="1:15" s="3" customFormat="1" ht="17" thickBot="1" x14ac:dyDescent="0.25">
      <c r="A564" s="4" t="s">
        <v>3692</v>
      </c>
      <c r="B564" s="136">
        <v>10</v>
      </c>
      <c r="C564" s="2"/>
      <c r="D564" s="4" t="s">
        <v>3661</v>
      </c>
      <c r="E564" s="136">
        <v>6.5</v>
      </c>
      <c r="F564" s="2"/>
      <c r="G564" s="4" t="s">
        <v>3721</v>
      </c>
      <c r="H564" s="136">
        <v>9.5</v>
      </c>
      <c r="I564" s="2"/>
      <c r="J564" s="4" t="s">
        <v>3616</v>
      </c>
      <c r="K564" s="136">
        <v>9</v>
      </c>
      <c r="L564" s="2"/>
      <c r="M564" s="7" t="s">
        <v>3688</v>
      </c>
      <c r="N564" s="191">
        <v>9</v>
      </c>
      <c r="O564" s="16"/>
    </row>
    <row r="565" spans="1:15" s="3" customFormat="1" ht="17" thickBot="1" x14ac:dyDescent="0.25">
      <c r="A565" s="4" t="s">
        <v>3693</v>
      </c>
      <c r="B565" s="136">
        <v>9</v>
      </c>
      <c r="C565" s="2"/>
      <c r="D565" s="4" t="s">
        <v>3662</v>
      </c>
      <c r="E565" s="136">
        <v>8</v>
      </c>
      <c r="F565" s="2"/>
      <c r="G565" s="4" t="s">
        <v>3722</v>
      </c>
      <c r="H565" s="136">
        <v>10.5</v>
      </c>
      <c r="I565" s="2"/>
      <c r="J565" s="4" t="s">
        <v>3617</v>
      </c>
      <c r="K565" s="136">
        <v>10.5</v>
      </c>
      <c r="L565" s="2"/>
      <c r="M565" s="2"/>
      <c r="N565" s="2"/>
      <c r="O565" s="16"/>
    </row>
    <row r="566" spans="1:15" s="3" customFormat="1" ht="15.5" customHeight="1" thickBot="1" x14ac:dyDescent="0.25">
      <c r="A566" s="4" t="s">
        <v>3694</v>
      </c>
      <c r="B566" s="136">
        <v>8.5</v>
      </c>
      <c r="C566" s="2"/>
      <c r="D566" s="4" t="s">
        <v>3663</v>
      </c>
      <c r="E566" s="136">
        <v>7.5</v>
      </c>
      <c r="F566" s="2"/>
      <c r="G566" s="4" t="s">
        <v>3723</v>
      </c>
      <c r="H566" s="136">
        <v>8.5</v>
      </c>
      <c r="I566" s="2"/>
      <c r="J566" s="4" t="s">
        <v>3618</v>
      </c>
      <c r="K566" s="136">
        <v>8</v>
      </c>
      <c r="L566" s="2"/>
      <c r="M566" s="406" t="s">
        <v>3744</v>
      </c>
      <c r="N566" s="12">
        <f>ROUND(SUM(N567:N578)/COUNT(N567:N578), 2)</f>
        <v>8.35</v>
      </c>
      <c r="O566" s="16"/>
    </row>
    <row r="567" spans="1:15" s="3" customFormat="1" x14ac:dyDescent="0.2">
      <c r="A567" s="4" t="s">
        <v>3695</v>
      </c>
      <c r="B567" s="136">
        <v>8.5</v>
      </c>
      <c r="C567" s="2"/>
      <c r="D567" s="4" t="s">
        <v>3664</v>
      </c>
      <c r="E567" s="136">
        <v>7</v>
      </c>
      <c r="F567" s="2"/>
      <c r="G567" s="4" t="s">
        <v>3724</v>
      </c>
      <c r="H567" s="136">
        <v>8.5</v>
      </c>
      <c r="I567" s="2"/>
      <c r="J567" s="4" t="s">
        <v>3619</v>
      </c>
      <c r="K567" s="136">
        <v>8</v>
      </c>
      <c r="L567" s="2"/>
      <c r="M567" s="11" t="s">
        <v>3745</v>
      </c>
      <c r="N567" s="190">
        <v>9</v>
      </c>
      <c r="O567" s="16"/>
    </row>
    <row r="568" spans="1:15" s="3" customFormat="1" x14ac:dyDescent="0.2">
      <c r="A568" s="4" t="s">
        <v>3696</v>
      </c>
      <c r="B568" s="136">
        <v>8.5</v>
      </c>
      <c r="C568" s="2"/>
      <c r="D568" s="4" t="s">
        <v>3665</v>
      </c>
      <c r="E568" s="136">
        <v>7.5</v>
      </c>
      <c r="F568" s="2"/>
      <c r="G568" s="4" t="s">
        <v>3725</v>
      </c>
      <c r="H568" s="136">
        <v>8</v>
      </c>
      <c r="I568" s="2"/>
      <c r="J568" s="4" t="s">
        <v>3620</v>
      </c>
      <c r="K568" s="136">
        <v>7</v>
      </c>
      <c r="L568" s="2"/>
      <c r="M568" s="4" t="s">
        <v>3746</v>
      </c>
      <c r="N568" s="136">
        <v>8.5</v>
      </c>
      <c r="O568" s="16"/>
    </row>
    <row r="569" spans="1:15" s="3" customFormat="1" ht="17" thickBot="1" x14ac:dyDescent="0.25">
      <c r="A569" s="4" t="s">
        <v>3697</v>
      </c>
      <c r="B569" s="136">
        <v>8</v>
      </c>
      <c r="C569" s="2"/>
      <c r="D569" s="7" t="s">
        <v>3666</v>
      </c>
      <c r="E569" s="191">
        <v>7</v>
      </c>
      <c r="F569" s="2"/>
      <c r="G569" s="4" t="s">
        <v>3726</v>
      </c>
      <c r="H569" s="136">
        <v>9</v>
      </c>
      <c r="I569" s="2"/>
      <c r="J569" s="7" t="s">
        <v>3621</v>
      </c>
      <c r="K569" s="191">
        <v>9</v>
      </c>
      <c r="L569" s="2"/>
      <c r="M569" s="4" t="s">
        <v>3747</v>
      </c>
      <c r="N569" s="136">
        <v>7</v>
      </c>
      <c r="O569" s="16"/>
    </row>
    <row r="570" spans="1:15" s="3" customFormat="1" ht="17" thickBot="1" x14ac:dyDescent="0.25">
      <c r="A570" s="4" t="s">
        <v>3698</v>
      </c>
      <c r="B570" s="136">
        <v>9</v>
      </c>
      <c r="C570" s="2"/>
      <c r="D570" s="2"/>
      <c r="E570" s="2"/>
      <c r="F570" s="2"/>
      <c r="G570" s="7" t="s">
        <v>3727</v>
      </c>
      <c r="H570" s="191">
        <v>8</v>
      </c>
      <c r="I570" s="2"/>
      <c r="J570" s="2"/>
      <c r="K570" s="2"/>
      <c r="L570" s="2"/>
      <c r="M570" s="4" t="s">
        <v>3748</v>
      </c>
      <c r="N570" s="136">
        <v>10</v>
      </c>
      <c r="O570" s="16"/>
    </row>
    <row r="571" spans="1:15" s="3" customFormat="1" ht="15.5" customHeight="1" thickBot="1" x14ac:dyDescent="0.25">
      <c r="A571" s="4" t="s">
        <v>3699</v>
      </c>
      <c r="B571" s="136"/>
      <c r="C571" s="2"/>
      <c r="D571" s="407" t="s">
        <v>3770</v>
      </c>
      <c r="E571" s="12">
        <f>ROUND(AVERAGE(E572:E581), 2)</f>
        <v>7.75</v>
      </c>
      <c r="F571" s="2"/>
      <c r="G571" s="2"/>
      <c r="H571" s="2"/>
      <c r="I571" s="2"/>
      <c r="J571" s="408" t="s">
        <v>3777</v>
      </c>
      <c r="K571" s="12">
        <f>ROUND(AVERAGE(K572:K583), 2)</f>
        <v>8.36</v>
      </c>
      <c r="L571" s="2"/>
      <c r="M571" s="4" t="s">
        <v>3749</v>
      </c>
      <c r="N571" s="136">
        <v>9</v>
      </c>
      <c r="O571" s="16"/>
    </row>
    <row r="572" spans="1:15" s="3" customFormat="1" ht="15.5" customHeight="1" thickBot="1" x14ac:dyDescent="0.25">
      <c r="A572" s="4" t="s">
        <v>3700</v>
      </c>
      <c r="B572" s="136">
        <v>8.5</v>
      </c>
      <c r="C572" s="2"/>
      <c r="D572" s="11" t="s">
        <v>3760</v>
      </c>
      <c r="E572" s="190">
        <v>8.5</v>
      </c>
      <c r="F572" s="2"/>
      <c r="G572" s="410" t="s">
        <v>3817</v>
      </c>
      <c r="H572" s="12">
        <f>ROUND(AVERAGE(H573:H585), 2)</f>
        <v>8.77</v>
      </c>
      <c r="I572" s="2"/>
      <c r="J572" s="11" t="s">
        <v>3778</v>
      </c>
      <c r="K572" s="190">
        <v>9.5</v>
      </c>
      <c r="L572" s="2"/>
      <c r="M572" s="4" t="s">
        <v>3750</v>
      </c>
      <c r="N572" s="136">
        <v>9</v>
      </c>
      <c r="O572" s="16"/>
    </row>
    <row r="573" spans="1:15" s="3" customFormat="1" x14ac:dyDescent="0.2">
      <c r="A573" s="4" t="s">
        <v>3701</v>
      </c>
      <c r="B573" s="136">
        <v>9</v>
      </c>
      <c r="C573" s="2"/>
      <c r="D573" s="4" t="s">
        <v>3761</v>
      </c>
      <c r="E573" s="136">
        <v>9</v>
      </c>
      <c r="F573" s="2"/>
      <c r="G573" s="11" t="s">
        <v>260</v>
      </c>
      <c r="H573" s="190"/>
      <c r="I573" s="2"/>
      <c r="J573" s="4" t="s">
        <v>3779</v>
      </c>
      <c r="K573" s="136">
        <v>10.5</v>
      </c>
      <c r="L573" s="2"/>
      <c r="M573" s="4" t="s">
        <v>3751</v>
      </c>
      <c r="N573" s="136">
        <v>8</v>
      </c>
      <c r="O573" s="16"/>
    </row>
    <row r="574" spans="1:15" s="3" customFormat="1" x14ac:dyDescent="0.2">
      <c r="A574" s="4" t="s">
        <v>3702</v>
      </c>
      <c r="B574" s="136"/>
      <c r="C574" s="2"/>
      <c r="D574" s="4" t="s">
        <v>3762</v>
      </c>
      <c r="E574" s="136">
        <v>8.5</v>
      </c>
      <c r="F574" s="2"/>
      <c r="G574" s="4" t="s">
        <v>3805</v>
      </c>
      <c r="H574" s="136">
        <v>9.5</v>
      </c>
      <c r="I574" s="2"/>
      <c r="J574" s="4" t="s">
        <v>3780</v>
      </c>
      <c r="K574" s="136">
        <v>9</v>
      </c>
      <c r="L574" s="2"/>
      <c r="M574" s="4" t="s">
        <v>3752</v>
      </c>
      <c r="N574" s="136">
        <v>7.5</v>
      </c>
      <c r="O574" s="16"/>
    </row>
    <row r="575" spans="1:15" s="3" customFormat="1" x14ac:dyDescent="0.2">
      <c r="A575" s="4" t="s">
        <v>3703</v>
      </c>
      <c r="B575" s="136">
        <v>10</v>
      </c>
      <c r="C575" s="2"/>
      <c r="D575" s="4" t="s">
        <v>3763</v>
      </c>
      <c r="E575" s="136">
        <v>8</v>
      </c>
      <c r="F575" s="2"/>
      <c r="G575" s="4" t="s">
        <v>3806</v>
      </c>
      <c r="H575" s="136">
        <v>9</v>
      </c>
      <c r="I575" s="2"/>
      <c r="J575" s="4" t="s">
        <v>3781</v>
      </c>
      <c r="K575" s="136">
        <v>8</v>
      </c>
      <c r="L575" s="2"/>
      <c r="M575" s="4" t="s">
        <v>3753</v>
      </c>
      <c r="N575" s="136"/>
      <c r="O575" s="16"/>
    </row>
    <row r="576" spans="1:15" s="3" customFormat="1" x14ac:dyDescent="0.2">
      <c r="A576" s="4" t="s">
        <v>3704</v>
      </c>
      <c r="B576" s="136">
        <v>7.5</v>
      </c>
      <c r="C576" s="2"/>
      <c r="D576" s="4" t="s">
        <v>3764</v>
      </c>
      <c r="E576" s="136">
        <v>7.5</v>
      </c>
      <c r="F576" s="2"/>
      <c r="G576" s="4" t="s">
        <v>3807</v>
      </c>
      <c r="H576" s="136">
        <v>8.5</v>
      </c>
      <c r="I576" s="2"/>
      <c r="J576" s="4" t="s">
        <v>3782</v>
      </c>
      <c r="K576" s="136">
        <v>8.5</v>
      </c>
      <c r="L576" s="2"/>
      <c r="M576" s="4" t="s">
        <v>3754</v>
      </c>
      <c r="N576" s="136">
        <v>7.5</v>
      </c>
      <c r="O576" s="16"/>
    </row>
    <row r="577" spans="1:15" s="3" customFormat="1" x14ac:dyDescent="0.2">
      <c r="A577" s="4" t="s">
        <v>3705</v>
      </c>
      <c r="B577" s="136">
        <v>8.5</v>
      </c>
      <c r="C577" s="2"/>
      <c r="D577" s="4" t="s">
        <v>3765</v>
      </c>
      <c r="E577" s="136">
        <v>8</v>
      </c>
      <c r="F577" s="2"/>
      <c r="G577" s="4" t="s">
        <v>3808</v>
      </c>
      <c r="H577" s="136">
        <v>8.5</v>
      </c>
      <c r="I577" s="2"/>
      <c r="J577" s="4" t="s">
        <v>3783</v>
      </c>
      <c r="K577" s="136">
        <v>7.5</v>
      </c>
      <c r="L577" s="2"/>
      <c r="M577" s="4" t="s">
        <v>3755</v>
      </c>
      <c r="N577" s="136">
        <v>8</v>
      </c>
      <c r="O577" s="16"/>
    </row>
    <row r="578" spans="1:15" s="3" customFormat="1" ht="17" thickBot="1" x14ac:dyDescent="0.25">
      <c r="A578" s="4" t="s">
        <v>3706</v>
      </c>
      <c r="B578" s="136">
        <v>9</v>
      </c>
      <c r="C578" s="2"/>
      <c r="D578" s="4" t="s">
        <v>3766</v>
      </c>
      <c r="E578" s="136">
        <v>6.5</v>
      </c>
      <c r="F578" s="2"/>
      <c r="G578" s="4" t="s">
        <v>3809</v>
      </c>
      <c r="H578" s="136">
        <v>8</v>
      </c>
      <c r="I578" s="2"/>
      <c r="J578" s="4" t="s">
        <v>3784</v>
      </c>
      <c r="K578" s="136">
        <v>8</v>
      </c>
      <c r="L578" s="2"/>
      <c r="M578" s="7" t="s">
        <v>3756</v>
      </c>
      <c r="N578" s="191"/>
      <c r="O578" s="16"/>
    </row>
    <row r="579" spans="1:15" s="3" customFormat="1" ht="17" thickBot="1" x14ac:dyDescent="0.25">
      <c r="A579" s="4" t="s">
        <v>3707</v>
      </c>
      <c r="B579" s="136">
        <v>8</v>
      </c>
      <c r="C579" s="2"/>
      <c r="D579" s="4" t="s">
        <v>3767</v>
      </c>
      <c r="E579" s="136">
        <v>7</v>
      </c>
      <c r="F579" s="2"/>
      <c r="G579" s="4" t="s">
        <v>3810</v>
      </c>
      <c r="H579" s="136">
        <v>8.5</v>
      </c>
      <c r="I579" s="2"/>
      <c r="J579" s="4" t="s">
        <v>3785</v>
      </c>
      <c r="K579" s="136">
        <v>7.5</v>
      </c>
      <c r="L579" s="2"/>
      <c r="M579" s="2"/>
      <c r="N579" s="2"/>
      <c r="O579" s="16"/>
    </row>
    <row r="580" spans="1:15" s="3" customFormat="1" ht="15.5" customHeight="1" thickBot="1" x14ac:dyDescent="0.25">
      <c r="A580" s="4" t="s">
        <v>3708</v>
      </c>
      <c r="B580" s="136">
        <v>9</v>
      </c>
      <c r="C580" s="2"/>
      <c r="D580" s="4" t="s">
        <v>3768</v>
      </c>
      <c r="E580" s="136">
        <v>7.5</v>
      </c>
      <c r="F580" s="2"/>
      <c r="G580" s="4" t="s">
        <v>3811</v>
      </c>
      <c r="H580" s="136">
        <v>9.5</v>
      </c>
      <c r="I580" s="2"/>
      <c r="J580" s="4" t="s">
        <v>3786</v>
      </c>
      <c r="K580" s="136">
        <v>8</v>
      </c>
      <c r="L580" s="2"/>
      <c r="M580" s="411" t="s">
        <v>3839</v>
      </c>
      <c r="N580" s="12">
        <f>ROUND(AVERAGE(N581:N589), 2)</f>
        <v>8.7200000000000006</v>
      </c>
      <c r="O580" s="16"/>
    </row>
    <row r="581" spans="1:15" s="3" customFormat="1" ht="17" thickBot="1" x14ac:dyDescent="0.25">
      <c r="A581" s="4" t="s">
        <v>3709</v>
      </c>
      <c r="B581" s="136">
        <v>8.5</v>
      </c>
      <c r="C581" s="2"/>
      <c r="D581" s="7" t="s">
        <v>3769</v>
      </c>
      <c r="E581" s="191">
        <v>7</v>
      </c>
      <c r="F581" s="2"/>
      <c r="G581" s="4" t="s">
        <v>3812</v>
      </c>
      <c r="H581" s="136">
        <v>8</v>
      </c>
      <c r="I581" s="2"/>
      <c r="J581" s="4" t="s">
        <v>3787</v>
      </c>
      <c r="K581" s="136">
        <v>8</v>
      </c>
      <c r="L581" s="2"/>
      <c r="M581" s="11" t="s">
        <v>3830</v>
      </c>
      <c r="N581" s="190">
        <v>9</v>
      </c>
      <c r="O581" s="16"/>
    </row>
    <row r="582" spans="1:15" s="3" customFormat="1" ht="17" thickBot="1" x14ac:dyDescent="0.25">
      <c r="A582" s="4" t="s">
        <v>3710</v>
      </c>
      <c r="B582" s="136">
        <v>8</v>
      </c>
      <c r="C582" s="2"/>
      <c r="D582" s="2"/>
      <c r="E582" s="2"/>
      <c r="F582" s="2"/>
      <c r="G582" s="4" t="s">
        <v>3813</v>
      </c>
      <c r="H582" s="136">
        <v>9</v>
      </c>
      <c r="I582" s="2"/>
      <c r="J582" s="4" t="s">
        <v>3788</v>
      </c>
      <c r="K582" s="136"/>
      <c r="L582" s="2"/>
      <c r="M582" s="4" t="s">
        <v>3831</v>
      </c>
      <c r="N582" s="136">
        <v>8.5</v>
      </c>
      <c r="O582" s="16"/>
    </row>
    <row r="583" spans="1:15" s="3" customFormat="1" ht="15.5" customHeight="1" thickBot="1" x14ac:dyDescent="0.25">
      <c r="A583" s="4" t="s">
        <v>3711</v>
      </c>
      <c r="B583" s="136"/>
      <c r="C583" s="2"/>
      <c r="D583" s="420" t="s">
        <v>3914</v>
      </c>
      <c r="E583" s="12">
        <f>ROUND(AVERAGE(E584:E597), 2)</f>
        <v>8.0399999999999991</v>
      </c>
      <c r="F583" s="2"/>
      <c r="G583" s="4" t="s">
        <v>3814</v>
      </c>
      <c r="H583" s="136">
        <v>8.5</v>
      </c>
      <c r="I583" s="2"/>
      <c r="J583" s="7" t="s">
        <v>3789</v>
      </c>
      <c r="K583" s="191">
        <v>7.5</v>
      </c>
      <c r="L583" s="2"/>
      <c r="M583" s="4" t="s">
        <v>3832</v>
      </c>
      <c r="N583" s="136">
        <v>9</v>
      </c>
      <c r="O583" s="16"/>
    </row>
    <row r="584" spans="1:15" s="3" customFormat="1" ht="17" thickBot="1" x14ac:dyDescent="0.25">
      <c r="A584" s="4" t="s">
        <v>3712</v>
      </c>
      <c r="B584" s="136">
        <v>8</v>
      </c>
      <c r="C584" s="2"/>
      <c r="D584" s="11" t="s">
        <v>3844</v>
      </c>
      <c r="E584" s="190">
        <v>8.5</v>
      </c>
      <c r="F584" s="2"/>
      <c r="G584" s="4" t="s">
        <v>3815</v>
      </c>
      <c r="H584" s="136"/>
      <c r="I584" s="2"/>
      <c r="J584" s="2"/>
      <c r="K584" s="2"/>
      <c r="L584" s="2"/>
      <c r="M584" s="4" t="s">
        <v>3833</v>
      </c>
      <c r="N584" s="136">
        <v>8.5</v>
      </c>
      <c r="O584" s="16"/>
    </row>
    <row r="585" spans="1:15" s="3" customFormat="1" ht="15.5" customHeight="1" thickBot="1" x14ac:dyDescent="0.25">
      <c r="A585" s="4" t="s">
        <v>3713</v>
      </c>
      <c r="B585" s="136">
        <v>9.5</v>
      </c>
      <c r="C585" s="2"/>
      <c r="D585" s="4" t="s">
        <v>3845</v>
      </c>
      <c r="E585" s="136">
        <v>8.5</v>
      </c>
      <c r="F585" s="2"/>
      <c r="G585" s="7" t="s">
        <v>3816</v>
      </c>
      <c r="H585" s="191">
        <v>9.5</v>
      </c>
      <c r="I585" s="2"/>
      <c r="J585" s="416" t="s">
        <v>3883</v>
      </c>
      <c r="K585" s="12">
        <f>ROUND(AVERAGE(K586:K595), 2)</f>
        <v>8.5</v>
      </c>
      <c r="L585" s="2"/>
      <c r="M585" s="4" t="s">
        <v>3834</v>
      </c>
      <c r="N585" s="136">
        <v>8.5</v>
      </c>
      <c r="O585" s="16"/>
    </row>
    <row r="586" spans="1:15" s="3" customFormat="1" ht="17" thickBot="1" x14ac:dyDescent="0.25">
      <c r="A586" s="4" t="s">
        <v>3715</v>
      </c>
      <c r="B586" s="136">
        <v>8.5</v>
      </c>
      <c r="C586" s="2"/>
      <c r="D586" s="4" t="s">
        <v>3846</v>
      </c>
      <c r="E586" s="136">
        <v>8</v>
      </c>
      <c r="F586" s="2"/>
      <c r="G586" s="2"/>
      <c r="H586" s="2"/>
      <c r="I586" s="2"/>
      <c r="J586" s="11" t="s">
        <v>3880</v>
      </c>
      <c r="K586" s="190">
        <v>9.5</v>
      </c>
      <c r="L586" s="2"/>
      <c r="M586" s="4" t="s">
        <v>3835</v>
      </c>
      <c r="N586" s="136">
        <v>9</v>
      </c>
      <c r="O586" s="16"/>
    </row>
    <row r="587" spans="1:15" s="3" customFormat="1" ht="16" customHeight="1" thickBot="1" x14ac:dyDescent="0.25">
      <c r="A587" s="7" t="s">
        <v>3714</v>
      </c>
      <c r="B587" s="191">
        <v>8</v>
      </c>
      <c r="C587" s="2"/>
      <c r="D587" s="4" t="s">
        <v>3847</v>
      </c>
      <c r="E587" s="136">
        <v>9</v>
      </c>
      <c r="F587" s="2"/>
      <c r="G587" s="419" t="s">
        <v>3906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3836</v>
      </c>
      <c r="N587" s="136">
        <v>10</v>
      </c>
      <c r="O587" s="16"/>
    </row>
    <row r="588" spans="1:15" s="3" customFormat="1" ht="17" thickBot="1" x14ac:dyDescent="0.25">
      <c r="A588" s="2"/>
      <c r="B588" s="2"/>
      <c r="C588" s="2"/>
      <c r="D588" s="4" t="s">
        <v>3848</v>
      </c>
      <c r="E588" s="136">
        <v>7.5</v>
      </c>
      <c r="F588" s="2"/>
      <c r="G588" s="11" t="s">
        <v>3907</v>
      </c>
      <c r="H588" s="190">
        <v>10</v>
      </c>
      <c r="I588" s="2"/>
      <c r="J588" s="4" t="s">
        <v>3881</v>
      </c>
      <c r="K588" s="136">
        <v>8.5</v>
      </c>
      <c r="L588" s="2"/>
      <c r="M588" s="4" t="s">
        <v>3837</v>
      </c>
      <c r="N588" s="136">
        <v>8</v>
      </c>
      <c r="O588" s="16"/>
    </row>
    <row r="589" spans="1:15" s="3" customFormat="1" ht="16" customHeight="1" thickBot="1" x14ac:dyDescent="0.25">
      <c r="A589" s="422" t="s">
        <v>3925</v>
      </c>
      <c r="B589" s="12">
        <f>ROUND(AVERAGE(B590:B599), 2)</f>
        <v>8.35</v>
      </c>
      <c r="C589" s="2"/>
      <c r="D589" s="4" t="s">
        <v>3849</v>
      </c>
      <c r="E589" s="136">
        <v>8.5</v>
      </c>
      <c r="F589" s="2"/>
      <c r="G589" s="4" t="s">
        <v>3908</v>
      </c>
      <c r="H589" s="136">
        <v>8.5</v>
      </c>
      <c r="I589" s="2"/>
      <c r="J589" s="4" t="s">
        <v>3882</v>
      </c>
      <c r="K589" s="136">
        <v>9</v>
      </c>
      <c r="L589" s="2"/>
      <c r="M589" s="7" t="s">
        <v>3838</v>
      </c>
      <c r="N589" s="191">
        <v>8</v>
      </c>
      <c r="O589" s="16"/>
    </row>
    <row r="590" spans="1:15" s="3" customFormat="1" x14ac:dyDescent="0.2">
      <c r="A590" s="383" t="s">
        <v>3915</v>
      </c>
      <c r="B590" s="190">
        <v>8.5</v>
      </c>
      <c r="C590" s="2"/>
      <c r="D590" s="4" t="s">
        <v>3850</v>
      </c>
      <c r="E590" s="136">
        <v>8</v>
      </c>
      <c r="F590" s="2"/>
      <c r="G590" s="4" t="s">
        <v>3909</v>
      </c>
      <c r="H590" s="136">
        <v>9.5</v>
      </c>
      <c r="I590" s="2"/>
      <c r="J590" s="4" t="s">
        <v>3884</v>
      </c>
      <c r="K590" s="136">
        <v>8</v>
      </c>
      <c r="L590" s="2"/>
      <c r="M590" s="2"/>
      <c r="N590" s="2"/>
      <c r="O590" s="16"/>
    </row>
    <row r="591" spans="1:15" s="3" customFormat="1" x14ac:dyDescent="0.2">
      <c r="A591" s="384" t="s">
        <v>3916</v>
      </c>
      <c r="B591" s="136">
        <v>8.5</v>
      </c>
      <c r="C591" s="2"/>
      <c r="D591" s="4" t="s">
        <v>3851</v>
      </c>
      <c r="E591" s="136">
        <v>7.5</v>
      </c>
      <c r="F591" s="2"/>
      <c r="G591" s="4" t="s">
        <v>3910</v>
      </c>
      <c r="H591" s="136">
        <v>9</v>
      </c>
      <c r="I591" s="2"/>
      <c r="J591" s="4" t="s">
        <v>3885</v>
      </c>
      <c r="K591" s="136">
        <v>8</v>
      </c>
      <c r="L591" s="2"/>
    </row>
    <row r="592" spans="1:15" s="3" customFormat="1" x14ac:dyDescent="0.2">
      <c r="A592" s="384" t="s">
        <v>3917</v>
      </c>
      <c r="B592" s="136">
        <v>8</v>
      </c>
      <c r="C592" s="2"/>
      <c r="D592" s="4" t="s">
        <v>3852</v>
      </c>
      <c r="E592" s="136">
        <v>8</v>
      </c>
      <c r="F592" s="2"/>
      <c r="G592" s="4" t="s">
        <v>3911</v>
      </c>
      <c r="H592" s="136">
        <v>8</v>
      </c>
      <c r="I592" s="2"/>
      <c r="J592" s="4" t="s">
        <v>3886</v>
      </c>
      <c r="K592" s="136">
        <v>8</v>
      </c>
      <c r="L592" s="2"/>
    </row>
    <row r="593" spans="1:12" s="3" customFormat="1" x14ac:dyDescent="0.2">
      <c r="A593" s="384" t="s">
        <v>3918</v>
      </c>
      <c r="B593" s="136">
        <v>9</v>
      </c>
      <c r="C593" s="2"/>
      <c r="D593" s="4" t="s">
        <v>3853</v>
      </c>
      <c r="E593" s="136">
        <v>7.5</v>
      </c>
      <c r="F593" s="2"/>
      <c r="G593" s="4" t="s">
        <v>3912</v>
      </c>
      <c r="H593" s="136">
        <v>8</v>
      </c>
      <c r="I593" s="2"/>
      <c r="J593" s="4" t="s">
        <v>3887</v>
      </c>
      <c r="K593" s="136"/>
      <c r="L593" s="2"/>
    </row>
    <row r="594" spans="1:12" s="3" customFormat="1" ht="17" thickBot="1" x14ac:dyDescent="0.25">
      <c r="A594" s="384" t="s">
        <v>3919</v>
      </c>
      <c r="B594" s="136">
        <v>9</v>
      </c>
      <c r="C594" s="2"/>
      <c r="D594" s="4" t="s">
        <v>3854</v>
      </c>
      <c r="E594" s="136">
        <v>9</v>
      </c>
      <c r="F594" s="2"/>
      <c r="G594" s="7" t="s">
        <v>3913</v>
      </c>
      <c r="H594" s="191">
        <v>8.5</v>
      </c>
      <c r="I594" s="2"/>
      <c r="J594" s="4" t="s">
        <v>3888</v>
      </c>
      <c r="K594" s="136">
        <v>8</v>
      </c>
      <c r="L594" s="2"/>
    </row>
    <row r="595" spans="1:12" s="3" customFormat="1" ht="17" thickBot="1" x14ac:dyDescent="0.25">
      <c r="A595" s="384" t="s">
        <v>3920</v>
      </c>
      <c r="B595" s="136">
        <v>8</v>
      </c>
      <c r="C595" s="2"/>
      <c r="D595" s="4" t="s">
        <v>3855</v>
      </c>
      <c r="E595" s="136">
        <v>7.5</v>
      </c>
      <c r="F595" s="2"/>
      <c r="G595" s="2"/>
      <c r="H595" s="2"/>
      <c r="I595" s="2"/>
      <c r="J595" s="7" t="s">
        <v>3889</v>
      </c>
      <c r="K595" s="191">
        <v>8.5</v>
      </c>
      <c r="L595" s="2"/>
    </row>
    <row r="596" spans="1:12" s="3" customFormat="1" x14ac:dyDescent="0.2">
      <c r="A596" s="384" t="s">
        <v>3921</v>
      </c>
      <c r="B596" s="136">
        <v>7.5</v>
      </c>
      <c r="C596" s="2"/>
      <c r="D596" s="4" t="s">
        <v>3856</v>
      </c>
      <c r="E596" s="136">
        <v>7</v>
      </c>
      <c r="F596" s="2"/>
      <c r="I596" s="2"/>
      <c r="J596" s="2"/>
      <c r="K596" s="2"/>
      <c r="L596" s="2"/>
    </row>
    <row r="597" spans="1:12" s="3" customFormat="1" ht="17" thickBot="1" x14ac:dyDescent="0.25">
      <c r="A597" s="384" t="s">
        <v>3922</v>
      </c>
      <c r="B597" s="136">
        <v>9</v>
      </c>
      <c r="C597" s="2"/>
      <c r="D597" s="7" t="s">
        <v>3857</v>
      </c>
      <c r="E597" s="191">
        <v>8</v>
      </c>
      <c r="F597" s="2"/>
    </row>
    <row r="598" spans="1:12" s="3" customFormat="1" x14ac:dyDescent="0.2">
      <c r="A598" s="384" t="s">
        <v>3923</v>
      </c>
      <c r="B598" s="136">
        <v>8</v>
      </c>
      <c r="C598" s="2"/>
      <c r="D598" s="2"/>
      <c r="E598" s="2"/>
      <c r="F598" s="2"/>
    </row>
    <row r="599" spans="1:12" s="3" customFormat="1" ht="17" thickBot="1" x14ac:dyDescent="0.25">
      <c r="A599" s="421" t="s">
        <v>3924</v>
      </c>
      <c r="B599" s="191">
        <v>8</v>
      </c>
      <c r="C599" s="2"/>
    </row>
    <row r="600" spans="1:12" s="3" customFormat="1" x14ac:dyDescent="0.2">
      <c r="A600" s="2"/>
      <c r="B600" s="2"/>
      <c r="C600" s="2"/>
    </row>
    <row r="601" spans="1:12" s="3" customFormat="1" x14ac:dyDescent="0.2"/>
    <row r="602" spans="1:12" s="3" customFormat="1" x14ac:dyDescent="0.2"/>
    <row r="603" spans="1:12" s="3" customFormat="1" x14ac:dyDescent="0.2"/>
    <row r="604" spans="1:12" s="3" customFormat="1" x14ac:dyDescent="0.2"/>
    <row r="605" spans="1:12" s="3" customFormat="1" x14ac:dyDescent="0.2"/>
    <row r="606" spans="1:12" s="3" customFormat="1" x14ac:dyDescent="0.2"/>
    <row r="607" spans="1:12" s="3" customFormat="1" x14ac:dyDescent="0.2"/>
    <row r="608" spans="1:12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706">
      <colorScale>
        <cfvo type="num" val="5"/>
        <cfvo type="num" val="10"/>
        <color rgb="FFFF494D"/>
        <color rgb="FF00FF66"/>
      </colorScale>
    </cfRule>
    <cfRule type="colorScale" priority="2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766" priority="2323" stopIfTrue="1" operator="between">
      <formula>8</formula>
      <formula>8.9</formula>
    </cfRule>
    <cfRule type="cellIs" dxfId="1765" priority="2324" operator="between">
      <formula>9</formula>
      <formula>9.9</formula>
    </cfRule>
    <cfRule type="cellIs" dxfId="1764" priority="2325" stopIfTrue="1" operator="between">
      <formula>10</formula>
      <formula>10</formula>
    </cfRule>
    <cfRule type="containsBlanks" dxfId="1763" priority="2326" stopIfTrue="1">
      <formula>LEN(TRIM(B3))=0</formula>
    </cfRule>
    <cfRule type="cellIs" dxfId="1762" priority="2284" operator="between">
      <formula>10.1</formula>
      <formula>10.6</formula>
    </cfRule>
    <cfRule type="cellIs" dxfId="1761" priority="2322" operator="between">
      <formula>7</formula>
      <formula>7.9</formula>
    </cfRule>
  </conditionalFormatting>
  <conditionalFormatting sqref="B17:B24">
    <cfRule type="containsBlanks" dxfId="1760" priority="2265" stopIfTrue="1">
      <formula>LEN(TRIM(B17))=0</formula>
    </cfRule>
    <cfRule type="cellIs" dxfId="1759" priority="2260" operator="between">
      <formula>10.1</formula>
      <formula>10.6</formula>
    </cfRule>
    <cfRule type="cellIs" dxfId="1758" priority="2261" operator="between">
      <formula>7</formula>
      <formula>7.9</formula>
    </cfRule>
    <cfRule type="cellIs" dxfId="1757" priority="2264" stopIfTrue="1" operator="between">
      <formula>10</formula>
      <formula>10</formula>
    </cfRule>
    <cfRule type="cellIs" dxfId="1756" priority="2262" stopIfTrue="1" operator="between">
      <formula>8</formula>
      <formula>8.9</formula>
    </cfRule>
    <cfRule type="cellIs" dxfId="1755" priority="2263" operator="between">
      <formula>9</formula>
      <formula>9.9</formula>
    </cfRule>
  </conditionalFormatting>
  <conditionalFormatting sqref="B27:B31">
    <cfRule type="cellIs" dxfId="1754" priority="2255" operator="between">
      <formula>7</formula>
      <formula>7.9</formula>
    </cfRule>
    <cfRule type="cellIs" dxfId="1753" priority="2256" stopIfTrue="1" operator="between">
      <formula>8</formula>
      <formula>8.9</formula>
    </cfRule>
    <cfRule type="cellIs" dxfId="1752" priority="2258" stopIfTrue="1" operator="between">
      <formula>10</formula>
      <formula>10</formula>
    </cfRule>
    <cfRule type="containsBlanks" dxfId="1751" priority="2259" stopIfTrue="1">
      <formula>LEN(TRIM(B27))=0</formula>
    </cfRule>
    <cfRule type="cellIs" dxfId="1750" priority="2254" operator="between">
      <formula>10.1</formula>
      <formula>10.6</formula>
    </cfRule>
    <cfRule type="cellIs" dxfId="1749" priority="2257" operator="between">
      <formula>9</formula>
      <formula>9.9</formula>
    </cfRule>
  </conditionalFormatting>
  <conditionalFormatting sqref="B33">
    <cfRule type="colorScale" priority="2657">
      <colorScale>
        <cfvo type="num" val="5"/>
        <cfvo type="num" val="10"/>
        <color rgb="FFFF494D"/>
        <color rgb="FF00FF66"/>
      </colorScale>
    </cfRule>
    <cfRule type="colorScale" priority="26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748" priority="2252" stopIfTrue="1" operator="between">
      <formula>10</formula>
      <formula>10</formula>
    </cfRule>
    <cfRule type="containsBlanks" dxfId="1747" priority="2253" stopIfTrue="1">
      <formula>LEN(TRIM(B34))=0</formula>
    </cfRule>
    <cfRule type="cellIs" dxfId="1746" priority="2251" operator="between">
      <formula>9</formula>
      <formula>9.9</formula>
    </cfRule>
    <cfRule type="cellIs" dxfId="1745" priority="2250" stopIfTrue="1" operator="between">
      <formula>8</formula>
      <formula>8.9</formula>
    </cfRule>
    <cfRule type="cellIs" dxfId="1744" priority="2249" operator="between">
      <formula>7</formula>
      <formula>7.9</formula>
    </cfRule>
    <cfRule type="cellIs" dxfId="1743" priority="2248" operator="between">
      <formula>10.1</formula>
      <formula>10.6</formula>
    </cfRule>
  </conditionalFormatting>
  <conditionalFormatting sqref="B47">
    <cfRule type="colorScale" priority="2333">
      <colorScale>
        <cfvo type="num" val="5"/>
        <cfvo type="num" val="10"/>
        <color rgb="FFFF494D"/>
        <color rgb="FF00FF66"/>
      </colorScale>
    </cfRule>
    <cfRule type="colorScale" priority="2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742" priority="2218" operator="between">
      <formula>10.1</formula>
      <formula>10.6</formula>
    </cfRule>
    <cfRule type="cellIs" dxfId="1741" priority="2220" stopIfTrue="1" operator="between">
      <formula>8</formula>
      <formula>8.9</formula>
    </cfRule>
    <cfRule type="cellIs" dxfId="1740" priority="2221" operator="between">
      <formula>9</formula>
      <formula>9.9</formula>
    </cfRule>
    <cfRule type="cellIs" dxfId="1739" priority="2222" stopIfTrue="1" operator="between">
      <formula>10</formula>
      <formula>10</formula>
    </cfRule>
    <cfRule type="containsBlanks" dxfId="1738" priority="2223" stopIfTrue="1">
      <formula>LEN(TRIM(B48))=0</formula>
    </cfRule>
    <cfRule type="cellIs" dxfId="1737" priority="2219" operator="between">
      <formula>7</formula>
      <formula>7.9</formula>
    </cfRule>
  </conditionalFormatting>
  <conditionalFormatting sqref="B59">
    <cfRule type="colorScale" priority="2203">
      <colorScale>
        <cfvo type="num" val="5"/>
        <cfvo type="num" val="10"/>
        <color rgb="FFFF494D"/>
        <color rgb="FF00FF66"/>
      </colorScale>
    </cfRule>
    <cfRule type="colorScale" priority="2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736" priority="2196" operator="between">
      <formula>10.1</formula>
      <formula>10.6</formula>
    </cfRule>
    <cfRule type="cellIs" dxfId="1735" priority="2197" operator="between">
      <formula>7</formula>
      <formula>7.9</formula>
    </cfRule>
    <cfRule type="containsBlanks" dxfId="1734" priority="2201" stopIfTrue="1">
      <formula>LEN(TRIM(B60))=0</formula>
    </cfRule>
    <cfRule type="cellIs" dxfId="1733" priority="2200" stopIfTrue="1" operator="between">
      <formula>10</formula>
      <formula>10</formula>
    </cfRule>
    <cfRule type="cellIs" dxfId="1732" priority="2199" operator="between">
      <formula>9</formula>
      <formula>9.9</formula>
    </cfRule>
    <cfRule type="cellIs" dxfId="1731" priority="2198" stopIfTrue="1" operator="between">
      <formula>8</formula>
      <formula>8.9</formula>
    </cfRule>
  </conditionalFormatting>
  <conditionalFormatting sqref="B70">
    <cfRule type="colorScale" priority="2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730" priority="2110" operator="between">
      <formula>10.1</formula>
      <formula>10.6</formula>
    </cfRule>
    <cfRule type="cellIs" dxfId="1729" priority="2111" operator="between">
      <formula>7</formula>
      <formula>7.9</formula>
    </cfRule>
    <cfRule type="cellIs" dxfId="1728" priority="2112" stopIfTrue="1" operator="between">
      <formula>8</formula>
      <formula>8.9</formula>
    </cfRule>
    <cfRule type="cellIs" dxfId="1727" priority="2113" operator="between">
      <formula>9</formula>
      <formula>9.9</formula>
    </cfRule>
    <cfRule type="cellIs" dxfId="1726" priority="2114" stopIfTrue="1" operator="between">
      <formula>10</formula>
      <formula>10</formula>
    </cfRule>
    <cfRule type="containsBlanks" dxfId="1725" priority="2115" stopIfTrue="1">
      <formula>LEN(TRIM(B71))=0</formula>
    </cfRule>
  </conditionalFormatting>
  <conditionalFormatting sqref="B73">
    <cfRule type="cellIs" dxfId="1724" priority="2109" operator="between">
      <formula>6</formula>
      <formula>6.9</formula>
    </cfRule>
  </conditionalFormatting>
  <conditionalFormatting sqref="B79">
    <cfRule type="colorScale" priority="2093">
      <colorScale>
        <cfvo type="num" val="5"/>
        <cfvo type="num" val="10"/>
        <color rgb="FFFF494D"/>
        <color rgb="FF00FF66"/>
      </colorScale>
    </cfRule>
    <cfRule type="colorScale" priority="2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723" priority="2089" operator="between">
      <formula>9</formula>
      <formula>9.9</formula>
    </cfRule>
    <cfRule type="cellIs" dxfId="1722" priority="2086" operator="between">
      <formula>10.1</formula>
      <formula>10.6</formula>
    </cfRule>
    <cfRule type="cellIs" dxfId="1721" priority="2088" stopIfTrue="1" operator="between">
      <formula>8</formula>
      <formula>8.9</formula>
    </cfRule>
    <cfRule type="containsBlanks" dxfId="1720" priority="2091" stopIfTrue="1">
      <formula>LEN(TRIM(B80))=0</formula>
    </cfRule>
    <cfRule type="cellIs" dxfId="1719" priority="2090" stopIfTrue="1" operator="between">
      <formula>10</formula>
      <formula>10</formula>
    </cfRule>
    <cfRule type="cellIs" dxfId="1718" priority="2087" operator="between">
      <formula>7</formula>
      <formula>7.9</formula>
    </cfRule>
  </conditionalFormatting>
  <conditionalFormatting sqref="B93">
    <cfRule type="colorScale" priority="2046">
      <colorScale>
        <cfvo type="num" val="5"/>
        <cfvo type="num" val="10"/>
        <color rgb="FFFF494D"/>
        <color rgb="FF00FF66"/>
      </colorScale>
    </cfRule>
    <cfRule type="colorScale" priority="20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717" priority="2039" operator="between">
      <formula>10.1</formula>
      <formula>10.6</formula>
    </cfRule>
    <cfRule type="cellIs" dxfId="1716" priority="2040" operator="between">
      <formula>7</formula>
      <formula>7.9</formula>
    </cfRule>
    <cfRule type="cellIs" dxfId="1715" priority="2041" stopIfTrue="1" operator="between">
      <formula>8</formula>
      <formula>8.9</formula>
    </cfRule>
    <cfRule type="cellIs" dxfId="1714" priority="2042" operator="between">
      <formula>9</formula>
      <formula>9.9</formula>
    </cfRule>
    <cfRule type="cellIs" dxfId="1713" priority="2043" stopIfTrue="1" operator="between">
      <formula>10</formula>
      <formula>10</formula>
    </cfRule>
    <cfRule type="containsBlanks" dxfId="1712" priority="2044" stopIfTrue="1">
      <formula>LEN(TRIM(B94))=0</formula>
    </cfRule>
  </conditionalFormatting>
  <conditionalFormatting sqref="B103">
    <cfRule type="colorScale" priority="1997">
      <colorScale>
        <cfvo type="num" val="5"/>
        <cfvo type="num" val="10"/>
        <color rgb="FFFF494D"/>
        <color rgb="FF00FF66"/>
      </colorScale>
    </cfRule>
    <cfRule type="colorScale" priority="19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711" priority="1990" operator="between">
      <formula>10.1</formula>
      <formula>10.6</formula>
    </cfRule>
    <cfRule type="cellIs" dxfId="1710" priority="1991" operator="between">
      <formula>7</formula>
      <formula>7.9</formula>
    </cfRule>
    <cfRule type="cellIs" dxfId="1709" priority="1993" operator="between">
      <formula>9</formula>
      <formula>9.9</formula>
    </cfRule>
    <cfRule type="cellIs" dxfId="1708" priority="1992" stopIfTrue="1" operator="between">
      <formula>8</formula>
      <formula>8.9</formula>
    </cfRule>
    <cfRule type="cellIs" dxfId="1707" priority="1994" stopIfTrue="1" operator="between">
      <formula>10</formula>
      <formula>10</formula>
    </cfRule>
    <cfRule type="containsBlanks" dxfId="1706" priority="1995" stopIfTrue="1">
      <formula>LEN(TRIM(B104))=0</formula>
    </cfRule>
  </conditionalFormatting>
  <conditionalFormatting sqref="B114">
    <cfRule type="colorScale" priority="1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8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705" priority="1946" operator="between">
      <formula>7</formula>
      <formula>7.9</formula>
    </cfRule>
    <cfRule type="cellIs" dxfId="1704" priority="1947" stopIfTrue="1" operator="between">
      <formula>8</formula>
      <formula>8.9</formula>
    </cfRule>
    <cfRule type="cellIs" dxfId="1703" priority="1944" operator="between">
      <formula>6</formula>
      <formula>6.9</formula>
    </cfRule>
    <cfRule type="cellIs" dxfId="1702" priority="1949" stopIfTrue="1" operator="between">
      <formula>10</formula>
      <formula>10</formula>
    </cfRule>
    <cfRule type="cellIs" dxfId="1701" priority="1945" operator="between">
      <formula>10.1</formula>
      <formula>10.6</formula>
    </cfRule>
    <cfRule type="cellIs" dxfId="1700" priority="1948" operator="between">
      <formula>9</formula>
      <formula>9.9</formula>
    </cfRule>
    <cfRule type="containsBlanks" dxfId="1699" priority="1950" stopIfTrue="1">
      <formula>LEN(TRIM(B115))=0</formula>
    </cfRule>
  </conditionalFormatting>
  <conditionalFormatting sqref="B134">
    <cfRule type="colorScale" priority="1875">
      <colorScale>
        <cfvo type="num" val="5"/>
        <cfvo type="num" val="10"/>
        <color rgb="FFFF494D"/>
        <color rgb="FF00FF66"/>
      </colorScale>
    </cfRule>
    <cfRule type="colorScale" priority="18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698" priority="1867" operator="between">
      <formula>6</formula>
      <formula>6.9</formula>
    </cfRule>
    <cfRule type="cellIs" dxfId="1697" priority="1872" stopIfTrue="1" operator="between">
      <formula>10</formula>
      <formula>10</formula>
    </cfRule>
    <cfRule type="cellIs" dxfId="1696" priority="1870" stopIfTrue="1" operator="between">
      <formula>8</formula>
      <formula>8.9</formula>
    </cfRule>
    <cfRule type="cellIs" dxfId="1695" priority="1869" operator="between">
      <formula>7</formula>
      <formula>7.9</formula>
    </cfRule>
    <cfRule type="cellIs" dxfId="1694" priority="1871" operator="between">
      <formula>9</formula>
      <formula>9.9</formula>
    </cfRule>
    <cfRule type="containsBlanks" dxfId="1693" priority="1873" stopIfTrue="1">
      <formula>LEN(TRIM(B135))=0</formula>
    </cfRule>
    <cfRule type="cellIs" dxfId="1692" priority="1868" operator="between">
      <formula>10.1</formula>
      <formula>10.6</formula>
    </cfRule>
  </conditionalFormatting>
  <conditionalFormatting sqref="B145">
    <cfRule type="colorScale" priority="1830">
      <colorScale>
        <cfvo type="num" val="5"/>
        <cfvo type="num" val="10"/>
        <color rgb="FFFF494D"/>
        <color rgb="FF00FF66"/>
      </colorScale>
    </cfRule>
    <cfRule type="colorScale" priority="18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691" priority="1822" operator="between">
      <formula>6</formula>
      <formula>6.9</formula>
    </cfRule>
    <cfRule type="cellIs" dxfId="1690" priority="1826" operator="between">
      <formula>9</formula>
      <formula>9.9</formula>
    </cfRule>
    <cfRule type="cellIs" dxfId="1689" priority="1825" stopIfTrue="1" operator="between">
      <formula>8</formula>
      <formula>8.9</formula>
    </cfRule>
    <cfRule type="cellIs" dxfId="1688" priority="1824" operator="between">
      <formula>7</formula>
      <formula>7.9</formula>
    </cfRule>
    <cfRule type="cellIs" dxfId="1687" priority="1823" operator="between">
      <formula>10.1</formula>
      <formula>10.6</formula>
    </cfRule>
    <cfRule type="cellIs" dxfId="1686" priority="1827" stopIfTrue="1" operator="between">
      <formula>10</formula>
      <formula>10</formula>
    </cfRule>
    <cfRule type="containsBlanks" dxfId="1685" priority="1828" stopIfTrue="1">
      <formula>LEN(TRIM(B146))=0</formula>
    </cfRule>
  </conditionalFormatting>
  <conditionalFormatting sqref="B162">
    <cfRule type="colorScale" priority="1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684" priority="1766" stopIfTrue="1" operator="between">
      <formula>10</formula>
      <formula>10</formula>
    </cfRule>
    <cfRule type="cellIs" dxfId="1683" priority="1765" operator="between">
      <formula>9</formula>
      <formula>9.9</formula>
    </cfRule>
    <cfRule type="cellIs" dxfId="1682" priority="1761" operator="between">
      <formula>6</formula>
      <formula>6.9</formula>
    </cfRule>
    <cfRule type="containsBlanks" dxfId="1681" priority="1767" stopIfTrue="1">
      <formula>LEN(TRIM(B163))=0</formula>
    </cfRule>
    <cfRule type="cellIs" dxfId="1680" priority="1764" stopIfTrue="1" operator="between">
      <formula>8</formula>
      <formula>8.9</formula>
    </cfRule>
    <cfRule type="cellIs" dxfId="1679" priority="1763" operator="between">
      <formula>7</formula>
      <formula>7.9</formula>
    </cfRule>
    <cfRule type="cellIs" dxfId="1678" priority="1762" operator="between">
      <formula>10.1</formula>
      <formula>10.6</formula>
    </cfRule>
  </conditionalFormatting>
  <conditionalFormatting sqref="B172">
    <cfRule type="colorScale" priority="1731">
      <colorScale>
        <cfvo type="num" val="5"/>
        <cfvo type="num" val="10"/>
        <color rgb="FFFF494D"/>
        <color rgb="FF00FF66"/>
      </colorScale>
    </cfRule>
    <cfRule type="colorScale" priority="17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677" priority="1727" operator="between">
      <formula>9</formula>
      <formula>9.9</formula>
    </cfRule>
    <cfRule type="cellIs" dxfId="1676" priority="1728" stopIfTrue="1" operator="between">
      <formula>10</formula>
      <formula>10</formula>
    </cfRule>
    <cfRule type="containsBlanks" dxfId="1675" priority="1729" stopIfTrue="1">
      <formula>LEN(TRIM(B173))=0</formula>
    </cfRule>
    <cfRule type="cellIs" dxfId="1674" priority="1726" stopIfTrue="1" operator="between">
      <formula>8</formula>
      <formula>8.9</formula>
    </cfRule>
    <cfRule type="cellIs" dxfId="1673" priority="1725" operator="between">
      <formula>7</formula>
      <formula>7.9</formula>
    </cfRule>
    <cfRule type="cellIs" dxfId="1672" priority="1724" operator="between">
      <formula>10.1</formula>
      <formula>10.6</formula>
    </cfRule>
    <cfRule type="cellIs" dxfId="1671" priority="1723" operator="between">
      <formula>6</formula>
      <formula>6.9</formula>
    </cfRule>
  </conditionalFormatting>
  <conditionalFormatting sqref="B185">
    <cfRule type="colorScale" priority="1693">
      <colorScale>
        <cfvo type="num" val="5"/>
        <cfvo type="num" val="10"/>
        <color rgb="FFFF494D"/>
        <color rgb="FF00FF66"/>
      </colorScale>
    </cfRule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670" priority="1690" stopIfTrue="1" operator="between">
      <formula>10</formula>
      <formula>10</formula>
    </cfRule>
    <cfRule type="cellIs" dxfId="1669" priority="1689" operator="between">
      <formula>9</formula>
      <formula>9.9</formula>
    </cfRule>
    <cfRule type="containsBlanks" dxfId="1668" priority="1691" stopIfTrue="1">
      <formula>LEN(TRIM(B186))=0</formula>
    </cfRule>
    <cfRule type="cellIs" dxfId="1667" priority="1687" operator="between">
      <formula>7</formula>
      <formula>7.9</formula>
    </cfRule>
    <cfRule type="cellIs" dxfId="1666" priority="1688" stopIfTrue="1" operator="between">
      <formula>8</formula>
      <formula>8.9</formula>
    </cfRule>
    <cfRule type="cellIs" dxfId="1665" priority="1686" operator="between">
      <formula>10.1</formula>
      <formula>10.6</formula>
    </cfRule>
    <cfRule type="cellIs" dxfId="1664" priority="1685" operator="between">
      <formula>6</formula>
      <formula>6.9</formula>
    </cfRule>
  </conditionalFormatting>
  <conditionalFormatting sqref="B196">
    <cfRule type="colorScale" priority="1635">
      <colorScale>
        <cfvo type="num" val="5"/>
        <cfvo type="num" val="10"/>
        <color rgb="FFFF494D"/>
        <color rgb="FF00FF66"/>
      </colorScale>
    </cfRule>
    <cfRule type="colorScale" priority="1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663" priority="1637" operator="between">
      <formula>10.1</formula>
      <formula>10.6</formula>
    </cfRule>
    <cfRule type="cellIs" dxfId="1662" priority="1636" operator="between">
      <formula>6</formula>
      <formula>6.9</formula>
    </cfRule>
    <cfRule type="cellIs" dxfId="1661" priority="1638" operator="between">
      <formula>7</formula>
      <formula>7.9</formula>
    </cfRule>
    <cfRule type="cellIs" dxfId="1660" priority="1639" stopIfTrue="1" operator="between">
      <formula>8</formula>
      <formula>8.9</formula>
    </cfRule>
    <cfRule type="cellIs" dxfId="1659" priority="1640" operator="between">
      <formula>9</formula>
      <formula>9.9</formula>
    </cfRule>
    <cfRule type="containsBlanks" dxfId="1658" priority="1642" stopIfTrue="1">
      <formula>LEN(TRIM(B197))=0</formula>
    </cfRule>
    <cfRule type="cellIs" dxfId="1657" priority="1641" stopIfTrue="1" operator="between">
      <formula>10</formula>
      <formula>10</formula>
    </cfRule>
  </conditionalFormatting>
  <conditionalFormatting sqref="B213">
    <cfRule type="colorScale" priority="15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656" priority="1564" operator="between">
      <formula>9</formula>
      <formula>9.9</formula>
    </cfRule>
    <cfRule type="cellIs" dxfId="1655" priority="1563" stopIfTrue="1" operator="between">
      <formula>8</formula>
      <formula>8.9</formula>
    </cfRule>
    <cfRule type="cellIs" dxfId="1654" priority="1565" stopIfTrue="1" operator="between">
      <formula>10</formula>
      <formula>10</formula>
    </cfRule>
    <cfRule type="containsBlanks" dxfId="1653" priority="1566" stopIfTrue="1">
      <formula>LEN(TRIM(B214))=0</formula>
    </cfRule>
    <cfRule type="cellIs" dxfId="1652" priority="1562" operator="between">
      <formula>7</formula>
      <formula>7.9</formula>
    </cfRule>
    <cfRule type="cellIs" dxfId="1651" priority="1561" operator="between">
      <formula>10.1</formula>
      <formula>10.6</formula>
    </cfRule>
    <cfRule type="cellIs" dxfId="1650" priority="1560" operator="between">
      <formula>6</formula>
      <formula>6.9</formula>
    </cfRule>
  </conditionalFormatting>
  <conditionalFormatting sqref="B226">
    <cfRule type="colorScale" priority="1541">
      <colorScale>
        <cfvo type="num" val="5"/>
        <cfvo type="num" val="10"/>
        <color rgb="FFFF494D"/>
        <color rgb="FF00FF66"/>
      </colorScale>
    </cfRule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1649" priority="1503" stopIfTrue="1">
      <formula>LEN(TRIM(B236))=0</formula>
    </cfRule>
    <cfRule type="cellIs" dxfId="1648" priority="1500" stopIfTrue="1" operator="between">
      <formula>8</formula>
      <formula>8.9</formula>
    </cfRule>
    <cfRule type="cellIs" dxfId="1647" priority="1501" operator="between">
      <formula>9</formula>
      <formula>9.9</formula>
    </cfRule>
    <cfRule type="cellIs" dxfId="1646" priority="1497" operator="between">
      <formula>6</formula>
      <formula>6.9</formula>
    </cfRule>
    <cfRule type="cellIs" dxfId="1645" priority="1498" operator="between">
      <formula>10.1</formula>
      <formula>10.6</formula>
    </cfRule>
    <cfRule type="cellIs" dxfId="1644" priority="1499" operator="between">
      <formula>7</formula>
      <formula>7.9</formula>
    </cfRule>
    <cfRule type="cellIs" dxfId="1643" priority="1502" stopIfTrue="1" operator="between">
      <formula>10</formula>
      <formula>10</formula>
    </cfRule>
  </conditionalFormatting>
  <conditionalFormatting sqref="B246">
    <cfRule type="colorScale" priority="1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642" priority="1455" stopIfTrue="1" operator="between">
      <formula>8</formula>
      <formula>8.9</formula>
    </cfRule>
    <cfRule type="cellIs" dxfId="1641" priority="1452" operator="between">
      <formula>6</formula>
      <formula>6.9</formula>
    </cfRule>
    <cfRule type="cellIs" dxfId="1640" priority="1453" operator="between">
      <formula>10.1</formula>
      <formula>10.6</formula>
    </cfRule>
    <cfRule type="cellIs" dxfId="1639" priority="1454" operator="between">
      <formula>7</formula>
      <formula>7.9</formula>
    </cfRule>
    <cfRule type="containsBlanks" dxfId="1638" priority="1458" stopIfTrue="1">
      <formula>LEN(TRIM(B247))=0</formula>
    </cfRule>
    <cfRule type="cellIs" dxfId="1637" priority="1457" stopIfTrue="1" operator="between">
      <formula>10</formula>
      <formula>10</formula>
    </cfRule>
    <cfRule type="cellIs" dxfId="1636" priority="1456" operator="between">
      <formula>9</formula>
      <formula>9.9</formula>
    </cfRule>
  </conditionalFormatting>
  <conditionalFormatting sqref="B260">
    <cfRule type="colorScale" priority="1413">
      <colorScale>
        <cfvo type="num" val="5"/>
        <cfvo type="num" val="10"/>
        <color rgb="FFFF494D"/>
        <color rgb="FF00FF66"/>
      </colorScale>
    </cfRule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635" priority="1414" operator="between">
      <formula>6</formula>
      <formula>6.9</formula>
    </cfRule>
    <cfRule type="cellIs" dxfId="1634" priority="1415" operator="between">
      <formula>10.1</formula>
      <formula>10.6</formula>
    </cfRule>
    <cfRule type="cellIs" dxfId="1633" priority="1416" operator="between">
      <formula>7</formula>
      <formula>7.9</formula>
    </cfRule>
    <cfRule type="containsBlanks" dxfId="1632" priority="1420" stopIfTrue="1">
      <formula>LEN(TRIM(B261))=0</formula>
    </cfRule>
    <cfRule type="cellIs" dxfId="1631" priority="1419" stopIfTrue="1" operator="between">
      <formula>10</formula>
      <formula>10</formula>
    </cfRule>
    <cfRule type="cellIs" dxfId="1630" priority="1418" operator="between">
      <formula>9</formula>
      <formula>9.9</formula>
    </cfRule>
    <cfRule type="cellIs" dxfId="1629" priority="1417" stopIfTrue="1" operator="between">
      <formula>8</formula>
      <formula>8.9</formula>
    </cfRule>
  </conditionalFormatting>
  <conditionalFormatting sqref="B272">
    <cfRule type="colorScale" priority="1371">
      <colorScale>
        <cfvo type="num" val="5"/>
        <cfvo type="num" val="10"/>
        <color rgb="FFFF494D"/>
        <color rgb="FF00FF66"/>
      </colorScale>
    </cfRule>
    <cfRule type="colorScale" priority="13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628" priority="1377" stopIfTrue="1" operator="between">
      <formula>10</formula>
      <formula>10</formula>
    </cfRule>
    <cfRule type="cellIs" dxfId="1627" priority="1372" operator="between">
      <formula>6</formula>
      <formula>6.9</formula>
    </cfRule>
    <cfRule type="containsBlanks" dxfId="1626" priority="1378" stopIfTrue="1">
      <formula>LEN(TRIM(B273))=0</formula>
    </cfRule>
    <cfRule type="cellIs" dxfId="1625" priority="1376" operator="between">
      <formula>9</formula>
      <formula>9.9</formula>
    </cfRule>
    <cfRule type="cellIs" dxfId="1624" priority="1375" stopIfTrue="1" operator="between">
      <formula>8</formula>
      <formula>8.9</formula>
    </cfRule>
    <cfRule type="cellIs" dxfId="1623" priority="1374" operator="between">
      <formula>7</formula>
      <formula>7.9</formula>
    </cfRule>
    <cfRule type="cellIs" dxfId="1622" priority="1373" operator="between">
      <formula>10.1</formula>
      <formula>10.6</formula>
    </cfRule>
  </conditionalFormatting>
  <conditionalFormatting sqref="B279">
    <cfRule type="colorScale" priority="1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621" priority="1326" operator="between">
      <formula>7</formula>
      <formula>7.9</formula>
    </cfRule>
    <cfRule type="cellIs" dxfId="1620" priority="1325" operator="between">
      <formula>10.1</formula>
      <formula>10.6</formula>
    </cfRule>
    <cfRule type="cellIs" dxfId="1619" priority="1327" stopIfTrue="1" operator="between">
      <formula>8</formula>
      <formula>8.9</formula>
    </cfRule>
    <cfRule type="cellIs" dxfId="1618" priority="1328" operator="between">
      <formula>9</formula>
      <formula>9.9</formula>
    </cfRule>
    <cfRule type="cellIs" dxfId="1617" priority="1329" stopIfTrue="1" operator="between">
      <formula>10</formula>
      <formula>10</formula>
    </cfRule>
    <cfRule type="containsBlanks" dxfId="1616" priority="1330" stopIfTrue="1">
      <formula>LEN(TRIM(B280))=0</formula>
    </cfRule>
    <cfRule type="cellIs" dxfId="1615" priority="1324" operator="between">
      <formula>6</formula>
      <formula>6.9</formula>
    </cfRule>
  </conditionalFormatting>
  <conditionalFormatting sqref="B309"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614" priority="1216" stopIfTrue="1" operator="between">
      <formula>8</formula>
      <formula>8.9</formula>
    </cfRule>
    <cfRule type="cellIs" dxfId="1613" priority="1215" operator="between">
      <formula>7</formula>
      <formula>7.9</formula>
    </cfRule>
    <cfRule type="cellIs" dxfId="1612" priority="1213" operator="between">
      <formula>6</formula>
      <formula>6.9</formula>
    </cfRule>
    <cfRule type="cellIs" dxfId="1611" priority="1217" operator="between">
      <formula>9</formula>
      <formula>9.9</formula>
    </cfRule>
    <cfRule type="cellIs" dxfId="1610" priority="1214" operator="between">
      <formula>10.1</formula>
      <formula>10.6</formula>
    </cfRule>
    <cfRule type="cellIs" dxfId="1609" priority="1218" stopIfTrue="1" operator="between">
      <formula>10</formula>
      <formula>10</formula>
    </cfRule>
    <cfRule type="containsBlanks" dxfId="1608" priority="1219" stopIfTrue="1">
      <formula>LEN(TRIM(B310))=0</formula>
    </cfRule>
  </conditionalFormatting>
  <conditionalFormatting sqref="B322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607" priority="1155" stopIfTrue="1" operator="between">
      <formula>10</formula>
      <formula>10</formula>
    </cfRule>
    <cfRule type="cellIs" dxfId="1606" priority="1152" operator="between">
      <formula>7</formula>
      <formula>7.9</formula>
    </cfRule>
    <cfRule type="cellIs" dxfId="1605" priority="1154" operator="between">
      <formula>9</formula>
      <formula>9.9</formula>
    </cfRule>
    <cfRule type="cellIs" dxfId="1604" priority="1153" stopIfTrue="1" operator="between">
      <formula>8</formula>
      <formula>8.9</formula>
    </cfRule>
    <cfRule type="containsBlanks" dxfId="1603" priority="1147" stopIfTrue="1">
      <formula>LEN(TRIM(B323))=0</formula>
    </cfRule>
    <cfRule type="cellIs" dxfId="1602" priority="1151" operator="between">
      <formula>10.1</formula>
      <formula>10.6</formula>
    </cfRule>
    <cfRule type="cellIs" dxfId="1601" priority="1150" operator="between">
      <formula>5</formula>
      <formula>6.9</formula>
    </cfRule>
    <cfRule type="cellIs" dxfId="1600" priority="1149" operator="between">
      <formula>2</formula>
      <formula>4.9</formula>
    </cfRule>
    <cfRule type="cellIs" dxfId="1599" priority="1148" operator="lessThan">
      <formula>2</formula>
    </cfRule>
  </conditionalFormatting>
  <conditionalFormatting sqref="B343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ontainsBlanks" dxfId="1598" priority="1061" stopIfTrue="1">
      <formula>LEN(TRIM(B344))=0</formula>
    </cfRule>
    <cfRule type="cellIs" dxfId="1597" priority="1069" stopIfTrue="1" operator="between">
      <formula>10</formula>
      <formula>10</formula>
    </cfRule>
    <cfRule type="cellIs" dxfId="1596" priority="1068" operator="between">
      <formula>9</formula>
      <formula>9.9</formula>
    </cfRule>
    <cfRule type="cellIs" dxfId="1595" priority="1067" stopIfTrue="1" operator="between">
      <formula>8</formula>
      <formula>8.9</formula>
    </cfRule>
    <cfRule type="cellIs" dxfId="1594" priority="1066" operator="between">
      <formula>7</formula>
      <formula>7.9</formula>
    </cfRule>
    <cfRule type="cellIs" dxfId="1593" priority="1065" operator="between">
      <formula>10.1</formula>
      <formula>10.6</formula>
    </cfRule>
    <cfRule type="cellIs" dxfId="1592" priority="1064" operator="between">
      <formula>5</formula>
      <formula>6.9</formula>
    </cfRule>
    <cfRule type="cellIs" dxfId="1591" priority="1063" operator="between">
      <formula>2</formula>
      <formula>4.9</formula>
    </cfRule>
    <cfRule type="cellIs" dxfId="1590" priority="1062" operator="lessThan">
      <formula>2</formula>
    </cfRule>
  </conditionalFormatting>
  <conditionalFormatting sqref="B360">
    <cfRule type="colorScale" priority="1025">
      <colorScale>
        <cfvo type="num" val="5"/>
        <cfvo type="num" val="10"/>
        <color rgb="FFFF494D"/>
        <color rgb="FF00FF66"/>
      </colorScale>
    </cfRule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589" priority="928" operator="between">
      <formula>10.1</formula>
      <formula>10.6</formula>
    </cfRule>
    <cfRule type="containsBlanks" dxfId="1588" priority="924" stopIfTrue="1">
      <formula>LEN(TRIM(B380))=0</formula>
    </cfRule>
    <cfRule type="cellIs" dxfId="1587" priority="925" operator="lessThan">
      <formula>2</formula>
    </cfRule>
    <cfRule type="cellIs" dxfId="1586" priority="926" operator="between">
      <formula>2</formula>
      <formula>4.9</formula>
    </cfRule>
    <cfRule type="cellIs" dxfId="1585" priority="932" stopIfTrue="1" operator="between">
      <formula>10</formula>
      <formula>10</formula>
    </cfRule>
    <cfRule type="cellIs" dxfId="1584" priority="931" operator="between">
      <formula>9</formula>
      <formula>9.9</formula>
    </cfRule>
    <cfRule type="cellIs" dxfId="1583" priority="927" operator="between">
      <formula>5</formula>
      <formula>6.9</formula>
    </cfRule>
    <cfRule type="cellIs" dxfId="1582" priority="929" operator="between">
      <formula>7</formula>
      <formula>7.9</formula>
    </cfRule>
    <cfRule type="cellIs" dxfId="1581" priority="930" stopIfTrue="1" operator="between">
      <formula>8</formula>
      <formula>8.9</formula>
    </cfRule>
  </conditionalFormatting>
  <conditionalFormatting sqref="B389">
    <cfRule type="colorScale" priority="859">
      <colorScale>
        <cfvo type="num" val="5"/>
        <cfvo type="num" val="10"/>
        <color rgb="FFFF494D"/>
        <color rgb="FF00FF66"/>
      </colorScale>
    </cfRule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580" priority="866" stopIfTrue="1" operator="between">
      <formula>8</formula>
      <formula>8.9</formula>
    </cfRule>
    <cfRule type="containsBlanks" dxfId="1579" priority="860" stopIfTrue="1">
      <formula>LEN(TRIM(B390))=0</formula>
    </cfRule>
    <cfRule type="cellIs" dxfId="1578" priority="868" stopIfTrue="1" operator="between">
      <formula>10</formula>
      <formula>10</formula>
    </cfRule>
    <cfRule type="cellIs" dxfId="1577" priority="867" operator="between">
      <formula>9</formula>
      <formula>9.9</formula>
    </cfRule>
    <cfRule type="cellIs" dxfId="1576" priority="861" operator="lessThan">
      <formula>2</formula>
    </cfRule>
    <cfRule type="cellIs" dxfId="1575" priority="862" operator="between">
      <formula>2</formula>
      <formula>4.9</formula>
    </cfRule>
    <cfRule type="cellIs" dxfId="1574" priority="863" operator="between">
      <formula>5</formula>
      <formula>6.9</formula>
    </cfRule>
    <cfRule type="cellIs" dxfId="1573" priority="864" operator="between">
      <formula>10.1</formula>
      <formula>10.6</formula>
    </cfRule>
    <cfRule type="cellIs" dxfId="1572" priority="865" operator="between">
      <formula>7</formula>
      <formula>7.9</formula>
    </cfRule>
  </conditionalFormatting>
  <conditionalFormatting sqref="B401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571" priority="820" stopIfTrue="1" operator="between">
      <formula>8</formula>
      <formula>8.9</formula>
    </cfRule>
    <cfRule type="cellIs" dxfId="1570" priority="821" operator="between">
      <formula>9</formula>
      <formula>9.9</formula>
    </cfRule>
    <cfRule type="cellIs" dxfId="1569" priority="822" stopIfTrue="1" operator="between">
      <formula>10</formula>
      <formula>10</formula>
    </cfRule>
    <cfRule type="cellIs" dxfId="1568" priority="819" operator="between">
      <formula>7</formula>
      <formula>7.9</formula>
    </cfRule>
    <cfRule type="cellIs" dxfId="1567" priority="818" operator="between">
      <formula>10.1</formula>
      <formula>10.6</formula>
    </cfRule>
    <cfRule type="cellIs" dxfId="1566" priority="817" operator="between">
      <formula>5</formula>
      <formula>6.9</formula>
    </cfRule>
    <cfRule type="cellIs" dxfId="1565" priority="816" operator="between">
      <formula>2</formula>
      <formula>4.9</formula>
    </cfRule>
    <cfRule type="cellIs" dxfId="1564" priority="815" operator="lessThan">
      <formula>2</formula>
    </cfRule>
    <cfRule type="containsBlanks" dxfId="1563" priority="814" stopIfTrue="1">
      <formula>LEN(TRIM(B402))=0</formula>
    </cfRule>
  </conditionalFormatting>
  <conditionalFormatting sqref="B409">
    <cfRule type="colorScale" priority="782">
      <colorScale>
        <cfvo type="num" val="5"/>
        <cfvo type="num" val="10"/>
        <color rgb="FFFF494D"/>
        <color rgb="FF00FF66"/>
      </colorScale>
    </cfRule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562" priority="785" operator="between">
      <formula>2</formula>
      <formula>4.9</formula>
    </cfRule>
    <cfRule type="cellIs" dxfId="1561" priority="790" operator="between">
      <formula>9</formula>
      <formula>9.9</formula>
    </cfRule>
    <cfRule type="cellIs" dxfId="1560" priority="786" operator="between">
      <formula>5</formula>
      <formula>6.9</formula>
    </cfRule>
    <cfRule type="cellIs" dxfId="1559" priority="787" operator="between">
      <formula>10.1</formula>
      <formula>10.6</formula>
    </cfRule>
    <cfRule type="cellIs" dxfId="1558" priority="784" operator="lessThan">
      <formula>2</formula>
    </cfRule>
    <cfRule type="containsBlanks" dxfId="1557" priority="783" stopIfTrue="1">
      <formula>LEN(TRIM(B410))=0</formula>
    </cfRule>
    <cfRule type="cellIs" dxfId="1556" priority="788" operator="between">
      <formula>7</formula>
      <formula>7.9</formula>
    </cfRule>
    <cfRule type="cellIs" dxfId="1555" priority="789" stopIfTrue="1" operator="between">
      <formula>8</formula>
      <formula>8.9</formula>
    </cfRule>
    <cfRule type="cellIs" dxfId="1554" priority="791" stopIfTrue="1" operator="between">
      <formula>10</formula>
      <formula>10</formula>
    </cfRule>
  </conditionalFormatting>
  <conditionalFormatting sqref="B428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553" priority="676" operator="between">
      <formula>10.1</formula>
      <formula>10.6</formula>
    </cfRule>
    <cfRule type="cellIs" dxfId="1552" priority="677" operator="between">
      <formula>7</formula>
      <formula>7.9</formula>
    </cfRule>
    <cfRule type="cellIs" dxfId="1551" priority="679" operator="between">
      <formula>9</formula>
      <formula>9.9</formula>
    </cfRule>
    <cfRule type="cellIs" dxfId="1550" priority="674" operator="between">
      <formula>2</formula>
      <formula>4.9</formula>
    </cfRule>
    <cfRule type="cellIs" dxfId="1549" priority="680" stopIfTrue="1" operator="between">
      <formula>10</formula>
      <formula>10</formula>
    </cfRule>
    <cfRule type="cellIs" dxfId="1548" priority="673" operator="lessThan">
      <formula>2</formula>
    </cfRule>
    <cfRule type="containsBlanks" dxfId="1547" priority="672" stopIfTrue="1">
      <formula>LEN(TRIM(B429))=0</formula>
    </cfRule>
    <cfRule type="cellIs" dxfId="1546" priority="678" stopIfTrue="1" operator="between">
      <formula>8</formula>
      <formula>8.9</formula>
    </cfRule>
    <cfRule type="cellIs" dxfId="1545" priority="675" operator="between">
      <formula>5</formula>
      <formula>6.9</formula>
    </cfRule>
  </conditionalFormatting>
  <conditionalFormatting sqref="B441">
    <cfRule type="colorScale" priority="616">
      <colorScale>
        <cfvo type="num" val="5"/>
        <cfvo type="num" val="10"/>
        <color rgb="FFFF494D"/>
        <color rgb="FF00FF66"/>
      </colorScale>
    </cfRule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544" priority="625" stopIfTrue="1" operator="between">
      <formula>10</formula>
      <formula>10</formula>
    </cfRule>
    <cfRule type="cellIs" dxfId="1543" priority="624" operator="between">
      <formula>9</formula>
      <formula>9.9</formula>
    </cfRule>
    <cfRule type="cellIs" dxfId="1542" priority="623" stopIfTrue="1" operator="between">
      <formula>8</formula>
      <formula>8.9</formula>
    </cfRule>
    <cfRule type="cellIs" dxfId="1541" priority="622" operator="between">
      <formula>7</formula>
      <formula>7.9</formula>
    </cfRule>
    <cfRule type="cellIs" dxfId="1540" priority="621" operator="between">
      <formula>10.1</formula>
      <formula>10.6</formula>
    </cfRule>
    <cfRule type="cellIs" dxfId="1539" priority="620" operator="between">
      <formula>5</formula>
      <formula>6.9</formula>
    </cfRule>
    <cfRule type="cellIs" dxfId="1538" priority="619" operator="between">
      <formula>2</formula>
      <formula>4.9</formula>
    </cfRule>
    <cfRule type="cellIs" dxfId="1537" priority="618" operator="lessThan">
      <formula>2</formula>
    </cfRule>
    <cfRule type="containsBlanks" dxfId="1536" priority="617" stopIfTrue="1">
      <formula>LEN(TRIM(B442))=0</formula>
    </cfRule>
  </conditionalFormatting>
  <conditionalFormatting sqref="B448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535" priority="599" operator="between">
      <formula>10.1</formula>
      <formula>10.6</formula>
    </cfRule>
    <cfRule type="containsBlanks" dxfId="1534" priority="595" stopIfTrue="1">
      <formula>LEN(TRIM(B449))=0</formula>
    </cfRule>
    <cfRule type="cellIs" dxfId="1533" priority="596" operator="lessThan">
      <formula>2</formula>
    </cfRule>
    <cfRule type="cellIs" dxfId="1532" priority="603" stopIfTrue="1" operator="between">
      <formula>10</formula>
      <formula>10</formula>
    </cfRule>
    <cfRule type="cellIs" dxfId="1531" priority="600" operator="between">
      <formula>7</formula>
      <formula>7.9</formula>
    </cfRule>
    <cfRule type="cellIs" dxfId="1530" priority="597" operator="between">
      <formula>2</formula>
      <formula>4.9</formula>
    </cfRule>
    <cfRule type="cellIs" dxfId="1529" priority="598" operator="between">
      <formula>5</formula>
      <formula>6.9</formula>
    </cfRule>
    <cfRule type="cellIs" dxfId="1528" priority="602" operator="between">
      <formula>9</formula>
      <formula>9.9</formula>
    </cfRule>
    <cfRule type="cellIs" dxfId="1527" priority="601" stopIfTrue="1" operator="between">
      <formula>8</formula>
      <formula>8.9</formula>
    </cfRule>
  </conditionalFormatting>
  <conditionalFormatting sqref="B457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526" priority="543" operator="lessThan">
      <formula>2</formula>
    </cfRule>
    <cfRule type="cellIs" dxfId="1525" priority="544" operator="between">
      <formula>2</formula>
      <formula>4.9</formula>
    </cfRule>
    <cfRule type="cellIs" dxfId="1524" priority="545" operator="between">
      <formula>5</formula>
      <formula>6.9</formula>
    </cfRule>
    <cfRule type="cellIs" dxfId="1523" priority="546" operator="between">
      <formula>10.1</formula>
      <formula>10.6</formula>
    </cfRule>
    <cfRule type="cellIs" dxfId="1522" priority="547" operator="between">
      <formula>7</formula>
      <formula>7.9</formula>
    </cfRule>
    <cfRule type="containsBlanks" dxfId="1521" priority="542" stopIfTrue="1">
      <formula>LEN(TRIM(B458))=0</formula>
    </cfRule>
    <cfRule type="cellIs" dxfId="1520" priority="550" stopIfTrue="1" operator="between">
      <formula>10</formula>
      <formula>10</formula>
    </cfRule>
    <cfRule type="cellIs" dxfId="1519" priority="549" operator="between">
      <formula>9</formula>
      <formula>9.9</formula>
    </cfRule>
    <cfRule type="cellIs" dxfId="1518" priority="548" stopIfTrue="1" operator="between">
      <formula>8</formula>
      <formula>8.9</formula>
    </cfRule>
  </conditionalFormatting>
  <conditionalFormatting sqref="B473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517" priority="488" operator="lessThan">
      <formula>2</formula>
    </cfRule>
    <cfRule type="cellIs" dxfId="1516" priority="491" operator="between">
      <formula>10.1</formula>
      <formula>10.6</formula>
    </cfRule>
    <cfRule type="cellIs" dxfId="1515" priority="490" operator="between">
      <formula>5</formula>
      <formula>6.9</formula>
    </cfRule>
    <cfRule type="cellIs" dxfId="1514" priority="489" operator="between">
      <formula>2</formula>
      <formula>4.9</formula>
    </cfRule>
    <cfRule type="cellIs" dxfId="1513" priority="495" stopIfTrue="1" operator="between">
      <formula>10</formula>
      <formula>10</formula>
    </cfRule>
    <cfRule type="cellIs" dxfId="1512" priority="494" operator="between">
      <formula>9</formula>
      <formula>9.9</formula>
    </cfRule>
    <cfRule type="cellIs" dxfId="1511" priority="493" stopIfTrue="1" operator="between">
      <formula>8</formula>
      <formula>8.9</formula>
    </cfRule>
    <cfRule type="cellIs" dxfId="1510" priority="492" operator="between">
      <formula>7</formula>
      <formula>7.9</formula>
    </cfRule>
    <cfRule type="containsBlanks" dxfId="1509" priority="487" stopIfTrue="1">
      <formula>LEN(TRIM(B474))=0</formula>
    </cfRule>
  </conditionalFormatting>
  <conditionalFormatting sqref="B487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508" priority="449" stopIfTrue="1" operator="between">
      <formula>8</formula>
      <formula>8.9</formula>
    </cfRule>
    <cfRule type="cellIs" dxfId="1507" priority="448" operator="between">
      <formula>7</formula>
      <formula>7.9</formula>
    </cfRule>
    <cfRule type="cellIs" dxfId="1506" priority="447" operator="between">
      <formula>10.1</formula>
      <formula>10.6</formula>
    </cfRule>
    <cfRule type="cellIs" dxfId="1505" priority="450" operator="between">
      <formula>9</formula>
      <formula>9.9</formula>
    </cfRule>
    <cfRule type="cellIs" dxfId="1504" priority="451" stopIfTrue="1" operator="between">
      <formula>10</formula>
      <formula>10</formula>
    </cfRule>
    <cfRule type="cellIs" dxfId="1503" priority="446" operator="between">
      <formula>5</formula>
      <formula>6.9</formula>
    </cfRule>
    <cfRule type="cellIs" dxfId="1502" priority="445" operator="between">
      <formula>2</formula>
      <formula>4.9</formula>
    </cfRule>
    <cfRule type="cellIs" dxfId="1501" priority="444" operator="lessThan">
      <formula>2</formula>
    </cfRule>
    <cfRule type="containsBlanks" dxfId="1500" priority="443" stopIfTrue="1">
      <formula>LEN(TRIM(B488))=0</formula>
    </cfRule>
  </conditionalFormatting>
  <conditionalFormatting sqref="B503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499" priority="352" stopIfTrue="1" operator="between">
      <formula>10</formula>
      <formula>10</formula>
    </cfRule>
    <cfRule type="cellIs" dxfId="1498" priority="351" operator="between">
      <formula>9</formula>
      <formula>9.9</formula>
    </cfRule>
    <cfRule type="cellIs" dxfId="1497" priority="350" stopIfTrue="1" operator="between">
      <formula>8</formula>
      <formula>8.9</formula>
    </cfRule>
    <cfRule type="cellIs" dxfId="1496" priority="349" operator="between">
      <formula>7</formula>
      <formula>7.9</formula>
    </cfRule>
    <cfRule type="cellIs" dxfId="1495" priority="347" operator="between">
      <formula>5</formula>
      <formula>6.9</formula>
    </cfRule>
    <cfRule type="cellIs" dxfId="1494" priority="346" operator="between">
      <formula>2</formula>
      <formula>4.9</formula>
    </cfRule>
    <cfRule type="cellIs" dxfId="1493" priority="345" operator="lessThan">
      <formula>2</formula>
    </cfRule>
    <cfRule type="containsBlanks" dxfId="1492" priority="344" stopIfTrue="1">
      <formula>LEN(TRIM(B504))=0</formula>
    </cfRule>
    <cfRule type="cellIs" dxfId="1491" priority="348" operator="between">
      <formula>10.1</formula>
      <formula>10.6</formula>
    </cfRule>
  </conditionalFormatting>
  <conditionalFormatting sqref="B515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490" priority="299" operator="lessThan">
      <formula>2</formula>
    </cfRule>
    <cfRule type="cellIs" dxfId="1489" priority="300" operator="between">
      <formula>2</formula>
      <formula>4.9</formula>
    </cfRule>
    <cfRule type="cellIs" dxfId="1488" priority="301" operator="between">
      <formula>5</formula>
      <formula>6.9</formula>
    </cfRule>
    <cfRule type="cellIs" dxfId="1487" priority="302" operator="between">
      <formula>10.1</formula>
      <formula>10.6</formula>
    </cfRule>
    <cfRule type="cellIs" dxfId="1486" priority="303" operator="between">
      <formula>7</formula>
      <formula>7.9</formula>
    </cfRule>
    <cfRule type="cellIs" dxfId="1485" priority="304" stopIfTrue="1" operator="between">
      <formula>8</formula>
      <formula>8.9</formula>
    </cfRule>
    <cfRule type="cellIs" dxfId="1484" priority="305" operator="between">
      <formula>9</formula>
      <formula>9.9</formula>
    </cfRule>
    <cfRule type="cellIs" dxfId="1483" priority="306" stopIfTrue="1" operator="between">
      <formula>10</formula>
      <formula>10</formula>
    </cfRule>
    <cfRule type="containsBlanks" dxfId="1482" priority="298" stopIfTrue="1">
      <formula>LEN(TRIM(B516))=0</formula>
    </cfRule>
  </conditionalFormatting>
  <conditionalFormatting sqref="B524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481" priority="275" stopIfTrue="1" operator="between">
      <formula>10</formula>
      <formula>10</formula>
    </cfRule>
    <cfRule type="cellIs" dxfId="1480" priority="274" operator="between">
      <formula>9</formula>
      <formula>9.9</formula>
    </cfRule>
    <cfRule type="cellIs" dxfId="1479" priority="273" stopIfTrue="1" operator="between">
      <formula>8</formula>
      <formula>8.9</formula>
    </cfRule>
    <cfRule type="cellIs" dxfId="1478" priority="272" operator="between">
      <formula>7</formula>
      <formula>7.9</formula>
    </cfRule>
    <cfRule type="cellIs" dxfId="1477" priority="271" operator="between">
      <formula>10.1</formula>
      <formula>10.6</formula>
    </cfRule>
    <cfRule type="cellIs" dxfId="1476" priority="270" operator="between">
      <formula>5</formula>
      <formula>6.9</formula>
    </cfRule>
    <cfRule type="cellIs" dxfId="1475" priority="269" operator="between">
      <formula>2</formula>
      <formula>4.9</formula>
    </cfRule>
    <cfRule type="cellIs" dxfId="1474" priority="268" operator="lessThan">
      <formula>2</formula>
    </cfRule>
    <cfRule type="containsBlanks" dxfId="1473" priority="267" stopIfTrue="1">
      <formula>LEN(TRIM(B525))=0</formula>
    </cfRule>
  </conditionalFormatting>
  <conditionalFormatting sqref="B543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472" priority="195" operator="between">
      <formula>7</formula>
      <formula>7.9</formula>
    </cfRule>
    <cfRule type="cellIs" dxfId="1471" priority="196" stopIfTrue="1" operator="between">
      <formula>8</formula>
      <formula>8.9</formula>
    </cfRule>
    <cfRule type="cellIs" dxfId="1470" priority="197" operator="between">
      <formula>9</formula>
      <formula>9.9</formula>
    </cfRule>
    <cfRule type="cellIs" dxfId="1469" priority="198" stopIfTrue="1" operator="between">
      <formula>10</formula>
      <formula>10</formula>
    </cfRule>
    <cfRule type="cellIs" dxfId="1468" priority="194" operator="between">
      <formula>10.1</formula>
      <formula>10.6</formula>
    </cfRule>
    <cfRule type="cellIs" dxfId="1467" priority="193" operator="between">
      <formula>5</formula>
      <formula>6.9</formula>
    </cfRule>
    <cfRule type="cellIs" dxfId="1466" priority="192" operator="between">
      <formula>2</formula>
      <formula>4.9</formula>
    </cfRule>
    <cfRule type="containsBlanks" dxfId="1465" priority="190" stopIfTrue="1">
      <formula>LEN(TRIM(B544))=0</formula>
    </cfRule>
    <cfRule type="cellIs" dxfId="1464" priority="191" operator="lessThan">
      <formula>2</formula>
    </cfRule>
  </conditionalFormatting>
  <conditionalFormatting sqref="B555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1463" priority="143" stopIfTrue="1" operator="between">
      <formula>10</formula>
      <formula>10</formula>
    </cfRule>
    <cfRule type="cellIs" dxfId="1462" priority="142" operator="between">
      <formula>9</formula>
      <formula>9.9</formula>
    </cfRule>
    <cfRule type="cellIs" dxfId="1461" priority="141" stopIfTrue="1" operator="between">
      <formula>8</formula>
      <formula>8.9</formula>
    </cfRule>
    <cfRule type="cellIs" dxfId="1460" priority="140" operator="between">
      <formula>7</formula>
      <formula>7.9</formula>
    </cfRule>
    <cfRule type="cellIs" dxfId="1459" priority="139" operator="between">
      <formula>10.1</formula>
      <formula>10.6</formula>
    </cfRule>
    <cfRule type="cellIs" dxfId="1458" priority="138" operator="between">
      <formula>5</formula>
      <formula>6.9</formula>
    </cfRule>
    <cfRule type="cellIs" dxfId="1457" priority="137" operator="between">
      <formula>2</formula>
      <formula>4.9</formula>
    </cfRule>
    <cfRule type="cellIs" dxfId="1456" priority="136" operator="lessThan">
      <formula>2</formula>
    </cfRule>
    <cfRule type="containsBlanks" dxfId="1455" priority="135" stopIfTrue="1">
      <formula>LEN(TRIM(B556))=0</formula>
    </cfRule>
  </conditionalFormatting>
  <conditionalFormatting sqref="B561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454" priority="111" stopIfTrue="1">
      <formula>LEN(TRIM(B562))=0</formula>
    </cfRule>
    <cfRule type="cellIs" dxfId="1453" priority="119" stopIfTrue="1" operator="between">
      <formula>10</formula>
      <formula>10</formula>
    </cfRule>
    <cfRule type="cellIs" dxfId="1452" priority="114" operator="between">
      <formula>5</formula>
      <formula>6.9</formula>
    </cfRule>
    <cfRule type="cellIs" dxfId="1451" priority="113" operator="between">
      <formula>2</formula>
      <formula>4.9</formula>
    </cfRule>
    <cfRule type="cellIs" dxfId="1450" priority="115" operator="between">
      <formula>10.1</formula>
      <formula>10.6</formula>
    </cfRule>
    <cfRule type="cellIs" dxfId="1449" priority="117" stopIfTrue="1" operator="between">
      <formula>8</formula>
      <formula>8.9</formula>
    </cfRule>
    <cfRule type="cellIs" dxfId="1448" priority="118" operator="between">
      <formula>9</formula>
      <formula>9.9</formula>
    </cfRule>
    <cfRule type="cellIs" dxfId="1447" priority="112" operator="lessThan">
      <formula>2</formula>
    </cfRule>
    <cfRule type="cellIs" dxfId="1446" priority="116" operator="between">
      <formula>7</formula>
      <formula>7.9</formula>
    </cfRule>
  </conditionalFormatting>
  <conditionalFormatting sqref="E3:E12">
    <cfRule type="cellIs" dxfId="1445" priority="2280" stopIfTrue="1" operator="between">
      <formula>8</formula>
      <formula>8.9</formula>
    </cfRule>
    <cfRule type="cellIs" dxfId="1444" priority="2279" operator="between">
      <formula>7</formula>
      <formula>7.9</formula>
    </cfRule>
    <cfRule type="cellIs" dxfId="1443" priority="2278" operator="between">
      <formula>10.1</formula>
      <formula>10.6</formula>
    </cfRule>
    <cfRule type="cellIs" dxfId="1442" priority="2281" operator="between">
      <formula>9</formula>
      <formula>9.9</formula>
    </cfRule>
    <cfRule type="cellIs" dxfId="1441" priority="2282" stopIfTrue="1" operator="between">
      <formula>10</formula>
      <formula>10</formula>
    </cfRule>
    <cfRule type="containsBlanks" dxfId="1440" priority="2283" stopIfTrue="1">
      <formula>LEN(TRIM(E3))=0</formula>
    </cfRule>
  </conditionalFormatting>
  <conditionalFormatting sqref="E15:E28">
    <cfRule type="containsBlanks" dxfId="1439" priority="1592" stopIfTrue="1">
      <formula>LEN(TRIM(E15))=0</formula>
    </cfRule>
    <cfRule type="cellIs" dxfId="1438" priority="1591" stopIfTrue="1" operator="between">
      <formula>10</formula>
      <formula>10</formula>
    </cfRule>
    <cfRule type="cellIs" dxfId="1437" priority="1590" operator="between">
      <formula>9</formula>
      <formula>9.9</formula>
    </cfRule>
    <cfRule type="cellIs" dxfId="1436" priority="1589" stopIfTrue="1" operator="between">
      <formula>8</formula>
      <formula>8.9</formula>
    </cfRule>
    <cfRule type="cellIs" dxfId="1435" priority="1588" operator="between">
      <formula>7</formula>
      <formula>7.9</formula>
    </cfRule>
  </conditionalFormatting>
  <conditionalFormatting sqref="E16">
    <cfRule type="cellIs" dxfId="1434" priority="1587" operator="between">
      <formula>10.1</formula>
      <formula>10.6</formula>
    </cfRule>
  </conditionalFormatting>
  <conditionalFormatting sqref="E31:E37">
    <cfRule type="cellIs" dxfId="1433" priority="2246" stopIfTrue="1" operator="between">
      <formula>10</formula>
      <formula>10</formula>
    </cfRule>
    <cfRule type="cellIs" dxfId="1432" priority="2244" stopIfTrue="1" operator="between">
      <formula>8</formula>
      <formula>8.9</formula>
    </cfRule>
    <cfRule type="containsBlanks" dxfId="1431" priority="2247" stopIfTrue="1">
      <formula>LEN(TRIM(E31))=0</formula>
    </cfRule>
    <cfRule type="cellIs" dxfId="1430" priority="2243" operator="between">
      <formula>7</formula>
      <formula>7.9</formula>
    </cfRule>
    <cfRule type="cellIs" dxfId="1429" priority="2245" operator="between">
      <formula>9</formula>
      <formula>9.9</formula>
    </cfRule>
    <cfRule type="cellIs" dxfId="1428" priority="2242" operator="between">
      <formula>10.1</formula>
      <formula>10.6</formula>
    </cfRule>
  </conditionalFormatting>
  <conditionalFormatting sqref="E39">
    <cfRule type="colorScale" priority="2643">
      <colorScale>
        <cfvo type="num" val="5"/>
        <cfvo type="num" val="10"/>
        <color rgb="FFFF494D"/>
        <color rgb="FF00FF66"/>
      </colorScale>
    </cfRule>
    <cfRule type="colorScale" priority="26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427" priority="2357" stopIfTrue="1" operator="between">
      <formula>10</formula>
      <formula>10</formula>
    </cfRule>
    <cfRule type="cellIs" dxfId="1426" priority="2356" operator="between">
      <formula>9</formula>
      <formula>9.9</formula>
    </cfRule>
    <cfRule type="cellIs" dxfId="1425" priority="2355" stopIfTrue="1" operator="between">
      <formula>8</formula>
      <formula>8.9</formula>
    </cfRule>
    <cfRule type="cellIs" dxfId="1424" priority="2354" operator="between">
      <formula>7</formula>
      <formula>7.9</formula>
    </cfRule>
  </conditionalFormatting>
  <conditionalFormatting sqref="E54">
    <cfRule type="colorScale" priority="2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423" priority="2225" operator="between">
      <formula>7</formula>
      <formula>7.9</formula>
    </cfRule>
    <cfRule type="containsBlanks" dxfId="1422" priority="2229" stopIfTrue="1">
      <formula>LEN(TRIM(E55))=0</formula>
    </cfRule>
    <cfRule type="cellIs" dxfId="1421" priority="2224" operator="between">
      <formula>10.1</formula>
      <formula>10.6</formula>
    </cfRule>
    <cfRule type="cellIs" dxfId="1420" priority="2228" stopIfTrue="1" operator="between">
      <formula>10</formula>
      <formula>10</formula>
    </cfRule>
    <cfRule type="cellIs" dxfId="1419" priority="2227" operator="between">
      <formula>9</formula>
      <formula>9.9</formula>
    </cfRule>
    <cfRule type="cellIs" dxfId="1418" priority="2226" stopIfTrue="1" operator="between">
      <formula>8</formula>
      <formula>8.9</formula>
    </cfRule>
  </conditionalFormatting>
  <conditionalFormatting sqref="E65">
    <cfRule type="colorScale" priority="2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6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417" priority="2160" operator="between">
      <formula>9</formula>
      <formula>9.9</formula>
    </cfRule>
    <cfRule type="cellIs" dxfId="1416" priority="2161" stopIfTrue="1" operator="between">
      <formula>10</formula>
      <formula>10</formula>
    </cfRule>
    <cfRule type="containsBlanks" dxfId="1415" priority="2162" stopIfTrue="1">
      <formula>LEN(TRIM(E66))=0</formula>
    </cfRule>
    <cfRule type="cellIs" dxfId="1414" priority="2159" stopIfTrue="1" operator="between">
      <formula>8</formula>
      <formula>8.9</formula>
    </cfRule>
    <cfRule type="cellIs" dxfId="1413" priority="2158" operator="between">
      <formula>7</formula>
      <formula>7.9</formula>
    </cfRule>
    <cfRule type="cellIs" dxfId="1412" priority="2157" operator="between">
      <formula>10.1</formula>
      <formula>10.6</formula>
    </cfRule>
  </conditionalFormatting>
  <conditionalFormatting sqref="E80">
    <cfRule type="colorScale" priority="2085">
      <colorScale>
        <cfvo type="num" val="5"/>
        <cfvo type="num" val="10"/>
        <color rgb="FFFF494D"/>
        <color rgb="FF00FF66"/>
      </colorScale>
    </cfRule>
    <cfRule type="colorScale" priority="20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411" priority="2078" operator="between">
      <formula>10.1</formula>
      <formula>10.6</formula>
    </cfRule>
    <cfRule type="cellIs" dxfId="1410" priority="2079" operator="between">
      <formula>7</formula>
      <formula>7.9</formula>
    </cfRule>
    <cfRule type="cellIs" dxfId="1409" priority="2080" stopIfTrue="1" operator="between">
      <formula>8</formula>
      <formula>8.9</formula>
    </cfRule>
    <cfRule type="cellIs" dxfId="1408" priority="2081" operator="between">
      <formula>9</formula>
      <formula>9.9</formula>
    </cfRule>
    <cfRule type="cellIs" dxfId="1407" priority="2082" stopIfTrue="1" operator="between">
      <formula>10</formula>
      <formula>10</formula>
    </cfRule>
    <cfRule type="containsBlanks" dxfId="1406" priority="2083" stopIfTrue="1">
      <formula>LEN(TRIM(E81))=0</formula>
    </cfRule>
  </conditionalFormatting>
  <conditionalFormatting sqref="E101">
    <cfRule type="colorScale" priority="1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405" priority="2003" operator="between">
      <formula>9</formula>
      <formula>9.9</formula>
    </cfRule>
    <cfRule type="cellIs" dxfId="1404" priority="2004" stopIfTrue="1" operator="between">
      <formula>10</formula>
      <formula>10</formula>
    </cfRule>
    <cfRule type="containsBlanks" dxfId="1403" priority="2005" stopIfTrue="1">
      <formula>LEN(TRIM(E102))=0</formula>
    </cfRule>
    <cfRule type="cellIs" dxfId="1402" priority="2000" operator="between">
      <formula>10.1</formula>
      <formula>10.6</formula>
    </cfRule>
    <cfRule type="cellIs" dxfId="1401" priority="2001" operator="between">
      <formula>7</formula>
      <formula>7.9</formula>
    </cfRule>
    <cfRule type="cellIs" dxfId="1400" priority="2002" stopIfTrue="1" operator="between">
      <formula>8</formula>
      <formula>8.9</formula>
    </cfRule>
  </conditionalFormatting>
  <conditionalFormatting sqref="E117">
    <cfRule type="colorScale" priority="19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1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399" priority="1938" stopIfTrue="1" operator="between">
      <formula>10</formula>
      <formula>10</formula>
    </cfRule>
    <cfRule type="cellIs" dxfId="1398" priority="1935" operator="between">
      <formula>7</formula>
      <formula>7.9</formula>
    </cfRule>
    <cfRule type="cellIs" dxfId="1397" priority="1937" operator="between">
      <formula>9</formula>
      <formula>9.9</formula>
    </cfRule>
    <cfRule type="cellIs" dxfId="1396" priority="1936" stopIfTrue="1" operator="between">
      <formula>8</formula>
      <formula>8.9</formula>
    </cfRule>
    <cfRule type="cellIs" dxfId="1395" priority="1933" operator="between">
      <formula>6</formula>
      <formula>6.9</formula>
    </cfRule>
    <cfRule type="cellIs" dxfId="1394" priority="1934" operator="between">
      <formula>10.1</formula>
      <formula>10.6</formula>
    </cfRule>
    <cfRule type="containsBlanks" dxfId="1393" priority="1939" stopIfTrue="1">
      <formula>LEN(TRIM(E118))=0</formula>
    </cfRule>
  </conditionalFormatting>
  <conditionalFormatting sqref="E128">
    <cfRule type="colorScale" priority="19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8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ontainsBlanks" dxfId="1392" priority="1906" stopIfTrue="1">
      <formula>LEN(TRIM(E129))=0</formula>
    </cfRule>
    <cfRule type="cellIs" dxfId="1391" priority="1900" operator="between">
      <formula>6</formula>
      <formula>6.9</formula>
    </cfRule>
    <cfRule type="cellIs" dxfId="1390" priority="1901" operator="between">
      <formula>10.1</formula>
      <formula>10.6</formula>
    </cfRule>
    <cfRule type="cellIs" dxfId="1389" priority="1902" operator="between">
      <formula>7</formula>
      <formula>7.9</formula>
    </cfRule>
    <cfRule type="cellIs" dxfId="1388" priority="1905" stopIfTrue="1" operator="between">
      <formula>10</formula>
      <formula>10</formula>
    </cfRule>
    <cfRule type="cellIs" dxfId="1387" priority="1903" stopIfTrue="1" operator="between">
      <formula>8</formula>
      <formula>8.9</formula>
    </cfRule>
    <cfRule type="cellIs" dxfId="1386" priority="1904" operator="between">
      <formula>9</formula>
      <formula>9.9</formula>
    </cfRule>
  </conditionalFormatting>
  <conditionalFormatting sqref="E146">
    <cfRule type="colorScale" priority="1821">
      <colorScale>
        <cfvo type="num" val="5"/>
        <cfvo type="num" val="10"/>
        <color rgb="FFFF494D"/>
        <color rgb="FF00FF66"/>
      </colorScale>
    </cfRule>
    <cfRule type="colorScale" priority="18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385" priority="1816" stopIfTrue="1" operator="between">
      <formula>8</formula>
      <formula>8.9</formula>
    </cfRule>
    <cfRule type="cellIs" dxfId="1384" priority="1815" operator="between">
      <formula>7</formula>
      <formula>7.9</formula>
    </cfRule>
    <cfRule type="cellIs" dxfId="1383" priority="1817" operator="between">
      <formula>9</formula>
      <formula>9.9</formula>
    </cfRule>
    <cfRule type="cellIs" dxfId="1382" priority="1818" stopIfTrue="1" operator="between">
      <formula>10</formula>
      <formula>10</formula>
    </cfRule>
    <cfRule type="containsBlanks" dxfId="1381" priority="1819" stopIfTrue="1">
      <formula>LEN(TRIM(E147))=0</formula>
    </cfRule>
    <cfRule type="cellIs" dxfId="1380" priority="1814" operator="between">
      <formula>10.1</formula>
      <formula>10.6</formula>
    </cfRule>
    <cfRule type="cellIs" dxfId="1379" priority="1813" operator="between">
      <formula>6</formula>
      <formula>6.9</formula>
    </cfRule>
  </conditionalFormatting>
  <conditionalFormatting sqref="E161"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378" priority="1778" operator="between">
      <formula>10.1</formula>
      <formula>10.6</formula>
    </cfRule>
    <cfRule type="cellIs" dxfId="1377" priority="1777" operator="between">
      <formula>6</formula>
      <formula>6.9</formula>
    </cfRule>
    <cfRule type="cellIs" dxfId="1376" priority="1779" operator="between">
      <formula>7</formula>
      <formula>7.9</formula>
    </cfRule>
    <cfRule type="cellIs" dxfId="1375" priority="1780" stopIfTrue="1" operator="between">
      <formula>8</formula>
      <formula>8.9</formula>
    </cfRule>
    <cfRule type="cellIs" dxfId="1374" priority="1781" operator="between">
      <formula>9</formula>
      <formula>9.9</formula>
    </cfRule>
    <cfRule type="cellIs" dxfId="1373" priority="1782" stopIfTrue="1" operator="between">
      <formula>10</formula>
      <formula>10</formula>
    </cfRule>
    <cfRule type="containsBlanks" dxfId="1372" priority="1783" stopIfTrue="1">
      <formula>LEN(TRIM(E162))=0</formula>
    </cfRule>
  </conditionalFormatting>
  <conditionalFormatting sqref="E172">
    <cfRule type="colorScale" priority="1740">
      <colorScale>
        <cfvo type="num" val="5"/>
        <cfvo type="num" val="10"/>
        <color rgb="FFFF494D"/>
        <color rgb="FF00FF66"/>
      </colorScale>
    </cfRule>
    <cfRule type="colorScale" priority="17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371" priority="1732" operator="between">
      <formula>6</formula>
      <formula>6.9</formula>
    </cfRule>
    <cfRule type="cellIs" dxfId="1370" priority="1733" operator="between">
      <formula>10.1</formula>
      <formula>10.6</formula>
    </cfRule>
    <cfRule type="containsBlanks" dxfId="1369" priority="1738" stopIfTrue="1">
      <formula>LEN(TRIM(E173))=0</formula>
    </cfRule>
    <cfRule type="cellIs" dxfId="1368" priority="1737" stopIfTrue="1" operator="between">
      <formula>10</formula>
      <formula>10</formula>
    </cfRule>
    <cfRule type="cellIs" dxfId="1367" priority="1736" operator="between">
      <formula>9</formula>
      <formula>9.9</formula>
    </cfRule>
    <cfRule type="cellIs" dxfId="1366" priority="1734" operator="between">
      <formula>7</formula>
      <formula>7.9</formula>
    </cfRule>
    <cfRule type="cellIs" dxfId="1365" priority="1735" stopIfTrue="1" operator="between">
      <formula>8</formula>
      <formula>8.9</formula>
    </cfRule>
  </conditionalFormatting>
  <conditionalFormatting sqref="E186">
    <cfRule type="colorScale" priority="1678">
      <colorScale>
        <cfvo type="num" val="5"/>
        <cfvo type="num" val="10"/>
        <color rgb="FFFF494D"/>
        <color rgb="FF00FF66"/>
      </colorScale>
    </cfRule>
    <cfRule type="colorScale" priority="16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364" priority="1674" operator="between">
      <formula>9</formula>
      <formula>9.9</formula>
    </cfRule>
    <cfRule type="cellIs" dxfId="1363" priority="1673" stopIfTrue="1" operator="between">
      <formula>8</formula>
      <formula>8.9</formula>
    </cfRule>
    <cfRule type="cellIs" dxfId="1362" priority="1675" stopIfTrue="1" operator="between">
      <formula>10</formula>
      <formula>10</formula>
    </cfRule>
    <cfRule type="containsBlanks" dxfId="1361" priority="1676" stopIfTrue="1">
      <formula>LEN(TRIM(E187))=0</formula>
    </cfRule>
    <cfRule type="cellIs" dxfId="1360" priority="1670" operator="between">
      <formula>6</formula>
      <formula>6.9</formula>
    </cfRule>
    <cfRule type="cellIs" dxfId="1359" priority="1671" operator="between">
      <formula>10.1</formula>
      <formula>10.6</formula>
    </cfRule>
    <cfRule type="cellIs" dxfId="1358" priority="1672" operator="between">
      <formula>7</formula>
      <formula>7.9</formula>
    </cfRule>
  </conditionalFormatting>
  <conditionalFormatting sqref="E201">
    <cfRule type="colorScale" priority="1624">
      <colorScale>
        <cfvo type="num" val="5"/>
        <cfvo type="num" val="10"/>
        <color rgb="FFFF494D"/>
        <color rgb="FF00FF66"/>
      </colorScale>
    </cfRule>
    <cfRule type="colorScale" priority="16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ontainsBlanks" dxfId="1357" priority="1622" stopIfTrue="1">
      <formula>LEN(TRIM(E202))=0</formula>
    </cfRule>
    <cfRule type="cellIs" dxfId="1356" priority="1621" stopIfTrue="1" operator="between">
      <formula>10</formula>
      <formula>10</formula>
    </cfRule>
    <cfRule type="cellIs" dxfId="1355" priority="1620" operator="between">
      <formula>9</formula>
      <formula>9.9</formula>
    </cfRule>
    <cfRule type="cellIs" dxfId="1354" priority="1619" stopIfTrue="1" operator="between">
      <formula>8</formula>
      <formula>8.9</formula>
    </cfRule>
    <cfRule type="cellIs" dxfId="1353" priority="1618" operator="between">
      <formula>7</formula>
      <formula>7.9</formula>
    </cfRule>
    <cfRule type="cellIs" dxfId="1352" priority="1617" operator="between">
      <formula>10.1</formula>
      <formula>11</formula>
    </cfRule>
    <cfRule type="cellIs" dxfId="1351" priority="1616" operator="between">
      <formula>6</formula>
      <formula>6.9</formula>
    </cfRule>
  </conditionalFormatting>
  <conditionalFormatting sqref="E213">
    <cfRule type="colorScale" priority="1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350" priority="1573" operator="between">
      <formula>7</formula>
      <formula>7.9</formula>
    </cfRule>
    <cfRule type="containsBlanks" dxfId="1349" priority="1577" stopIfTrue="1">
      <formula>LEN(TRIM(E214))=0</formula>
    </cfRule>
    <cfRule type="cellIs" dxfId="1348" priority="1576" stopIfTrue="1" operator="between">
      <formula>10</formula>
      <formula>10</formula>
    </cfRule>
    <cfRule type="cellIs" dxfId="1347" priority="1575" operator="between">
      <formula>9</formula>
      <formula>9.9</formula>
    </cfRule>
    <cfRule type="cellIs" dxfId="1346" priority="1574" stopIfTrue="1" operator="between">
      <formula>8</formula>
      <formula>8.9</formula>
    </cfRule>
    <cfRule type="cellIs" dxfId="1345" priority="1572" operator="between">
      <formula>10.1</formula>
      <formula>10.6</formula>
    </cfRule>
    <cfRule type="cellIs" dxfId="1344" priority="1571" operator="between">
      <formula>6</formula>
      <formula>6.9</formula>
    </cfRule>
  </conditionalFormatting>
  <conditionalFormatting sqref="E229">
    <cfRule type="colorScale" priority="1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9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343" priority="1535" operator="between">
      <formula>9</formula>
      <formula>9.9</formula>
    </cfRule>
    <cfRule type="containsBlanks" dxfId="1342" priority="1537" stopIfTrue="1">
      <formula>LEN(TRIM(E230))=0</formula>
    </cfRule>
    <cfRule type="cellIs" dxfId="1341" priority="1536" stopIfTrue="1" operator="between">
      <formula>10</formula>
      <formula>10</formula>
    </cfRule>
    <cfRule type="cellIs" dxfId="1340" priority="1531" operator="between">
      <formula>6</formula>
      <formula>6.9</formula>
    </cfRule>
    <cfRule type="cellIs" dxfId="1339" priority="1532" operator="between">
      <formula>10.1</formula>
      <formula>10.6</formula>
    </cfRule>
    <cfRule type="cellIs" dxfId="1338" priority="1533" operator="between">
      <formula>7</formula>
      <formula>7.9</formula>
    </cfRule>
    <cfRule type="cellIs" dxfId="1337" priority="1534" stopIfTrue="1" operator="between">
      <formula>8</formula>
      <formula>8.9</formula>
    </cfRule>
  </conditionalFormatting>
  <conditionalFormatting sqref="E237">
    <cfRule type="colorScale" priority="1489">
      <colorScale>
        <cfvo type="num" val="5"/>
        <cfvo type="num" val="10"/>
        <color rgb="FFFF494D"/>
        <color rgb="FF00FF66"/>
      </colorScale>
    </cfRule>
    <cfRule type="colorScale" priority="14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336" priority="1493" stopIfTrue="1" operator="between">
      <formula>8</formula>
      <formula>8.9</formula>
    </cfRule>
    <cfRule type="cellIs" dxfId="1335" priority="1494" operator="between">
      <formula>9</formula>
      <formula>9.9</formula>
    </cfRule>
    <cfRule type="cellIs" dxfId="1334" priority="1495" stopIfTrue="1" operator="between">
      <formula>10</formula>
      <formula>10</formula>
    </cfRule>
    <cfRule type="containsBlanks" dxfId="1333" priority="1496" stopIfTrue="1">
      <formula>LEN(TRIM(E238))=0</formula>
    </cfRule>
    <cfRule type="cellIs" dxfId="1332" priority="1490" operator="between">
      <formula>6</formula>
      <formula>6.9</formula>
    </cfRule>
    <cfRule type="cellIs" dxfId="1331" priority="1491" operator="between">
      <formula>10.1</formula>
      <formula>10.6</formula>
    </cfRule>
    <cfRule type="cellIs" dxfId="1330" priority="1492" operator="between">
      <formula>7</formula>
      <formula>7.9</formula>
    </cfRule>
  </conditionalFormatting>
  <conditionalFormatting sqref="E254">
    <cfRule type="colorScale" priority="1433">
      <colorScale>
        <cfvo type="num" val="5"/>
        <cfvo type="num" val="10"/>
        <color rgb="FFFF494D"/>
        <color rgb="FF00FF66"/>
      </colorScale>
    </cfRule>
    <cfRule type="colorScale" priority="14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329" priority="1396" operator="between">
      <formula>6</formula>
      <formula>6.9</formula>
    </cfRule>
    <cfRule type="cellIs" dxfId="1328" priority="1399" stopIfTrue="1" operator="between">
      <formula>8</formula>
      <formula>8.9</formula>
    </cfRule>
    <cfRule type="cellIs" dxfId="1327" priority="1398" operator="between">
      <formula>7</formula>
      <formula>7.9</formula>
    </cfRule>
    <cfRule type="cellIs" dxfId="1326" priority="1397" operator="between">
      <formula>10.1</formula>
      <formula>10.6</formula>
    </cfRule>
    <cfRule type="cellIs" dxfId="1325" priority="1400" operator="between">
      <formula>9</formula>
      <formula>9.9</formula>
    </cfRule>
    <cfRule type="cellIs" dxfId="1324" priority="1401" stopIfTrue="1" operator="between">
      <formula>10</formula>
      <formula>10</formula>
    </cfRule>
    <cfRule type="containsBlanks" dxfId="1323" priority="1402" stopIfTrue="1">
      <formula>LEN(TRIM(E267))=0</formula>
    </cfRule>
  </conditionalFormatting>
  <conditionalFormatting sqref="E278">
    <cfRule type="colorScale" priority="1351">
      <colorScale>
        <cfvo type="num" val="5"/>
        <cfvo type="num" val="10"/>
        <color rgb="FFFF494D"/>
        <color rgb="FF00FF66"/>
      </colorScale>
    </cfRule>
    <cfRule type="colorScale" priority="13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ontainsBlanks" dxfId="1322" priority="1349" stopIfTrue="1">
      <formula>LEN(TRIM(E279))=0</formula>
    </cfRule>
    <cfRule type="cellIs" dxfId="1321" priority="1348" stopIfTrue="1" operator="between">
      <formula>10</formula>
      <formula>10</formula>
    </cfRule>
    <cfRule type="cellIs" dxfId="1320" priority="1347" operator="between">
      <formula>9</formula>
      <formula>9.9</formula>
    </cfRule>
    <cfRule type="cellIs" dxfId="1319" priority="1346" stopIfTrue="1" operator="between">
      <formula>8</formula>
      <formula>8.9</formula>
    </cfRule>
    <cfRule type="cellIs" dxfId="1318" priority="1345" operator="between">
      <formula>7</formula>
      <formula>7.9</formula>
    </cfRule>
    <cfRule type="cellIs" dxfId="1317" priority="1343" operator="between">
      <formula>6</formula>
      <formula>6.9</formula>
    </cfRule>
    <cfRule type="cellIs" dxfId="1316" priority="1344" operator="between">
      <formula>10.1</formula>
      <formula>10.6</formula>
    </cfRule>
  </conditionalFormatting>
  <conditionalFormatting sqref="E288">
    <cfRule type="colorScale" priority="1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315" priority="1295" operator="between">
      <formula>6</formula>
      <formula>6.9</formula>
    </cfRule>
    <cfRule type="cellIs" dxfId="1314" priority="1297" operator="between">
      <formula>7</formula>
      <formula>7.9</formula>
    </cfRule>
    <cfRule type="cellIs" dxfId="1313" priority="1298" stopIfTrue="1" operator="between">
      <formula>8</formula>
      <formula>8.9</formula>
    </cfRule>
    <cfRule type="cellIs" dxfId="1312" priority="1299" operator="between">
      <formula>9</formula>
      <formula>9.9</formula>
    </cfRule>
    <cfRule type="cellIs" dxfId="1311" priority="1296" operator="between">
      <formula>10.1</formula>
      <formula>10.6</formula>
    </cfRule>
    <cfRule type="cellIs" dxfId="1310" priority="1300" stopIfTrue="1" operator="between">
      <formula>10</formula>
      <formula>10</formula>
    </cfRule>
    <cfRule type="containsBlanks" dxfId="1309" priority="1301" stopIfTrue="1">
      <formula>LEN(TRIM(E289))=0</formula>
    </cfRule>
  </conditionalFormatting>
  <conditionalFormatting sqref="E299"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2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1308" priority="1250" stopIfTrue="1">
      <formula>LEN(TRIM(E300))=0</formula>
    </cfRule>
    <cfRule type="cellIs" dxfId="1307" priority="1244" operator="between">
      <formula>6</formula>
      <formula>6.9</formula>
    </cfRule>
    <cfRule type="cellIs" dxfId="1306" priority="1245" operator="between">
      <formula>10.1</formula>
      <formula>10.6</formula>
    </cfRule>
    <cfRule type="cellIs" dxfId="1305" priority="1246" operator="between">
      <formula>7</formula>
      <formula>7.9</formula>
    </cfRule>
    <cfRule type="cellIs" dxfId="1304" priority="1247" stopIfTrue="1" operator="between">
      <formula>8</formula>
      <formula>8.9</formula>
    </cfRule>
    <cfRule type="cellIs" dxfId="1303" priority="1248" operator="between">
      <formula>9</formula>
      <formula>9.9</formula>
    </cfRule>
    <cfRule type="cellIs" dxfId="1302" priority="1249" stopIfTrue="1" operator="between">
      <formula>10</formula>
      <formula>10</formula>
    </cfRule>
  </conditionalFormatting>
  <conditionalFormatting sqref="E310">
    <cfRule type="colorScale" priority="1201">
      <colorScale>
        <cfvo type="num" val="5"/>
        <cfvo type="num" val="10"/>
        <color rgb="FFFF494D"/>
        <color rgb="FF00FF66"/>
      </colorScale>
    </cfRule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301" priority="1198" operator="between">
      <formula>9</formula>
      <formula>9.9</formula>
    </cfRule>
    <cfRule type="cellIs" dxfId="1300" priority="1195" operator="between">
      <formula>10.1</formula>
      <formula>10.6</formula>
    </cfRule>
    <cfRule type="cellIs" dxfId="1299" priority="1194" operator="between">
      <formula>5</formula>
      <formula>6.9</formula>
    </cfRule>
    <cfRule type="cellIs" dxfId="1298" priority="1197" stopIfTrue="1" operator="between">
      <formula>8</formula>
      <formula>8.9</formula>
    </cfRule>
    <cfRule type="cellIs" dxfId="1297" priority="1199" stopIfTrue="1" operator="between">
      <formula>10</formula>
      <formula>10</formula>
    </cfRule>
    <cfRule type="cellIs" dxfId="1296" priority="1193" operator="between">
      <formula>2</formula>
      <formula>4.9</formula>
    </cfRule>
    <cfRule type="cellIs" dxfId="1295" priority="1196" operator="between">
      <formula>7</formula>
      <formula>7.9</formula>
    </cfRule>
    <cfRule type="cellIs" dxfId="1294" priority="1192" operator="lessThan">
      <formula>2</formula>
    </cfRule>
    <cfRule type="containsBlanks" dxfId="1293" priority="1191" stopIfTrue="1">
      <formula>LEN(TRIM(E311))=0</formula>
    </cfRule>
  </conditionalFormatting>
  <conditionalFormatting sqref="E320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292" priority="1190" stopIfTrue="1" operator="between">
      <formula>10</formula>
      <formula>10</formula>
    </cfRule>
    <cfRule type="cellIs" dxfId="1291" priority="1189" operator="between">
      <formula>9</formula>
      <formula>9.9</formula>
    </cfRule>
    <cfRule type="cellIs" dxfId="1290" priority="1188" stopIfTrue="1" operator="between">
      <formula>8</formula>
      <formula>8.9</formula>
    </cfRule>
    <cfRule type="cellIs" dxfId="1289" priority="1187" operator="between">
      <formula>7</formula>
      <formula>7.9</formula>
    </cfRule>
    <cfRule type="cellIs" dxfId="1288" priority="1186" operator="between">
      <formula>10.1</formula>
      <formula>10.6</formula>
    </cfRule>
    <cfRule type="cellIs" dxfId="1287" priority="1185" operator="between">
      <formula>5</formula>
      <formula>6.9</formula>
    </cfRule>
    <cfRule type="cellIs" dxfId="1286" priority="1184" operator="between">
      <formula>2</formula>
      <formula>4.9</formula>
    </cfRule>
    <cfRule type="cellIs" dxfId="1285" priority="1183" operator="lessThan">
      <formula>2</formula>
    </cfRule>
    <cfRule type="containsBlanks" dxfId="1284" priority="1182" stopIfTrue="1">
      <formula>LEN(TRIM(E321))=0</formula>
    </cfRule>
  </conditionalFormatting>
  <conditionalFormatting sqref="E328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283" priority="1139" operator="lessThan">
      <formula>2</formula>
    </cfRule>
    <cfRule type="cellIs" dxfId="1282" priority="1141" operator="between">
      <formula>5</formula>
      <formula>6.9</formula>
    </cfRule>
    <cfRule type="cellIs" dxfId="1281" priority="1140" operator="between">
      <formula>2</formula>
      <formula>4.9</formula>
    </cfRule>
    <cfRule type="cellIs" dxfId="1280" priority="1146" stopIfTrue="1" operator="between">
      <formula>10</formula>
      <formula>10</formula>
    </cfRule>
    <cfRule type="cellIs" dxfId="1279" priority="1145" operator="between">
      <formula>9</formula>
      <formula>9.9</formula>
    </cfRule>
    <cfRule type="cellIs" dxfId="1278" priority="1144" stopIfTrue="1" operator="between">
      <formula>8</formula>
      <formula>8.9</formula>
    </cfRule>
    <cfRule type="cellIs" dxfId="1277" priority="1143" operator="between">
      <formula>7</formula>
      <formula>7.9</formula>
    </cfRule>
    <cfRule type="cellIs" dxfId="1276" priority="1142" operator="between">
      <formula>10.1</formula>
      <formula>10.6</formula>
    </cfRule>
    <cfRule type="containsBlanks" dxfId="1275" priority="1138" stopIfTrue="1">
      <formula>LEN(TRIM(E329))=0</formula>
    </cfRule>
  </conditionalFormatting>
  <conditionalFormatting sqref="E360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274" priority="1018" operator="between">
      <formula>5</formula>
      <formula>6.9</formula>
    </cfRule>
    <cfRule type="cellIs" dxfId="1273" priority="1019" operator="between">
      <formula>10.1</formula>
      <formula>10.6</formula>
    </cfRule>
    <cfRule type="cellIs" dxfId="1272" priority="1023" stopIfTrue="1" operator="between">
      <formula>10</formula>
      <formula>10</formula>
    </cfRule>
    <cfRule type="cellIs" dxfId="1271" priority="1022" operator="between">
      <formula>9</formula>
      <formula>9.9</formula>
    </cfRule>
    <cfRule type="cellIs" dxfId="1270" priority="1021" stopIfTrue="1" operator="between">
      <formula>8</formula>
      <formula>8.9</formula>
    </cfRule>
    <cfRule type="cellIs" dxfId="1269" priority="1020" operator="between">
      <formula>7</formula>
      <formula>7.9</formula>
    </cfRule>
    <cfRule type="containsBlanks" dxfId="1268" priority="1015" stopIfTrue="1">
      <formula>LEN(TRIM(E361))=0</formula>
    </cfRule>
    <cfRule type="cellIs" dxfId="1267" priority="1016" operator="lessThan">
      <formula>2</formula>
    </cfRule>
    <cfRule type="cellIs" dxfId="1266" priority="1017" operator="between">
      <formula>2</formula>
      <formula>4.9</formula>
    </cfRule>
  </conditionalFormatting>
  <conditionalFormatting sqref="E372">
    <cfRule type="colorScale" priority="968">
      <colorScale>
        <cfvo type="num" val="5"/>
        <cfvo type="num" val="10"/>
        <color rgb="FFFF494D"/>
        <color rgb="FF00FF66"/>
      </colorScale>
    </cfRule>
    <cfRule type="colorScale" priority="9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265" priority="971" operator="between">
      <formula>2</formula>
      <formula>4.9</formula>
    </cfRule>
    <cfRule type="cellIs" dxfId="1264" priority="970" operator="lessThan">
      <formula>2</formula>
    </cfRule>
    <cfRule type="containsBlanks" dxfId="1263" priority="969" stopIfTrue="1">
      <formula>LEN(TRIM(E373))=0</formula>
    </cfRule>
    <cfRule type="cellIs" dxfId="1262" priority="972" operator="between">
      <formula>5</formula>
      <formula>6.9</formula>
    </cfRule>
    <cfRule type="cellIs" dxfId="1261" priority="974" operator="between">
      <formula>7</formula>
      <formula>7.9</formula>
    </cfRule>
    <cfRule type="cellIs" dxfId="1260" priority="976" operator="between">
      <formula>9</formula>
      <formula>9.9</formula>
    </cfRule>
    <cfRule type="cellIs" dxfId="1259" priority="977" stopIfTrue="1" operator="between">
      <formula>10</formula>
      <formula>10</formula>
    </cfRule>
    <cfRule type="cellIs" dxfId="1258" priority="973" operator="between">
      <formula>10.1</formula>
      <formula>10.6</formula>
    </cfRule>
    <cfRule type="cellIs" dxfId="1257" priority="975" stopIfTrue="1" operator="between">
      <formula>8</formula>
      <formula>8.9</formula>
    </cfRule>
  </conditionalFormatting>
  <conditionalFormatting sqref="E383">
    <cfRule type="colorScale" priority="912">
      <colorScale>
        <cfvo type="num" val="5"/>
        <cfvo type="num" val="10"/>
        <color rgb="FFFF494D"/>
        <color rgb="FF00FF66"/>
      </colorScale>
    </cfRule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256" priority="909" operator="between">
      <formula>9</formula>
      <formula>9.9</formula>
    </cfRule>
    <cfRule type="cellIs" dxfId="1255" priority="906" operator="between">
      <formula>10.1</formula>
      <formula>10.6</formula>
    </cfRule>
    <cfRule type="cellIs" dxfId="1254" priority="907" operator="between">
      <formula>7</formula>
      <formula>7.9</formula>
    </cfRule>
    <cfRule type="cellIs" dxfId="1253" priority="905" operator="between">
      <formula>5</formula>
      <formula>6.9</formula>
    </cfRule>
    <cfRule type="cellIs" dxfId="1252" priority="904" operator="between">
      <formula>2</formula>
      <formula>4.9</formula>
    </cfRule>
    <cfRule type="cellIs" dxfId="1251" priority="903" operator="lessThan">
      <formula>2</formula>
    </cfRule>
    <cfRule type="containsBlanks" dxfId="1250" priority="902" stopIfTrue="1">
      <formula>LEN(TRIM(E384))=0</formula>
    </cfRule>
    <cfRule type="cellIs" dxfId="1249" priority="910" stopIfTrue="1" operator="between">
      <formula>10</formula>
      <formula>10</formula>
    </cfRule>
    <cfRule type="cellIs" dxfId="1248" priority="908" stopIfTrue="1" operator="between">
      <formula>8</formula>
      <formula>8.9</formula>
    </cfRule>
  </conditionalFormatting>
  <conditionalFormatting sqref="E388">
    <cfRule type="colorScale" priority="870">
      <colorScale>
        <cfvo type="num" val="5"/>
        <cfvo type="num" val="10"/>
        <color rgb="FFFF494D"/>
        <color rgb="FF00FF66"/>
      </colorScale>
    </cfRule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247" priority="879" stopIfTrue="1" operator="between">
      <formula>10</formula>
      <formula>10</formula>
    </cfRule>
    <cfRule type="cellIs" dxfId="1246" priority="878" operator="between">
      <formula>9</formula>
      <formula>9.9</formula>
    </cfRule>
    <cfRule type="cellIs" dxfId="1245" priority="877" stopIfTrue="1" operator="between">
      <formula>8</formula>
      <formula>8.9</formula>
    </cfRule>
    <cfRule type="cellIs" dxfId="1244" priority="876" operator="between">
      <formula>7</formula>
      <formula>7.9</formula>
    </cfRule>
    <cfRule type="cellIs" dxfId="1243" priority="875" operator="between">
      <formula>10.1</formula>
      <formula>10.6</formula>
    </cfRule>
    <cfRule type="cellIs" dxfId="1242" priority="874" operator="between">
      <formula>5</formula>
      <formula>6.9</formula>
    </cfRule>
    <cfRule type="cellIs" dxfId="1241" priority="873" operator="between">
      <formula>2</formula>
      <formula>4.9</formula>
    </cfRule>
    <cfRule type="cellIs" dxfId="1240" priority="872" operator="lessThan">
      <formula>2</formula>
    </cfRule>
    <cfRule type="containsBlanks" dxfId="1239" priority="871" stopIfTrue="1">
      <formula>LEN(TRIM(E389))=0</formula>
    </cfRule>
  </conditionalFormatting>
  <conditionalFormatting sqref="E403">
    <cfRule type="colorScale" priority="793">
      <colorScale>
        <cfvo type="num" val="5"/>
        <cfvo type="num" val="10"/>
        <color rgb="FFFF494D"/>
        <color rgb="FF00FF66"/>
      </colorScale>
    </cfRule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238" priority="802" stopIfTrue="1" operator="between">
      <formula>10</formula>
      <formula>10</formula>
    </cfRule>
    <cfRule type="cellIs" dxfId="1237" priority="801" operator="between">
      <formula>9</formula>
      <formula>9.9</formula>
    </cfRule>
    <cfRule type="cellIs" dxfId="1236" priority="800" stopIfTrue="1" operator="between">
      <formula>8</formula>
      <formula>8.9</formula>
    </cfRule>
    <cfRule type="cellIs" dxfId="1235" priority="799" operator="between">
      <formula>7</formula>
      <formula>7.9</formula>
    </cfRule>
    <cfRule type="cellIs" dxfId="1234" priority="798" operator="between">
      <formula>10.1</formula>
      <formula>10.6</formula>
    </cfRule>
    <cfRule type="cellIs" dxfId="1233" priority="797" operator="between">
      <formula>5</formula>
      <formula>6.9</formula>
    </cfRule>
    <cfRule type="cellIs" dxfId="1232" priority="796" operator="between">
      <formula>2</formula>
      <formula>4.9</formula>
    </cfRule>
    <cfRule type="cellIs" dxfId="1231" priority="795" operator="lessThan">
      <formula>2</formula>
    </cfRule>
    <cfRule type="containsBlanks" dxfId="1230" priority="794" stopIfTrue="1">
      <formula>LEN(TRIM(E404))=0</formula>
    </cfRule>
  </conditionalFormatting>
  <conditionalFormatting sqref="E415">
    <cfRule type="colorScale" priority="757">
      <colorScale>
        <cfvo type="num" val="5"/>
        <cfvo type="num" val="10"/>
        <color rgb="FFFF494D"/>
        <color rgb="FF00FF66"/>
      </colorScale>
    </cfRule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ontainsBlanks" dxfId="1229" priority="747" stopIfTrue="1">
      <formula>LEN(TRIM(E416))=0</formula>
    </cfRule>
    <cfRule type="cellIs" dxfId="1228" priority="755" stopIfTrue="1" operator="between">
      <formula>10</formula>
      <formula>10</formula>
    </cfRule>
    <cfRule type="cellIs" dxfId="1227" priority="754" operator="between">
      <formula>9</formula>
      <formula>9.9</formula>
    </cfRule>
    <cfRule type="cellIs" dxfId="1226" priority="753" stopIfTrue="1" operator="between">
      <formula>8</formula>
      <formula>8.9</formula>
    </cfRule>
    <cfRule type="cellIs" dxfId="1225" priority="752" operator="between">
      <formula>7</formula>
      <formula>7.9</formula>
    </cfRule>
    <cfRule type="cellIs" dxfId="1224" priority="751" operator="between">
      <formula>10.1</formula>
      <formula>10.6</formula>
    </cfRule>
    <cfRule type="cellIs" dxfId="1223" priority="750" operator="between">
      <formula>5</formula>
      <formula>6.9</formula>
    </cfRule>
    <cfRule type="cellIs" dxfId="1222" priority="749" operator="between">
      <formula>2</formula>
      <formula>4.9</formula>
    </cfRule>
    <cfRule type="cellIs" dxfId="1221" priority="748" operator="lessThan">
      <formula>2</formula>
    </cfRule>
  </conditionalFormatting>
  <conditionalFormatting sqref="E425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220" priority="690" operator="between">
      <formula>9</formula>
      <formula>9.9</formula>
    </cfRule>
    <cfRule type="cellIs" dxfId="1219" priority="684" operator="lessThan">
      <formula>2</formula>
    </cfRule>
    <cfRule type="cellIs" dxfId="1218" priority="689" stopIfTrue="1" operator="between">
      <formula>8</formula>
      <formula>8.9</formula>
    </cfRule>
    <cfRule type="cellIs" dxfId="1217" priority="688" operator="between">
      <formula>7</formula>
      <formula>7.9</formula>
    </cfRule>
    <cfRule type="cellIs" dxfId="1216" priority="687" operator="between">
      <formula>10.1</formula>
      <formula>10.6</formula>
    </cfRule>
    <cfRule type="containsBlanks" dxfId="1215" priority="683" stopIfTrue="1">
      <formula>LEN(TRIM(E426))=0</formula>
    </cfRule>
    <cfRule type="cellIs" dxfId="1214" priority="686" operator="between">
      <formula>5</formula>
      <formula>6.9</formula>
    </cfRule>
    <cfRule type="cellIs" dxfId="1213" priority="685" operator="between">
      <formula>2</formula>
      <formula>4.9</formula>
    </cfRule>
    <cfRule type="cellIs" dxfId="1212" priority="691" stopIfTrue="1" operator="between">
      <formula>10</formula>
      <formula>10</formula>
    </cfRule>
  </conditionalFormatting>
  <conditionalFormatting sqref="E436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211" priority="631" operator="between">
      <formula>5</formula>
      <formula>6.9</formula>
    </cfRule>
    <cfRule type="containsBlanks" dxfId="1210" priority="628" stopIfTrue="1">
      <formula>LEN(TRIM(E437))=0</formula>
    </cfRule>
    <cfRule type="cellIs" dxfId="1209" priority="629" operator="lessThan">
      <formula>2</formula>
    </cfRule>
    <cfRule type="cellIs" dxfId="1208" priority="630" operator="between">
      <formula>2</formula>
      <formula>4.9</formula>
    </cfRule>
    <cfRule type="cellIs" dxfId="1207" priority="632" operator="between">
      <formula>10.1</formula>
      <formula>10.6</formula>
    </cfRule>
    <cfRule type="cellIs" dxfId="1206" priority="633" operator="between">
      <formula>7</formula>
      <formula>7.9</formula>
    </cfRule>
    <cfRule type="cellIs" dxfId="1205" priority="635" operator="between">
      <formula>9</formula>
      <formula>9.9</formula>
    </cfRule>
    <cfRule type="cellIs" dxfId="1204" priority="636" stopIfTrue="1" operator="between">
      <formula>10</formula>
      <formula>10</formula>
    </cfRule>
    <cfRule type="cellIs" dxfId="1203" priority="634" stopIfTrue="1" operator="between">
      <formula>8</formula>
      <formula>8.9</formula>
    </cfRule>
  </conditionalFormatting>
  <conditionalFormatting sqref="E459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ontainsBlanks" dxfId="1202" priority="531" stopIfTrue="1">
      <formula>LEN(TRIM(E460))=0</formula>
    </cfRule>
    <cfRule type="cellIs" dxfId="1201" priority="532" operator="lessThan">
      <formula>2</formula>
    </cfRule>
    <cfRule type="cellIs" dxfId="1200" priority="533" operator="between">
      <formula>2</formula>
      <formula>4.9</formula>
    </cfRule>
    <cfRule type="cellIs" dxfId="1199" priority="534" operator="between">
      <formula>5</formula>
      <formula>6.9</formula>
    </cfRule>
    <cfRule type="cellIs" dxfId="1198" priority="535" operator="between">
      <formula>10.1</formula>
      <formula>10.6</formula>
    </cfRule>
    <cfRule type="cellIs" dxfId="1197" priority="536" operator="between">
      <formula>7</formula>
      <formula>7.9</formula>
    </cfRule>
    <cfRule type="cellIs" dxfId="1196" priority="538" operator="between">
      <formula>9</formula>
      <formula>9.9</formula>
    </cfRule>
    <cfRule type="cellIs" dxfId="1195" priority="537" stopIfTrue="1" operator="between">
      <formula>8</formula>
      <formula>8.9</formula>
    </cfRule>
    <cfRule type="cellIs" dxfId="1194" priority="539" stopIfTrue="1" operator="between">
      <formula>10</formula>
      <formula>10</formula>
    </cfRule>
  </conditionalFormatting>
  <conditionalFormatting sqref="E487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193" priority="431" operator="lessThan">
      <formula>2</formula>
    </cfRule>
    <cfRule type="cellIs" dxfId="1192" priority="438" stopIfTrue="1" operator="between">
      <formula>10</formula>
      <formula>10</formula>
    </cfRule>
    <cfRule type="cellIs" dxfId="1191" priority="437" operator="between">
      <formula>9</formula>
      <formula>9.9</formula>
    </cfRule>
    <cfRule type="cellIs" dxfId="1190" priority="436" stopIfTrue="1" operator="between">
      <formula>8</formula>
      <formula>8.9</formula>
    </cfRule>
    <cfRule type="cellIs" dxfId="1189" priority="435" operator="between">
      <formula>7</formula>
      <formula>7.9</formula>
    </cfRule>
    <cfRule type="cellIs" dxfId="1188" priority="434" operator="between">
      <formula>10.1</formula>
      <formula>10.6</formula>
    </cfRule>
    <cfRule type="cellIs" dxfId="1187" priority="433" operator="between">
      <formula>5</formula>
      <formula>6.9</formula>
    </cfRule>
    <cfRule type="cellIs" dxfId="1186" priority="432" operator="between">
      <formula>2</formula>
      <formula>4.9</formula>
    </cfRule>
    <cfRule type="containsBlanks" dxfId="1185" priority="430" stopIfTrue="1">
      <formula>LEN(TRIM(E488))=0</formula>
    </cfRule>
  </conditionalFormatting>
  <conditionalFormatting sqref="E499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184" priority="392" operator="between">
      <formula>10.1</formula>
      <formula>10.6</formula>
    </cfRule>
    <cfRule type="cellIs" dxfId="1183" priority="393" operator="between">
      <formula>7</formula>
      <formula>7.9</formula>
    </cfRule>
    <cfRule type="cellIs" dxfId="1182" priority="396" stopIfTrue="1" operator="between">
      <formula>10</formula>
      <formula>10</formula>
    </cfRule>
    <cfRule type="cellIs" dxfId="1181" priority="390" operator="between">
      <formula>2</formula>
      <formula>4.9</formula>
    </cfRule>
    <cfRule type="cellIs" dxfId="1180" priority="389" operator="lessThan">
      <formula>2</formula>
    </cfRule>
    <cfRule type="containsBlanks" dxfId="1179" priority="388" stopIfTrue="1">
      <formula>LEN(TRIM(E500))=0</formula>
    </cfRule>
    <cfRule type="cellIs" dxfId="1178" priority="395" operator="between">
      <formula>9</formula>
      <formula>9.9</formula>
    </cfRule>
    <cfRule type="cellIs" dxfId="1177" priority="394" stopIfTrue="1" operator="between">
      <formula>8</formula>
      <formula>8.9</formula>
    </cfRule>
    <cfRule type="cellIs" dxfId="1176" priority="391" operator="between">
      <formula>5</formula>
      <formula>6.9</formula>
    </cfRule>
  </conditionalFormatting>
  <conditionalFormatting sqref="E514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175" priority="318" operator="between">
      <formula>9</formula>
      <formula>9.9</formula>
    </cfRule>
    <cfRule type="cellIs" dxfId="1174" priority="317" stopIfTrue="1" operator="between">
      <formula>8</formula>
      <formula>8.9</formula>
    </cfRule>
    <cfRule type="containsBlanks" dxfId="1173" priority="311" stopIfTrue="1">
      <formula>LEN(TRIM(E515))=0</formula>
    </cfRule>
    <cfRule type="cellIs" dxfId="1172" priority="312" operator="lessThan">
      <formula>2</formula>
    </cfRule>
    <cfRule type="cellIs" dxfId="1171" priority="313" operator="between">
      <formula>2</formula>
      <formula>4.9</formula>
    </cfRule>
    <cfRule type="cellIs" dxfId="1170" priority="314" operator="between">
      <formula>5</formula>
      <formula>6.9</formula>
    </cfRule>
    <cfRule type="cellIs" dxfId="1169" priority="315" operator="between">
      <formula>10.1</formula>
      <formula>10.6</formula>
    </cfRule>
    <cfRule type="cellIs" dxfId="1168" priority="316" operator="between">
      <formula>7</formula>
      <formula>7.9</formula>
    </cfRule>
    <cfRule type="cellIs" dxfId="1167" priority="319" stopIfTrue="1" operator="between">
      <formula>10</formula>
      <formula>10</formula>
    </cfRule>
  </conditionalFormatting>
  <conditionalFormatting sqref="E528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166" priority="245" stopIfTrue="1">
      <formula>LEN(TRIM(E529))=0</formula>
    </cfRule>
    <cfRule type="cellIs" dxfId="1165" priority="246" operator="lessThan">
      <formula>2</formula>
    </cfRule>
    <cfRule type="cellIs" dxfId="1164" priority="247" operator="between">
      <formula>2</formula>
      <formula>4.9</formula>
    </cfRule>
    <cfRule type="cellIs" dxfId="1163" priority="248" operator="between">
      <formula>5</formula>
      <formula>6.9</formula>
    </cfRule>
    <cfRule type="cellIs" dxfId="1162" priority="249" operator="between">
      <formula>10.1</formula>
      <formula>10.6</formula>
    </cfRule>
    <cfRule type="cellIs" dxfId="1161" priority="250" operator="between">
      <formula>7</formula>
      <formula>7.9</formula>
    </cfRule>
    <cfRule type="cellIs" dxfId="1160" priority="251" stopIfTrue="1" operator="between">
      <formula>8</formula>
      <formula>8.9</formula>
    </cfRule>
    <cfRule type="cellIs" dxfId="1159" priority="252" operator="between">
      <formula>9</formula>
      <formula>9.9</formula>
    </cfRule>
    <cfRule type="cellIs" dxfId="1158" priority="253" stopIfTrue="1" operator="between">
      <formula>10</formula>
      <formula>10</formula>
    </cfRule>
  </conditionalFormatting>
  <conditionalFormatting sqref="E542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ontainsBlanks" dxfId="1157" priority="201" stopIfTrue="1">
      <formula>LEN(TRIM(E543))=0</formula>
    </cfRule>
    <cfRule type="cellIs" dxfId="1156" priority="209" stopIfTrue="1" operator="between">
      <formula>10</formula>
      <formula>10</formula>
    </cfRule>
    <cfRule type="cellIs" dxfId="1155" priority="208" operator="between">
      <formula>9</formula>
      <formula>9.9</formula>
    </cfRule>
    <cfRule type="cellIs" dxfId="1154" priority="207" stopIfTrue="1" operator="between">
      <formula>8</formula>
      <formula>8.9</formula>
    </cfRule>
    <cfRule type="cellIs" dxfId="1153" priority="206" operator="between">
      <formula>7</formula>
      <formula>7.9</formula>
    </cfRule>
    <cfRule type="cellIs" dxfId="1152" priority="205" operator="between">
      <formula>10.1</formula>
      <formula>10.6</formula>
    </cfRule>
    <cfRule type="cellIs" dxfId="1151" priority="204" operator="between">
      <formula>5</formula>
      <formula>6.9</formula>
    </cfRule>
    <cfRule type="cellIs" dxfId="1150" priority="203" operator="between">
      <formula>2</formula>
      <formula>4.9</formula>
    </cfRule>
    <cfRule type="cellIs" dxfId="1149" priority="202" operator="lessThan">
      <formula>2</formula>
    </cfRule>
  </conditionalFormatting>
  <conditionalFormatting sqref="E554">
    <cfRule type="colorScale" priority="154">
      <colorScale>
        <cfvo type="num" val="5"/>
        <cfvo type="num" val="10"/>
        <color rgb="FFFF494D"/>
        <color rgb="FF00FF66"/>
      </colorScale>
    </cfRule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ellIs" dxfId="1148" priority="148" operator="between">
      <formula>10.1</formula>
      <formula>10.6</formula>
    </cfRule>
    <cfRule type="containsBlanks" dxfId="1147" priority="144" stopIfTrue="1">
      <formula>LEN(TRIM(E555))=0</formula>
    </cfRule>
    <cfRule type="cellIs" dxfId="1146" priority="150" stopIfTrue="1" operator="between">
      <formula>8</formula>
      <formula>8.9</formula>
    </cfRule>
    <cfRule type="cellIs" dxfId="1145" priority="149" operator="between">
      <formula>7</formula>
      <formula>7.9</formula>
    </cfRule>
    <cfRule type="cellIs" dxfId="1144" priority="147" operator="between">
      <formula>5</formula>
      <formula>6.9</formula>
    </cfRule>
    <cfRule type="cellIs" dxfId="1143" priority="151" operator="between">
      <formula>9</formula>
      <formula>9.9</formula>
    </cfRule>
    <cfRule type="cellIs" dxfId="1142" priority="152" stopIfTrue="1" operator="between">
      <formula>10</formula>
      <formula>10</formula>
    </cfRule>
    <cfRule type="cellIs" dxfId="1141" priority="146" operator="between">
      <formula>2</formula>
      <formula>4.9</formula>
    </cfRule>
    <cfRule type="cellIs" dxfId="1140" priority="145" operator="lessThan">
      <formula>2</formula>
    </cfRule>
  </conditionalFormatting>
  <conditionalFormatting sqref="E571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139" priority="86" stopIfTrue="1" operator="between">
      <formula>8</formula>
      <formula>8.9</formula>
    </cfRule>
    <cfRule type="cellIs" dxfId="1138" priority="85" operator="between">
      <formula>7</formula>
      <formula>7.9</formula>
    </cfRule>
    <cfRule type="cellIs" dxfId="1137" priority="84" operator="between">
      <formula>10.1</formula>
      <formula>10.6</formula>
    </cfRule>
    <cfRule type="cellIs" dxfId="1136" priority="82" operator="between">
      <formula>2</formula>
      <formula>4.9</formula>
    </cfRule>
    <cfRule type="cellIs" dxfId="1135" priority="87" operator="between">
      <formula>9</formula>
      <formula>9.9</formula>
    </cfRule>
    <cfRule type="cellIs" dxfId="1134" priority="88" stopIfTrue="1" operator="between">
      <formula>10</formula>
      <formula>10</formula>
    </cfRule>
    <cfRule type="containsBlanks" dxfId="1133" priority="80" stopIfTrue="1">
      <formula>LEN(TRIM(E572))=0</formula>
    </cfRule>
    <cfRule type="cellIs" dxfId="1132" priority="83" operator="between">
      <formula>5</formula>
      <formula>6.9</formula>
    </cfRule>
    <cfRule type="cellIs" dxfId="1131" priority="81" operator="lessThan">
      <formula>2</formula>
    </cfRule>
  </conditionalFormatting>
  <conditionalFormatting sqref="E583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84:E597">
    <cfRule type="cellIs" dxfId="1130" priority="43" operator="between">
      <formula>9</formula>
      <formula>9.9</formula>
    </cfRule>
    <cfRule type="cellIs" dxfId="1129" priority="37" operator="lessThan">
      <formula>2</formula>
    </cfRule>
    <cfRule type="cellIs" dxfId="1128" priority="40" operator="between">
      <formula>10.1</formula>
      <formula>10.6</formula>
    </cfRule>
    <cfRule type="cellIs" dxfId="1127" priority="39" operator="between">
      <formula>5</formula>
      <formula>6.9</formula>
    </cfRule>
    <cfRule type="cellIs" dxfId="1126" priority="44" stopIfTrue="1" operator="between">
      <formula>10</formula>
      <formula>10</formula>
    </cfRule>
    <cfRule type="cellIs" dxfId="1125" priority="38" operator="between">
      <formula>2</formula>
      <formula>4.9</formula>
    </cfRule>
    <cfRule type="cellIs" dxfId="1124" priority="42" stopIfTrue="1" operator="between">
      <formula>8</formula>
      <formula>8.9</formula>
    </cfRule>
    <cfRule type="containsBlanks" dxfId="1123" priority="36" stopIfTrue="1">
      <formula>LEN(TRIM(E584))=0</formula>
    </cfRule>
    <cfRule type="cellIs" dxfId="1122" priority="41" operator="between">
      <formula>7</formula>
      <formula>7.9</formula>
    </cfRule>
  </conditionalFormatting>
  <conditionalFormatting sqref="H3:H15">
    <cfRule type="cellIs" dxfId="1121" priority="1380" operator="between">
      <formula>7</formula>
      <formula>7.9</formula>
    </cfRule>
    <cfRule type="cellIs" dxfId="1120" priority="1381" stopIfTrue="1" operator="between">
      <formula>8</formula>
      <formula>8.9</formula>
    </cfRule>
    <cfRule type="cellIs" dxfId="1119" priority="1382" operator="between">
      <formula>9</formula>
      <formula>9.9</formula>
    </cfRule>
    <cfRule type="cellIs" dxfId="1118" priority="1383" stopIfTrue="1" operator="between">
      <formula>10</formula>
      <formula>10</formula>
    </cfRule>
  </conditionalFormatting>
  <conditionalFormatting sqref="H7">
    <cfRule type="cellIs" dxfId="1117" priority="1379" operator="between">
      <formula>10.1</formula>
      <formula>10.6</formula>
    </cfRule>
    <cfRule type="containsBlanks" dxfId="1116" priority="1384" stopIfTrue="1">
      <formula>LEN(TRIM(H7))=0</formula>
    </cfRule>
  </conditionalFormatting>
  <conditionalFormatting sqref="H18:H28">
    <cfRule type="cellIs" dxfId="1115" priority="2375" stopIfTrue="1" operator="between">
      <formula>8</formula>
      <formula>8.9</formula>
    </cfRule>
    <cfRule type="cellIs" dxfId="1114" priority="2376" operator="between">
      <formula>9</formula>
      <formula>9.9</formula>
    </cfRule>
    <cfRule type="cellIs" dxfId="1113" priority="2377" stopIfTrue="1" operator="between">
      <formula>10</formula>
      <formula>10</formula>
    </cfRule>
    <cfRule type="cellIs" dxfId="1112" priority="2374" operator="between">
      <formula>7</formula>
      <formula>7.9</formula>
    </cfRule>
  </conditionalFormatting>
  <conditionalFormatting sqref="H30">
    <cfRule type="colorScale" priority="2659">
      <colorScale>
        <cfvo type="num" val="5"/>
        <cfvo type="num" val="10"/>
        <color rgb="FFFF494D"/>
        <color rgb="FF00FF66"/>
      </colorScale>
    </cfRule>
    <cfRule type="colorScale" priority="26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1111" priority="2241" stopIfTrue="1">
      <formula>LEN(TRIM(H31))=0</formula>
    </cfRule>
    <cfRule type="cellIs" dxfId="1110" priority="2240" stopIfTrue="1" operator="between">
      <formula>10</formula>
      <formula>10</formula>
    </cfRule>
    <cfRule type="cellIs" dxfId="1109" priority="2238" stopIfTrue="1" operator="between">
      <formula>8</formula>
      <formula>8.9</formula>
    </cfRule>
    <cfRule type="cellIs" dxfId="1108" priority="2237" operator="between">
      <formula>7</formula>
      <formula>7.9</formula>
    </cfRule>
    <cfRule type="cellIs" dxfId="1107" priority="2236" operator="between">
      <formula>10.1</formula>
      <formula>10.6</formula>
    </cfRule>
    <cfRule type="cellIs" dxfId="1106" priority="2239" operator="between">
      <formula>9</formula>
      <formula>9.9</formula>
    </cfRule>
  </conditionalFormatting>
  <conditionalFormatting sqref="H47">
    <cfRule type="colorScale" priority="2591">
      <colorScale>
        <cfvo type="num" val="5"/>
        <cfvo type="num" val="10"/>
        <color rgb="FFFF494D"/>
        <color rgb="FF00FF66"/>
      </colorScale>
    </cfRule>
    <cfRule type="colorScale" priority="25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105" priority="2232" stopIfTrue="1" operator="between">
      <formula>8</formula>
      <formula>8.9</formula>
    </cfRule>
    <cfRule type="cellIs" dxfId="1104" priority="2231" operator="between">
      <formula>7</formula>
      <formula>7.9</formula>
    </cfRule>
    <cfRule type="cellIs" dxfId="1103" priority="2233" operator="between">
      <formula>9</formula>
      <formula>9.9</formula>
    </cfRule>
    <cfRule type="cellIs" dxfId="1102" priority="2234" stopIfTrue="1" operator="between">
      <formula>10</formula>
      <formula>10</formula>
    </cfRule>
    <cfRule type="cellIs" dxfId="1101" priority="2230" operator="between">
      <formula>10.1</formula>
      <formula>10.6</formula>
    </cfRule>
    <cfRule type="containsBlanks" dxfId="1100" priority="2235" stopIfTrue="1">
      <formula>LEN(TRIM(H48))=0</formula>
    </cfRule>
  </conditionalFormatting>
  <conditionalFormatting sqref="H57">
    <cfRule type="colorScale" priority="2173">
      <colorScale>
        <cfvo type="num" val="5"/>
        <cfvo type="num" val="10"/>
        <color rgb="FFFF494D"/>
        <color rgb="FF00FF66"/>
      </colorScale>
    </cfRule>
    <cfRule type="colorScale" priority="21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1099" priority="2108" stopIfTrue="1">
      <formula>LEN(TRIM(H58))=0</formula>
    </cfRule>
    <cfRule type="cellIs" dxfId="1098" priority="2102" operator="between">
      <formula>6</formula>
      <formula>6.9</formula>
    </cfRule>
    <cfRule type="cellIs" dxfId="1097" priority="2103" operator="between">
      <formula>10.1</formula>
      <formula>10.6</formula>
    </cfRule>
    <cfRule type="cellIs" dxfId="1096" priority="2104" operator="between">
      <formula>7</formula>
      <formula>7.9</formula>
    </cfRule>
    <cfRule type="cellIs" dxfId="1095" priority="2105" stopIfTrue="1" operator="between">
      <formula>8</formula>
      <formula>8.9</formula>
    </cfRule>
    <cfRule type="cellIs" dxfId="1094" priority="2106" operator="between">
      <formula>9</formula>
      <formula>9.9</formula>
    </cfRule>
    <cfRule type="cellIs" dxfId="1093" priority="2107" stopIfTrue="1" operator="between">
      <formula>10</formula>
      <formula>10</formula>
    </cfRule>
  </conditionalFormatting>
  <conditionalFormatting sqref="H69">
    <cfRule type="colorScale" priority="2138">
      <colorScale>
        <cfvo type="num" val="5"/>
        <cfvo type="num" val="10"/>
        <color rgb="FFFF494D"/>
        <color rgb="FF00FF66"/>
      </colorScale>
    </cfRule>
    <cfRule type="colorScale" priority="21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1092" priority="2136" stopIfTrue="1">
      <formula>LEN(TRIM(H70))=0</formula>
    </cfRule>
    <cfRule type="cellIs" dxfId="1091" priority="2135" stopIfTrue="1" operator="between">
      <formula>10</formula>
      <formula>10</formula>
    </cfRule>
    <cfRule type="cellIs" dxfId="1090" priority="2134" operator="between">
      <formula>9</formula>
      <formula>9.9</formula>
    </cfRule>
    <cfRule type="cellIs" dxfId="1089" priority="2133" stopIfTrue="1" operator="between">
      <formula>8</formula>
      <formula>8.9</formula>
    </cfRule>
    <cfRule type="cellIs" dxfId="1088" priority="2132" operator="between">
      <formula>7</formula>
      <formula>7.9</formula>
    </cfRule>
    <cfRule type="cellIs" dxfId="1087" priority="2131" operator="between">
      <formula>10.1</formula>
      <formula>10.6</formula>
    </cfRule>
  </conditionalFormatting>
  <conditionalFormatting sqref="H83">
    <cfRule type="colorScale" priority="2069">
      <colorScale>
        <cfvo type="num" val="5"/>
        <cfvo type="num" val="10"/>
        <color rgb="FFFF494D"/>
        <color rgb="FF00FF66"/>
      </colorScale>
    </cfRule>
    <cfRule type="colorScale" priority="2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086" priority="2060" stopIfTrue="1" operator="between">
      <formula>10</formula>
      <formula>10</formula>
    </cfRule>
    <cfRule type="cellIs" dxfId="1085" priority="2057" operator="between">
      <formula>7</formula>
      <formula>7.9</formula>
    </cfRule>
    <cfRule type="containsBlanks" dxfId="1084" priority="2061" stopIfTrue="1">
      <formula>LEN(TRIM(H84))=0</formula>
    </cfRule>
    <cfRule type="cellIs" dxfId="1083" priority="2059" operator="between">
      <formula>9</formula>
      <formula>9.9</formula>
    </cfRule>
    <cfRule type="cellIs" dxfId="1082" priority="2058" stopIfTrue="1" operator="between">
      <formula>8</formula>
      <formula>8.9</formula>
    </cfRule>
    <cfRule type="cellIs" dxfId="1081" priority="2055" operator="between">
      <formula>6</formula>
      <formula>6.9</formula>
    </cfRule>
    <cfRule type="cellIs" dxfId="1080" priority="2056" operator="between">
      <formula>10.1</formula>
      <formula>10.6</formula>
    </cfRule>
  </conditionalFormatting>
  <conditionalFormatting sqref="H97">
    <cfRule type="colorScale" priority="2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079" priority="2009" stopIfTrue="1" operator="between">
      <formula>8</formula>
      <formula>8.9</formula>
    </cfRule>
    <cfRule type="cellIs" dxfId="1078" priority="2010" operator="between">
      <formula>9</formula>
      <formula>9.9</formula>
    </cfRule>
    <cfRule type="cellIs" dxfId="1077" priority="2006" operator="between">
      <formula>6</formula>
      <formula>6.9</formula>
    </cfRule>
    <cfRule type="containsBlanks" dxfId="1076" priority="2012" stopIfTrue="1">
      <formula>LEN(TRIM(H98))=0</formula>
    </cfRule>
    <cfRule type="cellIs" dxfId="1075" priority="2011" stopIfTrue="1" operator="between">
      <formula>10</formula>
      <formula>10</formula>
    </cfRule>
    <cfRule type="cellIs" dxfId="1074" priority="2007" operator="between">
      <formula>10.1</formula>
      <formula>10.6</formula>
    </cfRule>
    <cfRule type="cellIs" dxfId="1073" priority="2008" operator="between">
      <formula>7</formula>
      <formula>7.9</formula>
    </cfRule>
  </conditionalFormatting>
  <conditionalFormatting sqref="H110">
    <cfRule type="colorScale" priority="1989">
      <colorScale>
        <cfvo type="num" val="5"/>
        <cfvo type="num" val="10"/>
        <color rgb="FFFF494D"/>
        <color rgb="FF00FF66"/>
      </colorScale>
    </cfRule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1072" priority="1987" stopIfTrue="1">
      <formula>LEN(TRIM(H111))=0</formula>
    </cfRule>
    <cfRule type="cellIs" dxfId="1071" priority="1986" stopIfTrue="1" operator="between">
      <formula>10</formula>
      <formula>10</formula>
    </cfRule>
    <cfRule type="cellIs" dxfId="1070" priority="1985" operator="between">
      <formula>9</formula>
      <formula>9.9</formula>
    </cfRule>
    <cfRule type="cellIs" dxfId="1069" priority="1984" stopIfTrue="1" operator="between">
      <formula>8</formula>
      <formula>8.9</formula>
    </cfRule>
    <cfRule type="cellIs" dxfId="1068" priority="1983" operator="between">
      <formula>7</formula>
      <formula>7.9</formula>
    </cfRule>
    <cfRule type="cellIs" dxfId="1067" priority="1982" operator="between">
      <formula>10.1</formula>
      <formula>10.6</formula>
    </cfRule>
  </conditionalFormatting>
  <conditionalFormatting sqref="H125">
    <cfRule type="colorScale" priority="1917">
      <colorScale>
        <cfvo type="num" val="5"/>
        <cfvo type="num" val="10"/>
        <color rgb="FFFF494D"/>
        <color rgb="FF00FF66"/>
      </colorScale>
    </cfRule>
    <cfRule type="colorScale" priority="19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066" priority="1913" operator="between">
      <formula>9</formula>
      <formula>9.9</formula>
    </cfRule>
    <cfRule type="cellIs" dxfId="1065" priority="1914" stopIfTrue="1" operator="between">
      <formula>10</formula>
      <formula>10</formula>
    </cfRule>
    <cfRule type="containsBlanks" dxfId="1064" priority="1915" stopIfTrue="1">
      <formula>LEN(TRIM(H126))=0</formula>
    </cfRule>
    <cfRule type="cellIs" dxfId="1063" priority="1912" stopIfTrue="1" operator="between">
      <formula>8</formula>
      <formula>8.9</formula>
    </cfRule>
    <cfRule type="cellIs" dxfId="1062" priority="1911" operator="between">
      <formula>7</formula>
      <formula>7.9</formula>
    </cfRule>
    <cfRule type="cellIs" dxfId="1061" priority="1910" operator="between">
      <formula>10.1</formula>
      <formula>10.6</formula>
    </cfRule>
    <cfRule type="cellIs" dxfId="1060" priority="1909" operator="between">
      <formula>6</formula>
      <formula>6.9</formula>
    </cfRule>
  </conditionalFormatting>
  <conditionalFormatting sqref="H131"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059" priority="1876" operator="between">
      <formula>6</formula>
      <formula>6.9</formula>
    </cfRule>
    <cfRule type="cellIs" dxfId="1058" priority="1877" operator="between">
      <formula>10.1</formula>
      <formula>10.6</formula>
    </cfRule>
    <cfRule type="cellIs" dxfId="1057" priority="1878" operator="between">
      <formula>7</formula>
      <formula>7.9</formula>
    </cfRule>
    <cfRule type="cellIs" dxfId="1056" priority="1879" stopIfTrue="1" operator="between">
      <formula>8</formula>
      <formula>8.9</formula>
    </cfRule>
    <cfRule type="cellIs" dxfId="1055" priority="1880" operator="between">
      <formula>9</formula>
      <formula>9.9</formula>
    </cfRule>
    <cfRule type="cellIs" dxfId="1054" priority="1881" stopIfTrue="1" operator="between">
      <formula>10</formula>
      <formula>10</formula>
    </cfRule>
    <cfRule type="containsBlanks" dxfId="1053" priority="1882" stopIfTrue="1">
      <formula>LEN(TRIM(H132))=0</formula>
    </cfRule>
  </conditionalFormatting>
  <conditionalFormatting sqref="H149">
    <cfRule type="colorScale" priority="1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052" priority="1804" operator="between">
      <formula>6</formula>
      <formula>6.9</formula>
    </cfRule>
    <cfRule type="cellIs" dxfId="1051" priority="1805" operator="between">
      <formula>10.1</formula>
      <formula>10.6</formula>
    </cfRule>
    <cfRule type="cellIs" dxfId="1050" priority="1806" operator="between">
      <formula>7</formula>
      <formula>7.9</formula>
    </cfRule>
    <cfRule type="cellIs" dxfId="1049" priority="1808" operator="between">
      <formula>9</formula>
      <formula>9.9</formula>
    </cfRule>
    <cfRule type="cellIs" dxfId="1048" priority="1807" stopIfTrue="1" operator="between">
      <formula>8</formula>
      <formula>8.9</formula>
    </cfRule>
    <cfRule type="containsBlanks" dxfId="1047" priority="1810" stopIfTrue="1">
      <formula>LEN(TRIM(H150))=0</formula>
    </cfRule>
    <cfRule type="cellIs" dxfId="1046" priority="1809" stopIfTrue="1" operator="between">
      <formula>10</formula>
      <formula>10</formula>
    </cfRule>
  </conditionalFormatting>
  <conditionalFormatting sqref="H165"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045" priority="1755" stopIfTrue="1" operator="between">
      <formula>8</formula>
      <formula>8.9</formula>
    </cfRule>
    <cfRule type="cellIs" dxfId="1044" priority="1754" operator="between">
      <formula>7</formula>
      <formula>7.9</formula>
    </cfRule>
    <cfRule type="containsBlanks" dxfId="1043" priority="1758" stopIfTrue="1">
      <formula>LEN(TRIM(H166))=0</formula>
    </cfRule>
    <cfRule type="cellIs" dxfId="1042" priority="1757" stopIfTrue="1" operator="between">
      <formula>10</formula>
      <formula>10</formula>
    </cfRule>
    <cfRule type="cellIs" dxfId="1041" priority="1756" operator="between">
      <formula>9</formula>
      <formula>9.9</formula>
    </cfRule>
    <cfRule type="cellIs" dxfId="1040" priority="1752" operator="between">
      <formula>6</formula>
      <formula>6.9</formula>
    </cfRule>
    <cfRule type="cellIs" dxfId="1039" priority="1753" operator="between">
      <formula>10.1</formula>
      <formula>10.6</formula>
    </cfRule>
  </conditionalFormatting>
  <conditionalFormatting sqref="H177">
    <cfRule type="colorScale" priority="1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038" priority="1706" stopIfTrue="1" operator="between">
      <formula>8</formula>
      <formula>8.9</formula>
    </cfRule>
    <cfRule type="cellIs" dxfId="1037" priority="1704" operator="between">
      <formula>10.1</formula>
      <formula>10.6</formula>
    </cfRule>
    <cfRule type="cellIs" dxfId="1036" priority="1703" operator="between">
      <formula>6</formula>
      <formula>6.9</formula>
    </cfRule>
    <cfRule type="cellIs" dxfId="1035" priority="1705" operator="between">
      <formula>7</formula>
      <formula>7.9</formula>
    </cfRule>
    <cfRule type="cellIs" dxfId="1034" priority="1707" operator="between">
      <formula>9</formula>
      <formula>9.9</formula>
    </cfRule>
    <cfRule type="cellIs" dxfId="1033" priority="1708" stopIfTrue="1" operator="between">
      <formula>10</formula>
      <formula>10</formula>
    </cfRule>
    <cfRule type="containsBlanks" dxfId="1032" priority="1709" stopIfTrue="1">
      <formula>LEN(TRIM(H178))=0</formula>
    </cfRule>
  </conditionalFormatting>
  <conditionalFormatting sqref="H191">
    <cfRule type="colorScale" priority="1651">
      <colorScale>
        <cfvo type="num" val="5"/>
        <cfvo type="num" val="10"/>
        <color rgb="FFFF494D"/>
        <color rgb="FF00FF66"/>
      </colorScale>
    </cfRule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031" priority="1646" stopIfTrue="1" operator="between">
      <formula>8</formula>
      <formula>8.9</formula>
    </cfRule>
    <cfRule type="cellIs" dxfId="1030" priority="1645" operator="between">
      <formula>7</formula>
      <formula>7.9</formula>
    </cfRule>
    <cfRule type="containsBlanks" dxfId="1029" priority="1649" stopIfTrue="1">
      <formula>LEN(TRIM(H192))=0</formula>
    </cfRule>
    <cfRule type="cellIs" dxfId="1028" priority="1644" operator="between">
      <formula>10.1</formula>
      <formula>10.6</formula>
    </cfRule>
    <cfRule type="cellIs" dxfId="1027" priority="1643" operator="between">
      <formula>6</formula>
      <formula>6.9</formula>
    </cfRule>
    <cfRule type="cellIs" dxfId="1026" priority="1648" stopIfTrue="1" operator="between">
      <formula>10</formula>
      <formula>10</formula>
    </cfRule>
    <cfRule type="cellIs" dxfId="1025" priority="1647" operator="between">
      <formula>9</formula>
      <formula>9.9</formula>
    </cfRule>
  </conditionalFormatting>
  <conditionalFormatting sqref="H202">
    <cfRule type="colorScale" priority="1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24" priority="1608" operator="between">
      <formula>9</formula>
      <formula>9.9</formula>
    </cfRule>
    <cfRule type="cellIs" dxfId="1023" priority="1606" operator="between">
      <formula>7</formula>
      <formula>7.9</formula>
    </cfRule>
    <cfRule type="containsBlanks" dxfId="1022" priority="1610" stopIfTrue="1">
      <formula>LEN(TRIM(H203))=0</formula>
    </cfRule>
    <cfRule type="cellIs" dxfId="1021" priority="1609" stopIfTrue="1" operator="between">
      <formula>10</formula>
      <formula>10</formula>
    </cfRule>
    <cfRule type="cellIs" dxfId="1020" priority="1605" operator="between">
      <formula>10.1</formula>
      <formula>11</formula>
    </cfRule>
    <cfRule type="cellIs" dxfId="1019" priority="1607" stopIfTrue="1" operator="between">
      <formula>8</formula>
      <formula>8.9</formula>
    </cfRule>
    <cfRule type="cellIs" dxfId="1018" priority="1604" operator="between">
      <formula>6</formula>
      <formula>6.9</formula>
    </cfRule>
  </conditionalFormatting>
  <conditionalFormatting sqref="H215">
    <cfRule type="colorScale" priority="1552">
      <colorScale>
        <cfvo type="num" val="5"/>
        <cfvo type="num" val="10"/>
        <color rgb="FFFF494D"/>
        <color rgb="FF00FF66"/>
      </colorScale>
    </cfRule>
    <cfRule type="colorScale" priority="1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017" priority="1553" operator="between">
      <formula>6</formula>
      <formula>6.9</formula>
    </cfRule>
    <cfRule type="cellIs" dxfId="1016" priority="1558" stopIfTrue="1" operator="between">
      <formula>10</formula>
      <formula>10</formula>
    </cfRule>
    <cfRule type="cellIs" dxfId="1015" priority="1557" operator="between">
      <formula>9</formula>
      <formula>9.9</formula>
    </cfRule>
    <cfRule type="containsBlanks" dxfId="1014" priority="1559" stopIfTrue="1">
      <formula>LEN(TRIM(H216))=0</formula>
    </cfRule>
    <cfRule type="cellIs" dxfId="1013" priority="1556" stopIfTrue="1" operator="between">
      <formula>8</formula>
      <formula>8.9</formula>
    </cfRule>
    <cfRule type="cellIs" dxfId="1012" priority="1555" operator="between">
      <formula>7</formula>
      <formula>7.9</formula>
    </cfRule>
    <cfRule type="cellIs" dxfId="1011" priority="1554" operator="between">
      <formula>10.1</formula>
      <formula>10.6</formula>
    </cfRule>
  </conditionalFormatting>
  <conditionalFormatting sqref="H229">
    <cfRule type="colorScale" priority="1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010" priority="1517" operator="between">
      <formula>9</formula>
      <formula>9.9</formula>
    </cfRule>
    <cfRule type="cellIs" dxfId="1009" priority="1518" stopIfTrue="1" operator="between">
      <formula>10</formula>
      <formula>10</formula>
    </cfRule>
    <cfRule type="cellIs" dxfId="1008" priority="1516" stopIfTrue="1" operator="between">
      <formula>8</formula>
      <formula>8.9</formula>
    </cfRule>
    <cfRule type="cellIs" dxfId="1007" priority="1515" operator="between">
      <formula>7</formula>
      <formula>7.9</formula>
    </cfRule>
    <cfRule type="cellIs" dxfId="1006" priority="1514" operator="between">
      <formula>10.1</formula>
      <formula>10.6</formula>
    </cfRule>
    <cfRule type="containsBlanks" dxfId="1005" priority="1519" stopIfTrue="1">
      <formula>LEN(TRIM(H230))=0</formula>
    </cfRule>
    <cfRule type="cellIs" dxfId="1004" priority="1513" operator="between">
      <formula>6</formula>
      <formula>6.9</formula>
    </cfRule>
  </conditionalFormatting>
  <conditionalFormatting sqref="H246">
    <cfRule type="colorScale" priority="1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003" priority="1464" operator="between">
      <formula>10.1</formula>
      <formula>10.6</formula>
    </cfRule>
    <cfRule type="containsBlanks" dxfId="1002" priority="1469" stopIfTrue="1">
      <formula>LEN(TRIM(H247))=0</formula>
    </cfRule>
    <cfRule type="cellIs" dxfId="1001" priority="1463" operator="between">
      <formula>6</formula>
      <formula>6.9</formula>
    </cfRule>
    <cfRule type="cellIs" dxfId="1000" priority="1468" stopIfTrue="1" operator="between">
      <formula>10</formula>
      <formula>10</formula>
    </cfRule>
    <cfRule type="cellIs" dxfId="999" priority="1467" operator="between">
      <formula>9</formula>
      <formula>9.9</formula>
    </cfRule>
    <cfRule type="cellIs" dxfId="998" priority="1465" operator="between">
      <formula>7</formula>
      <formula>7.9</formula>
    </cfRule>
    <cfRule type="cellIs" dxfId="997" priority="1466" stopIfTrue="1" operator="between">
      <formula>8</formula>
      <formula>8.9</formula>
    </cfRule>
  </conditionalFormatting>
  <conditionalFormatting sqref="H258"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996" priority="1425" operator="between">
      <formula>7</formula>
      <formula>7.9</formula>
    </cfRule>
    <cfRule type="cellIs" dxfId="995" priority="1423" operator="between">
      <formula>6</formula>
      <formula>6.9</formula>
    </cfRule>
    <cfRule type="containsBlanks" dxfId="994" priority="1429" stopIfTrue="1">
      <formula>LEN(TRIM(H259))=0</formula>
    </cfRule>
    <cfRule type="cellIs" dxfId="993" priority="1428" stopIfTrue="1" operator="between">
      <formula>10</formula>
      <formula>10</formula>
    </cfRule>
    <cfRule type="cellIs" dxfId="992" priority="1427" operator="between">
      <formula>9</formula>
      <formula>9.9</formula>
    </cfRule>
    <cfRule type="cellIs" dxfId="991" priority="1424" operator="between">
      <formula>10.1</formula>
      <formula>10.6</formula>
    </cfRule>
    <cfRule type="cellIs" dxfId="990" priority="1426" stopIfTrue="1" operator="between">
      <formula>8</formula>
      <formula>8.9</formula>
    </cfRule>
  </conditionalFormatting>
  <conditionalFormatting sqref="H265">
    <cfRule type="colorScale" priority="1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989" priority="1385" operator="between">
      <formula>6</formula>
      <formula>6.9</formula>
    </cfRule>
    <cfRule type="cellIs" dxfId="988" priority="1386" operator="between">
      <formula>10.1</formula>
      <formula>10.6</formula>
    </cfRule>
    <cfRule type="cellIs" dxfId="987" priority="1387" operator="between">
      <formula>7</formula>
      <formula>7.9</formula>
    </cfRule>
    <cfRule type="cellIs" dxfId="986" priority="1388" stopIfTrue="1" operator="between">
      <formula>8</formula>
      <formula>8.9</formula>
    </cfRule>
    <cfRule type="cellIs" dxfId="985" priority="1389" operator="between">
      <formula>9</formula>
      <formula>9.9</formula>
    </cfRule>
    <cfRule type="cellIs" dxfId="984" priority="1390" stopIfTrue="1" operator="between">
      <formula>10</formula>
      <formula>10</formula>
    </cfRule>
    <cfRule type="containsBlanks" dxfId="983" priority="1391" stopIfTrue="1">
      <formula>LEN(TRIM(H266))=0</formula>
    </cfRule>
  </conditionalFormatting>
  <conditionalFormatting sqref="H276">
    <cfRule type="colorScale" priority="1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982" priority="1365" operator="between">
      <formula>9</formula>
      <formula>9.9</formula>
    </cfRule>
    <cfRule type="cellIs" dxfId="981" priority="1366" stopIfTrue="1" operator="between">
      <formula>10</formula>
      <formula>10</formula>
    </cfRule>
    <cfRule type="containsBlanks" dxfId="980" priority="1367" stopIfTrue="1">
      <formula>LEN(TRIM(H277))=0</formula>
    </cfRule>
    <cfRule type="cellIs" dxfId="979" priority="1364" stopIfTrue="1" operator="between">
      <formula>8</formula>
      <formula>8.9</formula>
    </cfRule>
    <cfRule type="cellIs" dxfId="978" priority="1363" operator="between">
      <formula>7</formula>
      <formula>7.9</formula>
    </cfRule>
    <cfRule type="cellIs" dxfId="977" priority="1362" operator="between">
      <formula>10.1</formula>
      <formula>10.6</formula>
    </cfRule>
    <cfRule type="cellIs" dxfId="976" priority="1361" operator="between">
      <formula>6</formula>
      <formula>6.9</formula>
    </cfRule>
  </conditionalFormatting>
  <conditionalFormatting sqref="H288">
    <cfRule type="colorScale" priority="1294">
      <colorScale>
        <cfvo type="num" val="5"/>
        <cfvo type="num" val="10"/>
        <color rgb="FFFF494D"/>
        <color rgb="FF00FF66"/>
      </colorScale>
    </cfRule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975" priority="1292" stopIfTrue="1">
      <formula>LEN(TRIM(H289))=0</formula>
    </cfRule>
    <cfRule type="cellIs" dxfId="974" priority="1290" operator="between">
      <formula>9</formula>
      <formula>9.9</formula>
    </cfRule>
    <cfRule type="cellIs" dxfId="973" priority="1291" stopIfTrue="1" operator="between">
      <formula>10</formula>
      <formula>10</formula>
    </cfRule>
    <cfRule type="cellIs" dxfId="972" priority="1287" operator="between">
      <formula>10.1</formula>
      <formula>10.6</formula>
    </cfRule>
    <cfRule type="cellIs" dxfId="971" priority="1286" operator="between">
      <formula>6</formula>
      <formula>6.9</formula>
    </cfRule>
    <cfRule type="cellIs" dxfId="970" priority="1289" stopIfTrue="1" operator="between">
      <formula>8</formula>
      <formula>8.9</formula>
    </cfRule>
    <cfRule type="cellIs" dxfId="969" priority="1288" operator="between">
      <formula>7</formula>
      <formula>7.9</formula>
    </cfRule>
  </conditionalFormatting>
  <conditionalFormatting sqref="H296">
    <cfRule type="colorScale" priority="1285">
      <colorScale>
        <cfvo type="num" val="5"/>
        <cfvo type="num" val="10"/>
        <color rgb="FFFF494D"/>
        <color rgb="FF00FF66"/>
      </colorScale>
    </cfRule>
    <cfRule type="colorScale" priority="1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968" priority="1277" operator="between">
      <formula>2</formula>
      <formula>4.9</formula>
    </cfRule>
    <cfRule type="containsBlanks" dxfId="967" priority="1275" stopIfTrue="1">
      <formula>LEN(TRIM(H297))=0</formula>
    </cfRule>
    <cfRule type="cellIs" dxfId="966" priority="1276" operator="lessThan">
      <formula>2</formula>
    </cfRule>
    <cfRule type="cellIs" dxfId="965" priority="1283" stopIfTrue="1" operator="between">
      <formula>10</formula>
      <formula>10</formula>
    </cfRule>
    <cfRule type="cellIs" dxfId="964" priority="1282" operator="between">
      <formula>9</formula>
      <formula>9.9</formula>
    </cfRule>
    <cfRule type="cellIs" dxfId="963" priority="1281" stopIfTrue="1" operator="between">
      <formula>8</formula>
      <formula>8.9</formula>
    </cfRule>
    <cfRule type="cellIs" dxfId="962" priority="1280" operator="between">
      <formula>7</formula>
      <formula>7.9</formula>
    </cfRule>
    <cfRule type="cellIs" dxfId="961" priority="1279" operator="between">
      <formula>10.1</formula>
      <formula>10.6</formula>
    </cfRule>
    <cfRule type="cellIs" dxfId="960" priority="1278" operator="between">
      <formula>5</formula>
      <formula>6.9</formula>
    </cfRule>
  </conditionalFormatting>
  <conditionalFormatting sqref="H309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959" priority="1203" operator="lessThan">
      <formula>2</formula>
    </cfRule>
    <cfRule type="containsBlanks" dxfId="958" priority="1202" stopIfTrue="1">
      <formula>LEN(TRIM(H310))=0</formula>
    </cfRule>
    <cfRule type="cellIs" dxfId="957" priority="1206" operator="between">
      <formula>10.1</formula>
      <formula>10.6</formula>
    </cfRule>
    <cfRule type="cellIs" dxfId="956" priority="1205" operator="between">
      <formula>5</formula>
      <formula>6.9</formula>
    </cfRule>
    <cfRule type="cellIs" dxfId="955" priority="1207" operator="between">
      <formula>7</formula>
      <formula>7.9</formula>
    </cfRule>
    <cfRule type="cellIs" dxfId="954" priority="1208" stopIfTrue="1" operator="between">
      <formula>8</formula>
      <formula>8.9</formula>
    </cfRule>
    <cfRule type="cellIs" dxfId="953" priority="1209" operator="between">
      <formula>9</formula>
      <formula>9.9</formula>
    </cfRule>
    <cfRule type="cellIs" dxfId="952" priority="1210" stopIfTrue="1" operator="between">
      <formula>10</formula>
      <formula>10</formula>
    </cfRule>
    <cfRule type="cellIs" dxfId="951" priority="1204" operator="between">
      <formula>2</formula>
      <formula>4.9</formula>
    </cfRule>
  </conditionalFormatting>
  <conditionalFormatting sqref="H329">
    <cfRule type="colorScale" priority="1113">
      <colorScale>
        <cfvo type="num" val="5"/>
        <cfvo type="num" val="10"/>
        <color rgb="FFFF494D"/>
        <color rgb="FF00FF66"/>
      </colorScale>
    </cfRule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950" priority="1106" operator="between">
      <formula>5</formula>
      <formula>6.9</formula>
    </cfRule>
    <cfRule type="cellIs" dxfId="949" priority="1111" stopIfTrue="1" operator="between">
      <formula>10</formula>
      <formula>10</formula>
    </cfRule>
    <cfRule type="cellIs" dxfId="948" priority="1110" operator="between">
      <formula>9</formula>
      <formula>9.9</formula>
    </cfRule>
    <cfRule type="cellIs" dxfId="947" priority="1109" stopIfTrue="1" operator="between">
      <formula>8</formula>
      <formula>8.9</formula>
    </cfRule>
    <cfRule type="cellIs" dxfId="946" priority="1108" operator="between">
      <formula>7</formula>
      <formula>7.9</formula>
    </cfRule>
    <cfRule type="cellIs" dxfId="945" priority="1107" operator="between">
      <formula>10.1</formula>
      <formula>10.6</formula>
    </cfRule>
    <cfRule type="containsBlanks" dxfId="944" priority="1103" stopIfTrue="1">
      <formula>LEN(TRIM(H330))=0</formula>
    </cfRule>
    <cfRule type="cellIs" dxfId="943" priority="1104" operator="lessThan">
      <formula>2</formula>
    </cfRule>
    <cfRule type="cellIs" dxfId="942" priority="1105" operator="between">
      <formula>2</formula>
      <formula>4.9</formula>
    </cfRule>
  </conditionalFormatting>
  <conditionalFormatting sqref="H339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941" priority="1085" operator="between">
      <formula>2</formula>
      <formula>4.9</formula>
    </cfRule>
    <cfRule type="containsBlanks" dxfId="940" priority="1083" stopIfTrue="1">
      <formula>LEN(TRIM(H340))=0</formula>
    </cfRule>
    <cfRule type="cellIs" dxfId="939" priority="1084" operator="lessThan">
      <formula>2</formula>
    </cfRule>
    <cfRule type="cellIs" dxfId="938" priority="1091" stopIfTrue="1" operator="between">
      <formula>10</formula>
      <formula>10</formula>
    </cfRule>
    <cfRule type="cellIs" dxfId="937" priority="1090" operator="between">
      <formula>9</formula>
      <formula>9.9</formula>
    </cfRule>
    <cfRule type="cellIs" dxfId="936" priority="1089" stopIfTrue="1" operator="between">
      <formula>8</formula>
      <formula>8.9</formula>
    </cfRule>
    <cfRule type="cellIs" dxfId="935" priority="1088" operator="between">
      <formula>7</formula>
      <formula>7.9</formula>
    </cfRule>
    <cfRule type="cellIs" dxfId="934" priority="1087" operator="between">
      <formula>10.1</formula>
      <formula>10.6</formula>
    </cfRule>
    <cfRule type="cellIs" dxfId="933" priority="1086" operator="between">
      <formula>5</formula>
      <formula>6.9</formula>
    </cfRule>
  </conditionalFormatting>
  <conditionalFormatting sqref="H353">
    <cfRule type="colorScale" priority="1049">
      <colorScale>
        <cfvo type="num" val="5"/>
        <cfvo type="num" val="10"/>
        <color rgb="FFFF494D"/>
        <color rgb="FF00FF66"/>
      </colorScale>
    </cfRule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ontainsBlanks" dxfId="932" priority="1050" stopIfTrue="1">
      <formula>LEN(TRIM(H354))=0</formula>
    </cfRule>
    <cfRule type="cellIs" dxfId="931" priority="1051" operator="lessThan">
      <formula>2</formula>
    </cfRule>
    <cfRule type="cellIs" dxfId="930" priority="1052" operator="between">
      <formula>2</formula>
      <formula>4.9</formula>
    </cfRule>
    <cfRule type="cellIs" dxfId="929" priority="1053" operator="between">
      <formula>5</formula>
      <formula>6.9</formula>
    </cfRule>
    <cfRule type="cellIs" dxfId="928" priority="1054" operator="between">
      <formula>10.1</formula>
      <formula>10.6</formula>
    </cfRule>
    <cfRule type="cellIs" dxfId="927" priority="1055" operator="between">
      <formula>7</formula>
      <formula>7.9</formula>
    </cfRule>
    <cfRule type="cellIs" dxfId="926" priority="1056" stopIfTrue="1" operator="between">
      <formula>8</formula>
      <formula>8.9</formula>
    </cfRule>
    <cfRule type="cellIs" dxfId="925" priority="1057" operator="between">
      <formula>9</formula>
      <formula>9.9</formula>
    </cfRule>
    <cfRule type="cellIs" dxfId="924" priority="1058" stopIfTrue="1" operator="between">
      <formula>10</formula>
      <formula>10</formula>
    </cfRule>
  </conditionalFormatting>
  <conditionalFormatting sqref="H365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23" priority="1010" stopIfTrue="1" operator="between">
      <formula>8</formula>
      <formula>8.9</formula>
    </cfRule>
    <cfRule type="cellIs" dxfId="922" priority="1009" operator="between">
      <formula>7</formula>
      <formula>7.9</formula>
    </cfRule>
    <cfRule type="cellIs" dxfId="921" priority="1011" operator="between">
      <formula>9</formula>
      <formula>9.9</formula>
    </cfRule>
    <cfRule type="containsBlanks" dxfId="920" priority="1004" stopIfTrue="1">
      <formula>LEN(TRIM(H366))=0</formula>
    </cfRule>
    <cfRule type="cellIs" dxfId="919" priority="1005" operator="lessThan">
      <formula>2</formula>
    </cfRule>
    <cfRule type="cellIs" dxfId="918" priority="1006" operator="between">
      <formula>2</formula>
      <formula>4.9</formula>
    </cfRule>
    <cfRule type="cellIs" dxfId="917" priority="1007" operator="between">
      <formula>5</formula>
      <formula>6.9</formula>
    </cfRule>
    <cfRule type="cellIs" dxfId="916" priority="1008" operator="between">
      <formula>10.1</formula>
      <formula>10.6</formula>
    </cfRule>
    <cfRule type="cellIs" dxfId="915" priority="1012" stopIfTrue="1" operator="between">
      <formula>10</formula>
      <formula>10</formula>
    </cfRule>
  </conditionalFormatting>
  <conditionalFormatting sqref="H374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914" priority="963" operator="between">
      <formula>9</formula>
      <formula>9.9</formula>
    </cfRule>
    <cfRule type="cellIs" dxfId="913" priority="964" stopIfTrue="1" operator="between">
      <formula>10</formula>
      <formula>10</formula>
    </cfRule>
    <cfRule type="cellIs" dxfId="912" priority="961" operator="between">
      <formula>7</formula>
      <formula>7.9</formula>
    </cfRule>
    <cfRule type="cellIs" dxfId="911" priority="962" stopIfTrue="1" operator="between">
      <formula>8</formula>
      <formula>8.9</formula>
    </cfRule>
    <cfRule type="cellIs" dxfId="910" priority="960" operator="between">
      <formula>10.1</formula>
      <formula>10.6</formula>
    </cfRule>
    <cfRule type="cellIs" dxfId="909" priority="959" operator="between">
      <formula>5</formula>
      <formula>6.9</formula>
    </cfRule>
    <cfRule type="cellIs" dxfId="908" priority="958" operator="between">
      <formula>2</formula>
      <formula>4.9</formula>
    </cfRule>
    <cfRule type="cellIs" dxfId="907" priority="957" operator="lessThan">
      <formula>2</formula>
    </cfRule>
    <cfRule type="containsBlanks" dxfId="906" priority="956" stopIfTrue="1">
      <formula>LEN(TRIM(H375))=0</formula>
    </cfRule>
  </conditionalFormatting>
  <conditionalFormatting sqref="H387">
    <cfRule type="colorScale" priority="890">
      <colorScale>
        <cfvo type="num" val="5"/>
        <cfvo type="num" val="10"/>
        <color rgb="FFFF494D"/>
        <color rgb="FF00FF66"/>
      </colorScale>
    </cfRule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905" priority="888" stopIfTrue="1" operator="between">
      <formula>10</formula>
      <formula>10</formula>
    </cfRule>
    <cfRule type="cellIs" dxfId="904" priority="882" operator="between">
      <formula>2</formula>
      <formula>4.9</formula>
    </cfRule>
    <cfRule type="cellIs" dxfId="903" priority="883" operator="between">
      <formula>5</formula>
      <formula>6.9</formula>
    </cfRule>
    <cfRule type="containsBlanks" dxfId="902" priority="880" stopIfTrue="1">
      <formula>LEN(TRIM(H388))=0</formula>
    </cfRule>
    <cfRule type="cellIs" dxfId="901" priority="881" operator="lessThan">
      <formula>2</formula>
    </cfRule>
    <cfRule type="cellIs" dxfId="900" priority="884" operator="between">
      <formula>10.1</formula>
      <formula>10.6</formula>
    </cfRule>
    <cfRule type="cellIs" dxfId="899" priority="885" operator="between">
      <formula>7</formula>
      <formula>7.9</formula>
    </cfRule>
    <cfRule type="cellIs" dxfId="898" priority="886" stopIfTrue="1" operator="between">
      <formula>8</formula>
      <formula>8.9</formula>
    </cfRule>
    <cfRule type="cellIs" dxfId="897" priority="887" operator="between">
      <formula>9</formula>
      <formula>9.9</formula>
    </cfRule>
  </conditionalFormatting>
  <conditionalFormatting sqref="H401">
    <cfRule type="colorScale" priority="804">
      <colorScale>
        <cfvo type="num" val="5"/>
        <cfvo type="num" val="10"/>
        <color rgb="FFFF494D"/>
        <color rgb="FF00FF66"/>
      </colorScale>
    </cfRule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896" priority="806" operator="lessThan">
      <formula>2</formula>
    </cfRule>
    <cfRule type="containsBlanks" dxfId="895" priority="805" stopIfTrue="1">
      <formula>LEN(TRIM(H402))=0</formula>
    </cfRule>
    <cfRule type="cellIs" dxfId="894" priority="813" stopIfTrue="1" operator="between">
      <formula>10</formula>
      <formula>10</formula>
    </cfRule>
    <cfRule type="cellIs" dxfId="893" priority="812" operator="between">
      <formula>9</formula>
      <formula>9.9</formula>
    </cfRule>
    <cfRule type="cellIs" dxfId="892" priority="811" stopIfTrue="1" operator="between">
      <formula>8</formula>
      <formula>8.9</formula>
    </cfRule>
    <cfRule type="cellIs" dxfId="891" priority="810" operator="between">
      <formula>7</formula>
      <formula>7.9</formula>
    </cfRule>
    <cfRule type="cellIs" dxfId="890" priority="809" operator="between">
      <formula>10.1</formula>
      <formula>10.6</formula>
    </cfRule>
    <cfRule type="cellIs" dxfId="889" priority="808" operator="between">
      <formula>5</formula>
      <formula>6.9</formula>
    </cfRule>
    <cfRule type="cellIs" dxfId="888" priority="807" operator="between">
      <formula>2</formula>
      <formula>4.9</formula>
    </cfRule>
  </conditionalFormatting>
  <conditionalFormatting sqref="H415">
    <cfRule type="colorScale" priority="746">
      <colorScale>
        <cfvo type="num" val="5"/>
        <cfvo type="num" val="10"/>
        <color rgb="FFFF494D"/>
        <color rgb="FF00FF66"/>
      </colorScale>
    </cfRule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887" priority="735" stopIfTrue="1" operator="between">
      <formula>10</formula>
      <formula>10</formula>
    </cfRule>
    <cfRule type="cellIs" dxfId="886" priority="728" operator="lessThan">
      <formula>2</formula>
    </cfRule>
    <cfRule type="cellIs" dxfId="885" priority="729" operator="between">
      <formula>2</formula>
      <formula>4.9</formula>
    </cfRule>
    <cfRule type="cellIs" dxfId="884" priority="730" operator="between">
      <formula>5</formula>
      <formula>6.9</formula>
    </cfRule>
    <cfRule type="cellIs" dxfId="883" priority="731" operator="between">
      <formula>10.1</formula>
      <formula>10.6</formula>
    </cfRule>
    <cfRule type="cellIs" dxfId="882" priority="732" operator="between">
      <formula>7</formula>
      <formula>7.9</formula>
    </cfRule>
    <cfRule type="cellIs" dxfId="881" priority="733" stopIfTrue="1" operator="between">
      <formula>8</formula>
      <formula>8.9</formula>
    </cfRule>
    <cfRule type="cellIs" dxfId="880" priority="734" operator="between">
      <formula>9</formula>
      <formula>9.9</formula>
    </cfRule>
    <cfRule type="containsBlanks" dxfId="879" priority="727" stopIfTrue="1">
      <formula>LEN(TRIM(H416))=0</formula>
    </cfRule>
  </conditionalFormatting>
  <conditionalFormatting sqref="H421">
    <cfRule type="colorScale" priority="715">
      <colorScale>
        <cfvo type="num" val="5"/>
        <cfvo type="num" val="10"/>
        <color rgb="FFFF494D"/>
        <color rgb="FF00FF66"/>
      </colorScale>
    </cfRule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878" priority="713" stopIfTrue="1" operator="between">
      <formula>10</formula>
      <formula>10</formula>
    </cfRule>
    <cfRule type="containsBlanks" dxfId="877" priority="705" stopIfTrue="1">
      <formula>LEN(TRIM(H422))=0</formula>
    </cfRule>
    <cfRule type="cellIs" dxfId="876" priority="706" operator="lessThan">
      <formula>2</formula>
    </cfRule>
    <cfRule type="cellIs" dxfId="875" priority="707" operator="between">
      <formula>2</formula>
      <formula>4.9</formula>
    </cfRule>
    <cfRule type="cellIs" dxfId="874" priority="708" operator="between">
      <formula>5</formula>
      <formula>6.9</formula>
    </cfRule>
    <cfRule type="cellIs" dxfId="873" priority="709" operator="between">
      <formula>10.1</formula>
      <formula>10.6</formula>
    </cfRule>
    <cfRule type="cellIs" dxfId="872" priority="710" operator="between">
      <formula>7</formula>
      <formula>7.9</formula>
    </cfRule>
    <cfRule type="cellIs" dxfId="871" priority="711" stopIfTrue="1" operator="between">
      <formula>8</formula>
      <formula>8.9</formula>
    </cfRule>
    <cfRule type="cellIs" dxfId="870" priority="712" operator="between">
      <formula>9</formula>
      <formula>9.9</formula>
    </cfRule>
  </conditionalFormatting>
  <conditionalFormatting sqref="H434">
    <cfRule type="colorScale" priority="638">
      <colorScale>
        <cfvo type="num" val="5"/>
        <cfvo type="num" val="10"/>
        <color rgb="FFFF494D"/>
        <color rgb="FF00FF66"/>
      </colorScale>
    </cfRule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869" priority="643" operator="between">
      <formula>10.1</formula>
      <formula>10.6</formula>
    </cfRule>
    <cfRule type="cellIs" dxfId="868" priority="642" operator="between">
      <formula>5</formula>
      <formula>6.9</formula>
    </cfRule>
    <cfRule type="cellIs" dxfId="867" priority="641" operator="between">
      <formula>2</formula>
      <formula>4.9</formula>
    </cfRule>
    <cfRule type="cellIs" dxfId="866" priority="640" operator="lessThan">
      <formula>2</formula>
    </cfRule>
    <cfRule type="containsBlanks" dxfId="865" priority="639" stopIfTrue="1">
      <formula>LEN(TRIM(H435))=0</formula>
    </cfRule>
    <cfRule type="cellIs" dxfId="864" priority="644" operator="between">
      <formula>7</formula>
      <formula>7.9</formula>
    </cfRule>
    <cfRule type="cellIs" dxfId="863" priority="646" operator="between">
      <formula>9</formula>
      <formula>9.9</formula>
    </cfRule>
    <cfRule type="cellIs" dxfId="862" priority="647" stopIfTrue="1" operator="between">
      <formula>10</formula>
      <formula>10</formula>
    </cfRule>
    <cfRule type="cellIs" dxfId="861" priority="645" stopIfTrue="1" operator="between">
      <formula>8</formula>
      <formula>8.9</formula>
    </cfRule>
  </conditionalFormatting>
  <conditionalFormatting sqref="H451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860" priority="554" operator="lessThan">
      <formula>2</formula>
    </cfRule>
    <cfRule type="cellIs" dxfId="859" priority="555" operator="between">
      <formula>2</formula>
      <formula>4.9</formula>
    </cfRule>
    <cfRule type="cellIs" dxfId="858" priority="556" operator="between">
      <formula>5</formula>
      <formula>6.9</formula>
    </cfRule>
    <cfRule type="cellIs" dxfId="857" priority="557" operator="between">
      <formula>10.1</formula>
      <formula>10.6</formula>
    </cfRule>
    <cfRule type="cellIs" dxfId="856" priority="558" operator="between">
      <formula>7</formula>
      <formula>7.9</formula>
    </cfRule>
    <cfRule type="cellIs" dxfId="855" priority="559" stopIfTrue="1" operator="between">
      <formula>8</formula>
      <formula>8.9</formula>
    </cfRule>
    <cfRule type="cellIs" dxfId="854" priority="560" operator="between">
      <formula>9</formula>
      <formula>9.9</formula>
    </cfRule>
    <cfRule type="cellIs" dxfId="853" priority="561" stopIfTrue="1" operator="between">
      <formula>10</formula>
      <formula>10</formula>
    </cfRule>
    <cfRule type="containsBlanks" dxfId="852" priority="553" stopIfTrue="1">
      <formula>LEN(TRIM(H452))=0</formula>
    </cfRule>
  </conditionalFormatting>
  <conditionalFormatting sqref="H467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851" priority="510" operator="lessThan">
      <formula>2</formula>
    </cfRule>
    <cfRule type="cellIs" dxfId="850" priority="517" stopIfTrue="1" operator="between">
      <formula>10</formula>
      <formula>10</formula>
    </cfRule>
    <cfRule type="cellIs" dxfId="849" priority="516" operator="between">
      <formula>9</formula>
      <formula>9.9</formula>
    </cfRule>
    <cfRule type="cellIs" dxfId="848" priority="515" stopIfTrue="1" operator="between">
      <formula>8</formula>
      <formula>8.9</formula>
    </cfRule>
    <cfRule type="cellIs" dxfId="847" priority="514" operator="between">
      <formula>7</formula>
      <formula>7.9</formula>
    </cfRule>
    <cfRule type="cellIs" dxfId="846" priority="513" operator="between">
      <formula>10.1</formula>
      <formula>10.6</formula>
    </cfRule>
    <cfRule type="cellIs" dxfId="845" priority="512" operator="between">
      <formula>5</formula>
      <formula>6.9</formula>
    </cfRule>
    <cfRule type="cellIs" dxfId="844" priority="511" operator="between">
      <formula>2</formula>
      <formula>4.9</formula>
    </cfRule>
    <cfRule type="containsBlanks" dxfId="843" priority="509" stopIfTrue="1">
      <formula>LEN(TRIM(H468))=0</formula>
    </cfRule>
  </conditionalFormatting>
  <conditionalFormatting sqref="H474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842" priority="484" stopIfTrue="1" operator="between">
      <formula>10</formula>
      <formula>10</formula>
    </cfRule>
    <cfRule type="containsBlanks" dxfId="841" priority="476" stopIfTrue="1">
      <formula>LEN(TRIM(H475))=0</formula>
    </cfRule>
    <cfRule type="cellIs" dxfId="840" priority="477" operator="lessThan">
      <formula>2</formula>
    </cfRule>
    <cfRule type="cellIs" dxfId="839" priority="478" operator="between">
      <formula>2</formula>
      <formula>4.9</formula>
    </cfRule>
    <cfRule type="cellIs" dxfId="838" priority="479" operator="between">
      <formula>5</formula>
      <formula>6.9</formula>
    </cfRule>
    <cfRule type="cellIs" dxfId="837" priority="480" operator="between">
      <formula>10.1</formula>
      <formula>10.6</formula>
    </cfRule>
    <cfRule type="cellIs" dxfId="836" priority="481" operator="between">
      <formula>7</formula>
      <formula>7.9</formula>
    </cfRule>
    <cfRule type="cellIs" dxfId="835" priority="482" stopIfTrue="1" operator="between">
      <formula>8</formula>
      <formula>8.9</formula>
    </cfRule>
    <cfRule type="cellIs" dxfId="834" priority="483" operator="between">
      <formula>9</formula>
      <formula>9.9</formula>
    </cfRule>
  </conditionalFormatting>
  <conditionalFormatting sqref="H488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833" priority="420" operator="lessThan">
      <formula>2</formula>
    </cfRule>
    <cfRule type="cellIs" dxfId="832" priority="421" operator="between">
      <formula>2</formula>
      <formula>4.9</formula>
    </cfRule>
    <cfRule type="cellIs" dxfId="831" priority="422" operator="between">
      <formula>5</formula>
      <formula>6.9</formula>
    </cfRule>
    <cfRule type="cellIs" dxfId="830" priority="423" operator="between">
      <formula>10.1</formula>
      <formula>10.6</formula>
    </cfRule>
    <cfRule type="cellIs" dxfId="829" priority="424" operator="between">
      <formula>7</formula>
      <formula>7.9</formula>
    </cfRule>
    <cfRule type="cellIs" dxfId="828" priority="425" stopIfTrue="1" operator="between">
      <formula>8</formula>
      <formula>8.9</formula>
    </cfRule>
    <cfRule type="cellIs" dxfId="827" priority="426" operator="between">
      <formula>9</formula>
      <formula>9.9</formula>
    </cfRule>
    <cfRule type="cellIs" dxfId="826" priority="427" stopIfTrue="1" operator="between">
      <formula>10</formula>
      <formula>10</formula>
    </cfRule>
    <cfRule type="containsBlanks" dxfId="825" priority="419" stopIfTrue="1">
      <formula>LEN(TRIM(H489))=0</formula>
    </cfRule>
  </conditionalFormatting>
  <conditionalFormatting sqref="H500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24" priority="374" stopIfTrue="1" operator="between">
      <formula>10</formula>
      <formula>10</formula>
    </cfRule>
    <cfRule type="cellIs" dxfId="823" priority="373" operator="between">
      <formula>9</formula>
      <formula>9.9</formula>
    </cfRule>
    <cfRule type="cellIs" dxfId="822" priority="372" stopIfTrue="1" operator="between">
      <formula>8</formula>
      <formula>8.9</formula>
    </cfRule>
    <cfRule type="cellIs" dxfId="821" priority="371" operator="between">
      <formula>7</formula>
      <formula>7.9</formula>
    </cfRule>
    <cfRule type="cellIs" dxfId="820" priority="370" operator="between">
      <formula>10.1</formula>
      <formula>10.6</formula>
    </cfRule>
    <cfRule type="cellIs" dxfId="819" priority="369" operator="between">
      <formula>5</formula>
      <formula>6.9</formula>
    </cfRule>
    <cfRule type="cellIs" dxfId="818" priority="368" operator="between">
      <formula>2</formula>
      <formula>4.9</formula>
    </cfRule>
    <cfRule type="cellIs" dxfId="817" priority="367" operator="lessThan">
      <formula>2</formula>
    </cfRule>
    <cfRule type="containsBlanks" dxfId="816" priority="366" stopIfTrue="1">
      <formula>LEN(TRIM(H501))=0</formula>
    </cfRule>
  </conditionalFormatting>
  <conditionalFormatting sqref="H512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815" priority="333" stopIfTrue="1">
      <formula>LEN(TRIM(H513))=0</formula>
    </cfRule>
    <cfRule type="cellIs" dxfId="814" priority="334" operator="lessThan">
      <formula>2</formula>
    </cfRule>
    <cfRule type="cellIs" dxfId="813" priority="335" operator="between">
      <formula>2</formula>
      <formula>4.9</formula>
    </cfRule>
    <cfRule type="cellIs" dxfId="812" priority="336" operator="between">
      <formula>5</formula>
      <formula>6.9</formula>
    </cfRule>
    <cfRule type="cellIs" dxfId="811" priority="337" operator="between">
      <formula>10.1</formula>
      <formula>10.6</formula>
    </cfRule>
    <cfRule type="cellIs" dxfId="810" priority="338" operator="between">
      <formula>7</formula>
      <formula>7.9</formula>
    </cfRule>
    <cfRule type="cellIs" dxfId="809" priority="339" stopIfTrue="1" operator="between">
      <formula>8</formula>
      <formula>8.9</formula>
    </cfRule>
    <cfRule type="cellIs" dxfId="808" priority="341" stopIfTrue="1" operator="between">
      <formula>10</formula>
      <formula>10</formula>
    </cfRule>
    <cfRule type="cellIs" dxfId="807" priority="340" operator="between">
      <formula>9</formula>
      <formula>9.9</formula>
    </cfRule>
  </conditionalFormatting>
  <conditionalFormatting sqref="H521">
    <cfRule type="colorScale" priority="286">
      <colorScale>
        <cfvo type="num" val="5"/>
        <cfvo type="num" val="10"/>
        <color rgb="FFFF494D"/>
        <color rgb="FF00FF66"/>
      </colorScale>
    </cfRule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806" priority="284" stopIfTrue="1" operator="between">
      <formula>10</formula>
      <formula>10</formula>
    </cfRule>
    <cfRule type="cellIs" dxfId="805" priority="283" operator="between">
      <formula>9</formula>
      <formula>9.9</formula>
    </cfRule>
    <cfRule type="cellIs" dxfId="804" priority="282" stopIfTrue="1" operator="between">
      <formula>8</formula>
      <formula>8.9</formula>
    </cfRule>
    <cfRule type="cellIs" dxfId="803" priority="281" operator="between">
      <formula>7</formula>
      <formula>7.9</formula>
    </cfRule>
    <cfRule type="cellIs" dxfId="802" priority="280" operator="between">
      <formula>10.1</formula>
      <formula>10.6</formula>
    </cfRule>
    <cfRule type="cellIs" dxfId="801" priority="279" operator="between">
      <formula>5</formula>
      <formula>6.9</formula>
    </cfRule>
    <cfRule type="cellIs" dxfId="800" priority="278" operator="between">
      <formula>2</formula>
      <formula>4.9</formula>
    </cfRule>
    <cfRule type="cellIs" dxfId="799" priority="277" operator="lessThan">
      <formula>2</formula>
    </cfRule>
    <cfRule type="containsBlanks" dxfId="798" priority="276" stopIfTrue="1">
      <formula>LEN(TRIM(H522))=0</formula>
    </cfRule>
  </conditionalFormatting>
  <conditionalFormatting sqref="H530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797" priority="227" operator="between">
      <formula>10.1</formula>
      <formula>10.6</formula>
    </cfRule>
    <cfRule type="containsBlanks" dxfId="796" priority="223" stopIfTrue="1">
      <formula>LEN(TRIM(H531))=0</formula>
    </cfRule>
    <cfRule type="cellIs" dxfId="795" priority="224" operator="lessThan">
      <formula>2</formula>
    </cfRule>
    <cfRule type="cellIs" dxfId="794" priority="225" operator="between">
      <formula>2</formula>
      <formula>4.9</formula>
    </cfRule>
    <cfRule type="cellIs" dxfId="793" priority="226" operator="between">
      <formula>5</formula>
      <formula>6.9</formula>
    </cfRule>
    <cfRule type="cellIs" dxfId="792" priority="228" operator="between">
      <formula>7</formula>
      <formula>7.9</formula>
    </cfRule>
    <cfRule type="cellIs" dxfId="791" priority="229" stopIfTrue="1" operator="between">
      <formula>8</formula>
      <formula>8.9</formula>
    </cfRule>
    <cfRule type="cellIs" dxfId="790" priority="230" operator="between">
      <formula>9</formula>
      <formula>9.9</formula>
    </cfRule>
    <cfRule type="cellIs" dxfId="789" priority="231" stopIfTrue="1" operator="between">
      <formula>10</formula>
      <formula>10</formula>
    </cfRule>
  </conditionalFormatting>
  <conditionalFormatting sqref="H544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788" priority="183" operator="between">
      <formula>10.1</formula>
      <formula>10.6</formula>
    </cfRule>
    <cfRule type="cellIs" dxfId="787" priority="184" operator="between">
      <formula>7</formula>
      <formula>7.9</formula>
    </cfRule>
    <cfRule type="cellIs" dxfId="786" priority="185" stopIfTrue="1" operator="between">
      <formula>8</formula>
      <formula>8.9</formula>
    </cfRule>
    <cfRule type="cellIs" dxfId="785" priority="186" operator="between">
      <formula>9</formula>
      <formula>9.9</formula>
    </cfRule>
    <cfRule type="cellIs" dxfId="784" priority="187" stopIfTrue="1" operator="between">
      <formula>10</formula>
      <formula>10</formula>
    </cfRule>
    <cfRule type="cellIs" dxfId="783" priority="182" operator="between">
      <formula>5</formula>
      <formula>6.9</formula>
    </cfRule>
    <cfRule type="cellIs" dxfId="782" priority="181" operator="between">
      <formula>2</formula>
      <formula>4.9</formula>
    </cfRule>
    <cfRule type="cellIs" dxfId="781" priority="180" operator="lessThan">
      <formula>2</formula>
    </cfRule>
    <cfRule type="containsBlanks" dxfId="780" priority="179" stopIfTrue="1">
      <formula>LEN(TRIM(H545))=0</formula>
    </cfRule>
  </conditionalFormatting>
  <conditionalFormatting sqref="H562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63:H570">
    <cfRule type="cellIs" dxfId="779" priority="110" stopIfTrue="1" operator="between">
      <formula>10</formula>
      <formula>10</formula>
    </cfRule>
    <cfRule type="containsBlanks" dxfId="778" priority="102" stopIfTrue="1">
      <formula>LEN(TRIM(H563))=0</formula>
    </cfRule>
    <cfRule type="cellIs" dxfId="777" priority="109" operator="between">
      <formula>9</formula>
      <formula>9.9</formula>
    </cfRule>
    <cfRule type="cellIs" dxfId="776" priority="108" stopIfTrue="1" operator="between">
      <formula>8</formula>
      <formula>8.9</formula>
    </cfRule>
    <cfRule type="cellIs" dxfId="775" priority="107" operator="between">
      <formula>7</formula>
      <formula>7.9</formula>
    </cfRule>
    <cfRule type="cellIs" dxfId="774" priority="106" operator="between">
      <formula>10.1</formula>
      <formula>10.6</formula>
    </cfRule>
    <cfRule type="cellIs" dxfId="773" priority="105" operator="between">
      <formula>5</formula>
      <formula>6.9</formula>
    </cfRule>
    <cfRule type="cellIs" dxfId="772" priority="104" operator="between">
      <formula>2</formula>
      <formula>4.9</formula>
    </cfRule>
    <cfRule type="cellIs" dxfId="771" priority="103" operator="lessThan">
      <formula>2</formula>
    </cfRule>
  </conditionalFormatting>
  <conditionalFormatting sqref="H572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ellIs" dxfId="770" priority="66" stopIfTrue="1" operator="between">
      <formula>10</formula>
      <formula>10</formula>
    </cfRule>
    <cfRule type="cellIs" dxfId="769" priority="64" stopIfTrue="1" operator="between">
      <formula>8</formula>
      <formula>8.9</formula>
    </cfRule>
    <cfRule type="cellIs" dxfId="768" priority="65" operator="between">
      <formula>9</formula>
      <formula>9.9</formula>
    </cfRule>
    <cfRule type="cellIs" dxfId="767" priority="63" operator="between">
      <formula>7</formula>
      <formula>7.9</formula>
    </cfRule>
    <cfRule type="cellIs" dxfId="766" priority="62" operator="between">
      <formula>10.1</formula>
      <formula>10.6</formula>
    </cfRule>
    <cfRule type="cellIs" dxfId="765" priority="61" operator="between">
      <formula>5</formula>
      <formula>6.9</formula>
    </cfRule>
    <cfRule type="cellIs" dxfId="764" priority="60" operator="between">
      <formula>2</formula>
      <formula>4.9</formula>
    </cfRule>
    <cfRule type="cellIs" dxfId="763" priority="59" operator="lessThan">
      <formula>2</formula>
    </cfRule>
    <cfRule type="containsBlanks" dxfId="762" priority="58" stopIfTrue="1">
      <formula>LEN(TRIM(H573))=0</formula>
    </cfRule>
  </conditionalFormatting>
  <conditionalFormatting sqref="K3:K12">
    <cfRule type="cellIs" dxfId="761" priority="2273" operator="between">
      <formula>7</formula>
      <formula>7.9</formula>
    </cfRule>
    <cfRule type="cellIs" dxfId="760" priority="2272" operator="between">
      <formula>10.1</formula>
      <formula>10.6</formula>
    </cfRule>
    <cfRule type="cellIs" dxfId="759" priority="2274" stopIfTrue="1" operator="between">
      <formula>8</formula>
      <formula>8.9</formula>
    </cfRule>
    <cfRule type="cellIs" dxfId="758" priority="2275" operator="between">
      <formula>9</formula>
      <formula>9.9</formula>
    </cfRule>
    <cfRule type="cellIs" dxfId="757" priority="2276" stopIfTrue="1" operator="between">
      <formula>10</formula>
      <formula>10</formula>
    </cfRule>
    <cfRule type="containsBlanks" dxfId="756" priority="2277" stopIfTrue="1">
      <formula>LEN(TRIM(K3))=0</formula>
    </cfRule>
  </conditionalFormatting>
  <conditionalFormatting sqref="K15:K23">
    <cfRule type="cellIs" dxfId="755" priority="1682" operator="between">
      <formula>9</formula>
      <formula>9.9</formula>
    </cfRule>
    <cfRule type="cellIs" dxfId="754" priority="1680" operator="between">
      <formula>7</formula>
      <formula>7.9</formula>
    </cfRule>
    <cfRule type="cellIs" dxfId="753" priority="1681" stopIfTrue="1" operator="between">
      <formula>8</formula>
      <formula>8.9</formula>
    </cfRule>
    <cfRule type="cellIs" dxfId="752" priority="1683" stopIfTrue="1" operator="between">
      <formula>10</formula>
      <formula>10</formula>
    </cfRule>
  </conditionalFormatting>
  <conditionalFormatting sqref="K23">
    <cfRule type="containsBlanks" dxfId="751" priority="1684" stopIfTrue="1">
      <formula>LEN(TRIM(K23))=0</formula>
    </cfRule>
    <cfRule type="cellIs" dxfId="750" priority="1679" operator="between">
      <formula>10.1</formula>
      <formula>10.6</formula>
    </cfRule>
  </conditionalFormatting>
  <conditionalFormatting sqref="K26:K38">
    <cfRule type="containsBlanks" dxfId="749" priority="2311" stopIfTrue="1">
      <formula>LEN(TRIM(K26))=0</formula>
    </cfRule>
    <cfRule type="cellIs" dxfId="748" priority="2307" operator="between">
      <formula>7</formula>
      <formula>7.9</formula>
    </cfRule>
    <cfRule type="cellIs" dxfId="747" priority="2308" stopIfTrue="1" operator="between">
      <formula>8</formula>
      <formula>8.9</formula>
    </cfRule>
    <cfRule type="cellIs" dxfId="746" priority="2309" operator="between">
      <formula>9</formula>
      <formula>9.9</formula>
    </cfRule>
    <cfRule type="cellIs" dxfId="745" priority="2310" stopIfTrue="1" operator="between">
      <formula>10</formula>
      <formula>10</formula>
    </cfRule>
  </conditionalFormatting>
  <conditionalFormatting sqref="K40">
    <cfRule type="colorScale" priority="2630">
      <colorScale>
        <cfvo type="num" val="5"/>
        <cfvo type="num" val="10"/>
        <color rgb="FFFF494D"/>
        <color rgb="FF00FF66"/>
      </colorScale>
    </cfRule>
    <cfRule type="colorScale" priority="26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ontainsBlanks" dxfId="744" priority="2217" stopIfTrue="1">
      <formula>LEN(TRIM(K41))=0</formula>
    </cfRule>
    <cfRule type="cellIs" dxfId="743" priority="2216" stopIfTrue="1" operator="between">
      <formula>10</formula>
      <formula>10</formula>
    </cfRule>
    <cfRule type="cellIs" dxfId="742" priority="2215" operator="between">
      <formula>9</formula>
      <formula>9.9</formula>
    </cfRule>
    <cfRule type="cellIs" dxfId="741" priority="2214" stopIfTrue="1" operator="between">
      <formula>8</formula>
      <formula>8.9</formula>
    </cfRule>
    <cfRule type="cellIs" dxfId="740" priority="2213" operator="between">
      <formula>7</formula>
      <formula>7.9</formula>
    </cfRule>
    <cfRule type="cellIs" dxfId="739" priority="2212" operator="between">
      <formula>10.1</formula>
      <formula>10.6</formula>
    </cfRule>
  </conditionalFormatting>
  <conditionalFormatting sqref="K54">
    <cfRule type="colorScale" priority="2181">
      <colorScale>
        <cfvo type="num" val="5"/>
        <cfvo type="num" val="10"/>
        <color rgb="FFFF494D"/>
        <color rgb="FF00FF66"/>
      </colorScale>
    </cfRule>
    <cfRule type="colorScale" priority="2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738" priority="2175" operator="between">
      <formula>7</formula>
      <formula>7.9</formula>
    </cfRule>
    <cfRule type="cellIs" dxfId="737" priority="2176" stopIfTrue="1" operator="between">
      <formula>8</formula>
      <formula>8.9</formula>
    </cfRule>
    <cfRule type="cellIs" dxfId="736" priority="2177" operator="between">
      <formula>9</formula>
      <formula>9.9</formula>
    </cfRule>
    <cfRule type="cellIs" dxfId="735" priority="2178" stopIfTrue="1" operator="between">
      <formula>10</formula>
      <formula>10</formula>
    </cfRule>
    <cfRule type="containsBlanks" dxfId="734" priority="2179" stopIfTrue="1">
      <formula>LEN(TRIM(K55))=0</formula>
    </cfRule>
    <cfRule type="cellIs" dxfId="733" priority="2174" operator="between">
      <formula>10.1</formula>
      <formula>10.6</formula>
    </cfRule>
  </conditionalFormatting>
  <conditionalFormatting sqref="K66">
    <cfRule type="colorScale" priority="2154">
      <colorScale>
        <cfvo type="num" val="5"/>
        <cfvo type="num" val="10"/>
        <color rgb="FFFF494D"/>
        <color rgb="FF00FF66"/>
      </colorScale>
    </cfRule>
    <cfRule type="colorScale" priority="2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732" priority="2147" operator="between">
      <formula>10.1</formula>
      <formula>10.6</formula>
    </cfRule>
    <cfRule type="containsBlanks" dxfId="731" priority="2152" stopIfTrue="1">
      <formula>LEN(TRIM(K67))=0</formula>
    </cfRule>
    <cfRule type="cellIs" dxfId="730" priority="2151" stopIfTrue="1" operator="between">
      <formula>10</formula>
      <formula>10</formula>
    </cfRule>
    <cfRule type="cellIs" dxfId="729" priority="2150" operator="between">
      <formula>9</formula>
      <formula>9.9</formula>
    </cfRule>
    <cfRule type="cellIs" dxfId="728" priority="2148" operator="between">
      <formula>7</formula>
      <formula>7.9</formula>
    </cfRule>
    <cfRule type="cellIs" dxfId="727" priority="2149" stopIfTrue="1" operator="between">
      <formula>8</formula>
      <formula>8.9</formula>
    </cfRule>
  </conditionalFormatting>
  <conditionalFormatting sqref="K77">
    <cfRule type="colorScale" priority="2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726" priority="2099" stopIfTrue="1">
      <formula>LEN(TRIM(K78))=0</formula>
    </cfRule>
    <cfRule type="cellIs" dxfId="725" priority="2094" operator="between">
      <formula>10.1</formula>
      <formula>10.6</formula>
    </cfRule>
    <cfRule type="cellIs" dxfId="724" priority="2098" stopIfTrue="1" operator="between">
      <formula>10</formula>
      <formula>10</formula>
    </cfRule>
    <cfRule type="cellIs" dxfId="723" priority="2096" stopIfTrue="1" operator="between">
      <formula>8</formula>
      <formula>8.9</formula>
    </cfRule>
    <cfRule type="cellIs" dxfId="722" priority="2095" operator="between">
      <formula>7</formula>
      <formula>7.9</formula>
    </cfRule>
    <cfRule type="cellIs" dxfId="721" priority="2097" operator="between">
      <formula>9</formula>
      <formula>9.9</formula>
    </cfRule>
  </conditionalFormatting>
  <conditionalFormatting sqref="K90">
    <cfRule type="colorScale" priority="20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720" priority="2051" stopIfTrue="1" operator="between">
      <formula>8</formula>
      <formula>8.9</formula>
    </cfRule>
    <cfRule type="cellIs" dxfId="719" priority="2049" operator="between">
      <formula>10.1</formula>
      <formula>10.6</formula>
    </cfRule>
    <cfRule type="cellIs" dxfId="718" priority="2050" operator="between">
      <formula>7</formula>
      <formula>7.9</formula>
    </cfRule>
    <cfRule type="containsBlanks" dxfId="717" priority="2054" stopIfTrue="1">
      <formula>LEN(TRIM(K91))=0</formula>
    </cfRule>
    <cfRule type="cellIs" dxfId="716" priority="2053" stopIfTrue="1" operator="between">
      <formula>10</formula>
      <formula>10</formula>
    </cfRule>
    <cfRule type="cellIs" dxfId="715" priority="2052" operator="between">
      <formula>9</formula>
      <formula>9.9</formula>
    </cfRule>
  </conditionalFormatting>
  <conditionalFormatting sqref="K98">
    <cfRule type="colorScale" priority="2014">
      <colorScale>
        <cfvo type="num" val="5"/>
        <cfvo type="num" val="10"/>
        <color rgb="FFFF494D"/>
        <color rgb="FF00FF66"/>
      </colorScale>
    </cfRule>
    <cfRule type="colorScale" priority="2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714" priority="2015" operator="between">
      <formula>6</formula>
      <formula>6.9</formula>
    </cfRule>
    <cfRule type="containsBlanks" dxfId="713" priority="2021" stopIfTrue="1">
      <formula>LEN(TRIM(K99))=0</formula>
    </cfRule>
    <cfRule type="cellIs" dxfId="712" priority="2020" stopIfTrue="1" operator="between">
      <formula>10</formula>
      <formula>10</formula>
    </cfRule>
    <cfRule type="cellIs" dxfId="711" priority="2019" operator="between">
      <formula>9</formula>
      <formula>9.9</formula>
    </cfRule>
    <cfRule type="cellIs" dxfId="710" priority="2018" stopIfTrue="1" operator="between">
      <formula>8</formula>
      <formula>8.9</formula>
    </cfRule>
    <cfRule type="cellIs" dxfId="709" priority="2017" operator="between">
      <formula>7</formula>
      <formula>7.9</formula>
    </cfRule>
    <cfRule type="cellIs" dxfId="708" priority="2016" operator="between">
      <formula>10.1</formula>
      <formula>10.6</formula>
    </cfRule>
  </conditionalFormatting>
  <conditionalFormatting sqref="K111">
    <cfRule type="colorScale" priority="1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07" priority="1971" operator="between">
      <formula>9</formula>
      <formula>9.9</formula>
    </cfRule>
    <cfRule type="cellIs" dxfId="706" priority="1972" stopIfTrue="1" operator="between">
      <formula>10</formula>
      <formula>10</formula>
    </cfRule>
    <cfRule type="cellIs" dxfId="705" priority="1970" stopIfTrue="1" operator="between">
      <formula>8</formula>
      <formula>8.9</formula>
    </cfRule>
    <cfRule type="containsBlanks" dxfId="704" priority="1973" stopIfTrue="1">
      <formula>LEN(TRIM(K112))=0</formula>
    </cfRule>
    <cfRule type="cellIs" dxfId="703" priority="1969" operator="between">
      <formula>7</formula>
      <formula>7.9</formula>
    </cfRule>
    <cfRule type="cellIs" dxfId="702" priority="1968" operator="between">
      <formula>10.1</formula>
      <formula>10.6</formula>
    </cfRule>
  </conditionalFormatting>
  <conditionalFormatting sqref="K114">
    <cfRule type="cellIs" dxfId="701" priority="1967" operator="between">
      <formula>6</formula>
      <formula>6.9</formula>
    </cfRule>
  </conditionalFormatting>
  <conditionalFormatting sqref="K124">
    <cfRule type="colorScale" priority="1932">
      <colorScale>
        <cfvo type="num" val="5"/>
        <cfvo type="num" val="10"/>
        <color rgb="FFFF494D"/>
        <color rgb="FF00FF66"/>
      </colorScale>
    </cfRule>
    <cfRule type="colorScale" priority="19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700" priority="1928" operator="between">
      <formula>9</formula>
      <formula>9.9</formula>
    </cfRule>
    <cfRule type="cellIs" dxfId="699" priority="1926" operator="between">
      <formula>7</formula>
      <formula>7.9</formula>
    </cfRule>
    <cfRule type="cellIs" dxfId="698" priority="1925" operator="between">
      <formula>10.1</formula>
      <formula>10.6</formula>
    </cfRule>
    <cfRule type="cellIs" dxfId="697" priority="1929" stopIfTrue="1" operator="between">
      <formula>10</formula>
      <formula>10</formula>
    </cfRule>
    <cfRule type="containsBlanks" dxfId="696" priority="1930" stopIfTrue="1">
      <formula>LEN(TRIM(K125))=0</formula>
    </cfRule>
    <cfRule type="cellIs" dxfId="695" priority="1927" stopIfTrue="1" operator="between">
      <formula>8</formula>
      <formula>8.9</formula>
    </cfRule>
  </conditionalFormatting>
  <conditionalFormatting sqref="K125:K134">
    <cfRule type="containsBlanks" dxfId="694" priority="1924" stopIfTrue="1">
      <formula>LEN(TRIM(K125))=0</formula>
    </cfRule>
    <cfRule type="cellIs" dxfId="693" priority="1923" stopIfTrue="1" operator="between">
      <formula>10</formula>
      <formula>10</formula>
    </cfRule>
    <cfRule type="cellIs" dxfId="692" priority="1922" operator="between">
      <formula>9</formula>
      <formula>9.9</formula>
    </cfRule>
    <cfRule type="cellIs" dxfId="691" priority="1921" stopIfTrue="1" operator="between">
      <formula>8</formula>
      <formula>8.9</formula>
    </cfRule>
    <cfRule type="cellIs" dxfId="690" priority="1920" operator="between">
      <formula>7</formula>
      <formula>7.9</formula>
    </cfRule>
    <cfRule type="cellIs" dxfId="689" priority="1919" operator="between">
      <formula>10.1</formula>
      <formula>10.6</formula>
    </cfRule>
    <cfRule type="cellIs" dxfId="688" priority="1918" operator="between">
      <formula>6</formula>
      <formula>6.9</formula>
    </cfRule>
  </conditionalFormatting>
  <conditionalFormatting sqref="K136"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9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87" priority="1860" operator="between">
      <formula>6</formula>
      <formula>6.9</formula>
    </cfRule>
    <cfRule type="cellIs" dxfId="686" priority="1861" operator="between">
      <formula>10.1</formula>
      <formula>10.6</formula>
    </cfRule>
    <cfRule type="cellIs" dxfId="685" priority="1862" operator="between">
      <formula>7</formula>
      <formula>7.9</formula>
    </cfRule>
    <cfRule type="cellIs" dxfId="684" priority="1863" stopIfTrue="1" operator="between">
      <formula>8</formula>
      <formula>8.9</formula>
    </cfRule>
    <cfRule type="cellIs" dxfId="683" priority="1864" operator="between">
      <formula>9</formula>
      <formula>9.9</formula>
    </cfRule>
    <cfRule type="containsBlanks" dxfId="682" priority="1866" stopIfTrue="1">
      <formula>LEN(TRIM(K137))=0</formula>
    </cfRule>
    <cfRule type="cellIs" dxfId="681" priority="1865" stopIfTrue="1" operator="between">
      <formula>10</formula>
      <formula>10</formula>
    </cfRule>
  </conditionalFormatting>
  <conditionalFormatting sqref="K149">
    <cfRule type="colorScale" priority="1796">
      <colorScale>
        <cfvo type="num" val="5"/>
        <cfvo type="num" val="10"/>
        <color rgb="FFFF494D"/>
        <color rgb="FF00FF66"/>
      </colorScale>
    </cfRule>
    <cfRule type="colorScale" priority="17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680" priority="1797" operator="between">
      <formula>6</formula>
      <formula>6.9</formula>
    </cfRule>
    <cfRule type="cellIs" dxfId="679" priority="1800" stopIfTrue="1" operator="between">
      <formula>8</formula>
      <formula>8.9</formula>
    </cfRule>
    <cfRule type="cellIs" dxfId="678" priority="1801" operator="between">
      <formula>9</formula>
      <formula>9.9</formula>
    </cfRule>
    <cfRule type="cellIs" dxfId="677" priority="1799" operator="between">
      <formula>7</formula>
      <formula>7.9</formula>
    </cfRule>
    <cfRule type="cellIs" dxfId="676" priority="1798" operator="between">
      <formula>10.1</formula>
      <formula>10.6</formula>
    </cfRule>
    <cfRule type="cellIs" dxfId="675" priority="1802" stopIfTrue="1" operator="between">
      <formula>10</formula>
      <formula>10</formula>
    </cfRule>
    <cfRule type="containsBlanks" dxfId="674" priority="1803" stopIfTrue="1">
      <formula>LEN(TRIM(K150))=0</formula>
    </cfRule>
  </conditionalFormatting>
  <conditionalFormatting sqref="K165"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73" priority="1741" operator="between">
      <formula>6</formula>
      <formula>6.9</formula>
    </cfRule>
    <cfRule type="cellIs" dxfId="672" priority="1742" operator="between">
      <formula>10.1</formula>
      <formula>10.6</formula>
    </cfRule>
    <cfRule type="cellIs" dxfId="671" priority="1743" operator="between">
      <formula>7</formula>
      <formula>7.9</formula>
    </cfRule>
    <cfRule type="cellIs" dxfId="670" priority="1744" stopIfTrue="1" operator="between">
      <formula>8</formula>
      <formula>8.9</formula>
    </cfRule>
    <cfRule type="cellIs" dxfId="669" priority="1745" operator="between">
      <formula>9</formula>
      <formula>9.9</formula>
    </cfRule>
    <cfRule type="cellIs" dxfId="668" priority="1746" stopIfTrue="1" operator="between">
      <formula>10</formula>
      <formula>10</formula>
    </cfRule>
    <cfRule type="containsBlanks" dxfId="667" priority="1747" stopIfTrue="1">
      <formula>LEN(TRIM(K166))=0</formula>
    </cfRule>
  </conditionalFormatting>
  <conditionalFormatting sqref="K175">
    <cfRule type="colorScale" priority="1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66" priority="1719" stopIfTrue="1" operator="between">
      <formula>10</formula>
      <formula>10</formula>
    </cfRule>
    <cfRule type="cellIs" dxfId="665" priority="1718" operator="between">
      <formula>9</formula>
      <formula>9.9</formula>
    </cfRule>
    <cfRule type="cellIs" dxfId="664" priority="1717" stopIfTrue="1" operator="between">
      <formula>8</formula>
      <formula>8.9</formula>
    </cfRule>
    <cfRule type="cellIs" dxfId="663" priority="1716" operator="between">
      <formula>7</formula>
      <formula>7.9</formula>
    </cfRule>
    <cfRule type="cellIs" dxfId="662" priority="1715" operator="between">
      <formula>10.1</formula>
      <formula>10.6</formula>
    </cfRule>
    <cfRule type="cellIs" dxfId="661" priority="1714" operator="between">
      <formula>6</formula>
      <formula>6.9</formula>
    </cfRule>
    <cfRule type="containsBlanks" dxfId="660" priority="1720" stopIfTrue="1">
      <formula>LEN(TRIM(K176))=0</formula>
    </cfRule>
  </conditionalFormatting>
  <conditionalFormatting sqref="K182">
    <cfRule type="colorScale" priority="1702">
      <colorScale>
        <cfvo type="num" val="5"/>
        <cfvo type="num" val="10"/>
        <color rgb="FFFF494D"/>
        <color rgb="FF00FF66"/>
      </colorScale>
    </cfRule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659" priority="1694" operator="between">
      <formula>6</formula>
      <formula>6.9</formula>
    </cfRule>
    <cfRule type="containsBlanks" dxfId="658" priority="1700" stopIfTrue="1">
      <formula>LEN(TRIM(K183))=0</formula>
    </cfRule>
    <cfRule type="cellIs" dxfId="657" priority="1699" stopIfTrue="1" operator="between">
      <formula>10</formula>
      <formula>10</formula>
    </cfRule>
    <cfRule type="cellIs" dxfId="656" priority="1698" operator="between">
      <formula>9</formula>
      <formula>9.9</formula>
    </cfRule>
    <cfRule type="cellIs" dxfId="655" priority="1697" stopIfTrue="1" operator="between">
      <formula>8</formula>
      <formula>8.9</formula>
    </cfRule>
    <cfRule type="cellIs" dxfId="654" priority="1696" operator="between">
      <formula>7</formula>
      <formula>7.9</formula>
    </cfRule>
    <cfRule type="cellIs" dxfId="653" priority="1695" operator="between">
      <formula>10.1</formula>
      <formula>10.6</formula>
    </cfRule>
  </conditionalFormatting>
  <conditionalFormatting sqref="K189">
    <cfRule type="colorScale" priority="1653">
      <colorScale>
        <cfvo type="num" val="5"/>
        <cfvo type="num" val="10"/>
        <color rgb="FFFF494D"/>
        <color rgb="FF00FF66"/>
      </colorScale>
    </cfRule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652" priority="1660" stopIfTrue="1">
      <formula>LEN(TRIM(K190))=0</formula>
    </cfRule>
    <cfRule type="cellIs" dxfId="651" priority="1659" stopIfTrue="1" operator="between">
      <formula>10</formula>
      <formula>10</formula>
    </cfRule>
    <cfRule type="cellIs" dxfId="650" priority="1658" operator="between">
      <formula>9</formula>
      <formula>9.9</formula>
    </cfRule>
    <cfRule type="cellIs" dxfId="649" priority="1657" stopIfTrue="1" operator="between">
      <formula>8</formula>
      <formula>8.9</formula>
    </cfRule>
    <cfRule type="cellIs" dxfId="648" priority="1656" operator="between">
      <formula>7</formula>
      <formula>7.9</formula>
    </cfRule>
    <cfRule type="cellIs" dxfId="647" priority="1655" operator="between">
      <formula>10.1</formula>
      <formula>10.6</formula>
    </cfRule>
    <cfRule type="cellIs" dxfId="646" priority="1654" operator="between">
      <formula>6</formula>
      <formula>6.9</formula>
    </cfRule>
  </conditionalFormatting>
  <conditionalFormatting sqref="K199">
    <cfRule type="colorScale" priority="1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45" priority="1625" operator="between">
      <formula>6</formula>
      <formula>6.9</formula>
    </cfRule>
    <cfRule type="cellIs" dxfId="644" priority="1626" operator="between">
      <formula>10.1</formula>
      <formula>10.6</formula>
    </cfRule>
    <cfRule type="cellIs" dxfId="643" priority="1627" operator="between">
      <formula>7</formula>
      <formula>7.9</formula>
    </cfRule>
    <cfRule type="cellIs" dxfId="642" priority="1628" stopIfTrue="1" operator="between">
      <formula>8</formula>
      <formula>8.9</formula>
    </cfRule>
    <cfRule type="cellIs" dxfId="641" priority="1629" operator="between">
      <formula>9</formula>
      <formula>9.9</formula>
    </cfRule>
    <cfRule type="cellIs" dxfId="640" priority="1630" stopIfTrue="1" operator="between">
      <formula>10</formula>
      <formula>10</formula>
    </cfRule>
    <cfRule type="containsBlanks" dxfId="639" priority="1631" stopIfTrue="1">
      <formula>LEN(TRIM(K200))=0</formula>
    </cfRule>
  </conditionalFormatting>
  <conditionalFormatting sqref="K208">
    <cfRule type="colorScale" priority="1594">
      <colorScale>
        <cfvo type="num" val="5"/>
        <cfvo type="num" val="10"/>
        <color rgb="FFFF494D"/>
        <color rgb="FF00FF66"/>
      </colorScale>
    </cfRule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638" priority="1600" stopIfTrue="1" operator="between">
      <formula>10</formula>
      <formula>10</formula>
    </cfRule>
    <cfRule type="cellIs" dxfId="637" priority="1599" operator="between">
      <formula>9</formula>
      <formula>9.9</formula>
    </cfRule>
    <cfRule type="cellIs" dxfId="636" priority="1598" stopIfTrue="1" operator="between">
      <formula>8</formula>
      <formula>8.9</formula>
    </cfRule>
    <cfRule type="cellIs" dxfId="635" priority="1597" operator="between">
      <formula>7</formula>
      <formula>7.9</formula>
    </cfRule>
    <cfRule type="cellIs" dxfId="634" priority="1596" operator="between">
      <formula>10.1</formula>
      <formula>11</formula>
    </cfRule>
    <cfRule type="containsBlanks" dxfId="633" priority="1601" stopIfTrue="1">
      <formula>LEN(TRIM(K209))=0</formula>
    </cfRule>
    <cfRule type="cellIs" dxfId="632" priority="1595" operator="between">
      <formula>6</formula>
      <formula>6.9</formula>
    </cfRule>
  </conditionalFormatting>
  <conditionalFormatting sqref="K219">
    <cfRule type="colorScale" priority="1550">
      <colorScale>
        <cfvo type="num" val="5"/>
        <cfvo type="num" val="10"/>
        <color rgb="FFFF494D"/>
        <color rgb="FF00FF66"/>
      </colorScale>
    </cfRule>
    <cfRule type="colorScale" priority="15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31" priority="1542" operator="between">
      <formula>6</formula>
      <formula>6.9</formula>
    </cfRule>
    <cfRule type="cellIs" dxfId="630" priority="1543" operator="between">
      <formula>10.1</formula>
      <formula>10.6</formula>
    </cfRule>
    <cfRule type="cellIs" dxfId="629" priority="1544" operator="between">
      <formula>7</formula>
      <formula>7.9</formula>
    </cfRule>
    <cfRule type="cellIs" dxfId="628" priority="1545" stopIfTrue="1" operator="between">
      <formula>8</formula>
      <formula>8.9</formula>
    </cfRule>
    <cfRule type="cellIs" dxfId="627" priority="1546" operator="between">
      <formula>9</formula>
      <formula>9.9</formula>
    </cfRule>
    <cfRule type="cellIs" dxfId="626" priority="1547" stopIfTrue="1" operator="between">
      <formula>10</formula>
      <formula>10</formula>
    </cfRule>
    <cfRule type="containsBlanks" dxfId="625" priority="1548" stopIfTrue="1">
      <formula>LEN(TRIM(K220))=0</formula>
    </cfRule>
  </conditionalFormatting>
  <conditionalFormatting sqref="K237">
    <cfRule type="colorScale" priority="1487">
      <colorScale>
        <cfvo type="num" val="5"/>
        <cfvo type="num" val="10"/>
        <color rgb="FFFF494D"/>
        <color rgb="FF00FF66"/>
      </colorScale>
    </cfRule>
    <cfRule type="colorScale" priority="14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624" priority="1480" operator="between">
      <formula>10.1</formula>
      <formula>10.6</formula>
    </cfRule>
    <cfRule type="cellIs" dxfId="623" priority="1479" operator="between">
      <formula>6</formula>
      <formula>6.9</formula>
    </cfRule>
    <cfRule type="cellIs" dxfId="622" priority="1481" operator="between">
      <formula>7</formula>
      <formula>7.9</formula>
    </cfRule>
    <cfRule type="cellIs" dxfId="621" priority="1482" stopIfTrue="1" operator="between">
      <formula>8</formula>
      <formula>8.9</formula>
    </cfRule>
    <cfRule type="cellIs" dxfId="620" priority="1483" operator="between">
      <formula>9</formula>
      <formula>9.9</formula>
    </cfRule>
    <cfRule type="cellIs" dxfId="619" priority="1484" stopIfTrue="1" operator="between">
      <formula>10</formula>
      <formula>10</formula>
    </cfRule>
    <cfRule type="containsBlanks" dxfId="618" priority="1485" stopIfTrue="1">
      <formula>LEN(TRIM(K238))=0</formula>
    </cfRule>
  </conditionalFormatting>
  <conditionalFormatting sqref="K252">
    <cfRule type="colorScale" priority="1442">
      <colorScale>
        <cfvo type="num" val="5"/>
        <cfvo type="num" val="10"/>
        <color rgb="FFFF494D"/>
        <color rgb="FF00FF66"/>
      </colorScale>
    </cfRule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617" priority="1439" stopIfTrue="1" operator="between">
      <formula>10</formula>
      <formula>10</formula>
    </cfRule>
    <cfRule type="cellIs" dxfId="616" priority="1438" operator="between">
      <formula>9</formula>
      <formula>9.9</formula>
    </cfRule>
    <cfRule type="cellIs" dxfId="615" priority="1437" stopIfTrue="1" operator="between">
      <formula>8</formula>
      <formula>8.9</formula>
    </cfRule>
    <cfRule type="cellIs" dxfId="614" priority="1436" operator="between">
      <formula>7</formula>
      <formula>7.9</formula>
    </cfRule>
    <cfRule type="cellIs" dxfId="613" priority="1435" operator="between">
      <formula>10.1</formula>
      <formula>10.6</formula>
    </cfRule>
    <cfRule type="cellIs" dxfId="612" priority="1434" operator="between">
      <formula>6</formula>
      <formula>6.9</formula>
    </cfRule>
    <cfRule type="containsBlanks" dxfId="611" priority="1440" stopIfTrue="1">
      <formula>LEN(TRIM(K253))=0</formula>
    </cfRule>
  </conditionalFormatting>
  <conditionalFormatting sqref="K264">
    <cfRule type="colorScale" priority="14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4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610" priority="1411" stopIfTrue="1">
      <formula>LEN(TRIM(K265))=0</formula>
    </cfRule>
    <cfRule type="cellIs" dxfId="609" priority="1409" operator="between">
      <formula>9</formula>
      <formula>9.9</formula>
    </cfRule>
    <cfRule type="cellIs" dxfId="608" priority="1408" stopIfTrue="1" operator="between">
      <formula>8</formula>
      <formula>8.9</formula>
    </cfRule>
    <cfRule type="cellIs" dxfId="607" priority="1407" operator="between">
      <formula>7</formula>
      <formula>7.9</formula>
    </cfRule>
    <cfRule type="cellIs" dxfId="606" priority="1406" operator="between">
      <formula>10.1</formula>
      <formula>10.6</formula>
    </cfRule>
    <cfRule type="cellIs" dxfId="605" priority="1405" operator="between">
      <formula>6</formula>
      <formula>6.9</formula>
    </cfRule>
    <cfRule type="cellIs" dxfId="604" priority="1410" stopIfTrue="1" operator="between">
      <formula>10</formula>
      <formula>10</formula>
    </cfRule>
  </conditionalFormatting>
  <conditionalFormatting sqref="K276">
    <cfRule type="colorScale" priority="1360">
      <colorScale>
        <cfvo type="num" val="5"/>
        <cfvo type="num" val="10"/>
        <color rgb="FFFF494D"/>
        <color rgb="FF00FF66"/>
      </colorScale>
    </cfRule>
    <cfRule type="colorScale" priority="13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603" priority="1358" stopIfTrue="1">
      <formula>LEN(TRIM(K277))=0</formula>
    </cfRule>
    <cfRule type="cellIs" dxfId="602" priority="1357" stopIfTrue="1" operator="between">
      <formula>10</formula>
      <formula>10</formula>
    </cfRule>
    <cfRule type="cellIs" dxfId="601" priority="1356" operator="between">
      <formula>9</formula>
      <formula>9.9</formula>
    </cfRule>
    <cfRule type="cellIs" dxfId="600" priority="1355" stopIfTrue="1" operator="between">
      <formula>8</formula>
      <formula>8.9</formula>
    </cfRule>
    <cfRule type="cellIs" dxfId="599" priority="1354" operator="between">
      <formula>7</formula>
      <formula>7.9</formula>
    </cfRule>
    <cfRule type="cellIs" dxfId="598" priority="1353" operator="between">
      <formula>10.1</formula>
      <formula>10.6</formula>
    </cfRule>
    <cfRule type="cellIs" dxfId="597" priority="1352" operator="between">
      <formula>6</formula>
      <formula>6.9</formula>
    </cfRule>
  </conditionalFormatting>
  <conditionalFormatting sqref="K286">
    <cfRule type="colorScale" priority="1312">
      <colorScale>
        <cfvo type="num" val="5"/>
        <cfvo type="num" val="10"/>
        <color rgb="FFFF494D"/>
        <color rgb="FF00FF66"/>
      </colorScale>
    </cfRule>
    <cfRule type="colorScale" priority="13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ontainsBlanks" dxfId="596" priority="1310" stopIfTrue="1">
      <formula>LEN(TRIM(K287))=0</formula>
    </cfRule>
    <cfRule type="cellIs" dxfId="595" priority="1304" operator="between">
      <formula>6</formula>
      <formula>6.9</formula>
    </cfRule>
    <cfRule type="cellIs" dxfId="594" priority="1305" operator="between">
      <formula>10.1</formula>
      <formula>10.6</formula>
    </cfRule>
    <cfRule type="cellIs" dxfId="593" priority="1306" operator="between">
      <formula>7</formula>
      <formula>7.9</formula>
    </cfRule>
    <cfRule type="cellIs" dxfId="592" priority="1307" stopIfTrue="1" operator="between">
      <formula>8</formula>
      <formula>8.9</formula>
    </cfRule>
    <cfRule type="cellIs" dxfId="591" priority="1308" operator="between">
      <formula>9</formula>
      <formula>9.9</formula>
    </cfRule>
    <cfRule type="cellIs" dxfId="590" priority="1309" stopIfTrue="1" operator="between">
      <formula>10</formula>
      <formula>10</formula>
    </cfRule>
  </conditionalFormatting>
  <conditionalFormatting sqref="K296"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4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89" priority="1267" operator="between">
      <formula>5</formula>
      <formula>6.9</formula>
    </cfRule>
    <cfRule type="cellIs" dxfId="588" priority="1272" stopIfTrue="1" operator="between">
      <formula>10</formula>
      <formula>10</formula>
    </cfRule>
    <cfRule type="containsBlanks" dxfId="587" priority="1264" stopIfTrue="1">
      <formula>LEN(TRIM(K297))=0</formula>
    </cfRule>
    <cfRule type="cellIs" dxfId="586" priority="1268" operator="between">
      <formula>10.1</formula>
      <formula>10.6</formula>
    </cfRule>
    <cfRule type="cellIs" dxfId="585" priority="1266" operator="between">
      <formula>2</formula>
      <formula>4.9</formula>
    </cfRule>
    <cfRule type="cellIs" dxfId="584" priority="1269" operator="between">
      <formula>7</formula>
      <formula>7.9</formula>
    </cfRule>
    <cfRule type="cellIs" dxfId="583" priority="1270" stopIfTrue="1" operator="between">
      <formula>8</formula>
      <formula>8.9</formula>
    </cfRule>
    <cfRule type="cellIs" dxfId="582" priority="1265" operator="lessThan">
      <formula>2</formula>
    </cfRule>
    <cfRule type="cellIs" dxfId="581" priority="1271" operator="between">
      <formula>9</formula>
      <formula>9.9</formula>
    </cfRule>
  </conditionalFormatting>
  <conditionalFormatting sqref="K304">
    <cfRule type="colorScale" priority="1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3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580" priority="1237" operator="between">
      <formula>10.1</formula>
      <formula>10.6</formula>
    </cfRule>
    <cfRule type="cellIs" dxfId="579" priority="1238" operator="between">
      <formula>7</formula>
      <formula>7.9</formula>
    </cfRule>
    <cfRule type="cellIs" dxfId="578" priority="1239" stopIfTrue="1" operator="between">
      <formula>8</formula>
      <formula>8.9</formula>
    </cfRule>
    <cfRule type="cellIs" dxfId="577" priority="1240" operator="between">
      <formula>9</formula>
      <formula>9.9</formula>
    </cfRule>
    <cfRule type="cellIs" dxfId="576" priority="1241" stopIfTrue="1" operator="between">
      <formula>10</formula>
      <formula>10</formula>
    </cfRule>
    <cfRule type="cellIs" dxfId="575" priority="1236" operator="between">
      <formula>5</formula>
      <formula>6.9</formula>
    </cfRule>
    <cfRule type="cellIs" dxfId="574" priority="1235" operator="between">
      <formula>2</formula>
      <formula>4.9</formula>
    </cfRule>
    <cfRule type="cellIs" dxfId="573" priority="1234" operator="lessThan">
      <formula>2</formula>
    </cfRule>
    <cfRule type="containsBlanks" dxfId="572" priority="1233" stopIfTrue="1">
      <formula>LEN(TRIM(K305))=0</formula>
    </cfRule>
  </conditionalFormatting>
  <conditionalFormatting sqref="K318">
    <cfRule type="colorScale" priority="1170">
      <colorScale>
        <cfvo type="num" val="5"/>
        <cfvo type="num" val="10"/>
        <color rgb="FFFF494D"/>
        <color rgb="FF00FF66"/>
      </colorScale>
    </cfRule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571" priority="1177" stopIfTrue="1" operator="between">
      <formula>8</formula>
      <formula>8.9</formula>
    </cfRule>
    <cfRule type="cellIs" dxfId="570" priority="1174" operator="between">
      <formula>5</formula>
      <formula>6.9</formula>
    </cfRule>
    <cfRule type="cellIs" dxfId="569" priority="1175" operator="between">
      <formula>10.1</formula>
      <formula>10.6</formula>
    </cfRule>
    <cfRule type="cellIs" dxfId="568" priority="1176" operator="between">
      <formula>7</formula>
      <formula>7.9</formula>
    </cfRule>
    <cfRule type="cellIs" dxfId="567" priority="1178" operator="between">
      <formula>9</formula>
      <formula>9.9</formula>
    </cfRule>
    <cfRule type="cellIs" dxfId="566" priority="1179" stopIfTrue="1" operator="between">
      <formula>10</formula>
      <formula>10</formula>
    </cfRule>
    <cfRule type="cellIs" dxfId="565" priority="1173" operator="between">
      <formula>2</formula>
      <formula>4.9</formula>
    </cfRule>
    <cfRule type="cellIs" dxfId="564" priority="1172" operator="lessThan">
      <formula>2</formula>
    </cfRule>
    <cfRule type="containsBlanks" dxfId="563" priority="1171" stopIfTrue="1">
      <formula>LEN(TRIM(K319))=0</formula>
    </cfRule>
  </conditionalFormatting>
  <conditionalFormatting sqref="K328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562" priority="1134" operator="between">
      <formula>9</formula>
      <formula>9.9</formula>
    </cfRule>
    <cfRule type="cellIs" dxfId="561" priority="1128" operator="lessThan">
      <formula>2</formula>
    </cfRule>
    <cfRule type="cellIs" dxfId="560" priority="1132" operator="between">
      <formula>7</formula>
      <formula>7.9</formula>
    </cfRule>
    <cfRule type="cellIs" dxfId="559" priority="1133" stopIfTrue="1" operator="between">
      <formula>8</formula>
      <formula>8.9</formula>
    </cfRule>
    <cfRule type="cellIs" dxfId="558" priority="1131" operator="between">
      <formula>10.1</formula>
      <formula>10.6</formula>
    </cfRule>
    <cfRule type="cellIs" dxfId="557" priority="1130" operator="between">
      <formula>5</formula>
      <formula>6.9</formula>
    </cfRule>
    <cfRule type="cellIs" dxfId="556" priority="1129" operator="between">
      <formula>2</formula>
      <formula>4.9</formula>
    </cfRule>
    <cfRule type="cellIs" dxfId="555" priority="1135" stopIfTrue="1" operator="between">
      <formula>10</formula>
      <formula>10</formula>
    </cfRule>
    <cfRule type="containsBlanks" dxfId="554" priority="1127" stopIfTrue="1">
      <formula>LEN(TRIM(K329))=0</formula>
    </cfRule>
  </conditionalFormatting>
  <conditionalFormatting sqref="K340">
    <cfRule type="colorScale" priority="1071">
      <colorScale>
        <cfvo type="num" val="5"/>
        <cfvo type="num" val="10"/>
        <color rgb="FFFF494D"/>
        <color rgb="FF00FF66"/>
      </colorScale>
    </cfRule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553" priority="1076" operator="between">
      <formula>10.1</formula>
      <formula>10.6</formula>
    </cfRule>
    <cfRule type="cellIs" dxfId="552" priority="1077" operator="between">
      <formula>7</formula>
      <formula>7.9</formula>
    </cfRule>
    <cfRule type="cellIs" dxfId="551" priority="1074" operator="between">
      <formula>2</formula>
      <formula>4.9</formula>
    </cfRule>
    <cfRule type="cellIs" dxfId="550" priority="1073" operator="lessThan">
      <formula>2</formula>
    </cfRule>
    <cfRule type="containsBlanks" dxfId="549" priority="1072" stopIfTrue="1">
      <formula>LEN(TRIM(K341))=0</formula>
    </cfRule>
    <cfRule type="cellIs" dxfId="548" priority="1075" operator="between">
      <formula>5</formula>
      <formula>6.9</formula>
    </cfRule>
    <cfRule type="cellIs" dxfId="547" priority="1078" stopIfTrue="1" operator="between">
      <formula>8</formula>
      <formula>8.9</formula>
    </cfRule>
    <cfRule type="cellIs" dxfId="546" priority="1079" operator="between">
      <formula>9</formula>
      <formula>9.9</formula>
    </cfRule>
    <cfRule type="cellIs" dxfId="545" priority="1080" stopIfTrue="1" operator="between">
      <formula>10</formula>
      <formula>10</formula>
    </cfRule>
  </conditionalFormatting>
  <conditionalFormatting sqref="K356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544" priority="1031" operator="between">
      <formula>5</formula>
      <formula>6.9</formula>
    </cfRule>
    <cfRule type="cellIs" dxfId="543" priority="1032" operator="between">
      <formula>10.1</formula>
      <formula>10.6</formula>
    </cfRule>
    <cfRule type="cellIs" dxfId="542" priority="1033" operator="between">
      <formula>7</formula>
      <formula>7.9</formula>
    </cfRule>
    <cfRule type="cellIs" dxfId="541" priority="1030" operator="between">
      <formula>2</formula>
      <formula>4.9</formula>
    </cfRule>
    <cfRule type="cellIs" dxfId="540" priority="1034" stopIfTrue="1" operator="between">
      <formula>8</formula>
      <formula>8.9</formula>
    </cfRule>
    <cfRule type="cellIs" dxfId="539" priority="1029" operator="lessThan">
      <formula>2</formula>
    </cfRule>
    <cfRule type="containsBlanks" dxfId="538" priority="1028" stopIfTrue="1">
      <formula>LEN(TRIM(K357))=0</formula>
    </cfRule>
    <cfRule type="cellIs" dxfId="537" priority="1035" operator="between">
      <formula>9</formula>
      <formula>9.9</formula>
    </cfRule>
    <cfRule type="cellIs" dxfId="536" priority="1036" stopIfTrue="1" operator="between">
      <formula>10</formula>
      <formula>10</formula>
    </cfRule>
  </conditionalFormatting>
  <conditionalFormatting sqref="K365">
    <cfRule type="colorScale" priority="1001">
      <colorScale>
        <cfvo type="num" val="5"/>
        <cfvo type="num" val="10"/>
        <color rgb="FFFF494D"/>
        <color rgb="FF00FF66"/>
      </colorScale>
    </cfRule>
    <cfRule type="colorScale" priority="10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535" priority="993" operator="between">
      <formula>2</formula>
      <formula>4.9</formula>
    </cfRule>
    <cfRule type="cellIs" dxfId="534" priority="998" operator="between">
      <formula>9</formula>
      <formula>9.9</formula>
    </cfRule>
    <cfRule type="cellIs" dxfId="533" priority="997" stopIfTrue="1" operator="between">
      <formula>8</formula>
      <formula>8.9</formula>
    </cfRule>
    <cfRule type="cellIs" dxfId="532" priority="996" operator="between">
      <formula>7</formula>
      <formula>7.9</formula>
    </cfRule>
    <cfRule type="cellIs" dxfId="531" priority="995" operator="between">
      <formula>10.1</formula>
      <formula>10.6</formula>
    </cfRule>
    <cfRule type="cellIs" dxfId="530" priority="994" operator="between">
      <formula>5</formula>
      <formula>6.9</formula>
    </cfRule>
    <cfRule type="cellIs" dxfId="529" priority="999" stopIfTrue="1" operator="between">
      <formula>10</formula>
      <formula>10</formula>
    </cfRule>
    <cfRule type="containsBlanks" dxfId="528" priority="991" stopIfTrue="1">
      <formula>LEN(TRIM(K366))=0</formula>
    </cfRule>
    <cfRule type="cellIs" dxfId="527" priority="992" operator="lessThan">
      <formula>2</formula>
    </cfRule>
  </conditionalFormatting>
  <conditionalFormatting sqref="K380">
    <cfRule type="colorScale" priority="923">
      <colorScale>
        <cfvo type="num" val="5"/>
        <cfvo type="num" val="10"/>
        <color rgb="FFFF494D"/>
        <color rgb="FF00FF66"/>
      </colorScale>
    </cfRule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526" priority="921" stopIfTrue="1" operator="between">
      <formula>10</formula>
      <formula>10</formula>
    </cfRule>
    <cfRule type="cellIs" dxfId="525" priority="920" operator="between">
      <formula>9</formula>
      <formula>9.9</formula>
    </cfRule>
    <cfRule type="cellIs" dxfId="524" priority="919" stopIfTrue="1" operator="between">
      <formula>8</formula>
      <formula>8.9</formula>
    </cfRule>
    <cfRule type="cellIs" dxfId="523" priority="918" operator="between">
      <formula>7</formula>
      <formula>7.9</formula>
    </cfRule>
    <cfRule type="cellIs" dxfId="522" priority="917" operator="between">
      <formula>10.1</formula>
      <formula>10.6</formula>
    </cfRule>
    <cfRule type="cellIs" dxfId="521" priority="916" operator="between">
      <formula>5</formula>
      <formula>6.9</formula>
    </cfRule>
    <cfRule type="containsBlanks" dxfId="520" priority="913" stopIfTrue="1">
      <formula>LEN(TRIM(K381))=0</formula>
    </cfRule>
    <cfRule type="cellIs" dxfId="519" priority="915" operator="between">
      <formula>2</formula>
      <formula>4.9</formula>
    </cfRule>
    <cfRule type="cellIs" dxfId="518" priority="914" operator="lessThan">
      <formula>2</formula>
    </cfRule>
  </conditionalFormatting>
  <conditionalFormatting sqref="K391">
    <cfRule type="colorScale" priority="857">
      <colorScale>
        <cfvo type="num" val="5"/>
        <cfvo type="num" val="10"/>
        <color rgb="FFFF494D"/>
        <color rgb="FF00FF66"/>
      </colorScale>
    </cfRule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ontainsBlanks" dxfId="517" priority="847" stopIfTrue="1">
      <formula>LEN(TRIM(K392))=0</formula>
    </cfRule>
    <cfRule type="cellIs" dxfId="516" priority="855" stopIfTrue="1" operator="between">
      <formula>10</formula>
      <formula>10</formula>
    </cfRule>
    <cfRule type="cellIs" dxfId="515" priority="854" operator="between">
      <formula>9</formula>
      <formula>9.9</formula>
    </cfRule>
    <cfRule type="cellIs" dxfId="514" priority="853" stopIfTrue="1" operator="between">
      <formula>8</formula>
      <formula>8.9</formula>
    </cfRule>
    <cfRule type="cellIs" dxfId="513" priority="852" operator="between">
      <formula>7</formula>
      <formula>7.9</formula>
    </cfRule>
    <cfRule type="cellIs" dxfId="512" priority="851" operator="between">
      <formula>10.1</formula>
      <formula>10.6</formula>
    </cfRule>
    <cfRule type="cellIs" dxfId="511" priority="850" operator="between">
      <formula>5</formula>
      <formula>6.9</formula>
    </cfRule>
    <cfRule type="cellIs" dxfId="510" priority="849" operator="between">
      <formula>2</formula>
      <formula>4.9</formula>
    </cfRule>
    <cfRule type="cellIs" dxfId="509" priority="848" operator="lessThan">
      <formula>2</formula>
    </cfRule>
  </conditionalFormatting>
  <conditionalFormatting sqref="K399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508" priority="825" stopIfTrue="1">
      <formula>LEN(TRIM(K400))=0</formula>
    </cfRule>
    <cfRule type="cellIs" dxfId="507" priority="827" operator="between">
      <formula>2</formula>
      <formula>4.9</formula>
    </cfRule>
    <cfRule type="cellIs" dxfId="506" priority="828" operator="between">
      <formula>5</formula>
      <formula>6.9</formula>
    </cfRule>
    <cfRule type="cellIs" dxfId="505" priority="829" operator="between">
      <formula>10.1</formula>
      <formula>10.6</formula>
    </cfRule>
    <cfRule type="cellIs" dxfId="504" priority="830" operator="between">
      <formula>7</formula>
      <formula>7.9</formula>
    </cfRule>
    <cfRule type="cellIs" dxfId="503" priority="831" stopIfTrue="1" operator="between">
      <formula>8</formula>
      <formula>8.9</formula>
    </cfRule>
    <cfRule type="cellIs" dxfId="502" priority="832" operator="between">
      <formula>9</formula>
      <formula>9.9</formula>
    </cfRule>
    <cfRule type="cellIs" dxfId="501" priority="833" stopIfTrue="1" operator="between">
      <formula>10</formula>
      <formula>10</formula>
    </cfRule>
    <cfRule type="cellIs" dxfId="500" priority="826" operator="lessThan">
      <formula>2</formula>
    </cfRule>
  </conditionalFormatting>
  <conditionalFormatting sqref="K412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499" priority="774" operator="between">
      <formula>2</formula>
      <formula>4.9</formula>
    </cfRule>
    <cfRule type="cellIs" dxfId="498" priority="780" stopIfTrue="1" operator="between">
      <formula>10</formula>
      <formula>10</formula>
    </cfRule>
    <cfRule type="cellIs" dxfId="497" priority="779" operator="between">
      <formula>9</formula>
      <formula>9.9</formula>
    </cfRule>
    <cfRule type="cellIs" dxfId="496" priority="778" stopIfTrue="1" operator="between">
      <formula>8</formula>
      <formula>8.9</formula>
    </cfRule>
    <cfRule type="cellIs" dxfId="495" priority="775" operator="between">
      <formula>5</formula>
      <formula>6.9</formula>
    </cfRule>
    <cfRule type="cellIs" dxfId="494" priority="773" operator="lessThan">
      <formula>2</formula>
    </cfRule>
    <cfRule type="cellIs" dxfId="493" priority="777" operator="between">
      <formula>7</formula>
      <formula>7.9</formula>
    </cfRule>
    <cfRule type="cellIs" dxfId="492" priority="776" operator="between">
      <formula>10.1</formula>
      <formula>10.6</formula>
    </cfRule>
    <cfRule type="containsBlanks" dxfId="491" priority="772" stopIfTrue="1">
      <formula>LEN(TRIM(K413))=0</formula>
    </cfRule>
  </conditionalFormatting>
  <conditionalFormatting sqref="K421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490" priority="704" stopIfTrue="1" operator="between">
      <formula>10</formula>
      <formula>10</formula>
    </cfRule>
    <cfRule type="cellIs" dxfId="489" priority="703" operator="between">
      <formula>9</formula>
      <formula>9.9</formula>
    </cfRule>
    <cfRule type="cellIs" dxfId="488" priority="702" stopIfTrue="1" operator="between">
      <formula>8</formula>
      <formula>8.9</formula>
    </cfRule>
    <cfRule type="cellIs" dxfId="487" priority="701" operator="between">
      <formula>7</formula>
      <formula>7.9</formula>
    </cfRule>
    <cfRule type="cellIs" dxfId="486" priority="700" operator="between">
      <formula>10.1</formula>
      <formula>10.6</formula>
    </cfRule>
    <cfRule type="cellIs" dxfId="485" priority="699" operator="between">
      <formula>5</formula>
      <formula>6.9</formula>
    </cfRule>
    <cfRule type="cellIs" dxfId="484" priority="698" operator="between">
      <formula>2</formula>
      <formula>4.9</formula>
    </cfRule>
    <cfRule type="cellIs" dxfId="483" priority="697" operator="lessThan">
      <formula>2</formula>
    </cfRule>
    <cfRule type="containsBlanks" dxfId="482" priority="696" stopIfTrue="1">
      <formula>LEN(TRIM(K422))=0</formula>
    </cfRule>
  </conditionalFormatting>
  <conditionalFormatting sqref="K431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81" priority="588" operator="between">
      <formula>10.1</formula>
      <formula>10.6</formula>
    </cfRule>
    <cfRule type="cellIs" dxfId="480" priority="592" stopIfTrue="1" operator="between">
      <formula>10</formula>
      <formula>10</formula>
    </cfRule>
    <cfRule type="cellIs" dxfId="479" priority="591" operator="between">
      <formula>9</formula>
      <formula>9.9</formula>
    </cfRule>
    <cfRule type="cellIs" dxfId="478" priority="590" stopIfTrue="1" operator="between">
      <formula>8</formula>
      <formula>8.9</formula>
    </cfRule>
    <cfRule type="cellIs" dxfId="477" priority="589" operator="between">
      <formula>7</formula>
      <formula>7.9</formula>
    </cfRule>
    <cfRule type="containsBlanks" dxfId="476" priority="584" stopIfTrue="1">
      <formula>LEN(TRIM(K432))=0</formula>
    </cfRule>
    <cfRule type="cellIs" dxfId="475" priority="585" operator="lessThan">
      <formula>2</formula>
    </cfRule>
    <cfRule type="cellIs" dxfId="474" priority="586" operator="between">
      <formula>2</formula>
      <formula>4.9</formula>
    </cfRule>
    <cfRule type="cellIs" dxfId="473" priority="587" operator="between">
      <formula>5</formula>
      <formula>6.9</formula>
    </cfRule>
  </conditionalFormatting>
  <conditionalFormatting sqref="K445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72" priority="571" operator="between">
      <formula>9</formula>
      <formula>9.9</formula>
    </cfRule>
    <cfRule type="cellIs" dxfId="471" priority="568" operator="between">
      <formula>10.1</formula>
      <formula>10.6</formula>
    </cfRule>
    <cfRule type="cellIs" dxfId="470" priority="570" stopIfTrue="1" operator="between">
      <formula>8</formula>
      <formula>8.9</formula>
    </cfRule>
    <cfRule type="cellIs" dxfId="469" priority="567" operator="between">
      <formula>5</formula>
      <formula>6.9</formula>
    </cfRule>
    <cfRule type="cellIs" dxfId="468" priority="572" stopIfTrue="1" operator="between">
      <formula>10</formula>
      <formula>10</formula>
    </cfRule>
    <cfRule type="containsBlanks" dxfId="467" priority="564" stopIfTrue="1">
      <formula>LEN(TRIM(K446))=0</formula>
    </cfRule>
    <cfRule type="cellIs" dxfId="466" priority="565" operator="lessThan">
      <formula>2</formula>
    </cfRule>
    <cfRule type="cellIs" dxfId="465" priority="566" operator="between">
      <formula>2</formula>
      <formula>4.9</formula>
    </cfRule>
    <cfRule type="cellIs" dxfId="464" priority="569" operator="between">
      <formula>7</formula>
      <formula>7.9</formula>
    </cfRule>
  </conditionalFormatting>
  <conditionalFormatting sqref="K465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463" priority="522" operator="between">
      <formula>2</formula>
      <formula>4.9</formula>
    </cfRule>
    <cfRule type="cellIs" dxfId="462" priority="523" operator="between">
      <formula>5</formula>
      <formula>6.9</formula>
    </cfRule>
    <cfRule type="cellIs" dxfId="461" priority="521" operator="lessThan">
      <formula>2</formula>
    </cfRule>
    <cfRule type="containsBlanks" dxfId="460" priority="520" stopIfTrue="1">
      <formula>LEN(TRIM(K466))=0</formula>
    </cfRule>
    <cfRule type="cellIs" dxfId="459" priority="524" operator="between">
      <formula>10.1</formula>
      <formula>10.6</formula>
    </cfRule>
    <cfRule type="cellIs" dxfId="458" priority="525" operator="between">
      <formula>7</formula>
      <formula>7.9</formula>
    </cfRule>
    <cfRule type="cellIs" dxfId="457" priority="526" stopIfTrue="1" operator="between">
      <formula>8</formula>
      <formula>8.9</formula>
    </cfRule>
    <cfRule type="cellIs" dxfId="456" priority="527" operator="between">
      <formula>9</formula>
      <formula>9.9</formula>
    </cfRule>
    <cfRule type="cellIs" dxfId="455" priority="528" stopIfTrue="1" operator="between">
      <formula>10</formula>
      <formula>10</formula>
    </cfRule>
  </conditionalFormatting>
  <conditionalFormatting sqref="K479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454" priority="467" operator="between">
      <formula>2</formula>
      <formula>4.9</formula>
    </cfRule>
    <cfRule type="cellIs" dxfId="453" priority="466" operator="lessThan">
      <formula>2</formula>
    </cfRule>
    <cfRule type="cellIs" dxfId="452" priority="473" stopIfTrue="1" operator="between">
      <formula>10</formula>
      <formula>10</formula>
    </cfRule>
    <cfRule type="cellIs" dxfId="451" priority="472" operator="between">
      <formula>9</formula>
      <formula>9.9</formula>
    </cfRule>
    <cfRule type="cellIs" dxfId="450" priority="471" stopIfTrue="1" operator="between">
      <formula>8</formula>
      <formula>8.9</formula>
    </cfRule>
    <cfRule type="cellIs" dxfId="449" priority="470" operator="between">
      <formula>7</formula>
      <formula>7.9</formula>
    </cfRule>
    <cfRule type="containsBlanks" dxfId="448" priority="465" stopIfTrue="1">
      <formula>LEN(TRIM(K480))=0</formula>
    </cfRule>
    <cfRule type="cellIs" dxfId="447" priority="469" operator="between">
      <formula>10.1</formula>
      <formula>10.6</formula>
    </cfRule>
    <cfRule type="cellIs" dxfId="446" priority="468" operator="between">
      <formula>5</formula>
      <formula>6.9</formula>
    </cfRule>
  </conditionalFormatting>
  <conditionalFormatting sqref="K491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445" priority="403" operator="between">
      <formula>10.1</formula>
      <formula>10.6</formula>
    </cfRule>
    <cfRule type="cellIs" dxfId="444" priority="404" operator="between">
      <formula>7</formula>
      <formula>7.9</formula>
    </cfRule>
    <cfRule type="cellIs" dxfId="443" priority="405" stopIfTrue="1" operator="between">
      <formula>8</formula>
      <formula>8.9</formula>
    </cfRule>
    <cfRule type="cellIs" dxfId="442" priority="400" operator="lessThan">
      <formula>2</formula>
    </cfRule>
    <cfRule type="cellIs" dxfId="441" priority="401" operator="between">
      <formula>2</formula>
      <formula>4.9</formula>
    </cfRule>
    <cfRule type="cellIs" dxfId="440" priority="406" operator="between">
      <formula>9</formula>
      <formula>9.9</formula>
    </cfRule>
    <cfRule type="cellIs" dxfId="439" priority="407" stopIfTrue="1" operator="between">
      <formula>10</formula>
      <formula>10</formula>
    </cfRule>
    <cfRule type="cellIs" dxfId="438" priority="402" operator="between">
      <formula>5</formula>
      <formula>6.9</formula>
    </cfRule>
    <cfRule type="containsBlanks" dxfId="437" priority="399" stopIfTrue="1">
      <formula>LEN(TRIM(K492))=0</formula>
    </cfRule>
  </conditionalFormatting>
  <conditionalFormatting sqref="K499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436" priority="378" operator="lessThan">
      <formula>2</formula>
    </cfRule>
    <cfRule type="cellIs" dxfId="435" priority="379" operator="between">
      <formula>2</formula>
      <formula>4.9</formula>
    </cfRule>
    <cfRule type="containsBlanks" dxfId="434" priority="377" stopIfTrue="1">
      <formula>LEN(TRIM(K500))=0</formula>
    </cfRule>
    <cfRule type="cellIs" dxfId="433" priority="385" stopIfTrue="1" operator="between">
      <formula>10</formula>
      <formula>10</formula>
    </cfRule>
    <cfRule type="cellIs" dxfId="432" priority="380" operator="between">
      <formula>5</formula>
      <formula>6.9</formula>
    </cfRule>
    <cfRule type="cellIs" dxfId="431" priority="384" operator="between">
      <formula>9</formula>
      <formula>9.9</formula>
    </cfRule>
    <cfRule type="cellIs" dxfId="430" priority="383" stopIfTrue="1" operator="between">
      <formula>8</formula>
      <formula>8.9</formula>
    </cfRule>
    <cfRule type="cellIs" dxfId="429" priority="382" operator="between">
      <formula>7</formula>
      <formula>7.9</formula>
    </cfRule>
    <cfRule type="cellIs" dxfId="428" priority="381" operator="between">
      <formula>10.1</formula>
      <formula>10.6</formula>
    </cfRule>
  </conditionalFormatting>
  <conditionalFormatting sqref="K519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ellIs" dxfId="427" priority="293" operator="between">
      <formula>10.1</formula>
      <formula>10.6</formula>
    </cfRule>
    <cfRule type="cellIs" dxfId="426" priority="296" operator="between">
      <formula>9</formula>
      <formula>9.9</formula>
    </cfRule>
    <cfRule type="cellIs" dxfId="425" priority="297" stopIfTrue="1" operator="between">
      <formula>10</formula>
      <formula>10</formula>
    </cfRule>
    <cfRule type="cellIs" dxfId="424" priority="294" operator="between">
      <formula>7</formula>
      <formula>7.9</formula>
    </cfRule>
    <cfRule type="cellIs" dxfId="423" priority="292" operator="between">
      <formula>5</formula>
      <formula>6.9</formula>
    </cfRule>
    <cfRule type="cellIs" dxfId="422" priority="295" stopIfTrue="1" operator="between">
      <formula>8</formula>
      <formula>8.9</formula>
    </cfRule>
    <cfRule type="cellIs" dxfId="421" priority="291" operator="between">
      <formula>2</formula>
      <formula>4.9</formula>
    </cfRule>
    <cfRule type="cellIs" dxfId="420" priority="290" operator="lessThan">
      <formula>2</formula>
    </cfRule>
    <cfRule type="containsBlanks" dxfId="419" priority="289" stopIfTrue="1">
      <formula>LEN(TRIM(K520))=0</formula>
    </cfRule>
  </conditionalFormatting>
  <conditionalFormatting sqref="K528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418" priority="242" stopIfTrue="1" operator="between">
      <formula>10</formula>
      <formula>10</formula>
    </cfRule>
    <cfRule type="cellIs" dxfId="417" priority="241" operator="between">
      <formula>9</formula>
      <formula>9.9</formula>
    </cfRule>
    <cfRule type="cellIs" dxfId="416" priority="240" stopIfTrue="1" operator="between">
      <formula>8</formula>
      <formula>8.9</formula>
    </cfRule>
    <cfRule type="cellIs" dxfId="415" priority="239" operator="between">
      <formula>7</formula>
      <formula>7.9</formula>
    </cfRule>
    <cfRule type="cellIs" dxfId="414" priority="238" operator="between">
      <formula>10.1</formula>
      <formula>10.6</formula>
    </cfRule>
    <cfRule type="cellIs" dxfId="413" priority="237" operator="between">
      <formula>5</formula>
      <formula>6.9</formula>
    </cfRule>
    <cfRule type="cellIs" dxfId="412" priority="236" operator="between">
      <formula>2</formula>
      <formula>4.9</formula>
    </cfRule>
    <cfRule type="cellIs" dxfId="411" priority="235" operator="lessThan">
      <formula>2</formula>
    </cfRule>
    <cfRule type="containsBlanks" dxfId="410" priority="234" stopIfTrue="1">
      <formula>LEN(TRIM(K529))=0</formula>
    </cfRule>
  </conditionalFormatting>
  <conditionalFormatting sqref="K545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46:K569">
    <cfRule type="containsBlanks" dxfId="409" priority="168" stopIfTrue="1">
      <formula>LEN(TRIM(K546))=0</formula>
    </cfRule>
    <cfRule type="cellIs" dxfId="408" priority="169" operator="lessThan">
      <formula>2</formula>
    </cfRule>
    <cfRule type="cellIs" dxfId="407" priority="170" operator="between">
      <formula>2</formula>
      <formula>4.9</formula>
    </cfRule>
    <cfRule type="cellIs" dxfId="406" priority="171" operator="between">
      <formula>5</formula>
      <formula>6.9</formula>
    </cfRule>
    <cfRule type="cellIs" dxfId="405" priority="173" operator="between">
      <formula>7</formula>
      <formula>7.9</formula>
    </cfRule>
    <cfRule type="cellIs" dxfId="404" priority="174" stopIfTrue="1" operator="between">
      <formula>8</formula>
      <formula>8.9</formula>
    </cfRule>
    <cfRule type="cellIs" dxfId="403" priority="175" operator="between">
      <formula>9</formula>
      <formula>9.9</formula>
    </cfRule>
    <cfRule type="cellIs" dxfId="402" priority="176" stopIfTrue="1" operator="between">
      <formula>10</formula>
      <formula>10</formula>
    </cfRule>
    <cfRule type="cellIs" dxfId="401" priority="172" operator="between">
      <formula>10.1</formula>
      <formula>10.6</formula>
    </cfRule>
  </conditionalFormatting>
  <conditionalFormatting sqref="K571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400" priority="77" stopIfTrue="1" operator="between">
      <formula>10</formula>
      <formula>10</formula>
    </cfRule>
    <cfRule type="cellIs" dxfId="399" priority="76" operator="between">
      <formula>9</formula>
      <formula>9.9</formula>
    </cfRule>
    <cfRule type="cellIs" dxfId="398" priority="75" stopIfTrue="1" operator="between">
      <formula>8</formula>
      <formula>8.9</formula>
    </cfRule>
    <cfRule type="cellIs" dxfId="397" priority="74" operator="between">
      <formula>7</formula>
      <formula>7.9</formula>
    </cfRule>
    <cfRule type="cellIs" dxfId="396" priority="73" operator="between">
      <formula>10.1</formula>
      <formula>10.6</formula>
    </cfRule>
    <cfRule type="cellIs" dxfId="395" priority="72" operator="between">
      <formula>5</formula>
      <formula>6.9</formula>
    </cfRule>
    <cfRule type="cellIs" dxfId="394" priority="71" operator="between">
      <formula>2</formula>
      <formula>4.9</formula>
    </cfRule>
    <cfRule type="cellIs" dxfId="393" priority="70" operator="lessThan">
      <formula>2</formula>
    </cfRule>
    <cfRule type="containsBlanks" dxfId="392" priority="69" stopIfTrue="1">
      <formula>LEN(TRIM(K572))=0</formula>
    </cfRule>
  </conditionalFormatting>
  <conditionalFormatting sqref="K58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391" priority="31" stopIfTrue="1" operator="between">
      <formula>8</formula>
      <formula>8.9</formula>
    </cfRule>
    <cfRule type="cellIs" dxfId="390" priority="33" stopIfTrue="1" operator="between">
      <formula>10</formula>
      <formula>10</formula>
    </cfRule>
    <cfRule type="cellIs" dxfId="389" priority="32" operator="between">
      <formula>9</formula>
      <formula>9.9</formula>
    </cfRule>
    <cfRule type="containsBlanks" dxfId="388" priority="25" stopIfTrue="1">
      <formula>LEN(TRIM(K586))=0</formula>
    </cfRule>
    <cfRule type="cellIs" dxfId="387" priority="26" operator="lessThan">
      <formula>2</formula>
    </cfRule>
    <cfRule type="cellIs" dxfId="386" priority="27" operator="between">
      <formula>2</formula>
      <formula>4.9</formula>
    </cfRule>
    <cfRule type="cellIs" dxfId="385" priority="28" operator="between">
      <formula>5</formula>
      <formula>6.9</formula>
    </cfRule>
    <cfRule type="cellIs" dxfId="384" priority="29" operator="between">
      <formula>10.1</formula>
      <formula>10.6</formula>
    </cfRule>
    <cfRule type="cellIs" dxfId="383" priority="30" operator="between">
      <formula>7</formula>
      <formula>7.9</formula>
    </cfRule>
  </conditionalFormatting>
  <conditionalFormatting sqref="M28">
    <cfRule type="colorScale" priority="2670">
      <colorScale>
        <cfvo type="num" val="5"/>
        <cfvo type="num" val="10"/>
        <color rgb="FFFF494D"/>
        <color rgb="FF00FF66"/>
      </colorScale>
    </cfRule>
    <cfRule type="colorScale" priority="26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6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1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382" priority="2271" stopIfTrue="1">
      <formula>LEN(TRIM(N3))=0</formula>
    </cfRule>
    <cfRule type="cellIs" dxfId="381" priority="2270" stopIfTrue="1" operator="between">
      <formula>10</formula>
      <formula>10</formula>
    </cfRule>
    <cfRule type="cellIs" dxfId="380" priority="2269" operator="between">
      <formula>9</formula>
      <formula>9.9</formula>
    </cfRule>
    <cfRule type="cellIs" dxfId="379" priority="2268" stopIfTrue="1" operator="between">
      <formula>8</formula>
      <formula>8.9</formula>
    </cfRule>
    <cfRule type="cellIs" dxfId="378" priority="2267" operator="between">
      <formula>7</formula>
      <formula>7.9</formula>
    </cfRule>
    <cfRule type="cellIs" dxfId="377" priority="2266" operator="between">
      <formula>10.1</formula>
      <formula>10.6</formula>
    </cfRule>
  </conditionalFormatting>
  <conditionalFormatting sqref="N15:N26">
    <cfRule type="cellIs" dxfId="376" priority="2401" stopIfTrue="1" operator="between">
      <formula>10</formula>
      <formula>10</formula>
    </cfRule>
    <cfRule type="cellIs" dxfId="375" priority="2400" operator="between">
      <formula>9</formula>
      <formula>9.9</formula>
    </cfRule>
    <cfRule type="cellIs" dxfId="374" priority="2399" stopIfTrue="1" operator="between">
      <formula>8</formula>
      <formula>8.9</formula>
    </cfRule>
    <cfRule type="cellIs" dxfId="373" priority="2398" operator="between">
      <formula>7</formula>
      <formula>7.9</formula>
    </cfRule>
  </conditionalFormatting>
  <conditionalFormatting sqref="N28">
    <cfRule type="colorScale" priority="2164">
      <colorScale>
        <cfvo type="num" val="5"/>
        <cfvo type="num" val="10"/>
        <color rgb="FFFF494D"/>
        <color rgb="FF00FF66"/>
      </colorScale>
    </cfRule>
    <cfRule type="colorScale" priority="21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72" priority="2405" stopIfTrue="1" operator="between">
      <formula>10</formula>
      <formula>10</formula>
    </cfRule>
    <cfRule type="cellIs" dxfId="371" priority="2404" operator="between">
      <formula>9</formula>
      <formula>9.9</formula>
    </cfRule>
    <cfRule type="cellIs" dxfId="370" priority="2403" stopIfTrue="1" operator="between">
      <formula>8</formula>
      <formula>8.9</formula>
    </cfRule>
    <cfRule type="cellIs" dxfId="369" priority="2402" operator="between">
      <formula>7</formula>
      <formula>7.9</formula>
    </cfRule>
  </conditionalFormatting>
  <conditionalFormatting sqref="N39">
    <cfRule type="colorScale" priority="2637">
      <colorScale>
        <cfvo type="num" val="5"/>
        <cfvo type="num" val="10"/>
        <color rgb="FFFF494D"/>
        <color rgb="FF00FF66"/>
      </colorScale>
    </cfRule>
    <cfRule type="colorScale" priority="26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368" priority="2211" stopIfTrue="1">
      <formula>LEN(TRIM(N40))=0</formula>
    </cfRule>
    <cfRule type="cellIs" dxfId="367" priority="2206" operator="between">
      <formula>10.1</formula>
      <formula>10.6</formula>
    </cfRule>
    <cfRule type="cellIs" dxfId="366" priority="2207" operator="between">
      <formula>7</formula>
      <formula>7.9</formula>
    </cfRule>
    <cfRule type="cellIs" dxfId="365" priority="2208" stopIfTrue="1" operator="between">
      <formula>8</formula>
      <formula>8.9</formula>
    </cfRule>
    <cfRule type="cellIs" dxfId="364" priority="2209" operator="between">
      <formula>9</formula>
      <formula>9.9</formula>
    </cfRule>
    <cfRule type="cellIs" dxfId="363" priority="2210" stopIfTrue="1" operator="between">
      <formula>10</formula>
      <formula>10</formula>
    </cfRule>
  </conditionalFormatting>
  <conditionalFormatting sqref="N54">
    <cfRule type="colorScale" priority="2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62" priority="2188" operator="between">
      <formula>10.1</formula>
      <formula>10.6</formula>
    </cfRule>
    <cfRule type="cellIs" dxfId="361" priority="2189" operator="between">
      <formula>7</formula>
      <formula>7.9</formula>
    </cfRule>
    <cfRule type="cellIs" dxfId="360" priority="2190" stopIfTrue="1" operator="between">
      <formula>8</formula>
      <formula>8.9</formula>
    </cfRule>
    <cfRule type="cellIs" dxfId="359" priority="2191" operator="between">
      <formula>9</formula>
      <formula>9.9</formula>
    </cfRule>
    <cfRule type="cellIs" dxfId="358" priority="2192" stopIfTrue="1" operator="between">
      <formula>10</formula>
      <formula>10</formula>
    </cfRule>
    <cfRule type="containsBlanks" dxfId="357" priority="2193" stopIfTrue="1">
      <formula>LEN(TRIM(N55))=0</formula>
    </cfRule>
  </conditionalFormatting>
  <conditionalFormatting sqref="N67">
    <cfRule type="colorScale" priority="2146">
      <colorScale>
        <cfvo type="num" val="5"/>
        <cfvo type="num" val="10"/>
        <color rgb="FFFF494D"/>
        <color rgb="FF00FF66"/>
      </colorScale>
    </cfRule>
    <cfRule type="colorScale" priority="21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356" priority="2140" operator="between">
      <formula>7</formula>
      <formula>7.9</formula>
    </cfRule>
    <cfRule type="cellIs" dxfId="355" priority="2139" operator="between">
      <formula>10.1</formula>
      <formula>10.6</formula>
    </cfRule>
    <cfRule type="containsBlanks" dxfId="354" priority="2144" stopIfTrue="1">
      <formula>LEN(TRIM(N68))=0</formula>
    </cfRule>
    <cfRule type="cellIs" dxfId="353" priority="2143" stopIfTrue="1" operator="between">
      <formula>10</formula>
      <formula>10</formula>
    </cfRule>
    <cfRule type="cellIs" dxfId="352" priority="2142" operator="between">
      <formula>9</formula>
      <formula>9.9</formula>
    </cfRule>
    <cfRule type="cellIs" dxfId="351" priority="2141" stopIfTrue="1" operator="between">
      <formula>8</formula>
      <formula>8.9</formula>
    </cfRule>
  </conditionalFormatting>
  <conditionalFormatting sqref="N79">
    <cfRule type="colorScale" priority="2077">
      <colorScale>
        <cfvo type="num" val="5"/>
        <cfvo type="num" val="10"/>
        <color rgb="FFFF494D"/>
        <color rgb="FF00FF66"/>
      </colorScale>
    </cfRule>
    <cfRule type="colorScale" priority="20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350" priority="2075" stopIfTrue="1">
      <formula>LEN(TRIM(N80))=0</formula>
    </cfRule>
    <cfRule type="cellIs" dxfId="349" priority="2074" stopIfTrue="1" operator="between">
      <formula>10</formula>
      <formula>10</formula>
    </cfRule>
    <cfRule type="cellIs" dxfId="348" priority="2073" operator="between">
      <formula>9</formula>
      <formula>9.9</formula>
    </cfRule>
    <cfRule type="cellIs" dxfId="347" priority="2072" stopIfTrue="1" operator="between">
      <formula>8</formula>
      <formula>8.9</formula>
    </cfRule>
    <cfRule type="cellIs" dxfId="346" priority="2070" operator="between">
      <formula>10.1</formula>
      <formula>10.6</formula>
    </cfRule>
    <cfRule type="cellIs" dxfId="345" priority="2071" operator="between">
      <formula>7</formula>
      <formula>7.9</formula>
    </cfRule>
  </conditionalFormatting>
  <conditionalFormatting sqref="N93">
    <cfRule type="colorScale" priority="2032">
      <colorScale>
        <cfvo type="num" val="5"/>
        <cfvo type="num" val="10"/>
        <color rgb="FFFF494D"/>
        <color rgb="FF00FF66"/>
      </colorScale>
    </cfRule>
    <cfRule type="colorScale" priority="20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344" priority="2038" stopIfTrue="1">
      <formula>LEN(TRIM(N94))=0</formula>
    </cfRule>
    <cfRule type="cellIs" dxfId="343" priority="2037" stopIfTrue="1" operator="between">
      <formula>10</formula>
      <formula>10</formula>
    </cfRule>
    <cfRule type="cellIs" dxfId="342" priority="2036" operator="between">
      <formula>9</formula>
      <formula>9.9</formula>
    </cfRule>
    <cfRule type="cellIs" dxfId="341" priority="2035" stopIfTrue="1" operator="between">
      <formula>8</formula>
      <formula>8.9</formula>
    </cfRule>
    <cfRule type="cellIs" dxfId="340" priority="2034" operator="between">
      <formula>7</formula>
      <formula>7.9</formula>
    </cfRule>
    <cfRule type="cellIs" dxfId="339" priority="2033" operator="between">
      <formula>10.1</formula>
      <formula>10.6</formula>
    </cfRule>
  </conditionalFormatting>
  <conditionalFormatting sqref="N112">
    <cfRule type="colorScale" priority="1966">
      <colorScale>
        <cfvo type="num" val="5"/>
        <cfvo type="num" val="10"/>
        <color rgb="FFFF494D"/>
        <color rgb="FF00FF66"/>
      </colorScale>
    </cfRule>
    <cfRule type="colorScale" priority="19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338" priority="1959" operator="between">
      <formula>10.1</formula>
      <formula>10.6</formula>
    </cfRule>
    <cfRule type="cellIs" dxfId="337" priority="1960" operator="between">
      <formula>7</formula>
      <formula>7.9</formula>
    </cfRule>
    <cfRule type="cellIs" dxfId="336" priority="1961" stopIfTrue="1" operator="between">
      <formula>8</formula>
      <formula>8.9</formula>
    </cfRule>
    <cfRule type="cellIs" dxfId="335" priority="1962" operator="between">
      <formula>9</formula>
      <formula>9.9</formula>
    </cfRule>
    <cfRule type="cellIs" dxfId="334" priority="1963" stopIfTrue="1" operator="between">
      <formula>10</formula>
      <formula>10</formula>
    </cfRule>
    <cfRule type="containsBlanks" dxfId="333" priority="1964" stopIfTrue="1">
      <formula>LEN(TRIM(N113))=0</formula>
    </cfRule>
  </conditionalFormatting>
  <conditionalFormatting sqref="N127">
    <cfRule type="colorScale" priority="18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32" priority="1885" operator="between">
      <formula>6</formula>
      <formula>6.9</formula>
    </cfRule>
    <cfRule type="cellIs" dxfId="331" priority="1886" operator="between">
      <formula>10.1</formula>
      <formula>10.6</formula>
    </cfRule>
    <cfRule type="cellIs" dxfId="330" priority="1887" operator="between">
      <formula>7</formula>
      <formula>7.9</formula>
    </cfRule>
    <cfRule type="cellIs" dxfId="329" priority="1888" stopIfTrue="1" operator="between">
      <formula>8</formula>
      <formula>8.9</formula>
    </cfRule>
    <cfRule type="cellIs" dxfId="328" priority="1889" operator="between">
      <formula>9</formula>
      <formula>9.9</formula>
    </cfRule>
    <cfRule type="cellIs" dxfId="327" priority="1890" stopIfTrue="1" operator="between">
      <formula>10</formula>
      <formula>10</formula>
    </cfRule>
    <cfRule type="containsBlanks" dxfId="326" priority="1891" stopIfTrue="1">
      <formula>LEN(TRIM(N128))=0</formula>
    </cfRule>
    <cfRule type="cellIs" dxfId="325" priority="1892" operator="between">
      <formula>10.1</formula>
      <formula>10.6</formula>
    </cfRule>
    <cfRule type="cellIs" dxfId="324" priority="1893" operator="between">
      <formula>7</formula>
      <formula>7.9</formula>
    </cfRule>
    <cfRule type="cellIs" dxfId="323" priority="1894" stopIfTrue="1" operator="between">
      <formula>8</formula>
      <formula>8.9</formula>
    </cfRule>
    <cfRule type="cellIs" dxfId="322" priority="1895" operator="between">
      <formula>9</formula>
      <formula>9.9</formula>
    </cfRule>
    <cfRule type="cellIs" dxfId="321" priority="1896" stopIfTrue="1" operator="between">
      <formula>10</formula>
      <formula>10</formula>
    </cfRule>
    <cfRule type="containsBlanks" dxfId="320" priority="1897" stopIfTrue="1">
      <formula>LEN(TRIM(N128))=0</formula>
    </cfRule>
  </conditionalFormatting>
  <conditionalFormatting sqref="N137">
    <cfRule type="colorScale" priority="1857">
      <colorScale>
        <cfvo type="num" val="5"/>
        <cfvo type="num" val="10"/>
        <color rgb="FFFF494D"/>
        <color rgb="FF00FF66"/>
      </colorScale>
    </cfRule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19" priority="1851" operator="between">
      <formula>7</formula>
      <formula>7.9</formula>
    </cfRule>
    <cfRule type="cellIs" dxfId="318" priority="1850" operator="between">
      <formula>10.1</formula>
      <formula>10.6</formula>
    </cfRule>
    <cfRule type="cellIs" dxfId="317" priority="1849" operator="between">
      <formula>6</formula>
      <formula>6.9</formula>
    </cfRule>
    <cfRule type="cellIs" dxfId="316" priority="1853" operator="between">
      <formula>9</formula>
      <formula>9.9</formula>
    </cfRule>
    <cfRule type="cellIs" dxfId="315" priority="1854" stopIfTrue="1" operator="between">
      <formula>10</formula>
      <formula>10</formula>
    </cfRule>
    <cfRule type="containsBlanks" dxfId="314" priority="1855" stopIfTrue="1">
      <formula>LEN(TRIM(N138))=0</formula>
    </cfRule>
    <cfRule type="cellIs" dxfId="313" priority="1852" stopIfTrue="1" operator="between">
      <formula>8</formula>
      <formula>8.9</formula>
    </cfRule>
  </conditionalFormatting>
  <conditionalFormatting sqref="N144">
    <cfRule type="colorScale" priority="1848">
      <colorScale>
        <cfvo type="num" val="5"/>
        <cfvo type="num" val="10"/>
        <color rgb="FFFF494D"/>
        <color rgb="FF00FF66"/>
      </colorScale>
    </cfRule>
    <cfRule type="colorScale" priority="18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312" priority="1846" stopIfTrue="1">
      <formula>LEN(TRIM(N145))=0</formula>
    </cfRule>
    <cfRule type="cellIs" dxfId="311" priority="1845" stopIfTrue="1" operator="between">
      <formula>10</formula>
      <formula>10</formula>
    </cfRule>
    <cfRule type="cellIs" dxfId="310" priority="1844" operator="between">
      <formula>9</formula>
      <formula>9.9</formula>
    </cfRule>
    <cfRule type="cellIs" dxfId="309" priority="1843" stopIfTrue="1" operator="between">
      <formula>8</formula>
      <formula>8.9</formula>
    </cfRule>
    <cfRule type="cellIs" dxfId="308" priority="1842" operator="between">
      <formula>7</formula>
      <formula>7.9</formula>
    </cfRule>
    <cfRule type="cellIs" dxfId="307" priority="1841" operator="between">
      <formula>10.1</formula>
      <formula>10.6</formula>
    </cfRule>
    <cfRule type="cellIs" dxfId="306" priority="1840" operator="between">
      <formula>6</formula>
      <formula>6.9</formula>
    </cfRule>
  </conditionalFormatting>
  <conditionalFormatting sqref="N152">
    <cfRule type="colorScale" priority="1794">
      <colorScale>
        <cfvo type="num" val="5"/>
        <cfvo type="num" val="10"/>
        <color rgb="FFFF494D"/>
        <color rgb="FF00FF66"/>
      </colorScale>
    </cfRule>
    <cfRule type="colorScale" priority="17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305" priority="1792" stopIfTrue="1">
      <formula>LEN(TRIM(N153))=0</formula>
    </cfRule>
    <cfRule type="cellIs" dxfId="304" priority="1791" stopIfTrue="1" operator="between">
      <formula>10</formula>
      <formula>10</formula>
    </cfRule>
    <cfRule type="cellIs" dxfId="303" priority="1790" operator="between">
      <formula>9</formula>
      <formula>9.9</formula>
    </cfRule>
    <cfRule type="cellIs" dxfId="302" priority="1789" stopIfTrue="1" operator="between">
      <formula>8</formula>
      <formula>8.9</formula>
    </cfRule>
    <cfRule type="cellIs" dxfId="301" priority="1788" operator="between">
      <formula>7</formula>
      <formula>7.9</formula>
    </cfRule>
    <cfRule type="cellIs" dxfId="300" priority="1787" operator="between">
      <formula>10.1</formula>
      <formula>10.6</formula>
    </cfRule>
    <cfRule type="cellIs" dxfId="299" priority="1786" operator="between">
      <formula>6</formula>
      <formula>6.9</formula>
    </cfRule>
  </conditionalFormatting>
  <conditionalFormatting sqref="N161">
    <cfRule type="colorScale" priority="1769">
      <colorScale>
        <cfvo type="num" val="5"/>
        <cfvo type="num" val="10"/>
        <color rgb="FFFF494D"/>
        <color rgb="FF00FF66"/>
      </colorScale>
    </cfRule>
    <cfRule type="colorScale" priority="17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298" priority="1776" stopIfTrue="1">
      <formula>LEN(TRIM(N162))=0</formula>
    </cfRule>
    <cfRule type="cellIs" dxfId="297" priority="1775" stopIfTrue="1" operator="between">
      <formula>10</formula>
      <formula>10</formula>
    </cfRule>
    <cfRule type="cellIs" dxfId="296" priority="1774" operator="between">
      <formula>9</formula>
      <formula>9.9</formula>
    </cfRule>
    <cfRule type="cellIs" dxfId="295" priority="1773" stopIfTrue="1" operator="between">
      <formula>8</formula>
      <formula>8.9</formula>
    </cfRule>
    <cfRule type="cellIs" dxfId="294" priority="1772" operator="between">
      <formula>7</formula>
      <formula>7.9</formula>
    </cfRule>
    <cfRule type="cellIs" dxfId="293" priority="1771" operator="between">
      <formula>10.1</formula>
      <formula>10.6</formula>
    </cfRule>
    <cfRule type="cellIs" dxfId="292" priority="1770" operator="between">
      <formula>6</formula>
      <formula>6.9</formula>
    </cfRule>
  </conditionalFormatting>
  <conditionalFormatting sqref="N182">
    <cfRule type="colorScale" priority="1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91" priority="1661" operator="between">
      <formula>6</formula>
      <formula>6.9</formula>
    </cfRule>
    <cfRule type="containsBlanks" dxfId="290" priority="1667" stopIfTrue="1">
      <formula>LEN(TRIM(N186))=0</formula>
    </cfRule>
    <cfRule type="cellIs" dxfId="289" priority="1666" stopIfTrue="1" operator="between">
      <formula>10</formula>
      <formula>10</formula>
    </cfRule>
    <cfRule type="cellIs" dxfId="288" priority="1665" operator="between">
      <formula>9</formula>
      <formula>9.9</formula>
    </cfRule>
    <cfRule type="cellIs" dxfId="287" priority="1664" stopIfTrue="1" operator="between">
      <formula>8</formula>
      <formula>8.9</formula>
    </cfRule>
    <cfRule type="cellIs" dxfId="286" priority="1663" operator="between">
      <formula>7</formula>
      <formula>7.9</formula>
    </cfRule>
    <cfRule type="cellIs" dxfId="285" priority="1662" operator="between">
      <formula>10.1</formula>
      <formula>10.6</formula>
    </cfRule>
  </conditionalFormatting>
  <conditionalFormatting sqref="N211">
    <cfRule type="colorScale" priority="1586">
      <colorScale>
        <cfvo type="num" val="5"/>
        <cfvo type="num" val="10"/>
        <color rgb="FFFF494D"/>
        <color rgb="FF00FF66"/>
      </colorScale>
    </cfRule>
    <cfRule type="colorScale" priority="15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84" priority="1579" operator="between">
      <formula>10.1</formula>
      <formula>11</formula>
    </cfRule>
    <cfRule type="cellIs" dxfId="283" priority="1578" operator="between">
      <formula>6</formula>
      <formula>6.9</formula>
    </cfRule>
    <cfRule type="containsBlanks" dxfId="282" priority="1584" stopIfTrue="1">
      <formula>LEN(TRIM(N212))=0</formula>
    </cfRule>
    <cfRule type="cellIs" dxfId="281" priority="1583" stopIfTrue="1" operator="between">
      <formula>10</formula>
      <formula>10</formula>
    </cfRule>
    <cfRule type="cellIs" dxfId="280" priority="1582" operator="between">
      <formula>9</formula>
      <formula>9.9</formula>
    </cfRule>
    <cfRule type="cellIs" dxfId="279" priority="1581" stopIfTrue="1" operator="between">
      <formula>8</formula>
      <formula>8.9</formula>
    </cfRule>
    <cfRule type="cellIs" dxfId="278" priority="1580" operator="between">
      <formula>7</formula>
      <formula>7.9</formula>
    </cfRule>
  </conditionalFormatting>
  <conditionalFormatting sqref="N228">
    <cfRule type="colorScale" priority="1523">
      <colorScale>
        <cfvo type="num" val="5"/>
        <cfvo type="num" val="10"/>
        <color rgb="FFFF494D"/>
        <color rgb="FF00FF66"/>
      </colorScale>
    </cfRule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77" priority="1525" operator="between">
      <formula>10.1</formula>
      <formula>11</formula>
    </cfRule>
    <cfRule type="containsBlanks" dxfId="276" priority="1530" stopIfTrue="1">
      <formula>LEN(TRIM(N229))=0</formula>
    </cfRule>
    <cfRule type="cellIs" dxfId="275" priority="1524" operator="between">
      <formula>6</formula>
      <formula>6.9</formula>
    </cfRule>
    <cfRule type="cellIs" dxfId="274" priority="1529" stopIfTrue="1" operator="between">
      <formula>10</formula>
      <formula>10</formula>
    </cfRule>
    <cfRule type="cellIs" dxfId="273" priority="1528" operator="between">
      <formula>9</formula>
      <formula>9.9</formula>
    </cfRule>
    <cfRule type="cellIs" dxfId="272" priority="1527" stopIfTrue="1" operator="between">
      <formula>8</formula>
      <formula>8.9</formula>
    </cfRule>
    <cfRule type="cellIs" dxfId="271" priority="1526" operator="between">
      <formula>7</formula>
      <formula>7.9</formula>
    </cfRule>
  </conditionalFormatting>
  <conditionalFormatting sqref="N240">
    <cfRule type="colorScale" priority="1478">
      <colorScale>
        <cfvo type="num" val="5"/>
        <cfvo type="num" val="10"/>
        <color rgb="FFFF494D"/>
        <color rgb="FF00FF66"/>
      </colorScale>
    </cfRule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70" priority="1472" operator="between">
      <formula>7</formula>
      <formula>7.9</formula>
    </cfRule>
    <cfRule type="cellIs" dxfId="269" priority="1470" operator="between">
      <formula>6</formula>
      <formula>6.9</formula>
    </cfRule>
    <cfRule type="cellIs" dxfId="268" priority="1473" stopIfTrue="1" operator="between">
      <formula>8</formula>
      <formula>8.9</formula>
    </cfRule>
    <cfRule type="cellIs" dxfId="267" priority="1471" operator="between">
      <formula>10.1</formula>
      <formula>10.6</formula>
    </cfRule>
    <cfRule type="containsBlanks" dxfId="266" priority="1476" stopIfTrue="1">
      <formula>LEN(TRIM(N241))=0</formula>
    </cfRule>
    <cfRule type="cellIs" dxfId="265" priority="1475" stopIfTrue="1" operator="between">
      <formula>10</formula>
      <formula>10</formula>
    </cfRule>
    <cfRule type="cellIs" dxfId="264" priority="1474" operator="between">
      <formula>9</formula>
      <formula>9.9</formula>
    </cfRule>
  </conditionalFormatting>
  <conditionalFormatting sqref="N249">
    <cfRule type="colorScale" priority="1451">
      <colorScale>
        <cfvo type="num" val="5"/>
        <cfvo type="num" val="10"/>
        <color rgb="FFFF494D"/>
        <color rgb="FF00FF66"/>
      </colorScale>
    </cfRule>
    <cfRule type="colorScale" priority="1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63" priority="1444" operator="between">
      <formula>10.1</formula>
      <formula>10.6</formula>
    </cfRule>
    <cfRule type="cellIs" dxfId="262" priority="1443" operator="between">
      <formula>6</formula>
      <formula>6.9</formula>
    </cfRule>
    <cfRule type="containsBlanks" dxfId="261" priority="1449" stopIfTrue="1">
      <formula>LEN(TRIM(N250))=0</formula>
    </cfRule>
    <cfRule type="cellIs" dxfId="260" priority="1448" stopIfTrue="1" operator="between">
      <formula>10</formula>
      <formula>10</formula>
    </cfRule>
    <cfRule type="cellIs" dxfId="259" priority="1447" operator="between">
      <formula>9</formula>
      <formula>9.9</formula>
    </cfRule>
    <cfRule type="cellIs" dxfId="258" priority="1446" stopIfTrue="1" operator="between">
      <formula>8</formula>
      <formula>8.9</formula>
    </cfRule>
    <cfRule type="cellIs" dxfId="257" priority="1445" operator="between">
      <formula>7</formula>
      <formula>7.9</formula>
    </cfRule>
  </conditionalFormatting>
  <conditionalFormatting sqref="N277">
    <cfRule type="colorScale" priority="1341">
      <colorScale>
        <cfvo type="num" val="5"/>
        <cfvo type="num" val="10"/>
        <color rgb="FFFF494D"/>
        <color rgb="FF00FF66"/>
      </colorScale>
    </cfRule>
    <cfRule type="colorScale" priority="1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56" priority="1336" stopIfTrue="1" operator="between">
      <formula>8</formula>
      <formula>8.9</formula>
    </cfRule>
    <cfRule type="cellIs" dxfId="255" priority="1335" operator="between">
      <formula>7</formula>
      <formula>7.9</formula>
    </cfRule>
    <cfRule type="cellIs" dxfId="254" priority="1334" operator="between">
      <formula>10.1</formula>
      <formula>10.6</formula>
    </cfRule>
    <cfRule type="cellIs" dxfId="253" priority="1333" operator="between">
      <formula>6</formula>
      <formula>6.9</formula>
    </cfRule>
    <cfRule type="containsBlanks" dxfId="252" priority="1339" stopIfTrue="1">
      <formula>LEN(TRIM(N278))=0</formula>
    </cfRule>
    <cfRule type="cellIs" dxfId="251" priority="1338" stopIfTrue="1" operator="between">
      <formula>10</formula>
      <formula>10</formula>
    </cfRule>
    <cfRule type="cellIs" dxfId="250" priority="1337" operator="between">
      <formula>9</formula>
      <formula>9.9</formula>
    </cfRule>
  </conditionalFormatting>
  <conditionalFormatting sqref="N284">
    <cfRule type="colorScale" priority="1314">
      <colorScale>
        <cfvo type="num" val="5"/>
        <cfvo type="num" val="10"/>
        <color rgb="FFFF494D"/>
        <color rgb="FF00FF66"/>
      </colorScale>
    </cfRule>
    <cfRule type="colorScale" priority="1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249" priority="1321" stopIfTrue="1">
      <formula>LEN(TRIM(N285))=0</formula>
    </cfRule>
    <cfRule type="cellIs" dxfId="248" priority="1320" stopIfTrue="1" operator="between">
      <formula>10</formula>
      <formula>10</formula>
    </cfRule>
    <cfRule type="cellIs" dxfId="247" priority="1319" operator="between">
      <formula>9</formula>
      <formula>9.9</formula>
    </cfRule>
    <cfRule type="cellIs" dxfId="246" priority="1318" stopIfTrue="1" operator="between">
      <formula>8</formula>
      <formula>8.9</formula>
    </cfRule>
    <cfRule type="cellIs" dxfId="245" priority="1317" operator="between">
      <formula>7</formula>
      <formula>7.9</formula>
    </cfRule>
    <cfRule type="cellIs" dxfId="244" priority="1316" operator="between">
      <formula>10.1</formula>
      <formula>10.6</formula>
    </cfRule>
    <cfRule type="cellIs" dxfId="243" priority="1315" operator="between">
      <formula>6</formula>
      <formula>6.9</formula>
    </cfRule>
  </conditionalFormatting>
  <conditionalFormatting sqref="N297"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3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242" priority="1261" stopIfTrue="1" operator="between">
      <formula>10</formula>
      <formula>10</formula>
    </cfRule>
    <cfRule type="cellIs" dxfId="241" priority="1260" operator="between">
      <formula>9</formula>
      <formula>9.9</formula>
    </cfRule>
    <cfRule type="cellIs" dxfId="240" priority="1259" stopIfTrue="1" operator="between">
      <formula>8</formula>
      <formula>8.9</formula>
    </cfRule>
    <cfRule type="cellIs" dxfId="239" priority="1258" operator="between">
      <formula>7</formula>
      <formula>7.9</formula>
    </cfRule>
    <cfRule type="cellIs" dxfId="238" priority="1257" operator="between">
      <formula>10.1</formula>
      <formula>10.6</formula>
    </cfRule>
    <cfRule type="cellIs" dxfId="237" priority="1256" operator="between">
      <formula>5</formula>
      <formula>6.9</formula>
    </cfRule>
    <cfRule type="cellIs" dxfId="236" priority="1255" operator="between">
      <formula>2</formula>
      <formula>4.9</formula>
    </cfRule>
    <cfRule type="cellIs" dxfId="235" priority="1254" operator="lessThan">
      <formula>2</formula>
    </cfRule>
    <cfRule type="containsBlanks" dxfId="234" priority="1253" stopIfTrue="1">
      <formula>LEN(TRIM(N298))=0</formula>
    </cfRule>
  </conditionalFormatting>
  <conditionalFormatting sqref="N306">
    <cfRule type="colorScale" priority="1232">
      <colorScale>
        <cfvo type="num" val="5"/>
        <cfvo type="num" val="10"/>
        <color rgb="FFFF494D"/>
        <color rgb="FF00FF66"/>
      </colorScale>
    </cfRule>
    <cfRule type="colorScale" priority="12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233" priority="1223" operator="lessThan">
      <formula>2</formula>
    </cfRule>
    <cfRule type="containsBlanks" dxfId="232" priority="1222" stopIfTrue="1">
      <formula>LEN(TRIM(N307))=0</formula>
    </cfRule>
    <cfRule type="cellIs" dxfId="231" priority="1224" operator="between">
      <formula>2</formula>
      <formula>4.9</formula>
    </cfRule>
    <cfRule type="cellIs" dxfId="230" priority="1225" operator="between">
      <formula>5</formula>
      <formula>6.9</formula>
    </cfRule>
    <cfRule type="cellIs" dxfId="229" priority="1226" operator="between">
      <formula>10.1</formula>
      <formula>10.6</formula>
    </cfRule>
    <cfRule type="cellIs" dxfId="228" priority="1227" operator="between">
      <formula>7</formula>
      <formula>7.9</formula>
    </cfRule>
    <cfRule type="cellIs" dxfId="227" priority="1228" stopIfTrue="1" operator="between">
      <formula>8</formula>
      <formula>8.9</formula>
    </cfRule>
    <cfRule type="cellIs" dxfId="226" priority="1229" operator="between">
      <formula>9</formula>
      <formula>9.9</formula>
    </cfRule>
    <cfRule type="cellIs" dxfId="225" priority="1230" stopIfTrue="1" operator="between">
      <formula>10</formula>
      <formula>10</formula>
    </cfRule>
  </conditionalFormatting>
  <conditionalFormatting sqref="N318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24" priority="1166" stopIfTrue="1" operator="between">
      <formula>10</formula>
      <formula>10</formula>
    </cfRule>
    <cfRule type="cellIs" dxfId="223" priority="1165" operator="between">
      <formula>9</formula>
      <formula>9.9</formula>
    </cfRule>
    <cfRule type="cellIs" dxfId="222" priority="1164" stopIfTrue="1" operator="between">
      <formula>8</formula>
      <formula>8.9</formula>
    </cfRule>
    <cfRule type="cellIs" dxfId="221" priority="1163" operator="between">
      <formula>7</formula>
      <formula>7.9</formula>
    </cfRule>
    <cfRule type="cellIs" dxfId="220" priority="1162" operator="between">
      <formula>10.1</formula>
      <formula>10.6</formula>
    </cfRule>
    <cfRule type="cellIs" dxfId="219" priority="1161" operator="between">
      <formula>5</formula>
      <formula>6.9</formula>
    </cfRule>
    <cfRule type="cellIs" dxfId="218" priority="1159" operator="lessThan">
      <formula>2</formula>
    </cfRule>
    <cfRule type="cellIs" dxfId="217" priority="1160" operator="between">
      <formula>2</formula>
      <formula>4.9</formula>
    </cfRule>
    <cfRule type="containsBlanks" dxfId="216" priority="1158" stopIfTrue="1">
      <formula>LEN(TRIM(N319))=0</formula>
    </cfRule>
  </conditionalFormatting>
  <conditionalFormatting sqref="N328">
    <cfRule type="colorScale" priority="1124">
      <colorScale>
        <cfvo type="num" val="5"/>
        <cfvo type="num" val="10"/>
        <color rgb="FFFF494D"/>
        <color rgb="FF00FF66"/>
      </colorScale>
    </cfRule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215" priority="1121" operator="between">
      <formula>9</formula>
      <formula>9.9</formula>
    </cfRule>
    <cfRule type="cellIs" dxfId="214" priority="1119" operator="between">
      <formula>7</formula>
      <formula>7.9</formula>
    </cfRule>
    <cfRule type="cellIs" dxfId="213" priority="1115" operator="lessThan">
      <formula>2</formula>
    </cfRule>
    <cfRule type="cellIs" dxfId="212" priority="1116" operator="between">
      <formula>2</formula>
      <formula>4.9</formula>
    </cfRule>
    <cfRule type="cellIs" dxfId="211" priority="1117" operator="between">
      <formula>5</formula>
      <formula>6.9</formula>
    </cfRule>
    <cfRule type="cellIs" dxfId="210" priority="1118" operator="between">
      <formula>10.1</formula>
      <formula>10.6</formula>
    </cfRule>
    <cfRule type="cellIs" dxfId="209" priority="1120" stopIfTrue="1" operator="between">
      <formula>8</formula>
      <formula>8.9</formula>
    </cfRule>
    <cfRule type="cellIs" dxfId="208" priority="1122" stopIfTrue="1" operator="between">
      <formula>10</formula>
      <formula>10</formula>
    </cfRule>
    <cfRule type="containsBlanks" dxfId="207" priority="1114" stopIfTrue="1">
      <formula>LEN(TRIM(N329))=0</formula>
    </cfRule>
  </conditionalFormatting>
  <conditionalFormatting sqref="N338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206" priority="1095" operator="between">
      <formula>5</formula>
      <formula>6.9</formula>
    </cfRule>
    <cfRule type="cellIs" dxfId="205" priority="1098" stopIfTrue="1" operator="between">
      <formula>8</formula>
      <formula>8.9</formula>
    </cfRule>
    <cfRule type="cellIs" dxfId="204" priority="1099" operator="between">
      <formula>9</formula>
      <formula>9.9</formula>
    </cfRule>
    <cfRule type="cellIs" dxfId="203" priority="1096" operator="between">
      <formula>10.1</formula>
      <formula>10.6</formula>
    </cfRule>
    <cfRule type="cellIs" dxfId="202" priority="1100" stopIfTrue="1" operator="between">
      <formula>10</formula>
      <formula>10</formula>
    </cfRule>
    <cfRule type="containsBlanks" dxfId="201" priority="1092" stopIfTrue="1">
      <formula>LEN(TRIM(N339))=0</formula>
    </cfRule>
    <cfRule type="cellIs" dxfId="200" priority="1093" operator="lessThan">
      <formula>2</formula>
    </cfRule>
    <cfRule type="cellIs" dxfId="199" priority="1094" operator="between">
      <formula>2</formula>
      <formula>4.9</formula>
    </cfRule>
    <cfRule type="cellIs" dxfId="198" priority="1097" operator="between">
      <formula>7</formula>
      <formula>7.9</formula>
    </cfRule>
  </conditionalFormatting>
  <conditionalFormatting sqref="N355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97" priority="1047" stopIfTrue="1" operator="between">
      <formula>10</formula>
      <formula>10</formula>
    </cfRule>
    <cfRule type="cellIs" dxfId="196" priority="1040" operator="lessThan">
      <formula>2</formula>
    </cfRule>
    <cfRule type="cellIs" dxfId="195" priority="1041" operator="between">
      <formula>2</formula>
      <formula>4.9</formula>
    </cfRule>
    <cfRule type="cellIs" dxfId="194" priority="1042" operator="between">
      <formula>5</formula>
      <formula>6.9</formula>
    </cfRule>
    <cfRule type="cellIs" dxfId="193" priority="1043" operator="between">
      <formula>10.1</formula>
      <formula>10.6</formula>
    </cfRule>
    <cfRule type="cellIs" dxfId="192" priority="1044" operator="between">
      <formula>7</formula>
      <formula>7.9</formula>
    </cfRule>
    <cfRule type="cellIs" dxfId="191" priority="1045" stopIfTrue="1" operator="between">
      <formula>8</formula>
      <formula>8.9</formula>
    </cfRule>
    <cfRule type="cellIs" dxfId="190" priority="1046" operator="between">
      <formula>9</formula>
      <formula>9.9</formula>
    </cfRule>
    <cfRule type="containsBlanks" dxfId="189" priority="1039" stopIfTrue="1">
      <formula>LEN(TRIM(N356))=0</formula>
    </cfRule>
  </conditionalFormatting>
  <conditionalFormatting sqref="N367">
    <cfRule type="colorScale" priority="981">
      <colorScale>
        <cfvo type="num" val="5"/>
        <cfvo type="num" val="10"/>
        <color rgb="FFFF494D"/>
        <color rgb="FF00FF66"/>
      </colorScale>
    </cfRule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ontainsBlanks" dxfId="188" priority="982" stopIfTrue="1">
      <formula>LEN(TRIM(N368))=0</formula>
    </cfRule>
    <cfRule type="cellIs" dxfId="187" priority="990" stopIfTrue="1" operator="between">
      <formula>10</formula>
      <formula>10</formula>
    </cfRule>
    <cfRule type="cellIs" dxfId="186" priority="989" operator="between">
      <formula>9</formula>
      <formula>9.9</formula>
    </cfRule>
    <cfRule type="cellIs" dxfId="185" priority="988" stopIfTrue="1" operator="between">
      <formula>8</formula>
      <formula>8.9</formula>
    </cfRule>
    <cfRule type="cellIs" dxfId="184" priority="983" operator="lessThan">
      <formula>2</formula>
    </cfRule>
    <cfRule type="cellIs" dxfId="183" priority="987" operator="between">
      <formula>7</formula>
      <formula>7.9</formula>
    </cfRule>
    <cfRule type="cellIs" dxfId="182" priority="986" operator="between">
      <formula>10.1</formula>
      <formula>10.6</formula>
    </cfRule>
    <cfRule type="cellIs" dxfId="181" priority="985" operator="between">
      <formula>5</formula>
      <formula>6.9</formula>
    </cfRule>
    <cfRule type="cellIs" dxfId="180" priority="984" operator="between">
      <formula>2</formula>
      <formula>4.9</formula>
    </cfRule>
  </conditionalFormatting>
  <conditionalFormatting sqref="N374">
    <cfRule type="colorScale" priority="955">
      <colorScale>
        <cfvo type="num" val="5"/>
        <cfvo type="num" val="10"/>
        <color rgb="FFFF494D"/>
        <color rgb="FF00FF66"/>
      </colorScale>
    </cfRule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79" priority="946" operator="lessThan">
      <formula>2</formula>
    </cfRule>
    <cfRule type="containsBlanks" dxfId="178" priority="945" stopIfTrue="1">
      <formula>LEN(TRIM(N375))=0</formula>
    </cfRule>
    <cfRule type="cellIs" dxfId="177" priority="947" operator="between">
      <formula>2</formula>
      <formula>4.9</formula>
    </cfRule>
    <cfRule type="cellIs" dxfId="176" priority="948" operator="between">
      <formula>5</formula>
      <formula>6.9</formula>
    </cfRule>
    <cfRule type="cellIs" dxfId="175" priority="949" operator="between">
      <formula>10.1</formula>
      <formula>10.6</formula>
    </cfRule>
    <cfRule type="cellIs" dxfId="174" priority="951" stopIfTrue="1" operator="between">
      <formula>8</formula>
      <formula>8.9</formula>
    </cfRule>
    <cfRule type="cellIs" dxfId="173" priority="952" operator="between">
      <formula>9</formula>
      <formula>9.9</formula>
    </cfRule>
    <cfRule type="cellIs" dxfId="172" priority="953" stopIfTrue="1" operator="between">
      <formula>10</formula>
      <formula>10</formula>
    </cfRule>
    <cfRule type="cellIs" dxfId="171" priority="950" operator="between">
      <formula>7</formula>
      <formula>7.9</formula>
    </cfRule>
  </conditionalFormatting>
  <conditionalFormatting sqref="N384">
    <cfRule type="colorScale" priority="901">
      <colorScale>
        <cfvo type="num" val="5"/>
        <cfvo type="num" val="10"/>
        <color rgb="FFFF494D"/>
        <color rgb="FF00FF66"/>
      </colorScale>
    </cfRule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70" priority="899" stopIfTrue="1" operator="between">
      <formula>10</formula>
      <formula>10</formula>
    </cfRule>
    <cfRule type="cellIs" dxfId="169" priority="898" operator="between">
      <formula>9</formula>
      <formula>9.9</formula>
    </cfRule>
    <cfRule type="cellIs" dxfId="168" priority="897" stopIfTrue="1" operator="between">
      <formula>8</formula>
      <formula>8.9</formula>
    </cfRule>
    <cfRule type="cellIs" dxfId="167" priority="896" operator="between">
      <formula>7</formula>
      <formula>7.9</formula>
    </cfRule>
    <cfRule type="cellIs" dxfId="166" priority="895" operator="between">
      <formula>10.1</formula>
      <formula>10.6</formula>
    </cfRule>
    <cfRule type="cellIs" dxfId="165" priority="894" operator="between">
      <formula>5</formula>
      <formula>6.9</formula>
    </cfRule>
    <cfRule type="containsBlanks" dxfId="164" priority="891" stopIfTrue="1">
      <formula>LEN(TRIM(N385))=0</formula>
    </cfRule>
    <cfRule type="cellIs" dxfId="163" priority="892" operator="lessThan">
      <formula>2</formula>
    </cfRule>
    <cfRule type="cellIs" dxfId="162" priority="893" operator="between">
      <formula>2</formula>
      <formula>4.9</formula>
    </cfRule>
  </conditionalFormatting>
  <conditionalFormatting sqref="N397">
    <cfRule type="colorScale" priority="846">
      <colorScale>
        <cfvo type="num" val="5"/>
        <cfvo type="num" val="10"/>
        <color rgb="FFFF494D"/>
        <color rgb="FF00FF66"/>
      </colorScale>
    </cfRule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61" priority="843" operator="between">
      <formula>9</formula>
      <formula>9.9</formula>
    </cfRule>
    <cfRule type="cellIs" dxfId="160" priority="840" operator="between">
      <formula>10.1</formula>
      <formula>10.6</formula>
    </cfRule>
    <cfRule type="cellIs" dxfId="159" priority="842" stopIfTrue="1" operator="between">
      <formula>8</formula>
      <formula>8.9</formula>
    </cfRule>
    <cfRule type="cellIs" dxfId="158" priority="839" operator="between">
      <formula>5</formula>
      <formula>6.9</formula>
    </cfRule>
    <cfRule type="cellIs" dxfId="157" priority="838" operator="between">
      <formula>2</formula>
      <formula>4.9</formula>
    </cfRule>
    <cfRule type="cellIs" dxfId="156" priority="837" operator="lessThan">
      <formula>2</formula>
    </cfRule>
    <cfRule type="containsBlanks" dxfId="155" priority="836" stopIfTrue="1">
      <formula>LEN(TRIM(N398))=0</formula>
    </cfRule>
    <cfRule type="cellIs" dxfId="154" priority="844" stopIfTrue="1" operator="between">
      <formula>10</formula>
      <formula>10</formula>
    </cfRule>
    <cfRule type="cellIs" dxfId="153" priority="841" operator="between">
      <formula>7</formula>
      <formula>7.9</formula>
    </cfRule>
  </conditionalFormatting>
  <conditionalFormatting sqref="N412"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9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52" priority="764" operator="between">
      <formula>10.1</formula>
      <formula>10.6</formula>
    </cfRule>
    <cfRule type="containsBlanks" dxfId="151" priority="760" stopIfTrue="1">
      <formula>LEN(TRIM(N413))=0</formula>
    </cfRule>
    <cfRule type="cellIs" dxfId="150" priority="761" operator="lessThan">
      <formula>2</formula>
    </cfRule>
    <cfRule type="cellIs" dxfId="149" priority="762" operator="between">
      <formula>2</formula>
      <formula>4.9</formula>
    </cfRule>
    <cfRule type="cellIs" dxfId="148" priority="763" operator="between">
      <formula>5</formula>
      <formula>6.9</formula>
    </cfRule>
    <cfRule type="cellIs" dxfId="147" priority="765" operator="between">
      <formula>7</formula>
      <formula>7.9</formula>
    </cfRule>
    <cfRule type="cellIs" dxfId="146" priority="766" stopIfTrue="1" operator="between">
      <formula>8</formula>
      <formula>8.9</formula>
    </cfRule>
    <cfRule type="cellIs" dxfId="145" priority="767" operator="between">
      <formula>9</formula>
      <formula>9.9</formula>
    </cfRule>
    <cfRule type="cellIs" dxfId="144" priority="768" stopIfTrue="1" operator="between">
      <formula>10</formula>
      <formula>10</formula>
    </cfRule>
  </conditionalFormatting>
  <conditionalFormatting sqref="N417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43" priority="726" stopIfTrue="1" operator="between">
      <formula>10</formula>
      <formula>10</formula>
    </cfRule>
    <cfRule type="cellIs" dxfId="142" priority="725" operator="between">
      <formula>9</formula>
      <formula>9.9</formula>
    </cfRule>
    <cfRule type="cellIs" dxfId="141" priority="724" stopIfTrue="1" operator="between">
      <formula>8</formula>
      <formula>8.9</formula>
    </cfRule>
    <cfRule type="cellIs" dxfId="140" priority="723" operator="between">
      <formula>7</formula>
      <formula>7.9</formula>
    </cfRule>
    <cfRule type="cellIs" dxfId="139" priority="722" operator="between">
      <formula>10.1</formula>
      <formula>10.6</formula>
    </cfRule>
    <cfRule type="cellIs" dxfId="138" priority="721" operator="between">
      <formula>5</formula>
      <formula>6.9</formula>
    </cfRule>
    <cfRule type="cellIs" dxfId="137" priority="720" operator="between">
      <formula>2</formula>
      <formula>4.9</formula>
    </cfRule>
    <cfRule type="cellIs" dxfId="136" priority="719" operator="lessThan">
      <formula>2</formula>
    </cfRule>
    <cfRule type="containsBlanks" dxfId="135" priority="718" stopIfTrue="1">
      <formula>LEN(TRIM(N418))=0</formula>
    </cfRule>
  </conditionalFormatting>
  <conditionalFormatting sqref="N430">
    <cfRule type="colorScale" priority="669">
      <colorScale>
        <cfvo type="num" val="5"/>
        <cfvo type="num" val="10"/>
        <color rgb="FFFF494D"/>
        <color rgb="FF00FF66"/>
      </colorScale>
    </cfRule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134" priority="662" operator="between">
      <formula>5</formula>
      <formula>6.9</formula>
    </cfRule>
    <cfRule type="cellIs" dxfId="133" priority="663" operator="between">
      <formula>10.1</formula>
      <formula>10.6</formula>
    </cfRule>
    <cfRule type="containsBlanks" dxfId="132" priority="659" stopIfTrue="1">
      <formula>LEN(TRIM(N431))=0</formula>
    </cfRule>
    <cfRule type="cellIs" dxfId="131" priority="660" operator="lessThan">
      <formula>2</formula>
    </cfRule>
    <cfRule type="cellIs" dxfId="130" priority="661" operator="between">
      <formula>2</formula>
      <formula>4.9</formula>
    </cfRule>
    <cfRule type="cellIs" dxfId="129" priority="667" stopIfTrue="1" operator="between">
      <formula>10</formula>
      <formula>10</formula>
    </cfRule>
    <cfRule type="cellIs" dxfId="128" priority="666" operator="between">
      <formula>9</formula>
      <formula>9.9</formula>
    </cfRule>
    <cfRule type="cellIs" dxfId="127" priority="665" stopIfTrue="1" operator="between">
      <formula>8</formula>
      <formula>8.9</formula>
    </cfRule>
    <cfRule type="cellIs" dxfId="126" priority="664" operator="between">
      <formula>7</formula>
      <formula>7.9</formula>
    </cfRule>
  </conditionalFormatting>
  <conditionalFormatting sqref="N443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125" priority="576" operator="lessThan">
      <formula>2</formula>
    </cfRule>
    <cfRule type="cellIs" dxfId="124" priority="577" operator="between">
      <formula>2</formula>
      <formula>4.9</formula>
    </cfRule>
    <cfRule type="containsBlanks" dxfId="123" priority="575" stopIfTrue="1">
      <formula>LEN(TRIM(N444))=0</formula>
    </cfRule>
    <cfRule type="cellIs" dxfId="122" priority="582" operator="between">
      <formula>9</formula>
      <formula>9.9</formula>
    </cfRule>
    <cfRule type="cellIs" dxfId="121" priority="580" operator="between">
      <formula>7</formula>
      <formula>7.9</formula>
    </cfRule>
    <cfRule type="cellIs" dxfId="120" priority="581" stopIfTrue="1" operator="between">
      <formula>8</formula>
      <formula>8.9</formula>
    </cfRule>
    <cfRule type="cellIs" dxfId="119" priority="583" stopIfTrue="1" operator="between">
      <formula>10</formula>
      <formula>10</formula>
    </cfRule>
    <cfRule type="cellIs" dxfId="118" priority="579" operator="between">
      <formula>10.1</formula>
      <formula>10.6</formula>
    </cfRule>
    <cfRule type="cellIs" dxfId="117" priority="578" operator="between">
      <formula>5</formula>
      <formula>6.9</formula>
    </cfRule>
  </conditionalFormatting>
  <conditionalFormatting sqref="N468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116" priority="503" operator="between">
      <formula>7</formula>
      <formula>7.9</formula>
    </cfRule>
    <cfRule type="cellIs" dxfId="115" priority="506" stopIfTrue="1" operator="between">
      <formula>10</formula>
      <formula>10</formula>
    </cfRule>
    <cfRule type="cellIs" dxfId="114" priority="505" operator="between">
      <formula>9</formula>
      <formula>9.9</formula>
    </cfRule>
    <cfRule type="cellIs" dxfId="113" priority="504" stopIfTrue="1" operator="between">
      <formula>8</formula>
      <formula>8.9</formula>
    </cfRule>
    <cfRule type="containsBlanks" dxfId="112" priority="498" stopIfTrue="1">
      <formula>LEN(TRIM(N469))=0</formula>
    </cfRule>
    <cfRule type="cellIs" dxfId="111" priority="499" operator="lessThan">
      <formula>2</formula>
    </cfRule>
    <cfRule type="cellIs" dxfId="110" priority="500" operator="between">
      <formula>2</formula>
      <formula>4.9</formula>
    </cfRule>
    <cfRule type="cellIs" dxfId="109" priority="501" operator="between">
      <formula>5</formula>
      <formula>6.9</formula>
    </cfRule>
    <cfRule type="cellIs" dxfId="108" priority="502" operator="between">
      <formula>10.1</formula>
      <formula>10.6</formula>
    </cfRule>
  </conditionalFormatting>
  <conditionalFormatting sqref="N480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107" priority="456" operator="between">
      <formula>2</formula>
      <formula>4.9</formula>
    </cfRule>
    <cfRule type="cellIs" dxfId="106" priority="462" stopIfTrue="1" operator="between">
      <formula>10</formula>
      <formula>10</formula>
    </cfRule>
    <cfRule type="cellIs" dxfId="105" priority="461" operator="between">
      <formula>9</formula>
      <formula>9.9</formula>
    </cfRule>
    <cfRule type="cellIs" dxfId="104" priority="459" operator="between">
      <formula>7</formula>
      <formula>7.9</formula>
    </cfRule>
    <cfRule type="cellIs" dxfId="103" priority="458" operator="between">
      <formula>10.1</formula>
      <formula>10.6</formula>
    </cfRule>
    <cfRule type="containsBlanks" dxfId="102" priority="454" stopIfTrue="1">
      <formula>LEN(TRIM(N481))=0</formula>
    </cfRule>
    <cfRule type="cellIs" dxfId="101" priority="455" operator="lessThan">
      <formula>2</formula>
    </cfRule>
    <cfRule type="cellIs" dxfId="100" priority="457" operator="between">
      <formula>5</formula>
      <formula>6.9</formula>
    </cfRule>
    <cfRule type="cellIs" dxfId="99" priority="460" stopIfTrue="1" operator="between">
      <formula>8</formula>
      <formula>8.9</formula>
    </cfRule>
  </conditionalFormatting>
  <conditionalFormatting sqref="N488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98" priority="418" stopIfTrue="1" operator="between">
      <formula>10</formula>
      <formula>10</formula>
    </cfRule>
    <cfRule type="cellIs" dxfId="97" priority="417" operator="between">
      <formula>9</formula>
      <formula>9.9</formula>
    </cfRule>
    <cfRule type="cellIs" dxfId="96" priority="416" stopIfTrue="1" operator="between">
      <formula>8</formula>
      <formula>8.9</formula>
    </cfRule>
    <cfRule type="cellIs" dxfId="95" priority="415" operator="between">
      <formula>7</formula>
      <formula>7.9</formula>
    </cfRule>
    <cfRule type="cellIs" dxfId="94" priority="414" operator="between">
      <formula>10.1</formula>
      <formula>10.6</formula>
    </cfRule>
    <cfRule type="cellIs" dxfId="93" priority="413" operator="between">
      <formula>5</formula>
      <formula>6.9</formula>
    </cfRule>
    <cfRule type="cellIs" dxfId="92" priority="412" operator="between">
      <formula>2</formula>
      <formula>4.9</formula>
    </cfRule>
    <cfRule type="cellIs" dxfId="91" priority="411" operator="lessThan">
      <formula>2</formula>
    </cfRule>
    <cfRule type="containsBlanks" dxfId="90" priority="410" stopIfTrue="1">
      <formula>LEN(TRIM(N489))=0</formula>
    </cfRule>
  </conditionalFormatting>
  <conditionalFormatting sqref="N500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89" priority="363" stopIfTrue="1" operator="between">
      <formula>10</formula>
      <formula>10</formula>
    </cfRule>
    <cfRule type="cellIs" dxfId="88" priority="362" operator="between">
      <formula>9</formula>
      <formula>9.9</formula>
    </cfRule>
    <cfRule type="cellIs" dxfId="87" priority="361" stopIfTrue="1" operator="between">
      <formula>8</formula>
      <formula>8.9</formula>
    </cfRule>
    <cfRule type="cellIs" dxfId="86" priority="360" operator="between">
      <formula>7</formula>
      <formula>7.9</formula>
    </cfRule>
    <cfRule type="cellIs" dxfId="85" priority="359" operator="between">
      <formula>10.1</formula>
      <formula>10.6</formula>
    </cfRule>
    <cfRule type="cellIs" dxfId="84" priority="358" operator="between">
      <formula>5</formula>
      <formula>6.9</formula>
    </cfRule>
    <cfRule type="cellIs" dxfId="83" priority="357" operator="between">
      <formula>2</formula>
      <formula>4.9</formula>
    </cfRule>
    <cfRule type="cellIs" dxfId="82" priority="356" operator="lessThan">
      <formula>2</formula>
    </cfRule>
    <cfRule type="containsBlanks" dxfId="81" priority="355" stopIfTrue="1">
      <formula>LEN(TRIM(N501))=0</formula>
    </cfRule>
  </conditionalFormatting>
  <conditionalFormatting sqref="N512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80" priority="323" operator="lessThan">
      <formula>2</formula>
    </cfRule>
    <cfRule type="cellIs" dxfId="79" priority="329" operator="between">
      <formula>9</formula>
      <formula>9.9</formula>
    </cfRule>
    <cfRule type="cellIs" dxfId="78" priority="328" stopIfTrue="1" operator="between">
      <formula>8</formula>
      <formula>8.9</formula>
    </cfRule>
    <cfRule type="cellIs" dxfId="77" priority="330" stopIfTrue="1" operator="between">
      <formula>10</formula>
      <formula>10</formula>
    </cfRule>
    <cfRule type="cellIs" dxfId="76" priority="327" operator="between">
      <formula>7</formula>
      <formula>7.9</formula>
    </cfRule>
    <cfRule type="cellIs" dxfId="75" priority="326" operator="between">
      <formula>10.1</formula>
      <formula>10.6</formula>
    </cfRule>
    <cfRule type="cellIs" dxfId="74" priority="325" operator="between">
      <formula>5</formula>
      <formula>6.9</formula>
    </cfRule>
    <cfRule type="cellIs" dxfId="73" priority="324" operator="between">
      <formula>2</formula>
      <formula>4.9</formula>
    </cfRule>
    <cfRule type="containsBlanks" dxfId="72" priority="322" stopIfTrue="1">
      <formula>LEN(TRIM(N513))=0</formula>
    </cfRule>
  </conditionalFormatting>
  <conditionalFormatting sqref="N525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71" priority="264" stopIfTrue="1" operator="between">
      <formula>10</formula>
      <formula>10</formula>
    </cfRule>
    <cfRule type="cellIs" dxfId="70" priority="263" operator="between">
      <formula>9</formula>
      <formula>9.9</formula>
    </cfRule>
    <cfRule type="cellIs" dxfId="69" priority="262" stopIfTrue="1" operator="between">
      <formula>8</formula>
      <formula>8.9</formula>
    </cfRule>
    <cfRule type="cellIs" dxfId="68" priority="261" operator="between">
      <formula>7</formula>
      <formula>7.9</formula>
    </cfRule>
    <cfRule type="cellIs" dxfId="67" priority="260" operator="between">
      <formula>10.1</formula>
      <formula>10.6</formula>
    </cfRule>
    <cfRule type="cellIs" dxfId="66" priority="259" operator="between">
      <formula>5</formula>
      <formula>6.9</formula>
    </cfRule>
    <cfRule type="cellIs" dxfId="65" priority="258" operator="between">
      <formula>2</formula>
      <formula>4.9</formula>
    </cfRule>
    <cfRule type="cellIs" dxfId="64" priority="257" operator="lessThan">
      <formula>2</formula>
    </cfRule>
    <cfRule type="containsBlanks" dxfId="63" priority="256" stopIfTrue="1">
      <formula>LEN(TRIM(N526))=0</formula>
    </cfRule>
  </conditionalFormatting>
  <conditionalFormatting sqref="N536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62" priority="215" operator="between">
      <formula>5</formula>
      <formula>6.9</formula>
    </cfRule>
    <cfRule type="containsBlanks" dxfId="61" priority="212" stopIfTrue="1">
      <formula>LEN(TRIM(N537))=0</formula>
    </cfRule>
    <cfRule type="cellIs" dxfId="60" priority="213" operator="lessThan">
      <formula>2</formula>
    </cfRule>
    <cfRule type="cellIs" dxfId="59" priority="220" stopIfTrue="1" operator="between">
      <formula>10</formula>
      <formula>10</formula>
    </cfRule>
    <cfRule type="cellIs" dxfId="58" priority="214" operator="between">
      <formula>2</formula>
      <formula>4.9</formula>
    </cfRule>
    <cfRule type="cellIs" dxfId="57" priority="219" operator="between">
      <formula>9</formula>
      <formula>9.9</formula>
    </cfRule>
    <cfRule type="cellIs" dxfId="56" priority="218" stopIfTrue="1" operator="between">
      <formula>8</formula>
      <formula>8.9</formula>
    </cfRule>
    <cfRule type="cellIs" dxfId="55" priority="217" operator="between">
      <formula>7</formula>
      <formula>7.9</formula>
    </cfRule>
    <cfRule type="cellIs" dxfId="54" priority="216" operator="between">
      <formula>10.1</formula>
      <formula>10.6</formula>
    </cfRule>
  </conditionalFormatting>
  <conditionalFormatting sqref="N546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53" priority="158" operator="lessThan">
      <formula>2</formula>
    </cfRule>
    <cfRule type="cellIs" dxfId="52" priority="162" operator="between">
      <formula>7</formula>
      <formula>7.9</formula>
    </cfRule>
    <cfRule type="containsBlanks" dxfId="51" priority="157" stopIfTrue="1">
      <formula>LEN(TRIM(N547))=0</formula>
    </cfRule>
    <cfRule type="cellIs" dxfId="50" priority="161" operator="between">
      <formula>10.1</formula>
      <formula>10.6</formula>
    </cfRule>
    <cfRule type="cellIs" dxfId="49" priority="160" operator="between">
      <formula>5</formula>
      <formula>6.9</formula>
    </cfRule>
    <cfRule type="cellIs" dxfId="48" priority="159" operator="between">
      <formula>2</formula>
      <formula>4.9</formula>
    </cfRule>
    <cfRule type="cellIs" dxfId="47" priority="165" stopIfTrue="1" operator="between">
      <formula>10</formula>
      <formula>10</formula>
    </cfRule>
    <cfRule type="cellIs" dxfId="46" priority="164" operator="between">
      <formula>9</formula>
      <formula>9.9</formula>
    </cfRule>
    <cfRule type="cellIs" dxfId="45" priority="163" stopIfTrue="1" operator="between">
      <formula>8</formula>
      <formula>8.9</formula>
    </cfRule>
  </conditionalFormatting>
  <conditionalFormatting sqref="N559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44" priority="125" operator="lessThan">
      <formula>2</formula>
    </cfRule>
    <cfRule type="cellIs" dxfId="43" priority="132" stopIfTrue="1" operator="between">
      <formula>10</formula>
      <formula>10</formula>
    </cfRule>
    <cfRule type="cellIs" dxfId="42" priority="131" operator="between">
      <formula>9</formula>
      <formula>9.9</formula>
    </cfRule>
    <cfRule type="cellIs" dxfId="41" priority="130" stopIfTrue="1" operator="between">
      <formula>8</formula>
      <formula>8.9</formula>
    </cfRule>
    <cfRule type="cellIs" dxfId="40" priority="129" operator="between">
      <formula>7</formula>
      <formula>7.9</formula>
    </cfRule>
    <cfRule type="cellIs" dxfId="39" priority="128" operator="between">
      <formula>10.1</formula>
      <formula>10.6</formula>
    </cfRule>
    <cfRule type="cellIs" dxfId="38" priority="127" operator="between">
      <formula>5</formula>
      <formula>6.9</formula>
    </cfRule>
    <cfRule type="cellIs" dxfId="37" priority="126" operator="between">
      <formula>2</formula>
      <formula>4.9</formula>
    </cfRule>
    <cfRule type="containsBlanks" dxfId="36" priority="124" stopIfTrue="1">
      <formula>LEN(TRIM(N560))=0</formula>
    </cfRule>
  </conditionalFormatting>
  <conditionalFormatting sqref="N566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35" priority="89" stopIfTrue="1">
      <formula>LEN(TRIM(N567))=0</formula>
    </cfRule>
    <cfRule type="cellIs" dxfId="34" priority="90" operator="lessThan">
      <formula>2</formula>
    </cfRule>
    <cfRule type="cellIs" dxfId="33" priority="91" operator="between">
      <formula>2</formula>
      <formula>4.9</formula>
    </cfRule>
    <cfRule type="cellIs" dxfId="32" priority="92" operator="between">
      <formula>5</formula>
      <formula>6.9</formula>
    </cfRule>
    <cfRule type="cellIs" dxfId="31" priority="93" operator="between">
      <formula>10.1</formula>
      <formula>10.6</formula>
    </cfRule>
    <cfRule type="cellIs" dxfId="30" priority="94" operator="between">
      <formula>7</formula>
      <formula>7.9</formula>
    </cfRule>
    <cfRule type="cellIs" dxfId="29" priority="95" stopIfTrue="1" operator="between">
      <formula>8</formula>
      <formula>8.9</formula>
    </cfRule>
    <cfRule type="cellIs" dxfId="28" priority="96" operator="between">
      <formula>9</formula>
      <formula>9.9</formula>
    </cfRule>
    <cfRule type="cellIs" dxfId="27" priority="97" stopIfTrue="1" operator="between">
      <formula>10</formula>
      <formula>10</formula>
    </cfRule>
  </conditionalFormatting>
  <conditionalFormatting sqref="N580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81:N589">
    <cfRule type="cellIs" dxfId="26" priority="51" operator="between">
      <formula>10.1</formula>
      <formula>10.6</formula>
    </cfRule>
    <cfRule type="cellIs" dxfId="25" priority="55" stopIfTrue="1" operator="between">
      <formula>10</formula>
      <formula>10</formula>
    </cfRule>
    <cfRule type="cellIs" dxfId="24" priority="54" operator="between">
      <formula>9</formula>
      <formula>9.9</formula>
    </cfRule>
    <cfRule type="cellIs" dxfId="23" priority="53" stopIfTrue="1" operator="between">
      <formula>8</formula>
      <formula>8.9</formula>
    </cfRule>
    <cfRule type="containsBlanks" dxfId="22" priority="47" stopIfTrue="1">
      <formula>LEN(TRIM(N581))=0</formula>
    </cfRule>
    <cfRule type="cellIs" dxfId="21" priority="48" operator="lessThan">
      <formula>2</formula>
    </cfRule>
    <cfRule type="cellIs" dxfId="20" priority="49" operator="between">
      <formula>2</formula>
      <formula>4.9</formula>
    </cfRule>
    <cfRule type="cellIs" dxfId="19" priority="50" operator="between">
      <formula>5</formula>
      <formula>6.9</formula>
    </cfRule>
    <cfRule type="cellIs" dxfId="18" priority="52" operator="between">
      <formula>7</formula>
      <formula>7.9</formula>
    </cfRule>
  </conditionalFormatting>
  <conditionalFormatting sqref="H588:H594">
    <cfRule type="containsBlanks" dxfId="10" priority="14" stopIfTrue="1">
      <formula>LEN(TRIM(H588))=0</formula>
    </cfRule>
    <cfRule type="cellIs" dxfId="16" priority="15" operator="lessThan">
      <formula>2</formula>
    </cfRule>
    <cfRule type="cellIs" dxfId="12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5" priority="18" operator="between">
      <formula>10.1</formula>
      <formula>10.6</formula>
    </cfRule>
    <cfRule type="cellIs" dxfId="9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7" priority="21" operator="between">
      <formula>9</formula>
      <formula>9.9</formula>
    </cfRule>
    <cfRule type="cellIs" dxfId="13" priority="22" stopIfTrue="1" operator="between">
      <formula>10</formula>
      <formula>10</formula>
    </cfRule>
  </conditionalFormatting>
  <conditionalFormatting sqref="H587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8" priority="3" stopIfTrue="1">
      <formula>LEN(TRIM(B590))=0</formula>
    </cfRule>
    <cfRule type="cellIs" dxfId="1" priority="4" operator="lessThan">
      <formula>2</formula>
    </cfRule>
    <cfRule type="cellIs" dxfId="5" priority="5" operator="between">
      <formula>2</formula>
      <formula>4.9</formula>
    </cfRule>
    <cfRule type="cellIs" dxfId="6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0" priority="8" operator="between">
      <formula>7</formula>
      <formula>7.9</formula>
    </cfRule>
    <cfRule type="cellIs" dxfId="3" priority="9" stopIfTrue="1" operator="between">
      <formula>8</formula>
      <formula>8.9</formula>
    </cfRule>
    <cfRule type="cellIs" dxfId="2" priority="10" operator="between">
      <formula>9</formula>
      <formula>9.9</formula>
    </cfRule>
    <cfRule type="cellIs" dxfId="7" priority="11" stopIfTrue="1" operator="between">
      <formula>10</formula>
      <formula>10</formula>
    </cfRule>
  </conditionalFormatting>
  <conditionalFormatting sqref="B58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32"/>
  <sheetViews>
    <sheetView topLeftCell="C118" zoomScaleNormal="100" workbookViewId="0">
      <selection activeCell="S148" sqref="S148"/>
    </sheetView>
  </sheetViews>
  <sheetFormatPr baseColWidth="10" defaultColWidth="8.83203125" defaultRowHeight="16" x14ac:dyDescent="0.2"/>
  <cols>
    <col min="1" max="1" width="4.1640625" bestFit="1" customWidth="1"/>
    <col min="2" max="2" width="25.6640625" bestFit="1" customWidth="1"/>
    <col min="3" max="3" width="42.33203125" bestFit="1" customWidth="1"/>
    <col min="4" max="4" width="6.1640625" bestFit="1" customWidth="1"/>
    <col min="5" max="5" width="13.33203125" bestFit="1" customWidth="1"/>
    <col min="6" max="6" width="8.1640625" bestFit="1" customWidth="1"/>
    <col min="7" max="7" width="11.1640625" bestFit="1" customWidth="1"/>
    <col min="8" max="8" width="9.5" bestFit="1" customWidth="1"/>
    <col min="9" max="9" width="14.33203125" bestFit="1" customWidth="1"/>
    <col min="10" max="10" width="10" bestFit="1" customWidth="1"/>
    <col min="11" max="11" width="35.33203125" bestFit="1" customWidth="1"/>
    <col min="12" max="12" width="5.1640625" bestFit="1" customWidth="1"/>
    <col min="13" max="13" width="8.6640625" bestFit="1" customWidth="1"/>
    <col min="14" max="14" width="14.1640625" bestFit="1" customWidth="1"/>
  </cols>
  <sheetData>
    <row r="1" spans="1:14" ht="18" x14ac:dyDescent="0.25">
      <c r="A1" s="418" t="s">
        <v>1262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</row>
    <row r="2" spans="1:14" x14ac:dyDescent="0.2">
      <c r="A2" s="226" t="s">
        <v>318</v>
      </c>
      <c r="B2" s="226" t="s">
        <v>3771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2">
      <c r="A3" s="233">
        <v>1</v>
      </c>
      <c r="B3" s="227" t="s">
        <v>2918</v>
      </c>
      <c r="C3" s="228" t="s">
        <v>2919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2921</v>
      </c>
      <c r="L3" s="228">
        <v>2003</v>
      </c>
      <c r="M3" s="228" t="s">
        <v>1853</v>
      </c>
      <c r="N3" s="229" t="s">
        <v>2922</v>
      </c>
    </row>
    <row r="4" spans="1:14" x14ac:dyDescent="0.2">
      <c r="A4" s="235">
        <v>2</v>
      </c>
      <c r="B4" s="230" t="s">
        <v>2918</v>
      </c>
      <c r="C4" s="231" t="s">
        <v>3757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2921</v>
      </c>
      <c r="L4" s="231">
        <v>2000</v>
      </c>
      <c r="M4" s="231" t="s">
        <v>1808</v>
      </c>
      <c r="N4" s="232" t="s">
        <v>3759</v>
      </c>
    </row>
    <row r="5" spans="1:14" x14ac:dyDescent="0.2">
      <c r="A5" s="236">
        <v>3</v>
      </c>
      <c r="B5" s="227" t="s">
        <v>2155</v>
      </c>
      <c r="C5" s="228" t="s">
        <v>2156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2158</v>
      </c>
      <c r="L5" s="228">
        <v>1991</v>
      </c>
      <c r="M5" s="228" t="s">
        <v>1826</v>
      </c>
      <c r="N5" s="229" t="s">
        <v>2176</v>
      </c>
    </row>
    <row r="6" spans="1:14" x14ac:dyDescent="0.2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1835</v>
      </c>
      <c r="N6" s="232" t="s">
        <v>2045</v>
      </c>
    </row>
    <row r="7" spans="1:14" x14ac:dyDescent="0.2">
      <c r="A7" s="237">
        <v>5</v>
      </c>
      <c r="B7" s="227" t="s">
        <v>1367</v>
      </c>
      <c r="C7" s="228" t="s">
        <v>1604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1605</v>
      </c>
      <c r="L7" s="228">
        <v>2006</v>
      </c>
      <c r="M7" s="228" t="s">
        <v>1846</v>
      </c>
      <c r="N7" s="229" t="s">
        <v>2034</v>
      </c>
    </row>
    <row r="8" spans="1:14" x14ac:dyDescent="0.2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1845</v>
      </c>
      <c r="N8" s="232" t="s">
        <v>2041</v>
      </c>
    </row>
    <row r="9" spans="1:14" x14ac:dyDescent="0.2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1839</v>
      </c>
      <c r="N9" s="229" t="s">
        <v>2020</v>
      </c>
    </row>
    <row r="10" spans="1:14" x14ac:dyDescent="0.2">
      <c r="A10" s="237">
        <v>8</v>
      </c>
      <c r="B10" s="230" t="s">
        <v>1405</v>
      </c>
      <c r="C10" s="231" t="s">
        <v>3565</v>
      </c>
      <c r="D10" s="231">
        <v>8.8000000000000007</v>
      </c>
      <c r="E10" s="279">
        <v>8.6999999999999993</v>
      </c>
      <c r="F10" s="231">
        <v>8.5</v>
      </c>
      <c r="G10" s="231">
        <v>0.68</v>
      </c>
      <c r="H10" s="231">
        <v>2</v>
      </c>
      <c r="I10" s="231">
        <v>10</v>
      </c>
      <c r="J10" s="231">
        <v>0</v>
      </c>
      <c r="K10" s="230" t="s">
        <v>3569</v>
      </c>
      <c r="L10" s="231">
        <v>1996</v>
      </c>
      <c r="M10" s="231" t="s">
        <v>3570</v>
      </c>
      <c r="N10" s="232" t="s">
        <v>3568</v>
      </c>
    </row>
    <row r="11" spans="1:14" x14ac:dyDescent="0.2">
      <c r="A11" s="237">
        <v>9</v>
      </c>
      <c r="B11" s="227" t="s">
        <v>1405</v>
      </c>
      <c r="C11" s="228" t="s">
        <v>1406</v>
      </c>
      <c r="D11" s="228">
        <v>8.73</v>
      </c>
      <c r="E11" s="274">
        <v>8.76</v>
      </c>
      <c r="F11" s="228">
        <v>8.5</v>
      </c>
      <c r="G11" s="228">
        <v>0.75</v>
      </c>
      <c r="H11" s="228">
        <v>1</v>
      </c>
      <c r="I11" s="228">
        <v>13</v>
      </c>
      <c r="J11" s="228">
        <v>0</v>
      </c>
      <c r="K11" s="227" t="s">
        <v>1407</v>
      </c>
      <c r="L11" s="228">
        <v>1992</v>
      </c>
      <c r="M11" s="228" t="s">
        <v>1834</v>
      </c>
      <c r="N11" s="229" t="s">
        <v>2043</v>
      </c>
    </row>
    <row r="12" spans="1:14" x14ac:dyDescent="0.2">
      <c r="A12" s="237">
        <v>10</v>
      </c>
      <c r="B12" s="230" t="s">
        <v>1405</v>
      </c>
      <c r="C12" s="231" t="s">
        <v>2539</v>
      </c>
      <c r="D12" s="231">
        <v>8.69</v>
      </c>
      <c r="E12" s="293">
        <v>8.5399999999999991</v>
      </c>
      <c r="F12" s="231">
        <v>8.25</v>
      </c>
      <c r="G12" s="231">
        <v>1.06</v>
      </c>
      <c r="H12" s="231">
        <v>3</v>
      </c>
      <c r="I12" s="231">
        <v>8</v>
      </c>
      <c r="J12" s="231">
        <v>0</v>
      </c>
      <c r="K12" s="230" t="s">
        <v>2547</v>
      </c>
      <c r="L12" s="231">
        <v>1997</v>
      </c>
      <c r="M12" s="231" t="s">
        <v>2492</v>
      </c>
      <c r="N12" s="232" t="s">
        <v>2548</v>
      </c>
    </row>
    <row r="13" spans="1:14" x14ac:dyDescent="0.2">
      <c r="A13" s="237">
        <v>11</v>
      </c>
      <c r="B13" s="227" t="s">
        <v>1405</v>
      </c>
      <c r="C13" s="228" t="s">
        <v>2486</v>
      </c>
      <c r="D13" s="228">
        <v>8.6300000000000008</v>
      </c>
      <c r="E13" s="281">
        <v>8.67</v>
      </c>
      <c r="F13" s="228">
        <v>8.5</v>
      </c>
      <c r="G13" s="228">
        <v>0.89</v>
      </c>
      <c r="H13" s="228">
        <v>2</v>
      </c>
      <c r="I13" s="228">
        <v>12</v>
      </c>
      <c r="J13" s="228">
        <v>0</v>
      </c>
      <c r="K13" s="227" t="s">
        <v>1758</v>
      </c>
      <c r="L13" s="228">
        <v>1995</v>
      </c>
      <c r="M13" s="228" t="s">
        <v>1840</v>
      </c>
      <c r="N13" s="229" t="s">
        <v>2494</v>
      </c>
    </row>
    <row r="14" spans="1:14" x14ac:dyDescent="0.2">
      <c r="A14" s="237">
        <v>12</v>
      </c>
      <c r="B14" s="230" t="s">
        <v>1405</v>
      </c>
      <c r="C14" s="231" t="s">
        <v>3622</v>
      </c>
      <c r="D14" s="231">
        <v>8.6</v>
      </c>
      <c r="E14" s="282">
        <v>8.66</v>
      </c>
      <c r="F14" s="231">
        <v>8.5</v>
      </c>
      <c r="G14" s="231">
        <v>0.89</v>
      </c>
      <c r="H14" s="231">
        <v>4</v>
      </c>
      <c r="I14" s="231">
        <v>24</v>
      </c>
      <c r="J14" s="231">
        <v>0</v>
      </c>
      <c r="K14" s="230" t="s">
        <v>3641</v>
      </c>
      <c r="L14" s="231">
        <v>1994</v>
      </c>
      <c r="M14" s="231" t="s">
        <v>3642</v>
      </c>
      <c r="N14" s="232" t="s">
        <v>3643</v>
      </c>
    </row>
    <row r="15" spans="1:14" x14ac:dyDescent="0.2">
      <c r="A15" s="237">
        <v>13</v>
      </c>
      <c r="B15" s="227" t="s">
        <v>2375</v>
      </c>
      <c r="C15" s="228" t="s">
        <v>2376</v>
      </c>
      <c r="D15" s="228">
        <v>7.17</v>
      </c>
      <c r="E15" s="333">
        <v>7.04</v>
      </c>
      <c r="F15" s="228">
        <v>7</v>
      </c>
      <c r="G15" s="228">
        <v>0.72</v>
      </c>
      <c r="H15" s="228">
        <v>0</v>
      </c>
      <c r="I15" s="228">
        <v>12</v>
      </c>
      <c r="J15" s="228">
        <v>0</v>
      </c>
      <c r="K15" s="227" t="s">
        <v>2380</v>
      </c>
      <c r="L15" s="228">
        <v>2013</v>
      </c>
      <c r="M15" s="228" t="s">
        <v>1814</v>
      </c>
      <c r="N15" s="229" t="s">
        <v>2379</v>
      </c>
    </row>
    <row r="16" spans="1:14" x14ac:dyDescent="0.2">
      <c r="A16" s="237">
        <v>14</v>
      </c>
      <c r="B16" s="230" t="s">
        <v>3382</v>
      </c>
      <c r="C16" s="231" t="s">
        <v>3383</v>
      </c>
      <c r="D16" s="231">
        <v>4.79</v>
      </c>
      <c r="E16" s="335">
        <v>4.62</v>
      </c>
      <c r="F16" s="231">
        <v>5</v>
      </c>
      <c r="G16" s="231">
        <v>1.72</v>
      </c>
      <c r="H16" s="231">
        <v>0</v>
      </c>
      <c r="I16" s="231">
        <v>17</v>
      </c>
      <c r="J16" s="231">
        <v>0</v>
      </c>
      <c r="K16" s="230" t="s">
        <v>3385</v>
      </c>
      <c r="L16" s="231">
        <v>2025</v>
      </c>
      <c r="M16" s="231" t="s">
        <v>1842</v>
      </c>
      <c r="N16" s="232" t="s">
        <v>3360</v>
      </c>
    </row>
    <row r="17" spans="1:14" x14ac:dyDescent="0.2">
      <c r="A17" s="237">
        <v>15</v>
      </c>
      <c r="B17" s="227" t="s">
        <v>2881</v>
      </c>
      <c r="C17" s="228" t="s">
        <v>2882</v>
      </c>
      <c r="D17" s="228">
        <v>8.25</v>
      </c>
      <c r="E17" s="314">
        <v>8.18</v>
      </c>
      <c r="F17" s="228">
        <v>8.25</v>
      </c>
      <c r="G17" s="228">
        <v>0.6</v>
      </c>
      <c r="H17" s="228">
        <v>0</v>
      </c>
      <c r="I17" s="228">
        <v>12</v>
      </c>
      <c r="J17" s="228">
        <v>0</v>
      </c>
      <c r="K17" s="227" t="s">
        <v>1772</v>
      </c>
      <c r="L17" s="228">
        <v>2024</v>
      </c>
      <c r="M17" s="228" t="s">
        <v>1848</v>
      </c>
      <c r="N17" s="229" t="s">
        <v>2887</v>
      </c>
    </row>
    <row r="18" spans="1:14" x14ac:dyDescent="0.2">
      <c r="A18" s="237">
        <v>16</v>
      </c>
      <c r="B18" s="230" t="s">
        <v>2489</v>
      </c>
      <c r="C18" s="231" t="s">
        <v>2490</v>
      </c>
      <c r="D18" s="231">
        <v>2.5</v>
      </c>
      <c r="E18" s="335">
        <v>2.39</v>
      </c>
      <c r="F18" s="231">
        <v>2.75</v>
      </c>
      <c r="G18" s="231">
        <v>1.3</v>
      </c>
      <c r="H18" s="231">
        <v>0</v>
      </c>
      <c r="I18" s="231">
        <v>10</v>
      </c>
      <c r="J18" s="231">
        <v>0</v>
      </c>
      <c r="K18" s="230" t="s">
        <v>1044</v>
      </c>
      <c r="L18" s="231">
        <v>2025</v>
      </c>
      <c r="M18" s="231" t="s">
        <v>2495</v>
      </c>
      <c r="N18" s="232" t="s">
        <v>2494</v>
      </c>
    </row>
    <row r="19" spans="1:14" x14ac:dyDescent="0.2">
      <c r="A19" s="237">
        <v>17</v>
      </c>
      <c r="B19" s="227" t="s">
        <v>1200</v>
      </c>
      <c r="C19" s="228" t="s">
        <v>1190</v>
      </c>
      <c r="D19" s="228">
        <v>8.4499999999999993</v>
      </c>
      <c r="E19" s="304">
        <v>8.3800000000000008</v>
      </c>
      <c r="F19" s="228">
        <v>8.5</v>
      </c>
      <c r="G19" s="228">
        <v>0.78</v>
      </c>
      <c r="H19" s="228">
        <v>1</v>
      </c>
      <c r="I19" s="228">
        <v>11</v>
      </c>
      <c r="J19" s="228">
        <v>0</v>
      </c>
      <c r="K19" s="227" t="s">
        <v>1201</v>
      </c>
      <c r="L19" s="228">
        <v>2024</v>
      </c>
      <c r="M19" s="228" t="s">
        <v>1848</v>
      </c>
      <c r="N19" s="229" t="s">
        <v>2052</v>
      </c>
    </row>
    <row r="20" spans="1:14" x14ac:dyDescent="0.2">
      <c r="A20" s="237">
        <v>18</v>
      </c>
      <c r="B20" s="230" t="s">
        <v>1770</v>
      </c>
      <c r="C20" s="231" t="s">
        <v>1771</v>
      </c>
      <c r="D20" s="231">
        <v>8.6</v>
      </c>
      <c r="E20" s="295">
        <v>8.52</v>
      </c>
      <c r="F20" s="231">
        <v>8.5</v>
      </c>
      <c r="G20" s="231">
        <v>0.66</v>
      </c>
      <c r="H20" s="231">
        <v>1</v>
      </c>
      <c r="I20" s="231">
        <v>10</v>
      </c>
      <c r="J20" s="231">
        <v>0</v>
      </c>
      <c r="K20" s="230" t="s">
        <v>1772</v>
      </c>
      <c r="L20" s="231">
        <v>2024</v>
      </c>
      <c r="M20" s="231" t="s">
        <v>1845</v>
      </c>
      <c r="N20" s="232" t="s">
        <v>2027</v>
      </c>
    </row>
    <row r="21" spans="1:14" x14ac:dyDescent="0.2">
      <c r="A21" s="237">
        <v>19</v>
      </c>
      <c r="B21" s="227" t="s">
        <v>2902</v>
      </c>
      <c r="C21" s="228" t="s">
        <v>2892</v>
      </c>
      <c r="D21" s="228">
        <v>8.44</v>
      </c>
      <c r="E21" s="303">
        <v>8.39</v>
      </c>
      <c r="F21" s="228">
        <v>8.5</v>
      </c>
      <c r="G21" s="228">
        <v>0.55000000000000004</v>
      </c>
      <c r="H21" s="228">
        <v>0</v>
      </c>
      <c r="I21" s="228">
        <v>10</v>
      </c>
      <c r="J21" s="228">
        <v>1</v>
      </c>
      <c r="K21" s="227" t="s">
        <v>2905</v>
      </c>
      <c r="L21" s="228">
        <v>2022</v>
      </c>
      <c r="M21" s="228" t="s">
        <v>1818</v>
      </c>
      <c r="N21" s="229" t="s">
        <v>2887</v>
      </c>
    </row>
    <row r="22" spans="1:14" x14ac:dyDescent="0.2">
      <c r="A22" s="237">
        <v>20</v>
      </c>
      <c r="B22" s="230" t="s">
        <v>1935</v>
      </c>
      <c r="C22" s="231" t="s">
        <v>1928</v>
      </c>
      <c r="D22" s="231">
        <v>9.31</v>
      </c>
      <c r="E22" s="243">
        <v>9.43</v>
      </c>
      <c r="F22" s="231">
        <v>9.25</v>
      </c>
      <c r="G22" s="231">
        <v>0.75</v>
      </c>
      <c r="H22" s="231">
        <v>3</v>
      </c>
      <c r="I22" s="231">
        <v>8</v>
      </c>
      <c r="J22" s="231">
        <v>0</v>
      </c>
      <c r="K22" s="230" t="s">
        <v>1936</v>
      </c>
      <c r="L22" s="231">
        <v>1970</v>
      </c>
      <c r="M22" s="231" t="s">
        <v>1814</v>
      </c>
      <c r="N22" s="232" t="s">
        <v>2024</v>
      </c>
    </row>
    <row r="23" spans="1:14" x14ac:dyDescent="0.2">
      <c r="A23" s="237">
        <v>21</v>
      </c>
      <c r="B23" s="227" t="s">
        <v>728</v>
      </c>
      <c r="C23" s="228" t="s">
        <v>729</v>
      </c>
      <c r="D23" s="228">
        <v>8.67</v>
      </c>
      <c r="E23" s="290">
        <v>8.57</v>
      </c>
      <c r="F23" s="228">
        <v>8.5</v>
      </c>
      <c r="G23" s="228">
        <v>0.75</v>
      </c>
      <c r="H23" s="228">
        <v>1</v>
      </c>
      <c r="I23" s="228">
        <v>6</v>
      </c>
      <c r="J23" s="228">
        <v>0</v>
      </c>
      <c r="K23" s="227" t="s">
        <v>730</v>
      </c>
      <c r="L23" s="228">
        <v>2024</v>
      </c>
      <c r="M23" s="228" t="s">
        <v>1845</v>
      </c>
      <c r="N23" s="229" t="s">
        <v>2067</v>
      </c>
    </row>
    <row r="24" spans="1:14" x14ac:dyDescent="0.2">
      <c r="A24" s="237">
        <v>22</v>
      </c>
      <c r="B24" s="230" t="s">
        <v>2785</v>
      </c>
      <c r="C24" s="231" t="s">
        <v>2787</v>
      </c>
      <c r="D24" s="231">
        <v>8.8800000000000008</v>
      </c>
      <c r="E24" s="268">
        <v>8.84</v>
      </c>
      <c r="F24" s="231">
        <v>9</v>
      </c>
      <c r="G24" s="231">
        <v>0.79</v>
      </c>
      <c r="H24" s="231">
        <v>3</v>
      </c>
      <c r="I24" s="231">
        <v>23</v>
      </c>
      <c r="J24" s="231">
        <v>10</v>
      </c>
      <c r="K24" s="230" t="s">
        <v>2791</v>
      </c>
      <c r="L24" s="231">
        <v>2002</v>
      </c>
      <c r="M24" s="231" t="s">
        <v>1825</v>
      </c>
      <c r="N24" s="232" t="s">
        <v>2686</v>
      </c>
    </row>
    <row r="25" spans="1:14" x14ac:dyDescent="0.2">
      <c r="A25" s="237">
        <v>23</v>
      </c>
      <c r="B25" s="227" t="s">
        <v>2785</v>
      </c>
      <c r="C25" s="228" t="s">
        <v>2786</v>
      </c>
      <c r="D25" s="228">
        <v>8.8800000000000008</v>
      </c>
      <c r="E25" s="253">
        <v>9.0399999999999991</v>
      </c>
      <c r="F25" s="228">
        <v>8.5</v>
      </c>
      <c r="G25" s="228">
        <v>0.87</v>
      </c>
      <c r="H25" s="228">
        <v>4</v>
      </c>
      <c r="I25" s="228">
        <v>18</v>
      </c>
      <c r="J25" s="228">
        <v>1</v>
      </c>
      <c r="K25" s="227" t="s">
        <v>2791</v>
      </c>
      <c r="L25" s="228">
        <v>1998</v>
      </c>
      <c r="M25" s="228" t="s">
        <v>1840</v>
      </c>
      <c r="N25" s="229" t="s">
        <v>2792</v>
      </c>
    </row>
    <row r="26" spans="1:14" x14ac:dyDescent="0.2">
      <c r="A26" s="237">
        <v>24</v>
      </c>
      <c r="B26" s="230" t="s">
        <v>2785</v>
      </c>
      <c r="C26" s="231" t="s">
        <v>3077</v>
      </c>
      <c r="D26" s="231">
        <v>8.75</v>
      </c>
      <c r="E26" s="283">
        <v>8.65</v>
      </c>
      <c r="F26" s="231">
        <v>8.5</v>
      </c>
      <c r="G26" s="231">
        <v>0.61</v>
      </c>
      <c r="H26" s="231">
        <v>2</v>
      </c>
      <c r="I26" s="231">
        <v>18</v>
      </c>
      <c r="J26" s="231">
        <v>2</v>
      </c>
      <c r="K26" s="230" t="s">
        <v>2791</v>
      </c>
      <c r="L26" s="231">
        <v>2026</v>
      </c>
      <c r="M26" s="231" t="s">
        <v>3078</v>
      </c>
      <c r="N26" s="232" t="s">
        <v>3079</v>
      </c>
    </row>
    <row r="27" spans="1:14" x14ac:dyDescent="0.2">
      <c r="A27" s="237">
        <v>25</v>
      </c>
      <c r="B27" s="227" t="s">
        <v>2551</v>
      </c>
      <c r="C27" s="228" t="s">
        <v>2550</v>
      </c>
      <c r="D27" s="228">
        <v>8.8800000000000008</v>
      </c>
      <c r="E27" s="270">
        <v>8.81</v>
      </c>
      <c r="F27" s="228">
        <v>8.75</v>
      </c>
      <c r="G27" s="228">
        <v>0.74</v>
      </c>
      <c r="H27" s="228">
        <v>1</v>
      </c>
      <c r="I27" s="228">
        <v>4</v>
      </c>
      <c r="J27" s="228">
        <v>0</v>
      </c>
      <c r="K27" s="227" t="s">
        <v>2588</v>
      </c>
      <c r="L27" s="228">
        <v>2000</v>
      </c>
      <c r="M27" s="228" t="s">
        <v>2589</v>
      </c>
      <c r="N27" s="229" t="s">
        <v>2590</v>
      </c>
    </row>
    <row r="28" spans="1:14" x14ac:dyDescent="0.2">
      <c r="A28" s="237">
        <v>26</v>
      </c>
      <c r="B28" s="230" t="s">
        <v>2551</v>
      </c>
      <c r="C28" s="231" t="s">
        <v>3631</v>
      </c>
      <c r="D28" s="231">
        <v>8.65</v>
      </c>
      <c r="E28" s="291">
        <v>8.56</v>
      </c>
      <c r="F28" s="231">
        <v>8.5</v>
      </c>
      <c r="G28" s="231">
        <v>0.5</v>
      </c>
      <c r="H28" s="231">
        <v>0</v>
      </c>
      <c r="I28" s="231">
        <v>11</v>
      </c>
      <c r="J28" s="231">
        <v>1</v>
      </c>
      <c r="K28" s="230" t="s">
        <v>3644</v>
      </c>
      <c r="L28" s="231">
        <v>2005</v>
      </c>
      <c r="M28" s="231" t="s">
        <v>1817</v>
      </c>
      <c r="N28" s="232" t="s">
        <v>3643</v>
      </c>
    </row>
    <row r="29" spans="1:14" x14ac:dyDescent="0.2">
      <c r="A29" s="237">
        <v>27</v>
      </c>
      <c r="B29" s="227" t="s">
        <v>3818</v>
      </c>
      <c r="C29" s="228" t="s">
        <v>3811</v>
      </c>
      <c r="D29" s="228">
        <v>8.77</v>
      </c>
      <c r="E29" s="283">
        <v>8.65</v>
      </c>
      <c r="F29" s="228">
        <v>8.5</v>
      </c>
      <c r="G29" s="228">
        <v>0.54</v>
      </c>
      <c r="H29" s="228">
        <v>0</v>
      </c>
      <c r="I29" s="228">
        <v>13</v>
      </c>
      <c r="J29" s="228">
        <v>2</v>
      </c>
      <c r="K29" s="227" t="s">
        <v>3823</v>
      </c>
      <c r="L29" s="228">
        <v>2007</v>
      </c>
      <c r="M29" s="228" t="s">
        <v>1853</v>
      </c>
      <c r="N29" s="229" t="s">
        <v>3792</v>
      </c>
    </row>
    <row r="30" spans="1:14" x14ac:dyDescent="0.2">
      <c r="A30" s="237">
        <v>28</v>
      </c>
      <c r="B30" s="230" t="s">
        <v>1112</v>
      </c>
      <c r="C30" s="231" t="s">
        <v>1477</v>
      </c>
      <c r="D30" s="231">
        <v>8.7200000000000006</v>
      </c>
      <c r="E30" s="263">
        <v>8.89</v>
      </c>
      <c r="F30" s="231">
        <v>8.5</v>
      </c>
      <c r="G30" s="231">
        <v>1.03</v>
      </c>
      <c r="H30" s="231">
        <v>5</v>
      </c>
      <c r="I30" s="231">
        <v>24</v>
      </c>
      <c r="J30" s="231">
        <v>1</v>
      </c>
      <c r="K30" s="230" t="s">
        <v>1480</v>
      </c>
      <c r="L30" s="231">
        <v>2011</v>
      </c>
      <c r="M30" s="231" t="s">
        <v>1829</v>
      </c>
      <c r="N30" s="232" t="s">
        <v>2054</v>
      </c>
    </row>
    <row r="31" spans="1:14" x14ac:dyDescent="0.2">
      <c r="A31" s="237">
        <v>29</v>
      </c>
      <c r="B31" s="227" t="s">
        <v>1112</v>
      </c>
      <c r="C31" s="228" t="s">
        <v>1990</v>
      </c>
      <c r="D31" s="228">
        <v>8.7200000000000006</v>
      </c>
      <c r="E31" s="262">
        <v>8.91</v>
      </c>
      <c r="F31" s="228">
        <v>8.5</v>
      </c>
      <c r="G31" s="228">
        <v>0.85</v>
      </c>
      <c r="H31" s="228">
        <v>5</v>
      </c>
      <c r="I31" s="228">
        <v>30</v>
      </c>
      <c r="J31" s="228">
        <v>1</v>
      </c>
      <c r="K31" s="227" t="s">
        <v>1480</v>
      </c>
      <c r="L31" s="228">
        <v>2013</v>
      </c>
      <c r="M31" s="228" t="s">
        <v>1992</v>
      </c>
      <c r="N31" s="229" t="s">
        <v>2022</v>
      </c>
    </row>
    <row r="32" spans="1:14" x14ac:dyDescent="0.2">
      <c r="A32" s="237">
        <v>30</v>
      </c>
      <c r="B32" s="230" t="s">
        <v>2204</v>
      </c>
      <c r="C32" s="231" t="s">
        <v>2205</v>
      </c>
      <c r="D32" s="231">
        <v>8</v>
      </c>
      <c r="E32" s="323">
        <v>7.94</v>
      </c>
      <c r="F32" s="231">
        <v>8</v>
      </c>
      <c r="G32" s="231">
        <v>0.45</v>
      </c>
      <c r="H32" s="231">
        <v>0</v>
      </c>
      <c r="I32" s="231">
        <v>10</v>
      </c>
      <c r="J32" s="231">
        <v>0</v>
      </c>
      <c r="K32" s="230" t="s">
        <v>1033</v>
      </c>
      <c r="L32" s="231">
        <v>2025</v>
      </c>
      <c r="M32" s="231" t="s">
        <v>1843</v>
      </c>
      <c r="N32" s="232" t="s">
        <v>2178</v>
      </c>
    </row>
    <row r="33" spans="1:14" x14ac:dyDescent="0.2">
      <c r="A33" s="237">
        <v>31</v>
      </c>
      <c r="B33" s="227" t="s">
        <v>1515</v>
      </c>
      <c r="C33" s="228" t="s">
        <v>1516</v>
      </c>
      <c r="D33" s="228">
        <v>8.9</v>
      </c>
      <c r="E33" s="264">
        <v>8.8800000000000008</v>
      </c>
      <c r="F33" s="228">
        <v>9</v>
      </c>
      <c r="G33" s="228">
        <v>0.66</v>
      </c>
      <c r="H33" s="228">
        <v>1</v>
      </c>
      <c r="I33" s="228">
        <v>5</v>
      </c>
      <c r="J33" s="228">
        <v>0</v>
      </c>
      <c r="K33" s="227" t="s">
        <v>1517</v>
      </c>
      <c r="L33" s="228">
        <v>1974</v>
      </c>
      <c r="M33" s="228" t="s">
        <v>1815</v>
      </c>
      <c r="N33" s="229" t="s">
        <v>2039</v>
      </c>
    </row>
    <row r="34" spans="1:14" x14ac:dyDescent="0.2">
      <c r="A34" s="237">
        <v>32</v>
      </c>
      <c r="B34" s="230" t="s">
        <v>2246</v>
      </c>
      <c r="C34" s="231" t="s">
        <v>2245</v>
      </c>
      <c r="D34" s="231">
        <v>8.67</v>
      </c>
      <c r="E34" s="290">
        <v>8.57</v>
      </c>
      <c r="F34" s="231">
        <v>8.5</v>
      </c>
      <c r="G34" s="231">
        <v>0.82</v>
      </c>
      <c r="H34" s="231">
        <v>2</v>
      </c>
      <c r="I34" s="231">
        <v>10</v>
      </c>
      <c r="J34" s="231">
        <v>1</v>
      </c>
      <c r="K34" s="230" t="s">
        <v>2247</v>
      </c>
      <c r="L34" s="231">
        <v>2015</v>
      </c>
      <c r="M34" s="231" t="s">
        <v>1841</v>
      </c>
      <c r="N34" s="232" t="s">
        <v>2248</v>
      </c>
    </row>
    <row r="35" spans="1:14" x14ac:dyDescent="0.2">
      <c r="A35" s="237">
        <v>33</v>
      </c>
      <c r="B35" s="227" t="s">
        <v>2584</v>
      </c>
      <c r="C35" s="228" t="s">
        <v>2580</v>
      </c>
      <c r="D35" s="228">
        <v>8.5500000000000007</v>
      </c>
      <c r="E35" s="298">
        <v>8.4700000000000006</v>
      </c>
      <c r="F35" s="228">
        <v>8.5</v>
      </c>
      <c r="G35" s="228">
        <v>0.78</v>
      </c>
      <c r="H35" s="228">
        <v>2</v>
      </c>
      <c r="I35" s="228">
        <v>11</v>
      </c>
      <c r="J35" s="228">
        <v>0</v>
      </c>
      <c r="K35" s="227" t="s">
        <v>2585</v>
      </c>
      <c r="L35" s="228">
        <v>1970</v>
      </c>
      <c r="M35" s="228" t="s">
        <v>1833</v>
      </c>
      <c r="N35" s="229" t="s">
        <v>2586</v>
      </c>
    </row>
    <row r="36" spans="1:14" x14ac:dyDescent="0.2">
      <c r="A36" s="237">
        <v>34</v>
      </c>
      <c r="B36" s="230" t="s">
        <v>1158</v>
      </c>
      <c r="C36" s="231" t="s">
        <v>1159</v>
      </c>
      <c r="D36" s="231">
        <v>8.5299999999999994</v>
      </c>
      <c r="E36" s="300">
        <v>8.4499999999999993</v>
      </c>
      <c r="F36" s="231">
        <v>8.5</v>
      </c>
      <c r="G36" s="231">
        <v>0.96</v>
      </c>
      <c r="H36" s="231">
        <v>3</v>
      </c>
      <c r="I36" s="231">
        <v>15</v>
      </c>
      <c r="J36" s="231">
        <v>0</v>
      </c>
      <c r="K36" s="230" t="s">
        <v>1162</v>
      </c>
      <c r="L36" s="231">
        <v>2024</v>
      </c>
      <c r="M36" s="231" t="s">
        <v>1814</v>
      </c>
      <c r="N36" s="232" t="s">
        <v>2053</v>
      </c>
    </row>
    <row r="37" spans="1:14" x14ac:dyDescent="0.2">
      <c r="A37" s="237">
        <v>35</v>
      </c>
      <c r="B37" s="227" t="s">
        <v>1478</v>
      </c>
      <c r="C37" s="228" t="s">
        <v>1479</v>
      </c>
      <c r="D37" s="228">
        <v>8.67</v>
      </c>
      <c r="E37" s="256">
        <v>9</v>
      </c>
      <c r="F37" s="228">
        <v>8.5</v>
      </c>
      <c r="G37" s="228">
        <v>0.98</v>
      </c>
      <c r="H37" s="228">
        <v>5</v>
      </c>
      <c r="I37" s="228">
        <v>26</v>
      </c>
      <c r="J37" s="228">
        <v>0</v>
      </c>
      <c r="K37" s="227" t="s">
        <v>1480</v>
      </c>
      <c r="L37" s="228">
        <v>2017</v>
      </c>
      <c r="M37" s="228" t="s">
        <v>1815</v>
      </c>
      <c r="N37" s="229" t="s">
        <v>2040</v>
      </c>
    </row>
    <row r="38" spans="1:14" x14ac:dyDescent="0.2">
      <c r="A38" s="237">
        <v>36</v>
      </c>
      <c r="B38" s="230" t="s">
        <v>357</v>
      </c>
      <c r="C38" s="231" t="s">
        <v>351</v>
      </c>
      <c r="D38" s="231">
        <v>8.8000000000000007</v>
      </c>
      <c r="E38" s="270">
        <v>8.81</v>
      </c>
      <c r="F38" s="231">
        <v>8.5</v>
      </c>
      <c r="G38" s="231">
        <v>0.98</v>
      </c>
      <c r="H38" s="231">
        <v>2</v>
      </c>
      <c r="I38" s="231">
        <v>10</v>
      </c>
      <c r="J38" s="231">
        <v>0</v>
      </c>
      <c r="K38" s="230" t="s">
        <v>722</v>
      </c>
      <c r="L38" s="231">
        <v>1990</v>
      </c>
      <c r="M38" s="231" t="s">
        <v>1843</v>
      </c>
      <c r="N38" s="232" t="s">
        <v>2083</v>
      </c>
    </row>
    <row r="39" spans="1:14" x14ac:dyDescent="0.2">
      <c r="A39" s="237">
        <v>37</v>
      </c>
      <c r="B39" s="227" t="s">
        <v>311</v>
      </c>
      <c r="C39" s="228" t="s">
        <v>1540</v>
      </c>
      <c r="D39" s="228">
        <v>8.94</v>
      </c>
      <c r="E39" s="259">
        <v>8.9499999999999993</v>
      </c>
      <c r="F39" s="228">
        <v>8.5</v>
      </c>
      <c r="G39" s="228">
        <v>0.76</v>
      </c>
      <c r="H39" s="228">
        <v>2</v>
      </c>
      <c r="I39" s="228">
        <v>10</v>
      </c>
      <c r="J39" s="228">
        <v>1</v>
      </c>
      <c r="K39" s="227" t="s">
        <v>1557</v>
      </c>
      <c r="L39" s="228">
        <v>2000</v>
      </c>
      <c r="M39" s="228" t="s">
        <v>1814</v>
      </c>
      <c r="N39" s="229" t="s">
        <v>2038</v>
      </c>
    </row>
    <row r="40" spans="1:14" x14ac:dyDescent="0.2">
      <c r="A40" s="237">
        <v>38</v>
      </c>
      <c r="B40" s="230" t="s">
        <v>311</v>
      </c>
      <c r="C40" s="231" t="s">
        <v>948</v>
      </c>
      <c r="D40" s="231">
        <v>8.73</v>
      </c>
      <c r="E40" s="267">
        <v>8.85</v>
      </c>
      <c r="F40" s="231">
        <v>9</v>
      </c>
      <c r="G40" s="231">
        <v>0.96</v>
      </c>
      <c r="H40" s="231">
        <v>2</v>
      </c>
      <c r="I40" s="231">
        <v>11</v>
      </c>
      <c r="J40" s="231">
        <v>0</v>
      </c>
      <c r="K40" s="230" t="s">
        <v>954</v>
      </c>
      <c r="L40" s="231">
        <v>2002</v>
      </c>
      <c r="M40" s="231" t="s">
        <v>1816</v>
      </c>
      <c r="N40" s="232" t="s">
        <v>2058</v>
      </c>
    </row>
    <row r="41" spans="1:14" x14ac:dyDescent="0.2">
      <c r="A41" s="237">
        <v>39</v>
      </c>
      <c r="B41" s="227" t="s">
        <v>311</v>
      </c>
      <c r="C41" s="228" t="s">
        <v>158</v>
      </c>
      <c r="D41" s="228">
        <v>8.65</v>
      </c>
      <c r="E41" s="291">
        <v>8.56</v>
      </c>
      <c r="F41" s="228">
        <v>8.5</v>
      </c>
      <c r="G41" s="228">
        <v>0.72</v>
      </c>
      <c r="H41" s="228">
        <v>2</v>
      </c>
      <c r="I41" s="228">
        <v>13</v>
      </c>
      <c r="J41" s="228">
        <v>0</v>
      </c>
      <c r="K41" s="227" t="s">
        <v>741</v>
      </c>
      <c r="L41" s="228">
        <v>2005</v>
      </c>
      <c r="M41" s="228" t="s">
        <v>1842</v>
      </c>
      <c r="N41" s="229" t="s">
        <v>2082</v>
      </c>
    </row>
    <row r="42" spans="1:14" x14ac:dyDescent="0.2">
      <c r="A42" s="237">
        <v>40</v>
      </c>
      <c r="B42" s="230" t="s">
        <v>303</v>
      </c>
      <c r="C42" s="231" t="s">
        <v>2435</v>
      </c>
      <c r="D42" s="231">
        <v>9.08</v>
      </c>
      <c r="E42" s="249">
        <v>9.17</v>
      </c>
      <c r="F42" s="231">
        <v>9</v>
      </c>
      <c r="G42" s="231">
        <v>0.73</v>
      </c>
      <c r="H42" s="231">
        <v>3</v>
      </c>
      <c r="I42" s="231">
        <v>13</v>
      </c>
      <c r="J42" s="231">
        <v>0</v>
      </c>
      <c r="K42" s="230" t="s">
        <v>2449</v>
      </c>
      <c r="L42" s="231">
        <v>2007</v>
      </c>
      <c r="M42" s="231" t="s">
        <v>1819</v>
      </c>
      <c r="N42" s="232" t="s">
        <v>2419</v>
      </c>
    </row>
    <row r="43" spans="1:14" x14ac:dyDescent="0.2">
      <c r="A43" s="237">
        <v>41</v>
      </c>
      <c r="B43" s="227" t="s">
        <v>303</v>
      </c>
      <c r="C43" s="228" t="s">
        <v>157</v>
      </c>
      <c r="D43" s="228">
        <v>9</v>
      </c>
      <c r="E43" s="251">
        <v>9.09</v>
      </c>
      <c r="F43" s="228">
        <v>9</v>
      </c>
      <c r="G43" s="228">
        <v>0.85</v>
      </c>
      <c r="H43" s="228">
        <v>3</v>
      </c>
      <c r="I43" s="228">
        <v>14</v>
      </c>
      <c r="J43" s="228">
        <v>1</v>
      </c>
      <c r="K43" s="227" t="s">
        <v>718</v>
      </c>
      <c r="L43" s="228">
        <v>2001</v>
      </c>
      <c r="M43" s="228" t="s">
        <v>1821</v>
      </c>
      <c r="N43" s="229" t="s">
        <v>2087</v>
      </c>
    </row>
    <row r="44" spans="1:14" x14ac:dyDescent="0.2">
      <c r="A44" s="237">
        <v>42</v>
      </c>
      <c r="B44" s="230" t="s">
        <v>303</v>
      </c>
      <c r="C44" s="231" t="s">
        <v>588</v>
      </c>
      <c r="D44" s="231">
        <v>8.77</v>
      </c>
      <c r="E44" s="271">
        <v>8.7899999999999991</v>
      </c>
      <c r="F44" s="231">
        <v>8.5</v>
      </c>
      <c r="G44" s="231">
        <v>0.99</v>
      </c>
      <c r="H44" s="231">
        <v>3</v>
      </c>
      <c r="I44" s="231">
        <v>13</v>
      </c>
      <c r="J44" s="231">
        <v>0</v>
      </c>
      <c r="K44" s="230" t="s">
        <v>718</v>
      </c>
      <c r="L44" s="231">
        <v>2013</v>
      </c>
      <c r="M44" s="231" t="s">
        <v>1834</v>
      </c>
      <c r="N44" s="232" t="s">
        <v>2075</v>
      </c>
    </row>
    <row r="45" spans="1:14" x14ac:dyDescent="0.2">
      <c r="A45" s="237">
        <v>43</v>
      </c>
      <c r="B45" s="227" t="s">
        <v>303</v>
      </c>
      <c r="C45" s="228" t="s">
        <v>651</v>
      </c>
      <c r="D45" s="228">
        <v>8.07</v>
      </c>
      <c r="E45" s="322">
        <v>7.95</v>
      </c>
      <c r="F45" s="228">
        <v>8</v>
      </c>
      <c r="G45" s="228">
        <v>1.07</v>
      </c>
      <c r="H45" s="228">
        <v>2</v>
      </c>
      <c r="I45" s="228">
        <v>16</v>
      </c>
      <c r="J45" s="228">
        <v>2</v>
      </c>
      <c r="K45" s="227" t="s">
        <v>718</v>
      </c>
      <c r="L45" s="228">
        <v>1997</v>
      </c>
      <c r="M45" s="228" t="s">
        <v>1834</v>
      </c>
      <c r="N45" s="229" t="s">
        <v>2072</v>
      </c>
    </row>
    <row r="46" spans="1:14" x14ac:dyDescent="0.2">
      <c r="A46" s="237">
        <v>44</v>
      </c>
      <c r="B46" s="230" t="s">
        <v>303</v>
      </c>
      <c r="C46" s="231" t="s">
        <v>1482</v>
      </c>
      <c r="D46" s="231">
        <v>8</v>
      </c>
      <c r="E46" s="324">
        <v>7.79</v>
      </c>
      <c r="F46" s="231">
        <v>7.5</v>
      </c>
      <c r="G46" s="231">
        <v>0.88</v>
      </c>
      <c r="H46" s="231">
        <v>0</v>
      </c>
      <c r="I46" s="231">
        <v>10</v>
      </c>
      <c r="J46" s="231">
        <v>1</v>
      </c>
      <c r="K46" s="230" t="s">
        <v>1493</v>
      </c>
      <c r="L46" s="231">
        <v>2005</v>
      </c>
      <c r="M46" s="231" t="s">
        <v>1832</v>
      </c>
      <c r="N46" s="232" t="s">
        <v>2040</v>
      </c>
    </row>
    <row r="47" spans="1:14" x14ac:dyDescent="0.2">
      <c r="A47" s="237">
        <v>45</v>
      </c>
      <c r="B47" s="227" t="s">
        <v>456</v>
      </c>
      <c r="C47" s="228" t="s">
        <v>457</v>
      </c>
      <c r="D47" s="228">
        <v>7.67</v>
      </c>
      <c r="E47" s="327">
        <v>7.66</v>
      </c>
      <c r="F47" s="228">
        <v>8</v>
      </c>
      <c r="G47" s="228">
        <v>0.59</v>
      </c>
      <c r="H47" s="228">
        <v>0</v>
      </c>
      <c r="I47" s="228">
        <v>12</v>
      </c>
      <c r="J47" s="228">
        <v>0</v>
      </c>
      <c r="K47" s="227" t="s">
        <v>726</v>
      </c>
      <c r="L47" s="228">
        <v>2021</v>
      </c>
      <c r="M47" s="228" t="s">
        <v>1846</v>
      </c>
      <c r="N47" s="229" t="s">
        <v>2079</v>
      </c>
    </row>
    <row r="48" spans="1:14" x14ac:dyDescent="0.2">
      <c r="A48" s="237">
        <v>46</v>
      </c>
      <c r="B48" s="230" t="s">
        <v>2630</v>
      </c>
      <c r="C48" s="231" t="s">
        <v>168</v>
      </c>
      <c r="D48" s="231">
        <v>9</v>
      </c>
      <c r="E48" s="400">
        <v>8.94</v>
      </c>
      <c r="F48" s="231">
        <v>9</v>
      </c>
      <c r="G48" s="231">
        <v>0.74</v>
      </c>
      <c r="H48" s="231">
        <v>2</v>
      </c>
      <c r="I48" s="231">
        <v>11</v>
      </c>
      <c r="J48" s="231">
        <v>0</v>
      </c>
      <c r="K48" s="230" t="s">
        <v>2634</v>
      </c>
      <c r="L48" s="231">
        <v>1977</v>
      </c>
      <c r="M48" s="231" t="s">
        <v>1838</v>
      </c>
      <c r="N48" s="232" t="s">
        <v>2635</v>
      </c>
    </row>
    <row r="49" spans="1:14" x14ac:dyDescent="0.2">
      <c r="A49" s="237">
        <v>47</v>
      </c>
      <c r="B49" s="227" t="s">
        <v>2630</v>
      </c>
      <c r="C49" s="228" t="s">
        <v>3320</v>
      </c>
      <c r="D49" s="228">
        <v>8.7899999999999991</v>
      </c>
      <c r="E49" s="281">
        <v>8.67</v>
      </c>
      <c r="F49" s="228">
        <v>8.5</v>
      </c>
      <c r="G49" s="228">
        <v>0.7</v>
      </c>
      <c r="H49" s="228">
        <v>1</v>
      </c>
      <c r="I49" s="228">
        <v>7</v>
      </c>
      <c r="J49" s="228">
        <v>0</v>
      </c>
      <c r="K49" s="227" t="s">
        <v>1025</v>
      </c>
      <c r="L49" s="228">
        <v>2016</v>
      </c>
      <c r="M49" s="228" t="s">
        <v>1814</v>
      </c>
      <c r="N49" s="229" t="s">
        <v>3321</v>
      </c>
    </row>
    <row r="50" spans="1:14" x14ac:dyDescent="0.2">
      <c r="A50" s="237">
        <v>48</v>
      </c>
      <c r="B50" s="230" t="s">
        <v>1171</v>
      </c>
      <c r="C50" s="231" t="s">
        <v>1166</v>
      </c>
      <c r="D50" s="231">
        <v>8.75</v>
      </c>
      <c r="E50" s="285">
        <v>8.6300000000000008</v>
      </c>
      <c r="F50" s="231">
        <v>8.5</v>
      </c>
      <c r="G50" s="231">
        <v>0.8</v>
      </c>
      <c r="H50" s="231">
        <v>1</v>
      </c>
      <c r="I50" s="231">
        <v>7</v>
      </c>
      <c r="J50" s="231">
        <v>1</v>
      </c>
      <c r="K50" s="230" t="s">
        <v>1172</v>
      </c>
      <c r="L50" s="231">
        <v>2013</v>
      </c>
      <c r="M50" s="231" t="s">
        <v>1824</v>
      </c>
      <c r="N50" s="232" t="s">
        <v>2053</v>
      </c>
    </row>
    <row r="51" spans="1:14" x14ac:dyDescent="0.2">
      <c r="A51" s="237">
        <v>49</v>
      </c>
      <c r="B51" s="227" t="s">
        <v>1091</v>
      </c>
      <c r="C51" s="228" t="s">
        <v>3830</v>
      </c>
      <c r="D51" s="228">
        <v>8.7200000000000006</v>
      </c>
      <c r="E51" s="285">
        <v>8.6300000000000008</v>
      </c>
      <c r="F51" s="228">
        <v>8.5</v>
      </c>
      <c r="G51" s="228">
        <v>0.57999999999999996</v>
      </c>
      <c r="H51" s="228">
        <v>1</v>
      </c>
      <c r="I51" s="228">
        <v>9</v>
      </c>
      <c r="J51" s="228">
        <v>0</v>
      </c>
      <c r="K51" s="227" t="s">
        <v>2101</v>
      </c>
      <c r="L51" s="228">
        <v>1995</v>
      </c>
      <c r="M51" s="228" t="s">
        <v>1853</v>
      </c>
      <c r="N51" s="229" t="s">
        <v>3843</v>
      </c>
    </row>
    <row r="52" spans="1:14" x14ac:dyDescent="0.2">
      <c r="A52" s="237">
        <v>50</v>
      </c>
      <c r="B52" s="230" t="s">
        <v>1091</v>
      </c>
      <c r="C52" s="231" t="s">
        <v>2360</v>
      </c>
      <c r="D52" s="231">
        <v>8.61</v>
      </c>
      <c r="E52" s="294">
        <v>8.5299999999999994</v>
      </c>
      <c r="F52" s="231">
        <v>8.5</v>
      </c>
      <c r="G52" s="231">
        <v>0.66</v>
      </c>
      <c r="H52" s="231">
        <v>1</v>
      </c>
      <c r="I52" s="231">
        <v>9</v>
      </c>
      <c r="J52" s="231">
        <v>0</v>
      </c>
      <c r="K52" s="230" t="s">
        <v>735</v>
      </c>
      <c r="L52" s="231">
        <v>1998</v>
      </c>
      <c r="M52" s="231" t="s">
        <v>1841</v>
      </c>
      <c r="N52" s="232" t="s">
        <v>2378</v>
      </c>
    </row>
    <row r="53" spans="1:14" x14ac:dyDescent="0.2">
      <c r="A53" s="237">
        <v>51</v>
      </c>
      <c r="B53" s="227" t="s">
        <v>2936</v>
      </c>
      <c r="C53" s="228" t="s">
        <v>2937</v>
      </c>
      <c r="D53" s="228">
        <v>8.9600000000000009</v>
      </c>
      <c r="E53" s="261">
        <v>8.92</v>
      </c>
      <c r="F53" s="228">
        <v>9</v>
      </c>
      <c r="G53" s="228">
        <v>0.75</v>
      </c>
      <c r="H53" s="228">
        <v>3</v>
      </c>
      <c r="I53" s="228">
        <v>12</v>
      </c>
      <c r="J53" s="228">
        <v>0</v>
      </c>
      <c r="K53" s="227" t="s">
        <v>731</v>
      </c>
      <c r="L53" s="228">
        <v>2000</v>
      </c>
      <c r="M53" s="228" t="s">
        <v>1836</v>
      </c>
      <c r="N53" s="229" t="s">
        <v>2922</v>
      </c>
    </row>
    <row r="54" spans="1:14" x14ac:dyDescent="0.2">
      <c r="A54" s="237">
        <v>52</v>
      </c>
      <c r="B54" s="230" t="s">
        <v>2936</v>
      </c>
      <c r="C54" s="231" t="s">
        <v>3281</v>
      </c>
      <c r="D54" s="231">
        <v>8.73</v>
      </c>
      <c r="E54" s="273">
        <v>8.77</v>
      </c>
      <c r="F54" s="231">
        <v>8.5</v>
      </c>
      <c r="G54" s="231">
        <v>0.96</v>
      </c>
      <c r="H54" s="231">
        <v>3</v>
      </c>
      <c r="I54" s="231">
        <v>11</v>
      </c>
      <c r="J54" s="231">
        <v>0</v>
      </c>
      <c r="K54" s="230" t="s">
        <v>731</v>
      </c>
      <c r="L54" s="231">
        <v>2012</v>
      </c>
      <c r="M54" s="231" t="s">
        <v>1820</v>
      </c>
      <c r="N54" s="232" t="s">
        <v>3282</v>
      </c>
    </row>
    <row r="55" spans="1:14" x14ac:dyDescent="0.2">
      <c r="A55" s="237">
        <v>53</v>
      </c>
      <c r="B55" s="227" t="s">
        <v>1129</v>
      </c>
      <c r="C55" s="228" t="s">
        <v>1130</v>
      </c>
      <c r="D55" s="228">
        <v>7.71</v>
      </c>
      <c r="E55" s="329">
        <v>7.61</v>
      </c>
      <c r="F55" s="228">
        <v>7.5</v>
      </c>
      <c r="G55" s="228">
        <v>0.45</v>
      </c>
      <c r="H55" s="228">
        <v>0</v>
      </c>
      <c r="I55" s="228">
        <v>8</v>
      </c>
      <c r="J55" s="228">
        <v>1</v>
      </c>
      <c r="K55" s="227" t="s">
        <v>1132</v>
      </c>
      <c r="L55" s="228">
        <v>2020</v>
      </c>
      <c r="M55" s="228" t="s">
        <v>1851</v>
      </c>
      <c r="N55" s="229" t="s">
        <v>2053</v>
      </c>
    </row>
    <row r="56" spans="1:14" x14ac:dyDescent="0.2">
      <c r="A56" s="237">
        <v>54</v>
      </c>
      <c r="B56" s="230" t="s">
        <v>2289</v>
      </c>
      <c r="C56" s="231" t="s">
        <v>2290</v>
      </c>
      <c r="D56" s="231">
        <v>8.61</v>
      </c>
      <c r="E56" s="292">
        <v>8.5500000000000007</v>
      </c>
      <c r="F56" s="231">
        <v>8</v>
      </c>
      <c r="G56" s="231">
        <v>1.24</v>
      </c>
      <c r="H56" s="231">
        <v>3</v>
      </c>
      <c r="I56" s="231">
        <v>9</v>
      </c>
      <c r="J56" s="231">
        <v>0</v>
      </c>
      <c r="K56" s="230" t="s">
        <v>2138</v>
      </c>
      <c r="L56" s="231">
        <v>1990</v>
      </c>
      <c r="M56" s="231" t="s">
        <v>1817</v>
      </c>
      <c r="N56" s="232" t="s">
        <v>2293</v>
      </c>
    </row>
    <row r="57" spans="1:14" x14ac:dyDescent="0.2">
      <c r="A57" s="237">
        <v>55</v>
      </c>
      <c r="B57" s="227" t="s">
        <v>307</v>
      </c>
      <c r="C57" s="228" t="s">
        <v>95</v>
      </c>
      <c r="D57" s="228">
        <v>8.94</v>
      </c>
      <c r="E57" s="254">
        <v>9.0299999999999994</v>
      </c>
      <c r="F57" s="228">
        <v>9</v>
      </c>
      <c r="G57" s="228">
        <v>0.96</v>
      </c>
      <c r="H57" s="228">
        <v>2</v>
      </c>
      <c r="I57" s="228">
        <v>9</v>
      </c>
      <c r="J57" s="228">
        <v>0</v>
      </c>
      <c r="K57" s="227" t="s">
        <v>720</v>
      </c>
      <c r="L57" s="228">
        <v>1985</v>
      </c>
      <c r="M57" s="228" t="s">
        <v>1816</v>
      </c>
      <c r="N57" s="229" t="s">
        <v>2087</v>
      </c>
    </row>
    <row r="58" spans="1:14" x14ac:dyDescent="0.2">
      <c r="A58" s="237">
        <v>56</v>
      </c>
      <c r="B58" s="230" t="s">
        <v>307</v>
      </c>
      <c r="C58" s="231" t="s">
        <v>307</v>
      </c>
      <c r="D58" s="231">
        <v>8.83</v>
      </c>
      <c r="E58" s="266">
        <v>8.86</v>
      </c>
      <c r="F58" s="231">
        <v>8.5</v>
      </c>
      <c r="G58" s="231">
        <v>0.82</v>
      </c>
      <c r="H58" s="231">
        <v>2</v>
      </c>
      <c r="I58" s="231">
        <v>9</v>
      </c>
      <c r="J58" s="231">
        <v>0</v>
      </c>
      <c r="K58" s="230" t="s">
        <v>1143</v>
      </c>
      <c r="L58" s="231">
        <v>1978</v>
      </c>
      <c r="M58" s="231" t="s">
        <v>1814</v>
      </c>
      <c r="N58" s="232" t="s">
        <v>2053</v>
      </c>
    </row>
    <row r="59" spans="1:14" x14ac:dyDescent="0.2">
      <c r="A59" s="237">
        <v>57</v>
      </c>
      <c r="B59" s="227" t="s">
        <v>307</v>
      </c>
      <c r="C59" s="228" t="s">
        <v>2730</v>
      </c>
      <c r="D59" s="228">
        <v>8.8000000000000007</v>
      </c>
      <c r="E59" s="270">
        <v>8.81</v>
      </c>
      <c r="F59" s="228">
        <v>8.5</v>
      </c>
      <c r="G59" s="228">
        <v>0.93</v>
      </c>
      <c r="H59" s="228">
        <v>1</v>
      </c>
      <c r="I59" s="228">
        <v>5</v>
      </c>
      <c r="J59" s="228">
        <v>0</v>
      </c>
      <c r="K59" s="227" t="s">
        <v>1025</v>
      </c>
      <c r="L59" s="228">
        <v>1982</v>
      </c>
      <c r="M59" s="228" t="s">
        <v>1814</v>
      </c>
      <c r="N59" s="229" t="s">
        <v>2734</v>
      </c>
    </row>
    <row r="60" spans="1:14" x14ac:dyDescent="0.2">
      <c r="A60" s="237">
        <v>58</v>
      </c>
      <c r="B60" s="230" t="s">
        <v>3538</v>
      </c>
      <c r="C60" s="231" t="s">
        <v>3539</v>
      </c>
      <c r="D60" s="231">
        <v>8.2899999999999991</v>
      </c>
      <c r="E60" s="354">
        <v>8.3000000000000007</v>
      </c>
      <c r="F60" s="231">
        <v>8.5</v>
      </c>
      <c r="G60" s="231">
        <v>0.25</v>
      </c>
      <c r="H60" s="231">
        <v>0</v>
      </c>
      <c r="I60" s="231">
        <v>8</v>
      </c>
      <c r="J60" s="231">
        <v>1</v>
      </c>
      <c r="K60" s="230" t="s">
        <v>3542</v>
      </c>
      <c r="L60" s="231">
        <v>1995</v>
      </c>
      <c r="M60" s="231" t="s">
        <v>1845</v>
      </c>
      <c r="N60" s="232" t="s">
        <v>3530</v>
      </c>
    </row>
    <row r="61" spans="1:14" x14ac:dyDescent="0.2">
      <c r="A61" s="237">
        <v>59</v>
      </c>
      <c r="B61" s="227" t="s">
        <v>607</v>
      </c>
      <c r="C61" s="228" t="s">
        <v>3595</v>
      </c>
      <c r="D61" s="228">
        <v>8.3800000000000008</v>
      </c>
      <c r="E61" s="395">
        <v>8.2799999999999994</v>
      </c>
      <c r="F61" s="228">
        <v>8.25</v>
      </c>
      <c r="G61" s="228">
        <v>0.67</v>
      </c>
      <c r="H61" s="228">
        <v>1</v>
      </c>
      <c r="I61" s="228">
        <v>16</v>
      </c>
      <c r="J61" s="228">
        <v>0</v>
      </c>
      <c r="K61" s="227" t="s">
        <v>739</v>
      </c>
      <c r="L61" s="228">
        <v>2024</v>
      </c>
      <c r="M61" s="228" t="s">
        <v>1820</v>
      </c>
      <c r="N61" s="229" t="s">
        <v>3596</v>
      </c>
    </row>
    <row r="62" spans="1:14" x14ac:dyDescent="0.2">
      <c r="A62" s="237">
        <v>60</v>
      </c>
      <c r="B62" s="230" t="s">
        <v>607</v>
      </c>
      <c r="C62" s="231" t="s">
        <v>608</v>
      </c>
      <c r="D62" s="231">
        <v>7.72</v>
      </c>
      <c r="E62" s="326">
        <v>7.7</v>
      </c>
      <c r="F62" s="231">
        <v>8</v>
      </c>
      <c r="G62" s="231">
        <v>0.57999999999999996</v>
      </c>
      <c r="H62" s="231">
        <v>0</v>
      </c>
      <c r="I62" s="231">
        <v>18</v>
      </c>
      <c r="J62" s="231">
        <v>0</v>
      </c>
      <c r="K62" s="230" t="s">
        <v>739</v>
      </c>
      <c r="L62" s="231">
        <v>2026</v>
      </c>
      <c r="M62" s="231" t="s">
        <v>1831</v>
      </c>
      <c r="N62" s="232" t="s">
        <v>2074</v>
      </c>
    </row>
    <row r="63" spans="1:14" x14ac:dyDescent="0.2">
      <c r="A63" s="237">
        <v>61</v>
      </c>
      <c r="B63" s="227" t="s">
        <v>3357</v>
      </c>
      <c r="C63" s="228" t="s">
        <v>3358</v>
      </c>
      <c r="D63" s="228">
        <v>8.57</v>
      </c>
      <c r="E63" s="338">
        <v>8.59</v>
      </c>
      <c r="F63" s="228">
        <v>9</v>
      </c>
      <c r="G63" s="228">
        <v>0.56000000000000005</v>
      </c>
      <c r="H63" s="228">
        <v>0</v>
      </c>
      <c r="I63" s="228">
        <v>7</v>
      </c>
      <c r="J63" s="228">
        <v>0</v>
      </c>
      <c r="K63" s="227" t="s">
        <v>3359</v>
      </c>
      <c r="L63" s="228">
        <v>2009</v>
      </c>
      <c r="M63" s="228" t="s">
        <v>1853</v>
      </c>
      <c r="N63" s="229" t="s">
        <v>3360</v>
      </c>
    </row>
    <row r="64" spans="1:14" x14ac:dyDescent="0.2">
      <c r="A64" s="237">
        <v>62</v>
      </c>
      <c r="B64" s="230" t="s">
        <v>977</v>
      </c>
      <c r="C64" s="231" t="s">
        <v>978</v>
      </c>
      <c r="D64" s="231">
        <v>8.5500000000000007</v>
      </c>
      <c r="E64" s="298">
        <v>8.4700000000000006</v>
      </c>
      <c r="F64" s="231">
        <v>8.5</v>
      </c>
      <c r="G64" s="231">
        <v>0.69</v>
      </c>
      <c r="H64" s="231">
        <v>1</v>
      </c>
      <c r="I64" s="231">
        <v>12</v>
      </c>
      <c r="J64" s="231">
        <v>1</v>
      </c>
      <c r="K64" s="230" t="s">
        <v>733</v>
      </c>
      <c r="L64" s="231">
        <v>1999</v>
      </c>
      <c r="M64" s="231" t="s">
        <v>1811</v>
      </c>
      <c r="N64" s="232" t="s">
        <v>2056</v>
      </c>
    </row>
    <row r="65" spans="1:14" x14ac:dyDescent="0.2">
      <c r="A65" s="237">
        <v>63</v>
      </c>
      <c r="B65" s="227" t="s">
        <v>2099</v>
      </c>
      <c r="C65" s="228" t="s">
        <v>2100</v>
      </c>
      <c r="D65" s="228">
        <v>8.75</v>
      </c>
      <c r="E65" s="284">
        <v>8.64</v>
      </c>
      <c r="F65" s="228">
        <v>8.5</v>
      </c>
      <c r="G65" s="228">
        <v>0.66</v>
      </c>
      <c r="H65" s="228">
        <v>1</v>
      </c>
      <c r="I65" s="228">
        <v>8</v>
      </c>
      <c r="J65" s="228">
        <v>0</v>
      </c>
      <c r="K65" s="227" t="s">
        <v>2101</v>
      </c>
      <c r="L65" s="228">
        <v>1996</v>
      </c>
      <c r="M65" s="228" t="s">
        <v>1822</v>
      </c>
      <c r="N65" s="229" t="s">
        <v>2020</v>
      </c>
    </row>
    <row r="66" spans="1:14" x14ac:dyDescent="0.2">
      <c r="A66" s="237">
        <v>64</v>
      </c>
      <c r="B66" s="230" t="s">
        <v>1568</v>
      </c>
      <c r="C66" s="231" t="s">
        <v>1564</v>
      </c>
      <c r="D66" s="231">
        <v>8.75</v>
      </c>
      <c r="E66" s="283">
        <v>8.65</v>
      </c>
      <c r="F66" s="231">
        <v>8.5</v>
      </c>
      <c r="G66" s="231">
        <v>0.56000000000000005</v>
      </c>
      <c r="H66" s="231">
        <v>1</v>
      </c>
      <c r="I66" s="231">
        <v>9</v>
      </c>
      <c r="J66" s="231">
        <v>1</v>
      </c>
      <c r="K66" s="230" t="s">
        <v>1570</v>
      </c>
      <c r="L66" s="231">
        <v>2000</v>
      </c>
      <c r="M66" s="231" t="s">
        <v>1810</v>
      </c>
      <c r="N66" s="232" t="s">
        <v>2037</v>
      </c>
    </row>
    <row r="67" spans="1:14" x14ac:dyDescent="0.2">
      <c r="A67" s="237">
        <v>65</v>
      </c>
      <c r="B67" s="227" t="s">
        <v>3298</v>
      </c>
      <c r="C67" s="228" t="s">
        <v>3299</v>
      </c>
      <c r="D67" s="228">
        <v>8.58</v>
      </c>
      <c r="E67" s="371">
        <v>8.51</v>
      </c>
      <c r="F67" s="228">
        <v>8.5</v>
      </c>
      <c r="G67" s="228">
        <v>0.76</v>
      </c>
      <c r="H67" s="228">
        <v>2</v>
      </c>
      <c r="I67" s="228">
        <v>12</v>
      </c>
      <c r="J67" s="228">
        <v>0</v>
      </c>
      <c r="K67" s="227" t="s">
        <v>3302</v>
      </c>
      <c r="L67" s="228">
        <v>1997</v>
      </c>
      <c r="M67" s="228" t="s">
        <v>1843</v>
      </c>
      <c r="N67" s="229" t="s">
        <v>3282</v>
      </c>
    </row>
    <row r="68" spans="1:14" x14ac:dyDescent="0.2">
      <c r="A68" s="237">
        <v>66</v>
      </c>
      <c r="B68" s="230" t="s">
        <v>2788</v>
      </c>
      <c r="C68" s="231" t="s">
        <v>2789</v>
      </c>
      <c r="D68" s="231">
        <v>8.4</v>
      </c>
      <c r="E68" s="305">
        <v>8.3699999999999992</v>
      </c>
      <c r="F68" s="231">
        <v>8.5</v>
      </c>
      <c r="G68" s="231">
        <v>0.37</v>
      </c>
      <c r="H68" s="231">
        <v>0</v>
      </c>
      <c r="I68" s="231">
        <v>7</v>
      </c>
      <c r="J68" s="231">
        <v>2</v>
      </c>
      <c r="K68" s="230" t="s">
        <v>2790</v>
      </c>
      <c r="L68" s="231">
        <v>1990</v>
      </c>
      <c r="M68" s="231" t="s">
        <v>1822</v>
      </c>
      <c r="N68" s="232" t="s">
        <v>2635</v>
      </c>
    </row>
    <row r="69" spans="1:14" x14ac:dyDescent="0.2">
      <c r="A69" s="237">
        <v>67</v>
      </c>
      <c r="B69" s="227" t="s">
        <v>952</v>
      </c>
      <c r="C69" s="228" t="s">
        <v>950</v>
      </c>
      <c r="D69" s="228">
        <v>10.5</v>
      </c>
      <c r="E69" s="234">
        <v>10.85</v>
      </c>
      <c r="F69" s="228">
        <v>10.5</v>
      </c>
      <c r="G69" s="228">
        <v>0</v>
      </c>
      <c r="H69" s="228">
        <v>1</v>
      </c>
      <c r="I69" s="228">
        <v>1</v>
      </c>
      <c r="J69" s="228">
        <v>0</v>
      </c>
      <c r="K69" s="227" t="s">
        <v>953</v>
      </c>
      <c r="L69" s="228">
        <v>1996</v>
      </c>
      <c r="M69" s="228" t="s">
        <v>1806</v>
      </c>
      <c r="N69" s="229" t="s">
        <v>2077</v>
      </c>
    </row>
    <row r="70" spans="1:14" x14ac:dyDescent="0.2">
      <c r="A70" s="237">
        <v>68</v>
      </c>
      <c r="B70" s="230" t="s">
        <v>310</v>
      </c>
      <c r="C70" s="231" t="s">
        <v>159</v>
      </c>
      <c r="D70" s="231">
        <v>8.7100000000000009</v>
      </c>
      <c r="E70" s="283">
        <v>8.65</v>
      </c>
      <c r="F70" s="231">
        <v>8.75</v>
      </c>
      <c r="G70" s="231">
        <v>0.78</v>
      </c>
      <c r="H70" s="231">
        <v>2</v>
      </c>
      <c r="I70" s="231">
        <v>12</v>
      </c>
      <c r="J70" s="231">
        <v>0</v>
      </c>
      <c r="K70" s="230" t="s">
        <v>2657</v>
      </c>
      <c r="L70" s="231">
        <v>1977</v>
      </c>
      <c r="M70" s="231" t="s">
        <v>1838</v>
      </c>
      <c r="N70" s="232" t="s">
        <v>2020</v>
      </c>
    </row>
    <row r="71" spans="1:14" x14ac:dyDescent="0.2">
      <c r="A71" s="237">
        <v>69</v>
      </c>
      <c r="B71" s="227" t="s">
        <v>2950</v>
      </c>
      <c r="C71" s="228">
        <v>4</v>
      </c>
      <c r="D71" s="228">
        <v>8.6</v>
      </c>
      <c r="E71" s="288">
        <v>8.6</v>
      </c>
      <c r="F71" s="228">
        <v>8.25</v>
      </c>
      <c r="G71" s="228">
        <v>0.97</v>
      </c>
      <c r="H71" s="228">
        <v>2</v>
      </c>
      <c r="I71" s="228">
        <v>10</v>
      </c>
      <c r="J71" s="228">
        <v>0</v>
      </c>
      <c r="K71" s="227" t="s">
        <v>2951</v>
      </c>
      <c r="L71" s="228">
        <v>1981</v>
      </c>
      <c r="M71" s="228" t="s">
        <v>1814</v>
      </c>
      <c r="N71" s="229" t="s">
        <v>2952</v>
      </c>
    </row>
    <row r="72" spans="1:14" x14ac:dyDescent="0.2">
      <c r="A72" s="237">
        <v>70</v>
      </c>
      <c r="B72" s="230" t="s">
        <v>493</v>
      </c>
      <c r="C72" s="231" t="s">
        <v>494</v>
      </c>
      <c r="D72" s="231">
        <v>8.5</v>
      </c>
      <c r="E72" s="301">
        <v>8.43</v>
      </c>
      <c r="F72" s="231">
        <v>8.5</v>
      </c>
      <c r="G72" s="231">
        <v>0.59</v>
      </c>
      <c r="H72" s="231">
        <v>0</v>
      </c>
      <c r="I72" s="231">
        <v>17</v>
      </c>
      <c r="J72" s="231">
        <v>4</v>
      </c>
      <c r="K72" s="230" t="s">
        <v>742</v>
      </c>
      <c r="L72" s="231">
        <v>2016</v>
      </c>
      <c r="M72" s="231" t="s">
        <v>1846</v>
      </c>
      <c r="N72" s="232" t="s">
        <v>2078</v>
      </c>
    </row>
    <row r="73" spans="1:14" x14ac:dyDescent="0.2">
      <c r="A73" s="237">
        <v>71</v>
      </c>
      <c r="B73" s="227" t="s">
        <v>1313</v>
      </c>
      <c r="C73" s="228" t="s">
        <v>1306</v>
      </c>
      <c r="D73" s="228">
        <v>8.86</v>
      </c>
      <c r="E73" s="268">
        <v>8.83</v>
      </c>
      <c r="F73" s="228">
        <v>9</v>
      </c>
      <c r="G73" s="228">
        <v>0.69</v>
      </c>
      <c r="H73" s="228">
        <v>1</v>
      </c>
      <c r="I73" s="228">
        <v>7</v>
      </c>
      <c r="J73" s="228">
        <v>0</v>
      </c>
      <c r="K73" s="227" t="s">
        <v>1315</v>
      </c>
      <c r="L73" s="228">
        <v>1971</v>
      </c>
      <c r="M73" s="228" t="s">
        <v>1833</v>
      </c>
      <c r="N73" s="229" t="s">
        <v>2047</v>
      </c>
    </row>
    <row r="74" spans="1:14" x14ac:dyDescent="0.2">
      <c r="A74" s="237">
        <v>72</v>
      </c>
      <c r="B74" s="230" t="s">
        <v>1263</v>
      </c>
      <c r="C74" s="231" t="s">
        <v>1254</v>
      </c>
      <c r="D74" s="231">
        <v>9</v>
      </c>
      <c r="E74" s="258">
        <v>8.9600000000000009</v>
      </c>
      <c r="F74" s="231">
        <v>9</v>
      </c>
      <c r="G74" s="231">
        <v>0.6</v>
      </c>
      <c r="H74" s="231">
        <v>2</v>
      </c>
      <c r="I74" s="231">
        <v>11</v>
      </c>
      <c r="J74" s="231">
        <v>0</v>
      </c>
      <c r="K74" s="230" t="s">
        <v>1267</v>
      </c>
      <c r="L74" s="231">
        <v>2025</v>
      </c>
      <c r="M74" s="231" t="s">
        <v>1832</v>
      </c>
      <c r="N74" s="232" t="s">
        <v>2050</v>
      </c>
    </row>
    <row r="75" spans="1:14" x14ac:dyDescent="0.2">
      <c r="A75" s="237">
        <v>73</v>
      </c>
      <c r="B75" s="227" t="s">
        <v>2672</v>
      </c>
      <c r="C75" s="228" t="s">
        <v>3729</v>
      </c>
      <c r="D75" s="228">
        <v>8.81</v>
      </c>
      <c r="E75" s="268">
        <v>8.83</v>
      </c>
      <c r="F75" s="228">
        <v>8.5</v>
      </c>
      <c r="G75" s="228">
        <v>0.79</v>
      </c>
      <c r="H75" s="228">
        <v>1</v>
      </c>
      <c r="I75" s="228">
        <v>8</v>
      </c>
      <c r="J75" s="228">
        <v>0</v>
      </c>
      <c r="K75" s="227" t="s">
        <v>3739</v>
      </c>
      <c r="L75" s="228">
        <v>1973</v>
      </c>
      <c r="M75" s="228" t="s">
        <v>1812</v>
      </c>
      <c r="N75" s="229" t="s">
        <v>3740</v>
      </c>
    </row>
    <row r="76" spans="1:14" x14ac:dyDescent="0.2">
      <c r="A76" s="237">
        <v>74</v>
      </c>
      <c r="B76" s="230" t="s">
        <v>2531</v>
      </c>
      <c r="C76" s="231" t="s">
        <v>634</v>
      </c>
      <c r="D76" s="231">
        <v>9.8800000000000008</v>
      </c>
      <c r="E76" s="234">
        <v>10.220000000000001</v>
      </c>
      <c r="F76" s="231">
        <v>10</v>
      </c>
      <c r="G76" s="231">
        <v>0.65</v>
      </c>
      <c r="H76" s="231">
        <v>2</v>
      </c>
      <c r="I76" s="231">
        <v>4</v>
      </c>
      <c r="J76" s="231">
        <v>0</v>
      </c>
      <c r="K76" s="230" t="s">
        <v>1042</v>
      </c>
      <c r="L76" s="231">
        <v>2000</v>
      </c>
      <c r="M76" s="231" t="s">
        <v>2537</v>
      </c>
      <c r="N76" s="232" t="s">
        <v>2073</v>
      </c>
    </row>
    <row r="77" spans="1:14" x14ac:dyDescent="0.2">
      <c r="A77" s="237">
        <v>75</v>
      </c>
      <c r="B77" s="227" t="s">
        <v>2531</v>
      </c>
      <c r="C77" s="228" t="s">
        <v>3716</v>
      </c>
      <c r="D77" s="228">
        <v>9</v>
      </c>
      <c r="E77" s="258">
        <v>8.9600000000000009</v>
      </c>
      <c r="F77" s="228">
        <v>9</v>
      </c>
      <c r="G77" s="228">
        <v>0.32</v>
      </c>
      <c r="H77" s="228">
        <v>0</v>
      </c>
      <c r="I77" s="228">
        <v>5</v>
      </c>
      <c r="J77" s="228">
        <v>0</v>
      </c>
      <c r="K77" s="227" t="s">
        <v>1042</v>
      </c>
      <c r="L77" s="228">
        <v>2002</v>
      </c>
      <c r="M77" s="228" t="s">
        <v>1834</v>
      </c>
      <c r="N77" s="229" t="s">
        <v>3719</v>
      </c>
    </row>
    <row r="78" spans="1:14" x14ac:dyDescent="0.2">
      <c r="A78" s="237">
        <v>76</v>
      </c>
      <c r="B78" s="230" t="s">
        <v>2531</v>
      </c>
      <c r="C78" s="231" t="s">
        <v>2532</v>
      </c>
      <c r="D78" s="231">
        <v>8.83</v>
      </c>
      <c r="E78" s="268">
        <v>8.84</v>
      </c>
      <c r="F78" s="231">
        <v>9</v>
      </c>
      <c r="G78" s="231">
        <v>0.24</v>
      </c>
      <c r="H78" s="231">
        <v>0</v>
      </c>
      <c r="I78" s="231">
        <v>3</v>
      </c>
      <c r="J78" s="231">
        <v>0</v>
      </c>
      <c r="K78" s="230" t="s">
        <v>1042</v>
      </c>
      <c r="L78" s="231">
        <v>1997</v>
      </c>
      <c r="M78" s="231" t="s">
        <v>1840</v>
      </c>
      <c r="N78" s="232" t="s">
        <v>2535</v>
      </c>
    </row>
    <row r="79" spans="1:14" x14ac:dyDescent="0.2">
      <c r="A79" s="237">
        <v>77</v>
      </c>
      <c r="B79" s="227" t="s">
        <v>1448</v>
      </c>
      <c r="C79" s="228" t="s">
        <v>1449</v>
      </c>
      <c r="D79" s="228">
        <v>8.82</v>
      </c>
      <c r="E79" s="268">
        <v>8.84</v>
      </c>
      <c r="F79" s="228">
        <v>8.5</v>
      </c>
      <c r="G79" s="228">
        <v>0.81</v>
      </c>
      <c r="H79" s="228">
        <v>2</v>
      </c>
      <c r="I79" s="228">
        <v>12</v>
      </c>
      <c r="J79" s="228">
        <v>1</v>
      </c>
      <c r="K79" s="227" t="s">
        <v>735</v>
      </c>
      <c r="L79" s="228">
        <v>2005</v>
      </c>
      <c r="M79" s="228" t="s">
        <v>1825</v>
      </c>
      <c r="N79" s="229" t="s">
        <v>2041</v>
      </c>
    </row>
    <row r="80" spans="1:14" x14ac:dyDescent="0.2">
      <c r="A80" s="237">
        <v>78</v>
      </c>
      <c r="B80" s="230" t="s">
        <v>1448</v>
      </c>
      <c r="C80" s="231" t="s">
        <v>3425</v>
      </c>
      <c r="D80" s="231">
        <v>8.64</v>
      </c>
      <c r="E80" s="280">
        <v>8.68</v>
      </c>
      <c r="F80" s="231">
        <v>8.5</v>
      </c>
      <c r="G80" s="231">
        <v>0.88</v>
      </c>
      <c r="H80" s="231">
        <v>2</v>
      </c>
      <c r="I80" s="231">
        <v>12</v>
      </c>
      <c r="J80" s="231">
        <v>1</v>
      </c>
      <c r="K80" s="230" t="s">
        <v>735</v>
      </c>
      <c r="L80" s="231">
        <v>2008</v>
      </c>
      <c r="M80" s="231" t="s">
        <v>1810</v>
      </c>
      <c r="N80" s="232" t="s">
        <v>3502</v>
      </c>
    </row>
    <row r="81" spans="1:14" x14ac:dyDescent="0.2">
      <c r="A81" s="237">
        <v>79</v>
      </c>
      <c r="B81" s="227" t="s">
        <v>1448</v>
      </c>
      <c r="C81" s="228" t="s">
        <v>1502</v>
      </c>
      <c r="D81" s="228">
        <v>8.44</v>
      </c>
      <c r="E81" s="306">
        <v>8.34</v>
      </c>
      <c r="F81" s="228">
        <v>8.5</v>
      </c>
      <c r="G81" s="228">
        <v>1.28</v>
      </c>
      <c r="H81" s="228">
        <v>2</v>
      </c>
      <c r="I81" s="228">
        <v>10</v>
      </c>
      <c r="J81" s="228">
        <v>1</v>
      </c>
      <c r="K81" s="227" t="s">
        <v>1507</v>
      </c>
      <c r="L81" s="228">
        <v>2016</v>
      </c>
      <c r="M81" s="228" t="s">
        <v>1845</v>
      </c>
      <c r="N81" s="229" t="s">
        <v>2039</v>
      </c>
    </row>
    <row r="82" spans="1:14" x14ac:dyDescent="0.2">
      <c r="A82" s="237">
        <v>80</v>
      </c>
      <c r="B82" s="230" t="s">
        <v>677</v>
      </c>
      <c r="C82" s="231" t="s">
        <v>1355</v>
      </c>
      <c r="D82" s="231">
        <v>8.8800000000000008</v>
      </c>
      <c r="E82" s="263">
        <v>8.89</v>
      </c>
      <c r="F82" s="231">
        <v>8.5</v>
      </c>
      <c r="G82" s="231">
        <v>0.74</v>
      </c>
      <c r="H82" s="231">
        <v>2</v>
      </c>
      <c r="I82" s="231">
        <v>15</v>
      </c>
      <c r="J82" s="231">
        <v>2</v>
      </c>
      <c r="K82" s="230" t="s">
        <v>1356</v>
      </c>
      <c r="L82" s="231">
        <v>2005</v>
      </c>
      <c r="M82" s="231" t="s">
        <v>1820</v>
      </c>
      <c r="N82" s="232" t="s">
        <v>2046</v>
      </c>
    </row>
    <row r="83" spans="1:14" x14ac:dyDescent="0.2">
      <c r="A83" s="237">
        <v>81</v>
      </c>
      <c r="B83" s="227" t="s">
        <v>677</v>
      </c>
      <c r="C83" s="228" t="s">
        <v>673</v>
      </c>
      <c r="D83" s="228">
        <v>8.67</v>
      </c>
      <c r="E83" s="275">
        <v>8.75</v>
      </c>
      <c r="F83" s="228">
        <v>8</v>
      </c>
      <c r="G83" s="228">
        <v>1.04</v>
      </c>
      <c r="H83" s="228">
        <v>4</v>
      </c>
      <c r="I83" s="228">
        <v>16</v>
      </c>
      <c r="J83" s="228">
        <v>1</v>
      </c>
      <c r="K83" s="227" t="s">
        <v>736</v>
      </c>
      <c r="L83" s="228">
        <v>2010</v>
      </c>
      <c r="M83" s="228" t="s">
        <v>1841</v>
      </c>
      <c r="N83" s="229" t="s">
        <v>2071</v>
      </c>
    </row>
    <row r="84" spans="1:14" x14ac:dyDescent="0.2">
      <c r="A84" s="237">
        <v>82</v>
      </c>
      <c r="B84" s="230" t="s">
        <v>677</v>
      </c>
      <c r="C84" s="231" t="s">
        <v>677</v>
      </c>
      <c r="D84" s="231">
        <v>8.24</v>
      </c>
      <c r="E84" s="311">
        <v>8.23</v>
      </c>
      <c r="F84" s="231">
        <v>8</v>
      </c>
      <c r="G84" s="231">
        <v>1.1299999999999999</v>
      </c>
      <c r="H84" s="231">
        <v>3</v>
      </c>
      <c r="I84" s="231">
        <v>17</v>
      </c>
      <c r="J84" s="231">
        <v>0</v>
      </c>
      <c r="K84" s="230" t="s">
        <v>2517</v>
      </c>
      <c r="L84" s="231">
        <v>2001</v>
      </c>
      <c r="M84" s="231" t="s">
        <v>1860</v>
      </c>
      <c r="N84" s="232" t="s">
        <v>2518</v>
      </c>
    </row>
    <row r="85" spans="1:14" x14ac:dyDescent="0.2">
      <c r="A85" s="237">
        <v>83</v>
      </c>
      <c r="B85" s="227" t="s">
        <v>677</v>
      </c>
      <c r="C85" s="228" t="s">
        <v>1217</v>
      </c>
      <c r="D85" s="228">
        <v>8.11</v>
      </c>
      <c r="E85" s="320">
        <v>8</v>
      </c>
      <c r="F85" s="228">
        <v>8</v>
      </c>
      <c r="G85" s="228">
        <v>0.71</v>
      </c>
      <c r="H85" s="228">
        <v>0</v>
      </c>
      <c r="I85" s="228">
        <v>15</v>
      </c>
      <c r="J85" s="228">
        <v>1</v>
      </c>
      <c r="K85" s="227" t="s">
        <v>1233</v>
      </c>
      <c r="L85" s="228">
        <v>2026</v>
      </c>
      <c r="M85" s="228" t="s">
        <v>1825</v>
      </c>
      <c r="N85" s="229" t="s">
        <v>2051</v>
      </c>
    </row>
    <row r="86" spans="1:14" x14ac:dyDescent="0.2">
      <c r="A86" s="237">
        <v>84</v>
      </c>
      <c r="B86" s="230" t="s">
        <v>302</v>
      </c>
      <c r="C86" s="231" t="s">
        <v>186</v>
      </c>
      <c r="D86" s="231">
        <v>9.2100000000000009</v>
      </c>
      <c r="E86" s="246">
        <v>9.34</v>
      </c>
      <c r="F86" s="231">
        <v>9.25</v>
      </c>
      <c r="G86" s="231">
        <v>0.85</v>
      </c>
      <c r="H86" s="231">
        <v>5</v>
      </c>
      <c r="I86" s="231">
        <v>13</v>
      </c>
      <c r="J86" s="231">
        <v>1</v>
      </c>
      <c r="K86" s="230" t="s">
        <v>717</v>
      </c>
      <c r="L86" s="231">
        <v>2008</v>
      </c>
      <c r="M86" s="231" t="s">
        <v>1819</v>
      </c>
      <c r="N86" s="232" t="s">
        <v>2086</v>
      </c>
    </row>
    <row r="87" spans="1:14" x14ac:dyDescent="0.2">
      <c r="A87" s="237">
        <v>85</v>
      </c>
      <c r="B87" s="227" t="s">
        <v>3097</v>
      </c>
      <c r="C87" s="228" t="s">
        <v>3098</v>
      </c>
      <c r="D87" s="228">
        <v>8.6</v>
      </c>
      <c r="E87" s="294">
        <v>8.5299999999999994</v>
      </c>
      <c r="F87" s="228">
        <v>8.5</v>
      </c>
      <c r="G87" s="228">
        <v>0.57999999999999996</v>
      </c>
      <c r="H87" s="228">
        <v>1</v>
      </c>
      <c r="I87" s="228">
        <v>10</v>
      </c>
      <c r="J87" s="228">
        <v>0</v>
      </c>
      <c r="K87" s="227" t="s">
        <v>3099</v>
      </c>
      <c r="L87" s="228">
        <v>1992</v>
      </c>
      <c r="M87" s="228" t="s">
        <v>1833</v>
      </c>
      <c r="N87" s="229" t="s">
        <v>3100</v>
      </c>
    </row>
    <row r="88" spans="1:14" x14ac:dyDescent="0.2">
      <c r="A88" s="237">
        <v>86</v>
      </c>
      <c r="B88" s="230" t="s">
        <v>378</v>
      </c>
      <c r="C88" s="231" t="s">
        <v>379</v>
      </c>
      <c r="D88" s="231">
        <v>7.29</v>
      </c>
      <c r="E88" s="332">
        <v>7.16</v>
      </c>
      <c r="F88" s="231">
        <v>7</v>
      </c>
      <c r="G88" s="231">
        <v>0.52</v>
      </c>
      <c r="H88" s="231">
        <v>0</v>
      </c>
      <c r="I88" s="231">
        <v>7</v>
      </c>
      <c r="J88" s="231">
        <v>0</v>
      </c>
      <c r="K88" s="230" t="s">
        <v>740</v>
      </c>
      <c r="L88" s="231">
        <v>2021</v>
      </c>
      <c r="M88" s="231" t="s">
        <v>1852</v>
      </c>
      <c r="N88" s="232" t="s">
        <v>2082</v>
      </c>
    </row>
    <row r="89" spans="1:14" x14ac:dyDescent="0.2">
      <c r="A89" s="237">
        <v>87</v>
      </c>
      <c r="B89" s="227" t="s">
        <v>2487</v>
      </c>
      <c r="C89" s="228" t="s">
        <v>2488</v>
      </c>
      <c r="D89" s="228">
        <v>8.8800000000000008</v>
      </c>
      <c r="E89" s="273">
        <v>8.77</v>
      </c>
      <c r="F89" s="228">
        <v>8.75</v>
      </c>
      <c r="G89" s="228">
        <v>0.89</v>
      </c>
      <c r="H89" s="228">
        <v>1</v>
      </c>
      <c r="I89" s="228">
        <v>6</v>
      </c>
      <c r="J89" s="228">
        <v>2</v>
      </c>
      <c r="K89" s="227" t="s">
        <v>2491</v>
      </c>
      <c r="L89" s="228">
        <v>2000</v>
      </c>
      <c r="M89" s="228" t="s">
        <v>2492</v>
      </c>
      <c r="N89" s="229" t="s">
        <v>2493</v>
      </c>
    </row>
    <row r="90" spans="1:14" x14ac:dyDescent="0.2">
      <c r="A90" s="237">
        <v>88</v>
      </c>
      <c r="B90" s="230" t="s">
        <v>2988</v>
      </c>
      <c r="C90" s="231" t="s">
        <v>2989</v>
      </c>
      <c r="D90" s="231">
        <v>8.85</v>
      </c>
      <c r="E90" s="277">
        <v>8.7200000000000006</v>
      </c>
      <c r="F90" s="231">
        <v>8.5</v>
      </c>
      <c r="G90" s="231">
        <v>0.66</v>
      </c>
      <c r="H90" s="231">
        <v>2</v>
      </c>
      <c r="I90" s="231">
        <v>14</v>
      </c>
      <c r="J90" s="231">
        <v>1</v>
      </c>
      <c r="K90" s="230" t="s">
        <v>3002</v>
      </c>
      <c r="L90" s="231">
        <v>2020</v>
      </c>
      <c r="M90" s="231" t="s">
        <v>1853</v>
      </c>
      <c r="N90" s="232" t="s">
        <v>3003</v>
      </c>
    </row>
    <row r="91" spans="1:14" x14ac:dyDescent="0.2">
      <c r="A91" s="237">
        <v>89</v>
      </c>
      <c r="B91" s="227" t="s">
        <v>699</v>
      </c>
      <c r="C91" s="228" t="s">
        <v>700</v>
      </c>
      <c r="D91" s="228">
        <v>8.91</v>
      </c>
      <c r="E91" s="260">
        <v>8.93</v>
      </c>
      <c r="F91" s="228">
        <v>8.5</v>
      </c>
      <c r="G91" s="228">
        <v>0.85</v>
      </c>
      <c r="H91" s="228">
        <v>3</v>
      </c>
      <c r="I91" s="228">
        <v>11</v>
      </c>
      <c r="J91" s="228">
        <v>0</v>
      </c>
      <c r="K91" s="227" t="s">
        <v>797</v>
      </c>
      <c r="L91" s="228">
        <v>2002</v>
      </c>
      <c r="M91" s="228" t="s">
        <v>1831</v>
      </c>
      <c r="N91" s="229" t="s">
        <v>2068</v>
      </c>
    </row>
    <row r="92" spans="1:14" x14ac:dyDescent="0.2">
      <c r="A92" s="237">
        <v>90</v>
      </c>
      <c r="B92" s="230" t="s">
        <v>1616</v>
      </c>
      <c r="C92" s="231" t="s">
        <v>1612</v>
      </c>
      <c r="D92" s="231">
        <v>8.81</v>
      </c>
      <c r="E92" s="279">
        <v>8.6999999999999993</v>
      </c>
      <c r="F92" s="231">
        <v>8.5</v>
      </c>
      <c r="G92" s="231">
        <v>0.83</v>
      </c>
      <c r="H92" s="231">
        <v>2</v>
      </c>
      <c r="I92" s="231">
        <v>8</v>
      </c>
      <c r="J92" s="231">
        <v>0</v>
      </c>
      <c r="K92" s="230" t="s">
        <v>1284</v>
      </c>
      <c r="L92" s="231">
        <v>1982</v>
      </c>
      <c r="M92" s="231" t="s">
        <v>1822</v>
      </c>
      <c r="N92" s="232" t="s">
        <v>2034</v>
      </c>
    </row>
    <row r="93" spans="1:14" x14ac:dyDescent="0.2">
      <c r="A93" s="237">
        <v>91</v>
      </c>
      <c r="B93" s="227" t="s">
        <v>1616</v>
      </c>
      <c r="C93" s="228" t="s">
        <v>2013</v>
      </c>
      <c r="D93" s="228">
        <v>8.81</v>
      </c>
      <c r="E93" s="268">
        <v>8.83</v>
      </c>
      <c r="F93" s="228">
        <v>8.5</v>
      </c>
      <c r="G93" s="228">
        <v>0.79</v>
      </c>
      <c r="H93" s="228">
        <v>1</v>
      </c>
      <c r="I93" s="228">
        <v>8</v>
      </c>
      <c r="J93" s="228">
        <v>0</v>
      </c>
      <c r="K93" s="227" t="s">
        <v>1284</v>
      </c>
      <c r="L93" s="228">
        <v>1988</v>
      </c>
      <c r="M93" s="228" t="s">
        <v>1808</v>
      </c>
      <c r="N93" s="229" t="s">
        <v>2021</v>
      </c>
    </row>
    <row r="94" spans="1:14" x14ac:dyDescent="0.2">
      <c r="A94" s="237">
        <v>92</v>
      </c>
      <c r="B94" s="230" t="s">
        <v>628</v>
      </c>
      <c r="C94" s="231" t="s">
        <v>629</v>
      </c>
      <c r="D94" s="231">
        <v>7.06</v>
      </c>
      <c r="E94" s="334">
        <v>6.99</v>
      </c>
      <c r="F94" s="231">
        <v>7</v>
      </c>
      <c r="G94" s="231">
        <v>0.44</v>
      </c>
      <c r="H94" s="231">
        <v>0</v>
      </c>
      <c r="I94" s="231">
        <v>10</v>
      </c>
      <c r="J94" s="231">
        <v>1</v>
      </c>
      <c r="K94" s="230" t="s">
        <v>733</v>
      </c>
      <c r="L94" s="231">
        <v>2026</v>
      </c>
      <c r="M94" s="231" t="s">
        <v>1853</v>
      </c>
      <c r="N94" s="232" t="s">
        <v>2073</v>
      </c>
    </row>
    <row r="95" spans="1:14" x14ac:dyDescent="0.2">
      <c r="A95" s="237">
        <v>93</v>
      </c>
      <c r="B95" s="227" t="s">
        <v>2306</v>
      </c>
      <c r="C95" s="228" t="s">
        <v>2296</v>
      </c>
      <c r="D95" s="228">
        <v>8.86</v>
      </c>
      <c r="E95" s="276">
        <v>8.74</v>
      </c>
      <c r="F95" s="228">
        <v>8.5</v>
      </c>
      <c r="G95" s="228">
        <v>0.86</v>
      </c>
      <c r="H95" s="228">
        <v>3</v>
      </c>
      <c r="I95" s="228">
        <v>11</v>
      </c>
      <c r="J95" s="228">
        <v>0</v>
      </c>
      <c r="K95" s="227" t="s">
        <v>2307</v>
      </c>
      <c r="L95" s="228">
        <v>1994</v>
      </c>
      <c r="M95" s="228" t="s">
        <v>1820</v>
      </c>
      <c r="N95" s="229" t="s">
        <v>2308</v>
      </c>
    </row>
    <row r="96" spans="1:14" x14ac:dyDescent="0.2">
      <c r="A96" s="237">
        <v>94</v>
      </c>
      <c r="B96" s="230" t="s">
        <v>1385</v>
      </c>
      <c r="C96" s="231" t="s">
        <v>1390</v>
      </c>
      <c r="D96" s="231">
        <v>8.8000000000000007</v>
      </c>
      <c r="E96" s="280">
        <v>8.68</v>
      </c>
      <c r="F96" s="231">
        <v>8.5</v>
      </c>
      <c r="G96" s="231">
        <v>0.7</v>
      </c>
      <c r="H96" s="231">
        <v>2</v>
      </c>
      <c r="I96" s="231">
        <v>15</v>
      </c>
      <c r="J96" s="231">
        <v>0</v>
      </c>
      <c r="K96" s="230" t="s">
        <v>1387</v>
      </c>
      <c r="L96" s="231">
        <v>2012</v>
      </c>
      <c r="M96" s="231" t="s">
        <v>1821</v>
      </c>
      <c r="N96" s="232" t="s">
        <v>2044</v>
      </c>
    </row>
    <row r="97" spans="1:14" x14ac:dyDescent="0.2">
      <c r="A97" s="237">
        <v>95</v>
      </c>
      <c r="B97" s="227" t="s">
        <v>314</v>
      </c>
      <c r="C97" s="228" t="s">
        <v>271</v>
      </c>
      <c r="D97" s="228">
        <v>8.35</v>
      </c>
      <c r="E97" s="313">
        <v>8.1999999999999993</v>
      </c>
      <c r="F97" s="228">
        <v>8</v>
      </c>
      <c r="G97" s="228">
        <v>0.78</v>
      </c>
      <c r="H97" s="228">
        <v>1</v>
      </c>
      <c r="I97" s="228">
        <v>10</v>
      </c>
      <c r="J97" s="228">
        <v>0</v>
      </c>
      <c r="K97" s="227" t="s">
        <v>781</v>
      </c>
      <c r="L97" s="228">
        <v>1979</v>
      </c>
      <c r="M97" s="228" t="s">
        <v>1838</v>
      </c>
      <c r="N97" s="229" t="s">
        <v>2084</v>
      </c>
    </row>
    <row r="98" spans="1:14" x14ac:dyDescent="0.2">
      <c r="A98" s="237">
        <v>96</v>
      </c>
      <c r="B98" s="230" t="s">
        <v>2683</v>
      </c>
      <c r="C98" s="231" t="s">
        <v>2683</v>
      </c>
      <c r="D98" s="231">
        <v>8.6300000000000008</v>
      </c>
      <c r="E98" s="293">
        <v>8.5399999999999991</v>
      </c>
      <c r="F98" s="231">
        <v>8.5</v>
      </c>
      <c r="G98" s="231">
        <v>0.71</v>
      </c>
      <c r="H98" s="231">
        <v>2</v>
      </c>
      <c r="I98" s="231">
        <v>12</v>
      </c>
      <c r="J98" s="231">
        <v>0</v>
      </c>
      <c r="K98" s="230" t="s">
        <v>2685</v>
      </c>
      <c r="L98" s="231">
        <v>2007</v>
      </c>
      <c r="M98" s="231" t="s">
        <v>1826</v>
      </c>
      <c r="N98" s="232" t="s">
        <v>2686</v>
      </c>
    </row>
    <row r="99" spans="1:14" x14ac:dyDescent="0.2">
      <c r="A99" s="237">
        <v>97</v>
      </c>
      <c r="B99" s="227" t="s">
        <v>2683</v>
      </c>
      <c r="C99" s="228" t="s">
        <v>3498</v>
      </c>
      <c r="D99" s="228">
        <v>8.6300000000000008</v>
      </c>
      <c r="E99" s="294">
        <v>8.5299999999999994</v>
      </c>
      <c r="F99" s="228">
        <v>8.5</v>
      </c>
      <c r="G99" s="228">
        <v>0.69</v>
      </c>
      <c r="H99" s="228">
        <v>1</v>
      </c>
      <c r="I99" s="228">
        <v>15</v>
      </c>
      <c r="J99" s="228">
        <v>0</v>
      </c>
      <c r="K99" s="227" t="s">
        <v>3499</v>
      </c>
      <c r="L99" s="228">
        <v>2018</v>
      </c>
      <c r="M99" s="228" t="s">
        <v>1819</v>
      </c>
      <c r="N99" s="229" t="s">
        <v>3500</v>
      </c>
    </row>
    <row r="100" spans="1:14" x14ac:dyDescent="0.2">
      <c r="A100" s="237">
        <v>98</v>
      </c>
      <c r="B100" s="230" t="s">
        <v>774</v>
      </c>
      <c r="C100" s="231" t="s">
        <v>775</v>
      </c>
      <c r="D100" s="231">
        <v>8.82</v>
      </c>
      <c r="E100" s="271">
        <v>8.7899999999999991</v>
      </c>
      <c r="F100" s="231">
        <v>9</v>
      </c>
      <c r="G100" s="231">
        <v>0.86</v>
      </c>
      <c r="H100" s="231">
        <v>3</v>
      </c>
      <c r="I100" s="231">
        <v>13</v>
      </c>
      <c r="J100" s="231">
        <v>2</v>
      </c>
      <c r="K100" s="230" t="s">
        <v>776</v>
      </c>
      <c r="L100" s="231">
        <v>2010</v>
      </c>
      <c r="M100" s="231" t="s">
        <v>1835</v>
      </c>
      <c r="N100" s="232" t="s">
        <v>2065</v>
      </c>
    </row>
    <row r="101" spans="1:14" x14ac:dyDescent="0.2">
      <c r="A101" s="237">
        <v>99</v>
      </c>
      <c r="B101" s="227" t="s">
        <v>774</v>
      </c>
      <c r="C101" s="228" t="s">
        <v>2725</v>
      </c>
      <c r="D101" s="228">
        <v>8.73</v>
      </c>
      <c r="E101" s="286">
        <v>8.6199999999999992</v>
      </c>
      <c r="F101" s="228">
        <v>8.5</v>
      </c>
      <c r="G101" s="228">
        <v>0.56999999999999995</v>
      </c>
      <c r="H101" s="228">
        <v>1</v>
      </c>
      <c r="I101" s="228">
        <v>21</v>
      </c>
      <c r="J101" s="228">
        <v>6</v>
      </c>
      <c r="K101" s="227" t="s">
        <v>2726</v>
      </c>
      <c r="L101" s="228">
        <v>2004</v>
      </c>
      <c r="M101" s="228" t="s">
        <v>1807</v>
      </c>
      <c r="N101" s="229" t="s">
        <v>2686</v>
      </c>
    </row>
    <row r="102" spans="1:14" x14ac:dyDescent="0.2">
      <c r="A102" s="237">
        <v>100</v>
      </c>
      <c r="B102" s="230" t="s">
        <v>774</v>
      </c>
      <c r="C102" s="231" t="s">
        <v>1794</v>
      </c>
      <c r="D102" s="231">
        <v>7.31</v>
      </c>
      <c r="E102" s="331">
        <v>7.2</v>
      </c>
      <c r="F102" s="231">
        <v>7.25</v>
      </c>
      <c r="G102" s="231">
        <v>0.73</v>
      </c>
      <c r="H102" s="231">
        <v>0</v>
      </c>
      <c r="I102" s="231">
        <v>18</v>
      </c>
      <c r="J102" s="231">
        <v>0</v>
      </c>
      <c r="K102" s="230" t="s">
        <v>1057</v>
      </c>
      <c r="L102" s="231">
        <v>2026</v>
      </c>
      <c r="M102" s="231" t="s">
        <v>1809</v>
      </c>
      <c r="N102" s="232" t="s">
        <v>2026</v>
      </c>
    </row>
    <row r="103" spans="1:14" x14ac:dyDescent="0.2">
      <c r="A103" s="237">
        <v>101</v>
      </c>
      <c r="B103" s="227" t="s">
        <v>1337</v>
      </c>
      <c r="C103" s="228" t="s">
        <v>3779</v>
      </c>
      <c r="D103" s="228">
        <v>8.36</v>
      </c>
      <c r="E103" s="306">
        <v>8.34</v>
      </c>
      <c r="F103" s="228">
        <v>8</v>
      </c>
      <c r="G103" s="228">
        <v>0.91</v>
      </c>
      <c r="H103" s="228">
        <v>1</v>
      </c>
      <c r="I103" s="228">
        <v>12</v>
      </c>
      <c r="J103" s="228">
        <v>1</v>
      </c>
      <c r="K103" s="227" t="s">
        <v>2437</v>
      </c>
      <c r="L103" s="228">
        <v>2005</v>
      </c>
      <c r="M103" s="228" t="s">
        <v>1826</v>
      </c>
      <c r="N103" s="229" t="s">
        <v>3792</v>
      </c>
    </row>
    <row r="104" spans="1:14" x14ac:dyDescent="0.2">
      <c r="A104" s="237">
        <v>102</v>
      </c>
      <c r="B104" s="230" t="s">
        <v>1337</v>
      </c>
      <c r="C104" s="231" t="s">
        <v>1338</v>
      </c>
      <c r="D104" s="231">
        <v>8.0500000000000007</v>
      </c>
      <c r="E104" s="322">
        <v>7.95</v>
      </c>
      <c r="F104" s="231">
        <v>8</v>
      </c>
      <c r="G104" s="231">
        <v>0.72</v>
      </c>
      <c r="H104" s="231">
        <v>0</v>
      </c>
      <c r="I104" s="231">
        <v>10</v>
      </c>
      <c r="J104" s="231">
        <v>0</v>
      </c>
      <c r="K104" s="230" t="s">
        <v>712</v>
      </c>
      <c r="L104" s="231">
        <v>2026</v>
      </c>
      <c r="M104" s="231" t="s">
        <v>1840</v>
      </c>
      <c r="N104" s="232" t="s">
        <v>2046</v>
      </c>
    </row>
    <row r="105" spans="1:14" x14ac:dyDescent="0.2">
      <c r="A105" s="237">
        <v>103</v>
      </c>
      <c r="B105" s="227" t="s">
        <v>1302</v>
      </c>
      <c r="C105" s="228" t="s">
        <v>1303</v>
      </c>
      <c r="D105" s="228">
        <v>8.82</v>
      </c>
      <c r="E105" s="264">
        <v>8.8800000000000008</v>
      </c>
      <c r="F105" s="228">
        <v>8.75</v>
      </c>
      <c r="G105" s="228">
        <v>0.92</v>
      </c>
      <c r="H105" s="228">
        <v>3</v>
      </c>
      <c r="I105" s="228">
        <v>16</v>
      </c>
      <c r="J105" s="228">
        <v>2</v>
      </c>
      <c r="K105" s="227" t="s">
        <v>1304</v>
      </c>
      <c r="L105" s="228">
        <v>2015</v>
      </c>
      <c r="M105" s="228" t="s">
        <v>1830</v>
      </c>
      <c r="N105" s="229" t="s">
        <v>2048</v>
      </c>
    </row>
    <row r="106" spans="1:14" x14ac:dyDescent="0.2">
      <c r="A106" s="237">
        <v>104</v>
      </c>
      <c r="B106" s="230" t="s">
        <v>1728</v>
      </c>
      <c r="C106" s="231" t="s">
        <v>1728</v>
      </c>
      <c r="D106" s="231">
        <v>8.2899999999999991</v>
      </c>
      <c r="E106" s="315">
        <v>8.16</v>
      </c>
      <c r="F106" s="231">
        <v>8</v>
      </c>
      <c r="G106" s="231">
        <v>0.52</v>
      </c>
      <c r="H106" s="231">
        <v>0</v>
      </c>
      <c r="I106" s="231">
        <v>7</v>
      </c>
      <c r="J106" s="231">
        <v>0</v>
      </c>
      <c r="K106" s="230" t="s">
        <v>1729</v>
      </c>
      <c r="L106" s="231">
        <v>2018</v>
      </c>
      <c r="M106" s="231" t="s">
        <v>1850</v>
      </c>
      <c r="N106" s="232" t="s">
        <v>2029</v>
      </c>
    </row>
    <row r="107" spans="1:14" x14ac:dyDescent="0.2">
      <c r="A107" s="237">
        <v>105</v>
      </c>
      <c r="B107" s="227" t="s">
        <v>297</v>
      </c>
      <c r="C107" s="228" t="s">
        <v>1116</v>
      </c>
      <c r="D107" s="228">
        <v>9.4</v>
      </c>
      <c r="E107" s="242">
        <v>9.4600000000000009</v>
      </c>
      <c r="F107" s="228">
        <v>9</v>
      </c>
      <c r="G107" s="228">
        <v>0.73</v>
      </c>
      <c r="H107" s="228">
        <v>2</v>
      </c>
      <c r="I107" s="228">
        <v>5</v>
      </c>
      <c r="J107" s="228">
        <v>0</v>
      </c>
      <c r="K107" s="227" t="s">
        <v>714</v>
      </c>
      <c r="L107" s="228">
        <v>1969</v>
      </c>
      <c r="M107" s="228" t="s">
        <v>1815</v>
      </c>
      <c r="N107" s="229" t="s">
        <v>2086</v>
      </c>
    </row>
    <row r="108" spans="1:14" x14ac:dyDescent="0.2">
      <c r="A108" s="237">
        <v>106</v>
      </c>
      <c r="B108" s="230" t="s">
        <v>297</v>
      </c>
      <c r="C108" s="231" t="s">
        <v>960</v>
      </c>
      <c r="D108" s="231">
        <v>9.3000000000000007</v>
      </c>
      <c r="E108" s="245">
        <v>9.36</v>
      </c>
      <c r="F108" s="231">
        <v>9</v>
      </c>
      <c r="G108" s="231">
        <v>0.87</v>
      </c>
      <c r="H108" s="231">
        <v>2</v>
      </c>
      <c r="I108" s="231">
        <v>5</v>
      </c>
      <c r="J108" s="231">
        <v>0</v>
      </c>
      <c r="K108" s="230" t="s">
        <v>714</v>
      </c>
      <c r="L108" s="231">
        <v>2024</v>
      </c>
      <c r="M108" s="231" t="s">
        <v>1818</v>
      </c>
      <c r="N108" s="232" t="s">
        <v>2057</v>
      </c>
    </row>
    <row r="109" spans="1:14" x14ac:dyDescent="0.2">
      <c r="A109" s="237">
        <v>107</v>
      </c>
      <c r="B109" s="227" t="s">
        <v>297</v>
      </c>
      <c r="C109" s="228" t="s">
        <v>2526</v>
      </c>
      <c r="D109" s="228">
        <v>8.86</v>
      </c>
      <c r="E109" s="269">
        <v>8.82</v>
      </c>
      <c r="F109" s="228">
        <v>9</v>
      </c>
      <c r="G109" s="228">
        <v>0.52</v>
      </c>
      <c r="H109" s="228">
        <v>0</v>
      </c>
      <c r="I109" s="228">
        <v>7</v>
      </c>
      <c r="J109" s="228">
        <v>0</v>
      </c>
      <c r="K109" s="227" t="s">
        <v>714</v>
      </c>
      <c r="L109" s="228">
        <v>1981</v>
      </c>
      <c r="M109" s="228" t="s">
        <v>1843</v>
      </c>
      <c r="N109" s="229" t="s">
        <v>2534</v>
      </c>
    </row>
    <row r="110" spans="1:14" x14ac:dyDescent="0.2">
      <c r="A110" s="237">
        <v>108</v>
      </c>
      <c r="B110" s="230" t="s">
        <v>297</v>
      </c>
      <c r="C110" s="231" t="s">
        <v>1323</v>
      </c>
      <c r="D110" s="231">
        <v>8.83</v>
      </c>
      <c r="E110" s="273">
        <v>8.77</v>
      </c>
      <c r="F110" s="231">
        <v>8.75</v>
      </c>
      <c r="G110" s="231">
        <v>0.62</v>
      </c>
      <c r="H110" s="231">
        <v>1</v>
      </c>
      <c r="I110" s="231">
        <v>6</v>
      </c>
      <c r="J110" s="231">
        <v>0</v>
      </c>
      <c r="K110" s="230" t="s">
        <v>1325</v>
      </c>
      <c r="L110" s="231">
        <v>2023</v>
      </c>
      <c r="M110" s="231" t="s">
        <v>1838</v>
      </c>
      <c r="N110" s="232" t="s">
        <v>2047</v>
      </c>
    </row>
    <row r="111" spans="1:14" x14ac:dyDescent="0.2">
      <c r="A111" s="237">
        <v>109</v>
      </c>
      <c r="B111" s="227" t="s">
        <v>2291</v>
      </c>
      <c r="C111" s="228" t="s">
        <v>2292</v>
      </c>
      <c r="D111" s="228">
        <v>8.1999999999999993</v>
      </c>
      <c r="E111" s="316">
        <v>8.1300000000000008</v>
      </c>
      <c r="F111" s="228">
        <v>8</v>
      </c>
      <c r="G111" s="228">
        <v>0.24</v>
      </c>
      <c r="H111" s="228">
        <v>0</v>
      </c>
      <c r="I111" s="228">
        <v>5</v>
      </c>
      <c r="J111" s="228">
        <v>0</v>
      </c>
      <c r="K111" s="227" t="s">
        <v>1033</v>
      </c>
      <c r="L111" s="228">
        <v>2026</v>
      </c>
      <c r="M111" s="228" t="s">
        <v>1851</v>
      </c>
      <c r="N111" s="229" t="s">
        <v>2293</v>
      </c>
    </row>
    <row r="112" spans="1:14" x14ac:dyDescent="0.2">
      <c r="A112" s="237">
        <v>110</v>
      </c>
      <c r="B112" s="230" t="s">
        <v>296</v>
      </c>
      <c r="C112" s="231" t="s">
        <v>239</v>
      </c>
      <c r="D112" s="231">
        <v>9.3800000000000008</v>
      </c>
      <c r="E112" s="241">
        <v>9.5299999999999994</v>
      </c>
      <c r="F112" s="231">
        <v>9.5</v>
      </c>
      <c r="G112" s="231">
        <v>0.78</v>
      </c>
      <c r="H112" s="231">
        <v>3</v>
      </c>
      <c r="I112" s="231">
        <v>8</v>
      </c>
      <c r="J112" s="231">
        <v>0</v>
      </c>
      <c r="K112" s="230" t="s">
        <v>720</v>
      </c>
      <c r="L112" s="231">
        <v>1971</v>
      </c>
      <c r="M112" s="231" t="s">
        <v>1809</v>
      </c>
      <c r="N112" s="232" t="s">
        <v>2085</v>
      </c>
    </row>
    <row r="113" spans="1:14" x14ac:dyDescent="0.2">
      <c r="A113" s="237">
        <v>111</v>
      </c>
      <c r="B113" s="227" t="s">
        <v>296</v>
      </c>
      <c r="C113" s="228" t="s">
        <v>2003</v>
      </c>
      <c r="D113" s="228">
        <v>8.6</v>
      </c>
      <c r="E113" s="293">
        <v>8.5399999999999991</v>
      </c>
      <c r="F113" s="228">
        <v>8</v>
      </c>
      <c r="G113" s="228">
        <v>1.02</v>
      </c>
      <c r="H113" s="228">
        <v>2</v>
      </c>
      <c r="I113" s="228">
        <v>10</v>
      </c>
      <c r="J113" s="228">
        <v>0</v>
      </c>
      <c r="K113" s="227" t="s">
        <v>2006</v>
      </c>
      <c r="L113" s="228">
        <v>1970</v>
      </c>
      <c r="M113" s="228" t="s">
        <v>1845</v>
      </c>
      <c r="N113" s="229" t="s">
        <v>2022</v>
      </c>
    </row>
    <row r="114" spans="1:14" x14ac:dyDescent="0.2">
      <c r="A114" s="237">
        <v>112</v>
      </c>
      <c r="B114" s="230" t="s">
        <v>315</v>
      </c>
      <c r="C114" s="231" t="s">
        <v>2273</v>
      </c>
      <c r="D114" s="231">
        <v>8.92</v>
      </c>
      <c r="E114" s="256">
        <v>9</v>
      </c>
      <c r="F114" s="231">
        <v>9</v>
      </c>
      <c r="G114" s="231">
        <v>1.02</v>
      </c>
      <c r="H114" s="231">
        <v>3</v>
      </c>
      <c r="I114" s="231">
        <v>13</v>
      </c>
      <c r="J114" s="231">
        <v>1</v>
      </c>
      <c r="K114" s="230" t="s">
        <v>725</v>
      </c>
      <c r="L114" s="231">
        <v>2003</v>
      </c>
      <c r="M114" s="231" t="s">
        <v>1833</v>
      </c>
      <c r="N114" s="232" t="s">
        <v>2293</v>
      </c>
    </row>
    <row r="115" spans="1:14" x14ac:dyDescent="0.2">
      <c r="A115" s="237">
        <v>113</v>
      </c>
      <c r="B115" s="227" t="s">
        <v>315</v>
      </c>
      <c r="C115" s="228" t="s">
        <v>316</v>
      </c>
      <c r="D115" s="228">
        <v>8.42</v>
      </c>
      <c r="E115" s="306">
        <v>8.34</v>
      </c>
      <c r="F115" s="228">
        <v>8.5</v>
      </c>
      <c r="G115" s="228">
        <v>0.91</v>
      </c>
      <c r="H115" s="228">
        <v>1</v>
      </c>
      <c r="I115" s="228">
        <v>13</v>
      </c>
      <c r="J115" s="228">
        <v>1</v>
      </c>
      <c r="K115" s="227" t="s">
        <v>725</v>
      </c>
      <c r="L115" s="228">
        <v>2000</v>
      </c>
      <c r="M115" s="228" t="s">
        <v>1843</v>
      </c>
      <c r="N115" s="229" t="s">
        <v>2087</v>
      </c>
    </row>
    <row r="116" spans="1:14" x14ac:dyDescent="0.2">
      <c r="A116" s="237">
        <v>114</v>
      </c>
      <c r="B116" s="230" t="s">
        <v>2888</v>
      </c>
      <c r="C116" s="231" t="s">
        <v>2888</v>
      </c>
      <c r="D116" s="231">
        <v>8.8000000000000007</v>
      </c>
      <c r="E116" s="279">
        <v>8.6999999999999993</v>
      </c>
      <c r="F116" s="231">
        <v>8.5</v>
      </c>
      <c r="G116" s="231">
        <v>0.68</v>
      </c>
      <c r="H116" s="231">
        <v>1</v>
      </c>
      <c r="I116" s="231">
        <v>5</v>
      </c>
      <c r="J116" s="231">
        <v>0</v>
      </c>
      <c r="K116" s="230" t="s">
        <v>2889</v>
      </c>
      <c r="L116" s="231">
        <v>2007</v>
      </c>
      <c r="M116" s="231" t="s">
        <v>2890</v>
      </c>
      <c r="N116" s="232" t="s">
        <v>2887</v>
      </c>
    </row>
    <row r="117" spans="1:14" x14ac:dyDescent="0.2">
      <c r="A117" s="237">
        <v>115</v>
      </c>
      <c r="B117" s="227" t="s">
        <v>3057</v>
      </c>
      <c r="C117" s="228" t="s">
        <v>3045</v>
      </c>
      <c r="D117" s="228">
        <v>8.6300000000000008</v>
      </c>
      <c r="E117" s="294">
        <v>8.5299999999999994</v>
      </c>
      <c r="F117" s="228">
        <v>8.5</v>
      </c>
      <c r="G117" s="228">
        <v>0.68</v>
      </c>
      <c r="H117" s="228">
        <v>1</v>
      </c>
      <c r="I117" s="228">
        <v>13</v>
      </c>
      <c r="J117" s="228">
        <v>1</v>
      </c>
      <c r="K117" s="227" t="s">
        <v>3058</v>
      </c>
      <c r="L117" s="228">
        <v>2017</v>
      </c>
      <c r="M117" s="228" t="s">
        <v>1809</v>
      </c>
      <c r="N117" s="229" t="s">
        <v>3035</v>
      </c>
    </row>
    <row r="118" spans="1:14" x14ac:dyDescent="0.2">
      <c r="A118" s="237">
        <v>116</v>
      </c>
      <c r="B118" s="230" t="s">
        <v>334</v>
      </c>
      <c r="C118" s="231" t="s">
        <v>335</v>
      </c>
      <c r="D118" s="231">
        <v>8.4600000000000009</v>
      </c>
      <c r="E118" s="303">
        <v>8.39</v>
      </c>
      <c r="F118" s="231">
        <v>8.5</v>
      </c>
      <c r="G118" s="231">
        <v>0.84</v>
      </c>
      <c r="H118" s="231">
        <v>2</v>
      </c>
      <c r="I118" s="231">
        <v>13</v>
      </c>
      <c r="J118" s="231">
        <v>0</v>
      </c>
      <c r="K118" s="230" t="s">
        <v>739</v>
      </c>
      <c r="L118" s="231">
        <v>2018</v>
      </c>
      <c r="M118" s="231" t="s">
        <v>1829</v>
      </c>
      <c r="N118" s="232" t="s">
        <v>2084</v>
      </c>
    </row>
    <row r="119" spans="1:14" x14ac:dyDescent="0.2">
      <c r="A119" s="237">
        <v>117</v>
      </c>
      <c r="B119" s="227" t="s">
        <v>2118</v>
      </c>
      <c r="C119" s="228" t="s">
        <v>2119</v>
      </c>
      <c r="D119" s="228">
        <v>8.73</v>
      </c>
      <c r="E119" s="285">
        <v>8.6300000000000008</v>
      </c>
      <c r="F119" s="228">
        <v>8.5</v>
      </c>
      <c r="G119" s="228">
        <v>0.67</v>
      </c>
      <c r="H119" s="228">
        <v>2</v>
      </c>
      <c r="I119" s="228">
        <v>15</v>
      </c>
      <c r="J119" s="228">
        <v>2</v>
      </c>
      <c r="K119" s="227" t="s">
        <v>2120</v>
      </c>
      <c r="L119" s="228">
        <v>2024</v>
      </c>
      <c r="M119" s="228" t="s">
        <v>1812</v>
      </c>
      <c r="N119" s="229" t="s">
        <v>2121</v>
      </c>
    </row>
    <row r="120" spans="1:14" x14ac:dyDescent="0.2">
      <c r="A120" s="237">
        <v>118</v>
      </c>
      <c r="B120" s="230" t="s">
        <v>866</v>
      </c>
      <c r="C120" s="231" t="s">
        <v>857</v>
      </c>
      <c r="D120" s="231">
        <v>9.06</v>
      </c>
      <c r="E120" s="251">
        <v>9.1</v>
      </c>
      <c r="F120" s="231">
        <v>8.75</v>
      </c>
      <c r="G120" s="231">
        <v>0.92</v>
      </c>
      <c r="H120" s="231">
        <v>3</v>
      </c>
      <c r="I120" s="231">
        <v>9</v>
      </c>
      <c r="J120" s="231">
        <v>1</v>
      </c>
      <c r="K120" s="230" t="s">
        <v>867</v>
      </c>
      <c r="L120" s="231">
        <v>1979</v>
      </c>
      <c r="M120" s="231" t="s">
        <v>1806</v>
      </c>
      <c r="N120" s="232" t="s">
        <v>2063</v>
      </c>
    </row>
    <row r="121" spans="1:14" x14ac:dyDescent="0.2">
      <c r="A121" s="237">
        <v>119</v>
      </c>
      <c r="B121" s="227" t="s">
        <v>2320</v>
      </c>
      <c r="C121" s="228" t="s">
        <v>2321</v>
      </c>
      <c r="D121" s="228">
        <v>8.69</v>
      </c>
      <c r="E121" s="294">
        <v>8.5299999999999994</v>
      </c>
      <c r="F121" s="228">
        <v>8.25</v>
      </c>
      <c r="G121" s="228">
        <v>0.79</v>
      </c>
      <c r="H121" s="228">
        <v>1</v>
      </c>
      <c r="I121" s="228">
        <v>8</v>
      </c>
      <c r="J121" s="228">
        <v>0</v>
      </c>
      <c r="K121" s="227" t="s">
        <v>2323</v>
      </c>
      <c r="L121" s="228">
        <v>1976</v>
      </c>
      <c r="M121" s="228" t="s">
        <v>1822</v>
      </c>
      <c r="N121" s="229" t="s">
        <v>2324</v>
      </c>
    </row>
    <row r="122" spans="1:14" x14ac:dyDescent="0.2">
      <c r="A122" s="237">
        <v>120</v>
      </c>
      <c r="B122" s="230" t="s">
        <v>309</v>
      </c>
      <c r="C122" s="231" t="s">
        <v>218</v>
      </c>
      <c r="D122" s="231">
        <v>8.77</v>
      </c>
      <c r="E122" s="282">
        <v>8.66</v>
      </c>
      <c r="F122" s="231">
        <v>8.5</v>
      </c>
      <c r="G122" s="231">
        <v>0.86</v>
      </c>
      <c r="H122" s="231">
        <v>3</v>
      </c>
      <c r="I122" s="231">
        <v>11</v>
      </c>
      <c r="J122" s="231">
        <v>0</v>
      </c>
      <c r="K122" s="230" t="s">
        <v>723</v>
      </c>
      <c r="L122" s="231">
        <v>1998</v>
      </c>
      <c r="M122" s="231" t="s">
        <v>1840</v>
      </c>
      <c r="N122" s="232" t="s">
        <v>2087</v>
      </c>
    </row>
    <row r="123" spans="1:14" x14ac:dyDescent="0.2">
      <c r="A123" s="237">
        <v>121</v>
      </c>
      <c r="B123" s="227" t="s">
        <v>304</v>
      </c>
      <c r="C123" s="228" t="s">
        <v>229</v>
      </c>
      <c r="D123" s="228">
        <v>9</v>
      </c>
      <c r="E123" s="251">
        <v>9.09</v>
      </c>
      <c r="F123" s="228">
        <v>9</v>
      </c>
      <c r="G123" s="228">
        <v>0.82</v>
      </c>
      <c r="H123" s="228">
        <v>2</v>
      </c>
      <c r="I123" s="228">
        <v>9</v>
      </c>
      <c r="J123" s="228">
        <v>0</v>
      </c>
      <c r="K123" s="227" t="s">
        <v>734</v>
      </c>
      <c r="L123" s="228">
        <v>1990</v>
      </c>
      <c r="M123" s="228" t="s">
        <v>1822</v>
      </c>
      <c r="N123" s="229" t="s">
        <v>2085</v>
      </c>
    </row>
    <row r="124" spans="1:14" x14ac:dyDescent="0.2">
      <c r="A124" s="237">
        <v>122</v>
      </c>
      <c r="B124" s="230" t="s">
        <v>304</v>
      </c>
      <c r="C124" s="231" t="s">
        <v>304</v>
      </c>
      <c r="D124" s="231">
        <v>7.77</v>
      </c>
      <c r="E124" s="328">
        <v>7.64</v>
      </c>
      <c r="F124" s="231">
        <v>7.5</v>
      </c>
      <c r="G124" s="231">
        <v>0.62</v>
      </c>
      <c r="H124" s="231">
        <v>0</v>
      </c>
      <c r="I124" s="231">
        <v>11</v>
      </c>
      <c r="J124" s="231">
        <v>0</v>
      </c>
      <c r="K124" s="230" t="s">
        <v>734</v>
      </c>
      <c r="L124" s="231">
        <v>2026</v>
      </c>
      <c r="M124" s="231" t="s">
        <v>1817</v>
      </c>
      <c r="N124" s="232" t="s">
        <v>2081</v>
      </c>
    </row>
    <row r="125" spans="1:14" x14ac:dyDescent="0.2">
      <c r="A125" s="237">
        <v>123</v>
      </c>
      <c r="B125" s="227" t="s">
        <v>1211</v>
      </c>
      <c r="C125" s="228" t="s">
        <v>1212</v>
      </c>
      <c r="D125" s="228">
        <v>8.67</v>
      </c>
      <c r="E125" s="271">
        <v>8.7899999999999991</v>
      </c>
      <c r="F125" s="228">
        <v>9</v>
      </c>
      <c r="G125" s="228">
        <v>1.08</v>
      </c>
      <c r="H125" s="228">
        <v>2</v>
      </c>
      <c r="I125" s="228">
        <v>9</v>
      </c>
      <c r="J125" s="228">
        <v>0</v>
      </c>
      <c r="K125" s="227" t="s">
        <v>1215</v>
      </c>
      <c r="L125" s="228">
        <v>2008</v>
      </c>
      <c r="M125" s="228" t="s">
        <v>1836</v>
      </c>
      <c r="N125" s="229" t="s">
        <v>2052</v>
      </c>
    </row>
    <row r="126" spans="1:14" x14ac:dyDescent="0.2">
      <c r="A126" s="237">
        <v>124</v>
      </c>
      <c r="B126" s="230" t="s">
        <v>1211</v>
      </c>
      <c r="C126" s="231" t="s">
        <v>3566</v>
      </c>
      <c r="D126" s="231">
        <v>8.1999999999999993</v>
      </c>
      <c r="E126" s="393">
        <v>8.2100000000000009</v>
      </c>
      <c r="F126" s="231">
        <v>8</v>
      </c>
      <c r="G126" s="231">
        <v>0.95</v>
      </c>
      <c r="H126" s="231">
        <v>1</v>
      </c>
      <c r="I126" s="231">
        <v>10</v>
      </c>
      <c r="J126" s="231">
        <v>0</v>
      </c>
      <c r="K126" s="230" t="s">
        <v>3567</v>
      </c>
      <c r="L126" s="231">
        <v>2002</v>
      </c>
      <c r="M126" s="231" t="s">
        <v>1812</v>
      </c>
      <c r="N126" s="232" t="s">
        <v>3568</v>
      </c>
    </row>
    <row r="127" spans="1:14" x14ac:dyDescent="0.2">
      <c r="A127" s="237">
        <v>125</v>
      </c>
      <c r="B127" s="227" t="s">
        <v>301</v>
      </c>
      <c r="C127" s="228" t="s">
        <v>56</v>
      </c>
      <c r="D127" s="228">
        <v>9.25</v>
      </c>
      <c r="E127" s="244">
        <v>9.3699999999999992</v>
      </c>
      <c r="F127" s="228">
        <v>9.25</v>
      </c>
      <c r="G127" s="228">
        <v>0.83</v>
      </c>
      <c r="H127" s="228">
        <v>3</v>
      </c>
      <c r="I127" s="228">
        <v>8</v>
      </c>
      <c r="J127" s="228">
        <v>0</v>
      </c>
      <c r="K127" s="227" t="s">
        <v>734</v>
      </c>
      <c r="L127" s="228">
        <v>1986</v>
      </c>
      <c r="M127" s="228" t="s">
        <v>1816</v>
      </c>
      <c r="N127" s="229" t="s">
        <v>2086</v>
      </c>
    </row>
    <row r="128" spans="1:14" x14ac:dyDescent="0.2">
      <c r="A128" s="237">
        <v>126</v>
      </c>
      <c r="B128" s="230" t="s">
        <v>301</v>
      </c>
      <c r="C128" s="231" t="s">
        <v>653</v>
      </c>
      <c r="D128" s="231">
        <v>9.1300000000000008</v>
      </c>
      <c r="E128" s="248">
        <v>9.2100000000000009</v>
      </c>
      <c r="F128" s="231">
        <v>9</v>
      </c>
      <c r="G128" s="231">
        <v>0.93</v>
      </c>
      <c r="H128" s="231">
        <v>3</v>
      </c>
      <c r="I128" s="231">
        <v>8</v>
      </c>
      <c r="J128" s="231">
        <v>0</v>
      </c>
      <c r="K128" s="230" t="s">
        <v>734</v>
      </c>
      <c r="L128" s="231">
        <v>1984</v>
      </c>
      <c r="M128" s="231" t="s">
        <v>1817</v>
      </c>
      <c r="N128" s="232" t="s">
        <v>2071</v>
      </c>
    </row>
    <row r="129" spans="1:14" x14ac:dyDescent="0.2">
      <c r="A129" s="237">
        <v>127</v>
      </c>
      <c r="B129" s="227" t="s">
        <v>301</v>
      </c>
      <c r="C129" s="228" t="s">
        <v>1063</v>
      </c>
      <c r="D129" s="228">
        <v>9</v>
      </c>
      <c r="E129" s="252">
        <v>9.08</v>
      </c>
      <c r="F129" s="228">
        <v>9</v>
      </c>
      <c r="G129" s="228">
        <v>0.88</v>
      </c>
      <c r="H129" s="228">
        <v>2</v>
      </c>
      <c r="I129" s="228">
        <v>9</v>
      </c>
      <c r="J129" s="228">
        <v>0</v>
      </c>
      <c r="K129" s="227" t="s">
        <v>734</v>
      </c>
      <c r="L129" s="228">
        <v>1988</v>
      </c>
      <c r="M129" s="228" t="s">
        <v>1823</v>
      </c>
      <c r="N129" s="229" t="s">
        <v>2055</v>
      </c>
    </row>
    <row r="130" spans="1:14" x14ac:dyDescent="0.2">
      <c r="A130" s="237">
        <v>128</v>
      </c>
      <c r="B130" s="230" t="s">
        <v>301</v>
      </c>
      <c r="C130" s="231" t="s">
        <v>2190</v>
      </c>
      <c r="D130" s="231">
        <v>8.6999999999999993</v>
      </c>
      <c r="E130" s="287">
        <v>8.61</v>
      </c>
      <c r="F130" s="231">
        <v>8.5</v>
      </c>
      <c r="G130" s="231">
        <v>0.75</v>
      </c>
      <c r="H130" s="231">
        <v>2</v>
      </c>
      <c r="I130" s="231">
        <v>10</v>
      </c>
      <c r="J130" s="231">
        <v>0</v>
      </c>
      <c r="K130" s="230" t="s">
        <v>734</v>
      </c>
      <c r="L130" s="231">
        <v>1983</v>
      </c>
      <c r="M130" s="231" t="s">
        <v>1820</v>
      </c>
      <c r="N130" s="232" t="s">
        <v>2178</v>
      </c>
    </row>
    <row r="131" spans="1:14" x14ac:dyDescent="0.2">
      <c r="A131" s="237">
        <v>129</v>
      </c>
      <c r="B131" s="227" t="s">
        <v>301</v>
      </c>
      <c r="C131" s="228" t="s">
        <v>301</v>
      </c>
      <c r="D131" s="228">
        <v>8.4600000000000009</v>
      </c>
      <c r="E131" s="283">
        <v>8.65</v>
      </c>
      <c r="F131" s="228">
        <v>8.5</v>
      </c>
      <c r="G131" s="228">
        <v>1.33</v>
      </c>
      <c r="H131" s="228">
        <v>3</v>
      </c>
      <c r="I131" s="228">
        <v>12</v>
      </c>
      <c r="J131" s="228">
        <v>0</v>
      </c>
      <c r="K131" s="227" t="s">
        <v>1284</v>
      </c>
      <c r="L131" s="228">
        <v>2021</v>
      </c>
      <c r="M131" s="228" t="s">
        <v>1842</v>
      </c>
      <c r="N131" s="229" t="s">
        <v>2049</v>
      </c>
    </row>
    <row r="132" spans="1:14" x14ac:dyDescent="0.2">
      <c r="A132" s="237">
        <v>130</v>
      </c>
      <c r="B132" s="230" t="s">
        <v>301</v>
      </c>
      <c r="C132" s="231" t="s">
        <v>3858</v>
      </c>
      <c r="D132" s="231">
        <v>8.0399999999999991</v>
      </c>
      <c r="E132" s="414">
        <v>7.96</v>
      </c>
      <c r="F132" s="231">
        <v>8</v>
      </c>
      <c r="G132" s="231">
        <v>0.57999999999999996</v>
      </c>
      <c r="H132" s="231">
        <v>0</v>
      </c>
      <c r="I132" s="231">
        <v>14</v>
      </c>
      <c r="J132" s="231">
        <v>0</v>
      </c>
      <c r="K132" s="230" t="s">
        <v>2962</v>
      </c>
      <c r="L132" s="231">
        <v>1996</v>
      </c>
      <c r="M132" s="231" t="s">
        <v>3878</v>
      </c>
      <c r="N132" s="232" t="s">
        <v>3879</v>
      </c>
    </row>
    <row r="133" spans="1:14" x14ac:dyDescent="0.2">
      <c r="A133" s="237">
        <v>131</v>
      </c>
      <c r="B133" s="227" t="s">
        <v>301</v>
      </c>
      <c r="C133" s="228" t="s">
        <v>1701</v>
      </c>
      <c r="D133" s="228">
        <v>3.68</v>
      </c>
      <c r="E133" s="335">
        <v>3.37</v>
      </c>
      <c r="F133" s="228">
        <v>3</v>
      </c>
      <c r="G133" s="228">
        <v>1.37</v>
      </c>
      <c r="H133" s="228">
        <v>0</v>
      </c>
      <c r="I133" s="228">
        <v>11</v>
      </c>
      <c r="J133" s="228">
        <v>0</v>
      </c>
      <c r="K133" s="227" t="s">
        <v>731</v>
      </c>
      <c r="L133" s="228">
        <v>2003</v>
      </c>
      <c r="M133" s="228" t="s">
        <v>1810</v>
      </c>
      <c r="N133" s="229" t="s">
        <v>2030</v>
      </c>
    </row>
    <row r="134" spans="1:14" x14ac:dyDescent="0.2">
      <c r="A134" s="237">
        <v>132</v>
      </c>
      <c r="B134" s="230" t="s">
        <v>2614</v>
      </c>
      <c r="C134" s="231" t="s">
        <v>2607</v>
      </c>
      <c r="D134" s="231">
        <v>9.06</v>
      </c>
      <c r="E134" s="255">
        <v>9.02</v>
      </c>
      <c r="F134" s="231">
        <v>9</v>
      </c>
      <c r="G134" s="231">
        <v>0.72</v>
      </c>
      <c r="H134" s="231">
        <v>3</v>
      </c>
      <c r="I134" s="231">
        <v>9</v>
      </c>
      <c r="J134" s="231">
        <v>0</v>
      </c>
      <c r="K134" s="230" t="s">
        <v>2616</v>
      </c>
      <c r="L134" s="231">
        <v>1982</v>
      </c>
      <c r="M134" s="231" t="s">
        <v>1809</v>
      </c>
      <c r="N134" s="232" t="s">
        <v>2617</v>
      </c>
    </row>
    <row r="135" spans="1:14" x14ac:dyDescent="0.2">
      <c r="A135" s="237">
        <v>133</v>
      </c>
      <c r="B135" s="227" t="s">
        <v>1579</v>
      </c>
      <c r="C135" s="228" t="s">
        <v>1580</v>
      </c>
      <c r="D135" s="228">
        <v>8.4</v>
      </c>
      <c r="E135" s="305">
        <v>8.3699999999999992</v>
      </c>
      <c r="F135" s="228">
        <v>8.5</v>
      </c>
      <c r="G135" s="228">
        <v>0.37</v>
      </c>
      <c r="H135" s="228">
        <v>0</v>
      </c>
      <c r="I135" s="228">
        <v>5</v>
      </c>
      <c r="J135" s="228">
        <v>0</v>
      </c>
      <c r="K135" s="227" t="s">
        <v>1581</v>
      </c>
      <c r="L135" s="228">
        <v>2026</v>
      </c>
      <c r="M135" s="228" t="s">
        <v>1820</v>
      </c>
      <c r="N135" s="229" t="s">
        <v>2036</v>
      </c>
    </row>
    <row r="136" spans="1:14" x14ac:dyDescent="0.2">
      <c r="A136" s="237">
        <v>134</v>
      </c>
      <c r="B136" s="230" t="s">
        <v>3018</v>
      </c>
      <c r="C136" s="231" t="s">
        <v>3019</v>
      </c>
      <c r="D136" s="231">
        <v>8.4</v>
      </c>
      <c r="E136" s="354">
        <v>8.3000000000000007</v>
      </c>
      <c r="F136" s="231">
        <v>8.25</v>
      </c>
      <c r="G136" s="231">
        <v>0.73</v>
      </c>
      <c r="H136" s="231">
        <v>1</v>
      </c>
      <c r="I136" s="231">
        <v>10</v>
      </c>
      <c r="J136" s="231">
        <v>0</v>
      </c>
      <c r="K136" s="230" t="s">
        <v>1034</v>
      </c>
      <c r="L136" s="231">
        <v>1989</v>
      </c>
      <c r="M136" s="231" t="s">
        <v>1827</v>
      </c>
      <c r="N136" s="232" t="s">
        <v>3003</v>
      </c>
    </row>
    <row r="137" spans="1:14" x14ac:dyDescent="0.2">
      <c r="A137" s="237">
        <v>135</v>
      </c>
      <c r="B137" s="227" t="s">
        <v>2582</v>
      </c>
      <c r="C137" s="228" t="s">
        <v>2583</v>
      </c>
      <c r="D137" s="228">
        <v>8.75</v>
      </c>
      <c r="E137" s="281">
        <v>8.67</v>
      </c>
      <c r="F137" s="228">
        <v>8.75</v>
      </c>
      <c r="G137" s="228">
        <v>0.75</v>
      </c>
      <c r="H137" s="228">
        <v>1</v>
      </c>
      <c r="I137" s="228">
        <v>11</v>
      </c>
      <c r="J137" s="228">
        <v>1</v>
      </c>
      <c r="K137" s="227" t="s">
        <v>2615</v>
      </c>
      <c r="L137" s="228">
        <v>1991</v>
      </c>
      <c r="M137" s="228" t="s">
        <v>1826</v>
      </c>
      <c r="N137" s="229" t="s">
        <v>2586</v>
      </c>
    </row>
    <row r="138" spans="1:14" x14ac:dyDescent="0.2">
      <c r="A138" s="237">
        <v>136</v>
      </c>
      <c r="B138" s="230" t="s">
        <v>308</v>
      </c>
      <c r="C138" s="231" t="s">
        <v>240</v>
      </c>
      <c r="D138" s="231">
        <v>8.7799999999999994</v>
      </c>
      <c r="E138" s="274">
        <v>8.76</v>
      </c>
      <c r="F138" s="231">
        <v>9</v>
      </c>
      <c r="G138" s="231">
        <v>0.79</v>
      </c>
      <c r="H138" s="231">
        <v>2</v>
      </c>
      <c r="I138" s="231">
        <v>10</v>
      </c>
      <c r="J138" s="231">
        <v>1</v>
      </c>
      <c r="K138" s="230" t="s">
        <v>721</v>
      </c>
      <c r="L138" s="231">
        <v>1994</v>
      </c>
      <c r="M138" s="231" t="s">
        <v>1838</v>
      </c>
      <c r="N138" s="232" t="s">
        <v>2085</v>
      </c>
    </row>
    <row r="139" spans="1:14" x14ac:dyDescent="0.2">
      <c r="A139" s="237">
        <v>137</v>
      </c>
      <c r="B139" s="227" t="s">
        <v>3139</v>
      </c>
      <c r="C139" s="228" t="s">
        <v>3140</v>
      </c>
      <c r="D139" s="228">
        <v>9.14</v>
      </c>
      <c r="E139" s="247">
        <v>9.23</v>
      </c>
      <c r="F139" s="228">
        <v>9</v>
      </c>
      <c r="G139" s="228">
        <v>0.74</v>
      </c>
      <c r="H139" s="228">
        <v>2</v>
      </c>
      <c r="I139" s="228">
        <v>7</v>
      </c>
      <c r="J139" s="228">
        <v>0</v>
      </c>
      <c r="K139" s="227" t="s">
        <v>733</v>
      </c>
      <c r="L139" s="228">
        <v>2012</v>
      </c>
      <c r="M139" s="228" t="s">
        <v>1847</v>
      </c>
      <c r="N139" s="229" t="s">
        <v>3130</v>
      </c>
    </row>
    <row r="140" spans="1:14" x14ac:dyDescent="0.2">
      <c r="A140" s="237">
        <v>138</v>
      </c>
      <c r="B140" s="230" t="s">
        <v>1923</v>
      </c>
      <c r="C140" s="231" t="s">
        <v>1924</v>
      </c>
      <c r="D140" s="231">
        <v>8.43</v>
      </c>
      <c r="E140" s="304">
        <v>8.3800000000000008</v>
      </c>
      <c r="F140" s="231">
        <v>8.5</v>
      </c>
      <c r="G140" s="231">
        <v>0.49</v>
      </c>
      <c r="H140" s="231">
        <v>0</v>
      </c>
      <c r="I140" s="231">
        <v>8</v>
      </c>
      <c r="J140" s="231">
        <v>1</v>
      </c>
      <c r="K140" s="230" t="s">
        <v>1925</v>
      </c>
      <c r="L140" s="231">
        <v>2026</v>
      </c>
      <c r="M140" s="231" t="s">
        <v>1840</v>
      </c>
      <c r="N140" s="232" t="s">
        <v>2024</v>
      </c>
    </row>
    <row r="141" spans="1:14" x14ac:dyDescent="0.2">
      <c r="A141" s="237">
        <v>139</v>
      </c>
      <c r="B141" s="227" t="s">
        <v>795</v>
      </c>
      <c r="C141" s="228" t="s">
        <v>790</v>
      </c>
      <c r="D141" s="228">
        <v>8.7100000000000009</v>
      </c>
      <c r="E141" s="274">
        <v>8.76</v>
      </c>
      <c r="F141" s="228">
        <v>8.5</v>
      </c>
      <c r="G141" s="228">
        <v>0.75</v>
      </c>
      <c r="H141" s="228">
        <v>2</v>
      </c>
      <c r="I141" s="228">
        <v>14</v>
      </c>
      <c r="J141" s="228">
        <v>0</v>
      </c>
      <c r="K141" s="227" t="s">
        <v>796</v>
      </c>
      <c r="L141" s="228">
        <v>2005</v>
      </c>
      <c r="M141" s="228" t="s">
        <v>1840</v>
      </c>
      <c r="N141" s="229" t="s">
        <v>2064</v>
      </c>
    </row>
    <row r="142" spans="1:14" x14ac:dyDescent="0.2">
      <c r="A142" s="237">
        <v>140</v>
      </c>
      <c r="B142" s="230" t="s">
        <v>795</v>
      </c>
      <c r="C142" s="231" t="s">
        <v>2177</v>
      </c>
      <c r="D142" s="231">
        <v>8.57</v>
      </c>
      <c r="E142" s="297">
        <v>8.49</v>
      </c>
      <c r="F142" s="231">
        <v>8.5</v>
      </c>
      <c r="G142" s="231">
        <v>0.6</v>
      </c>
      <c r="H142" s="231">
        <v>1</v>
      </c>
      <c r="I142" s="231">
        <v>15</v>
      </c>
      <c r="J142" s="231">
        <v>0</v>
      </c>
      <c r="K142" s="230" t="s">
        <v>796</v>
      </c>
      <c r="L142" s="231">
        <v>2003</v>
      </c>
      <c r="M142" s="231" t="s">
        <v>1842</v>
      </c>
      <c r="N142" s="232" t="s">
        <v>2178</v>
      </c>
    </row>
    <row r="143" spans="1:14" x14ac:dyDescent="0.2">
      <c r="A143" s="237">
        <v>141</v>
      </c>
      <c r="B143" s="227" t="s">
        <v>3926</v>
      </c>
      <c r="C143" s="228" t="s">
        <v>3927</v>
      </c>
      <c r="D143" s="228">
        <v>8.35</v>
      </c>
      <c r="E143" s="308">
        <v>8.27</v>
      </c>
      <c r="F143" s="228">
        <v>8.25</v>
      </c>
      <c r="G143" s="228">
        <v>0.5</v>
      </c>
      <c r="H143" s="228">
        <v>0</v>
      </c>
      <c r="I143" s="228">
        <v>10</v>
      </c>
      <c r="J143" s="228">
        <v>0</v>
      </c>
      <c r="K143" s="227" t="s">
        <v>3960</v>
      </c>
      <c r="L143" s="228">
        <v>2025</v>
      </c>
      <c r="M143" s="228" t="s">
        <v>1829</v>
      </c>
      <c r="N143" s="229" t="s">
        <v>3961</v>
      </c>
    </row>
    <row r="144" spans="1:14" x14ac:dyDescent="0.2">
      <c r="A144" s="237">
        <v>142</v>
      </c>
      <c r="B144" s="230" t="s">
        <v>300</v>
      </c>
      <c r="C144" s="231" t="s">
        <v>131</v>
      </c>
      <c r="D144" s="231">
        <v>9.2899999999999991</v>
      </c>
      <c r="E144" s="412">
        <v>9.44</v>
      </c>
      <c r="F144" s="231">
        <v>9.5</v>
      </c>
      <c r="G144" s="231">
        <v>0.8</v>
      </c>
      <c r="H144" s="231">
        <v>2</v>
      </c>
      <c r="I144" s="231">
        <v>7</v>
      </c>
      <c r="J144" s="231">
        <v>0</v>
      </c>
      <c r="K144" s="230" t="s">
        <v>735</v>
      </c>
      <c r="L144" s="231">
        <v>2001</v>
      </c>
      <c r="M144" s="231" t="s">
        <v>1807</v>
      </c>
      <c r="N144" s="232" t="s">
        <v>2087</v>
      </c>
    </row>
    <row r="145" spans="1:14" x14ac:dyDescent="0.2">
      <c r="A145" s="237">
        <v>143</v>
      </c>
      <c r="B145" s="227" t="s">
        <v>300</v>
      </c>
      <c r="C145" s="228" t="s">
        <v>923</v>
      </c>
      <c r="D145" s="228">
        <v>9.06</v>
      </c>
      <c r="E145" s="250">
        <v>9.14</v>
      </c>
      <c r="F145" s="228">
        <v>9</v>
      </c>
      <c r="G145" s="228">
        <v>0.85</v>
      </c>
      <c r="H145" s="228">
        <v>2</v>
      </c>
      <c r="I145" s="228">
        <v>8</v>
      </c>
      <c r="J145" s="228">
        <v>0</v>
      </c>
      <c r="K145" s="227" t="s">
        <v>735</v>
      </c>
      <c r="L145" s="228">
        <v>2005</v>
      </c>
      <c r="M145" s="228" t="s">
        <v>1825</v>
      </c>
      <c r="N145" s="229" t="s">
        <v>2059</v>
      </c>
    </row>
    <row r="146" spans="1:14" x14ac:dyDescent="0.2">
      <c r="A146" s="237">
        <v>144</v>
      </c>
      <c r="B146" s="230" t="s">
        <v>300</v>
      </c>
      <c r="C146" s="231" t="s">
        <v>2414</v>
      </c>
      <c r="D146" s="231">
        <v>8.9</v>
      </c>
      <c r="E146" s="262">
        <v>8.9</v>
      </c>
      <c r="F146" s="231">
        <v>8.5</v>
      </c>
      <c r="G146" s="231">
        <v>0.86</v>
      </c>
      <c r="H146" s="231">
        <v>1</v>
      </c>
      <c r="I146" s="231">
        <v>6</v>
      </c>
      <c r="J146" s="231">
        <v>1</v>
      </c>
      <c r="K146" s="230" t="s">
        <v>735</v>
      </c>
      <c r="L146" s="231">
        <v>2002</v>
      </c>
      <c r="M146" s="231" t="s">
        <v>1821</v>
      </c>
      <c r="N146" s="232" t="s">
        <v>2419</v>
      </c>
    </row>
    <row r="147" spans="1:14" x14ac:dyDescent="0.2">
      <c r="A147" s="237">
        <v>145</v>
      </c>
      <c r="B147" s="227" t="s">
        <v>300</v>
      </c>
      <c r="C147" s="228" t="s">
        <v>855</v>
      </c>
      <c r="D147" s="228">
        <v>8.86</v>
      </c>
      <c r="E147" s="267">
        <v>8.85</v>
      </c>
      <c r="F147" s="228">
        <v>8.5</v>
      </c>
      <c r="G147" s="228">
        <v>0.95</v>
      </c>
      <c r="H147" s="228">
        <v>1</v>
      </c>
      <c r="I147" s="228">
        <v>7</v>
      </c>
      <c r="J147" s="228">
        <v>0</v>
      </c>
      <c r="K147" s="227" t="s">
        <v>735</v>
      </c>
      <c r="L147" s="228">
        <v>1999</v>
      </c>
      <c r="M147" s="228" t="s">
        <v>1842</v>
      </c>
      <c r="N147" s="229" t="s">
        <v>2062</v>
      </c>
    </row>
    <row r="148" spans="1:14" x14ac:dyDescent="0.2">
      <c r="A148" s="237">
        <v>146</v>
      </c>
      <c r="B148" s="230" t="s">
        <v>300</v>
      </c>
      <c r="C148" s="231" t="s">
        <v>473</v>
      </c>
      <c r="D148" s="231">
        <v>8.81</v>
      </c>
      <c r="E148" s="381">
        <v>8.73</v>
      </c>
      <c r="F148" s="231">
        <v>8.75</v>
      </c>
      <c r="G148" s="231">
        <v>0.79</v>
      </c>
      <c r="H148" s="231">
        <v>1</v>
      </c>
      <c r="I148" s="231">
        <v>8</v>
      </c>
      <c r="J148" s="231">
        <v>0</v>
      </c>
      <c r="K148" s="230" t="s">
        <v>735</v>
      </c>
      <c r="L148" s="231">
        <v>2003</v>
      </c>
      <c r="M148" s="231" t="s">
        <v>1845</v>
      </c>
      <c r="N148" s="232" t="s">
        <v>2079</v>
      </c>
    </row>
    <row r="149" spans="1:14" x14ac:dyDescent="0.2">
      <c r="A149" s="237">
        <v>147</v>
      </c>
      <c r="B149" s="227" t="s">
        <v>300</v>
      </c>
      <c r="C149" s="228" t="s">
        <v>2214</v>
      </c>
      <c r="D149" s="228">
        <v>8.64</v>
      </c>
      <c r="E149" s="292">
        <v>8.5500000000000007</v>
      </c>
      <c r="F149" s="228">
        <v>8.5</v>
      </c>
      <c r="G149" s="228">
        <v>0.74</v>
      </c>
      <c r="H149" s="228">
        <v>1</v>
      </c>
      <c r="I149" s="228">
        <v>7</v>
      </c>
      <c r="J149" s="228">
        <v>0</v>
      </c>
      <c r="K149" s="227" t="s">
        <v>733</v>
      </c>
      <c r="L149" s="228">
        <v>2008</v>
      </c>
      <c r="M149" s="228" t="s">
        <v>1849</v>
      </c>
      <c r="N149" s="229" t="s">
        <v>2234</v>
      </c>
    </row>
    <row r="150" spans="1:14" x14ac:dyDescent="0.2">
      <c r="A150" s="237">
        <v>148</v>
      </c>
      <c r="B150" s="230" t="s">
        <v>300</v>
      </c>
      <c r="C150" s="231" t="s">
        <v>1903</v>
      </c>
      <c r="D150" s="231">
        <v>8.5</v>
      </c>
      <c r="E150" s="299">
        <v>8.4600000000000009</v>
      </c>
      <c r="F150" s="231">
        <v>8.5</v>
      </c>
      <c r="G150" s="231">
        <v>0.35</v>
      </c>
      <c r="H150" s="231">
        <v>0</v>
      </c>
      <c r="I150" s="231">
        <v>8</v>
      </c>
      <c r="J150" s="231">
        <v>0</v>
      </c>
      <c r="K150" s="230" t="s">
        <v>733</v>
      </c>
      <c r="L150" s="231">
        <v>2024</v>
      </c>
      <c r="M150" s="231" t="s">
        <v>1853</v>
      </c>
      <c r="N150" s="232" t="s">
        <v>2025</v>
      </c>
    </row>
    <row r="151" spans="1:14" x14ac:dyDescent="0.2">
      <c r="A151" s="237">
        <v>149</v>
      </c>
      <c r="B151" s="227" t="s">
        <v>300</v>
      </c>
      <c r="C151" s="228" t="s">
        <v>1623</v>
      </c>
      <c r="D151" s="228">
        <v>8.4</v>
      </c>
      <c r="E151" s="309">
        <v>8.25</v>
      </c>
      <c r="F151" s="228">
        <v>8</v>
      </c>
      <c r="G151" s="228">
        <v>0.86</v>
      </c>
      <c r="H151" s="228">
        <v>1</v>
      </c>
      <c r="I151" s="228">
        <v>5</v>
      </c>
      <c r="J151" s="228">
        <v>0</v>
      </c>
      <c r="K151" s="227" t="s">
        <v>733</v>
      </c>
      <c r="L151" s="228">
        <v>1996</v>
      </c>
      <c r="M151" s="228" t="s">
        <v>1834</v>
      </c>
      <c r="N151" s="229" t="s">
        <v>2033</v>
      </c>
    </row>
    <row r="152" spans="1:14" x14ac:dyDescent="0.2">
      <c r="A152" s="237">
        <v>150</v>
      </c>
      <c r="B152" s="230" t="s">
        <v>300</v>
      </c>
      <c r="C152" s="231" t="s">
        <v>1740</v>
      </c>
      <c r="D152" s="231">
        <v>8.2899999999999991</v>
      </c>
      <c r="E152" s="308">
        <v>8.27</v>
      </c>
      <c r="F152" s="231">
        <v>8.5</v>
      </c>
      <c r="G152" s="231">
        <v>0.45</v>
      </c>
      <c r="H152" s="231">
        <v>0</v>
      </c>
      <c r="I152" s="231">
        <v>9</v>
      </c>
      <c r="J152" s="231">
        <v>2</v>
      </c>
      <c r="K152" s="230" t="s">
        <v>735</v>
      </c>
      <c r="L152" s="231">
        <v>1998</v>
      </c>
      <c r="M152" s="231" t="s">
        <v>1842</v>
      </c>
      <c r="N152" s="232" t="s">
        <v>2028</v>
      </c>
    </row>
    <row r="153" spans="1:14" x14ac:dyDescent="0.2">
      <c r="A153" s="237">
        <v>151</v>
      </c>
      <c r="B153" s="227" t="s">
        <v>300</v>
      </c>
      <c r="C153" s="228" t="s">
        <v>1676</v>
      </c>
      <c r="D153" s="228">
        <v>8.25</v>
      </c>
      <c r="E153" s="316">
        <v>8.1300000000000008</v>
      </c>
      <c r="F153" s="228">
        <v>8.25</v>
      </c>
      <c r="G153" s="228">
        <v>0.97</v>
      </c>
      <c r="H153" s="228">
        <v>0</v>
      </c>
      <c r="I153" s="228">
        <v>8</v>
      </c>
      <c r="J153" s="228">
        <v>0</v>
      </c>
      <c r="K153" s="227" t="s">
        <v>1024</v>
      </c>
      <c r="L153" s="228">
        <v>2014</v>
      </c>
      <c r="M153" s="228" t="s">
        <v>1849</v>
      </c>
      <c r="N153" s="229" t="s">
        <v>2031</v>
      </c>
    </row>
    <row r="154" spans="1:14" x14ac:dyDescent="0.2">
      <c r="A154" s="237">
        <v>152</v>
      </c>
      <c r="B154" s="230" t="s">
        <v>300</v>
      </c>
      <c r="C154" s="231" t="s">
        <v>2350</v>
      </c>
      <c r="D154" s="231">
        <v>8.11</v>
      </c>
      <c r="E154" s="319">
        <v>8.0299999999999994</v>
      </c>
      <c r="F154" s="231">
        <v>8</v>
      </c>
      <c r="G154" s="231">
        <v>0.46</v>
      </c>
      <c r="H154" s="231">
        <v>0</v>
      </c>
      <c r="I154" s="231">
        <v>11</v>
      </c>
      <c r="J154" s="231">
        <v>2</v>
      </c>
      <c r="K154" s="230" t="s">
        <v>1024</v>
      </c>
      <c r="L154" s="231">
        <v>2016</v>
      </c>
      <c r="M154" s="231" t="s">
        <v>1841</v>
      </c>
      <c r="N154" s="232" t="s">
        <v>2379</v>
      </c>
    </row>
    <row r="155" spans="1:14" x14ac:dyDescent="0.2">
      <c r="A155" s="237">
        <v>153</v>
      </c>
      <c r="B155" s="227" t="s">
        <v>300</v>
      </c>
      <c r="C155" s="228" t="s">
        <v>3331</v>
      </c>
      <c r="D155" s="228">
        <v>8</v>
      </c>
      <c r="E155" s="323">
        <v>7.94</v>
      </c>
      <c r="F155" s="228">
        <v>8</v>
      </c>
      <c r="G155" s="228">
        <v>0.5</v>
      </c>
      <c r="H155" s="228">
        <v>0</v>
      </c>
      <c r="I155" s="228">
        <v>7</v>
      </c>
      <c r="J155" s="228">
        <v>1</v>
      </c>
      <c r="K155" s="227" t="s">
        <v>3333</v>
      </c>
      <c r="L155" s="228">
        <v>1995</v>
      </c>
      <c r="M155" s="228" t="s">
        <v>1847</v>
      </c>
      <c r="N155" s="229" t="s">
        <v>3334</v>
      </c>
    </row>
    <row r="156" spans="1:14" x14ac:dyDescent="0.2">
      <c r="A156" s="237">
        <v>154</v>
      </c>
      <c r="B156" s="230" t="s">
        <v>300</v>
      </c>
      <c r="C156" s="231" t="s">
        <v>3128</v>
      </c>
      <c r="D156" s="231">
        <v>7.95</v>
      </c>
      <c r="E156" s="364">
        <v>7.89</v>
      </c>
      <c r="F156" s="231">
        <v>8</v>
      </c>
      <c r="G156" s="231">
        <v>0.56999999999999995</v>
      </c>
      <c r="H156" s="231">
        <v>0</v>
      </c>
      <c r="I156" s="231">
        <v>10</v>
      </c>
      <c r="J156" s="231">
        <v>0</v>
      </c>
      <c r="K156" s="230" t="s">
        <v>1024</v>
      </c>
      <c r="L156" s="231">
        <v>2019</v>
      </c>
      <c r="M156" s="231" t="s">
        <v>1835</v>
      </c>
      <c r="N156" s="232" t="s">
        <v>3130</v>
      </c>
    </row>
    <row r="157" spans="1:14" x14ac:dyDescent="0.2">
      <c r="A157" s="237">
        <v>155</v>
      </c>
      <c r="B157" s="227" t="s">
        <v>300</v>
      </c>
      <c r="C157" s="228" t="s">
        <v>3760</v>
      </c>
      <c r="D157" s="228">
        <v>7.75</v>
      </c>
      <c r="E157" s="327">
        <v>7.66</v>
      </c>
      <c r="F157" s="228">
        <v>7.75</v>
      </c>
      <c r="G157" s="228">
        <v>0.75</v>
      </c>
      <c r="H157" s="228">
        <v>0</v>
      </c>
      <c r="I157" s="228">
        <v>10</v>
      </c>
      <c r="J157" s="228">
        <v>0</v>
      </c>
      <c r="K157" s="227" t="s">
        <v>1024</v>
      </c>
      <c r="L157" s="228">
        <v>2011</v>
      </c>
      <c r="M157" s="228" t="s">
        <v>1839</v>
      </c>
      <c r="N157" s="229" t="s">
        <v>3759</v>
      </c>
    </row>
    <row r="158" spans="1:14" x14ac:dyDescent="0.2">
      <c r="A158" s="237">
        <v>156</v>
      </c>
      <c r="B158" s="230" t="s">
        <v>1416</v>
      </c>
      <c r="C158" s="231" t="s">
        <v>1417</v>
      </c>
      <c r="D158" s="231">
        <v>8.93</v>
      </c>
      <c r="E158" s="264">
        <v>8.8800000000000008</v>
      </c>
      <c r="F158" s="231">
        <v>9</v>
      </c>
      <c r="G158" s="231">
        <v>0.73</v>
      </c>
      <c r="H158" s="231">
        <v>1</v>
      </c>
      <c r="I158" s="231">
        <v>7</v>
      </c>
      <c r="J158" s="231">
        <v>0</v>
      </c>
      <c r="K158" s="230" t="s">
        <v>1420</v>
      </c>
      <c r="L158" s="231">
        <v>2000</v>
      </c>
      <c r="M158" s="231" t="s">
        <v>1826</v>
      </c>
      <c r="N158" s="232" t="s">
        <v>2042</v>
      </c>
    </row>
    <row r="159" spans="1:14" x14ac:dyDescent="0.2">
      <c r="A159" s="237">
        <v>157</v>
      </c>
      <c r="B159" s="227" t="s">
        <v>3890</v>
      </c>
      <c r="C159" s="228" t="s">
        <v>3884</v>
      </c>
      <c r="D159" s="228">
        <v>8.5</v>
      </c>
      <c r="E159" s="301">
        <v>8.43</v>
      </c>
      <c r="F159" s="228">
        <v>8.5</v>
      </c>
      <c r="G159" s="228">
        <v>0.53</v>
      </c>
      <c r="H159" s="228">
        <v>0</v>
      </c>
      <c r="I159" s="228">
        <v>10</v>
      </c>
      <c r="J159" s="228">
        <v>1</v>
      </c>
      <c r="K159" s="227" t="s">
        <v>3902</v>
      </c>
      <c r="L159" s="228">
        <v>2021</v>
      </c>
      <c r="M159" s="228" t="s">
        <v>1821</v>
      </c>
      <c r="N159" s="229" t="s">
        <v>3879</v>
      </c>
    </row>
    <row r="160" spans="1:14" x14ac:dyDescent="0.2">
      <c r="A160" s="237">
        <v>158</v>
      </c>
      <c r="B160" s="230" t="s">
        <v>2450</v>
      </c>
      <c r="C160" s="231" t="s">
        <v>2451</v>
      </c>
      <c r="D160" s="231">
        <v>8.86</v>
      </c>
      <c r="E160" s="264">
        <v>8.8800000000000008</v>
      </c>
      <c r="F160" s="231">
        <v>8.5</v>
      </c>
      <c r="G160" s="231">
        <v>0.93</v>
      </c>
      <c r="H160" s="231">
        <v>3</v>
      </c>
      <c r="I160" s="231">
        <v>11</v>
      </c>
      <c r="J160" s="231">
        <v>0</v>
      </c>
      <c r="K160" s="230" t="s">
        <v>2453</v>
      </c>
      <c r="L160" s="231">
        <v>1991</v>
      </c>
      <c r="M160" s="231" t="s">
        <v>1816</v>
      </c>
      <c r="N160" s="232" t="s">
        <v>2454</v>
      </c>
    </row>
    <row r="161" spans="1:14" x14ac:dyDescent="0.2">
      <c r="A161" s="237">
        <v>159</v>
      </c>
      <c r="B161" s="227" t="s">
        <v>298</v>
      </c>
      <c r="C161" s="228" t="s">
        <v>982</v>
      </c>
      <c r="D161" s="228">
        <v>10</v>
      </c>
      <c r="E161" s="234">
        <v>10.39</v>
      </c>
      <c r="F161" s="228">
        <v>10</v>
      </c>
      <c r="G161" s="228">
        <v>0.55000000000000004</v>
      </c>
      <c r="H161" s="228">
        <v>4</v>
      </c>
      <c r="I161" s="228">
        <v>5</v>
      </c>
      <c r="J161" s="228">
        <v>0</v>
      </c>
      <c r="K161" s="227" t="s">
        <v>714</v>
      </c>
      <c r="L161" s="228">
        <v>1975</v>
      </c>
      <c r="M161" s="228" t="s">
        <v>1808</v>
      </c>
      <c r="N161" s="229" t="s">
        <v>2056</v>
      </c>
    </row>
    <row r="162" spans="1:14" x14ac:dyDescent="0.2">
      <c r="A162" s="237">
        <v>160</v>
      </c>
      <c r="B162" s="230" t="s">
        <v>298</v>
      </c>
      <c r="C162" s="231" t="s">
        <v>299</v>
      </c>
      <c r="D162" s="231">
        <v>9.61</v>
      </c>
      <c r="E162" s="234">
        <v>10</v>
      </c>
      <c r="F162" s="231">
        <v>10</v>
      </c>
      <c r="G162" s="231">
        <v>0.91</v>
      </c>
      <c r="H162" s="231">
        <v>6</v>
      </c>
      <c r="I162" s="231">
        <v>10</v>
      </c>
      <c r="J162" s="231">
        <v>1</v>
      </c>
      <c r="K162" s="230" t="s">
        <v>715</v>
      </c>
      <c r="L162" s="231">
        <v>1973</v>
      </c>
      <c r="M162" s="231" t="s">
        <v>1809</v>
      </c>
      <c r="N162" s="232" t="s">
        <v>2086</v>
      </c>
    </row>
    <row r="163" spans="1:14" x14ac:dyDescent="0.2">
      <c r="A163" s="237">
        <v>161</v>
      </c>
      <c r="B163" s="227" t="s">
        <v>298</v>
      </c>
      <c r="C163" s="228" t="s">
        <v>727</v>
      </c>
      <c r="D163" s="228">
        <v>9.4</v>
      </c>
      <c r="E163" s="240">
        <v>9.5500000000000007</v>
      </c>
      <c r="F163" s="228">
        <v>9.5</v>
      </c>
      <c r="G163" s="228">
        <v>0.8</v>
      </c>
      <c r="H163" s="228">
        <v>2</v>
      </c>
      <c r="I163" s="228">
        <v>5</v>
      </c>
      <c r="J163" s="228">
        <v>0</v>
      </c>
      <c r="K163" s="227" t="s">
        <v>715</v>
      </c>
      <c r="L163" s="228">
        <v>1977</v>
      </c>
      <c r="M163" s="228" t="s">
        <v>1814</v>
      </c>
      <c r="N163" s="229" t="s">
        <v>2067</v>
      </c>
    </row>
    <row r="164" spans="1:14" x14ac:dyDescent="0.2">
      <c r="A164" s="237">
        <v>162</v>
      </c>
      <c r="B164" s="230" t="s">
        <v>298</v>
      </c>
      <c r="C164" s="231" t="s">
        <v>1719</v>
      </c>
      <c r="D164" s="231">
        <v>8.92</v>
      </c>
      <c r="E164" s="257">
        <v>8.9700000000000006</v>
      </c>
      <c r="F164" s="231">
        <v>8.75</v>
      </c>
      <c r="G164" s="231">
        <v>0.79</v>
      </c>
      <c r="H164" s="231">
        <v>1</v>
      </c>
      <c r="I164" s="231">
        <v>6</v>
      </c>
      <c r="J164" s="231">
        <v>0</v>
      </c>
      <c r="K164" s="230" t="s">
        <v>1024</v>
      </c>
      <c r="L164" s="231">
        <v>1971</v>
      </c>
      <c r="M164" s="231" t="s">
        <v>1827</v>
      </c>
      <c r="N164" s="232" t="s">
        <v>2029</v>
      </c>
    </row>
    <row r="165" spans="1:14" x14ac:dyDescent="0.2">
      <c r="A165" s="237">
        <v>163</v>
      </c>
      <c r="B165" s="227" t="s">
        <v>298</v>
      </c>
      <c r="C165" s="228" t="s">
        <v>2857</v>
      </c>
      <c r="D165" s="228">
        <v>8.8000000000000007</v>
      </c>
      <c r="E165" s="257">
        <v>8.9700000000000006</v>
      </c>
      <c r="F165" s="228">
        <v>8.5</v>
      </c>
      <c r="G165" s="228">
        <v>0.73</v>
      </c>
      <c r="H165" s="228">
        <v>3</v>
      </c>
      <c r="I165" s="228">
        <v>26</v>
      </c>
      <c r="J165" s="228">
        <v>4</v>
      </c>
      <c r="K165" s="227" t="s">
        <v>2863</v>
      </c>
      <c r="L165" s="228">
        <v>1979</v>
      </c>
      <c r="M165" s="228" t="s">
        <v>2864</v>
      </c>
      <c r="N165" s="229" t="s">
        <v>2829</v>
      </c>
    </row>
    <row r="166" spans="1:14" x14ac:dyDescent="0.2">
      <c r="A166" s="237">
        <v>164</v>
      </c>
      <c r="B166" s="230" t="s">
        <v>441</v>
      </c>
      <c r="C166" s="231" t="s">
        <v>459</v>
      </c>
      <c r="D166" s="231">
        <v>9.17</v>
      </c>
      <c r="E166" s="247">
        <v>9.23</v>
      </c>
      <c r="F166" s="231">
        <v>9</v>
      </c>
      <c r="G166" s="231">
        <v>0.69</v>
      </c>
      <c r="H166" s="231">
        <v>1</v>
      </c>
      <c r="I166" s="231">
        <v>6</v>
      </c>
      <c r="J166" s="231">
        <v>0</v>
      </c>
      <c r="K166" s="230" t="s">
        <v>716</v>
      </c>
      <c r="L166" s="231">
        <v>2007</v>
      </c>
      <c r="M166" s="231" t="s">
        <v>1820</v>
      </c>
      <c r="N166" s="232" t="s">
        <v>2079</v>
      </c>
    </row>
    <row r="167" spans="1:14" x14ac:dyDescent="0.2">
      <c r="A167" s="237">
        <v>165</v>
      </c>
      <c r="B167" s="227" t="s">
        <v>441</v>
      </c>
      <c r="C167" s="228" t="s">
        <v>609</v>
      </c>
      <c r="D167" s="228">
        <v>8.94</v>
      </c>
      <c r="E167" s="253">
        <v>9.0399999999999991</v>
      </c>
      <c r="F167" s="228">
        <v>9</v>
      </c>
      <c r="G167" s="228">
        <v>0.86</v>
      </c>
      <c r="H167" s="228">
        <v>2</v>
      </c>
      <c r="I167" s="228">
        <v>9</v>
      </c>
      <c r="J167" s="228">
        <v>0</v>
      </c>
      <c r="K167" s="227" t="s">
        <v>716</v>
      </c>
      <c r="L167" s="228">
        <v>2005</v>
      </c>
      <c r="M167" s="228" t="s">
        <v>1824</v>
      </c>
      <c r="N167" s="229" t="s">
        <v>2074</v>
      </c>
    </row>
    <row r="168" spans="1:14" x14ac:dyDescent="0.2">
      <c r="A168" s="237">
        <v>166</v>
      </c>
      <c r="B168" s="230" t="s">
        <v>441</v>
      </c>
      <c r="C168" s="231" t="s">
        <v>442</v>
      </c>
      <c r="D168" s="231">
        <v>8.7899999999999991</v>
      </c>
      <c r="E168" s="270">
        <v>8.81</v>
      </c>
      <c r="F168" s="231">
        <v>8.5</v>
      </c>
      <c r="G168" s="231">
        <v>0.99</v>
      </c>
      <c r="H168" s="231">
        <v>3</v>
      </c>
      <c r="I168" s="231">
        <v>12</v>
      </c>
      <c r="J168" s="231">
        <v>0</v>
      </c>
      <c r="K168" s="230" t="s">
        <v>716</v>
      </c>
      <c r="L168" s="231">
        <v>2002</v>
      </c>
      <c r="M168" s="231" t="s">
        <v>1835</v>
      </c>
      <c r="N168" s="232" t="s">
        <v>2080</v>
      </c>
    </row>
    <row r="169" spans="1:14" x14ac:dyDescent="0.2">
      <c r="A169" s="237">
        <v>167</v>
      </c>
      <c r="B169" s="227" t="s">
        <v>441</v>
      </c>
      <c r="C169" s="228" t="s">
        <v>2398</v>
      </c>
      <c r="D169" s="228">
        <v>8.75</v>
      </c>
      <c r="E169" s="272">
        <v>8.7799999999999994</v>
      </c>
      <c r="F169" s="228">
        <v>8.5</v>
      </c>
      <c r="G169" s="228">
        <v>0.68</v>
      </c>
      <c r="H169" s="228">
        <v>1</v>
      </c>
      <c r="I169" s="228">
        <v>10</v>
      </c>
      <c r="J169" s="228">
        <v>0</v>
      </c>
      <c r="K169" s="227" t="s">
        <v>2409</v>
      </c>
      <c r="L169" s="228">
        <v>2000</v>
      </c>
      <c r="M169" s="228" t="s">
        <v>1841</v>
      </c>
      <c r="N169" s="229" t="s">
        <v>2396</v>
      </c>
    </row>
    <row r="170" spans="1:14" x14ac:dyDescent="0.2">
      <c r="A170" s="237">
        <v>168</v>
      </c>
      <c r="B170" s="230" t="s">
        <v>1664</v>
      </c>
      <c r="C170" s="231" t="s">
        <v>1665</v>
      </c>
      <c r="D170" s="231">
        <v>8.91</v>
      </c>
      <c r="E170" s="264">
        <v>8.8800000000000008</v>
      </c>
      <c r="F170" s="231">
        <v>9</v>
      </c>
      <c r="G170" s="231">
        <v>0.67</v>
      </c>
      <c r="H170" s="231">
        <v>2</v>
      </c>
      <c r="I170" s="231">
        <v>11</v>
      </c>
      <c r="J170" s="231">
        <v>0</v>
      </c>
      <c r="K170" s="230" t="s">
        <v>1039</v>
      </c>
      <c r="L170" s="231">
        <v>1994</v>
      </c>
      <c r="M170" s="231" t="s">
        <v>1831</v>
      </c>
      <c r="N170" s="232" t="s">
        <v>2031</v>
      </c>
    </row>
    <row r="171" spans="1:14" x14ac:dyDescent="0.2">
      <c r="A171" s="237">
        <v>169</v>
      </c>
      <c r="B171" s="227" t="s">
        <v>1664</v>
      </c>
      <c r="C171" s="228" t="s">
        <v>2668</v>
      </c>
      <c r="D171" s="228">
        <v>8.5</v>
      </c>
      <c r="E171" s="298">
        <v>8.4700000000000006</v>
      </c>
      <c r="F171" s="228">
        <v>8</v>
      </c>
      <c r="G171" s="228">
        <v>0.8</v>
      </c>
      <c r="H171" s="228">
        <v>1</v>
      </c>
      <c r="I171" s="228">
        <v>11</v>
      </c>
      <c r="J171" s="228">
        <v>0</v>
      </c>
      <c r="K171" s="227" t="s">
        <v>900</v>
      </c>
      <c r="L171" s="228">
        <v>2008</v>
      </c>
      <c r="M171" s="228" t="s">
        <v>1831</v>
      </c>
      <c r="N171" s="229" t="s">
        <v>2670</v>
      </c>
    </row>
    <row r="172" spans="1:14" x14ac:dyDescent="0.2">
      <c r="A172" s="237">
        <v>170</v>
      </c>
      <c r="B172" s="230" t="s">
        <v>1264</v>
      </c>
      <c r="C172" s="231" t="s">
        <v>1265</v>
      </c>
      <c r="D172" s="231">
        <v>8.77</v>
      </c>
      <c r="E172" s="283">
        <v>8.65</v>
      </c>
      <c r="F172" s="231">
        <v>8.5</v>
      </c>
      <c r="G172" s="231">
        <v>0.75</v>
      </c>
      <c r="H172" s="231">
        <v>2</v>
      </c>
      <c r="I172" s="231">
        <v>14</v>
      </c>
      <c r="J172" s="231">
        <v>1</v>
      </c>
      <c r="K172" s="230" t="s">
        <v>1268</v>
      </c>
      <c r="L172" s="231">
        <v>2002</v>
      </c>
      <c r="M172" s="231" t="s">
        <v>1823</v>
      </c>
      <c r="N172" s="232" t="s">
        <v>2050</v>
      </c>
    </row>
    <row r="173" spans="1:14" x14ac:dyDescent="0.2">
      <c r="A173" s="237">
        <v>171</v>
      </c>
      <c r="B173" s="227" t="s">
        <v>293</v>
      </c>
      <c r="C173" s="228" t="s">
        <v>294</v>
      </c>
      <c r="D173" s="228">
        <v>9.6999999999999993</v>
      </c>
      <c r="E173" s="234">
        <v>10.37</v>
      </c>
      <c r="F173" s="228">
        <v>10</v>
      </c>
      <c r="G173" s="228">
        <v>0.87</v>
      </c>
      <c r="H173" s="228">
        <v>6</v>
      </c>
      <c r="I173" s="228">
        <v>10</v>
      </c>
      <c r="J173" s="228">
        <v>0</v>
      </c>
      <c r="K173" s="227" t="s">
        <v>713</v>
      </c>
      <c r="L173" s="228">
        <v>2007</v>
      </c>
      <c r="M173" s="228" t="s">
        <v>1809</v>
      </c>
      <c r="N173" s="229" t="s">
        <v>2039</v>
      </c>
    </row>
    <row r="174" spans="1:14" x14ac:dyDescent="0.2">
      <c r="A174" s="237">
        <v>172</v>
      </c>
      <c r="B174" s="230" t="s">
        <v>293</v>
      </c>
      <c r="C174" s="231" t="s">
        <v>295</v>
      </c>
      <c r="D174" s="231">
        <v>9.68</v>
      </c>
      <c r="E174" s="234">
        <v>10.07</v>
      </c>
      <c r="F174" s="231">
        <v>10</v>
      </c>
      <c r="G174" s="231">
        <v>0.61</v>
      </c>
      <c r="H174" s="231">
        <v>6</v>
      </c>
      <c r="I174" s="231">
        <v>12</v>
      </c>
      <c r="J174" s="231">
        <v>1</v>
      </c>
      <c r="K174" s="230" t="s">
        <v>713</v>
      </c>
      <c r="L174" s="231">
        <v>1997</v>
      </c>
      <c r="M174" s="231" t="s">
        <v>1812</v>
      </c>
      <c r="N174" s="232" t="s">
        <v>2070</v>
      </c>
    </row>
    <row r="175" spans="1:14" x14ac:dyDescent="0.2">
      <c r="A175" s="237">
        <v>173</v>
      </c>
      <c r="B175" s="227" t="s">
        <v>293</v>
      </c>
      <c r="C175" s="228" t="s">
        <v>251</v>
      </c>
      <c r="D175" s="228">
        <v>9.15</v>
      </c>
      <c r="E175" s="244">
        <v>9.3699999999999992</v>
      </c>
      <c r="F175" s="228">
        <v>9</v>
      </c>
      <c r="G175" s="228">
        <v>1</v>
      </c>
      <c r="H175" s="228">
        <v>4</v>
      </c>
      <c r="I175" s="228">
        <v>11</v>
      </c>
      <c r="J175" s="228">
        <v>1</v>
      </c>
      <c r="K175" s="227" t="s">
        <v>814</v>
      </c>
      <c r="L175" s="228">
        <v>2000</v>
      </c>
      <c r="M175" s="228" t="s">
        <v>1817</v>
      </c>
      <c r="N175" s="229" t="s">
        <v>2081</v>
      </c>
    </row>
    <row r="176" spans="1:14" x14ac:dyDescent="0.2">
      <c r="A176" s="237">
        <v>174</v>
      </c>
      <c r="B176" s="230" t="s">
        <v>293</v>
      </c>
      <c r="C176" s="231" t="s">
        <v>393</v>
      </c>
      <c r="D176" s="231">
        <v>9.0399999999999991</v>
      </c>
      <c r="E176" s="250">
        <v>9.14</v>
      </c>
      <c r="F176" s="231">
        <v>9</v>
      </c>
      <c r="G176" s="231">
        <v>0.78</v>
      </c>
      <c r="H176" s="231">
        <v>3</v>
      </c>
      <c r="I176" s="231">
        <v>12</v>
      </c>
      <c r="J176" s="231">
        <v>0</v>
      </c>
      <c r="K176" s="230" t="s">
        <v>732</v>
      </c>
      <c r="L176" s="231">
        <v>1995</v>
      </c>
      <c r="M176" s="231" t="s">
        <v>1826</v>
      </c>
      <c r="N176" s="232" t="s">
        <v>2080</v>
      </c>
    </row>
    <row r="177" spans="1:14" x14ac:dyDescent="0.2">
      <c r="A177" s="237">
        <v>175</v>
      </c>
      <c r="B177" s="227" t="s">
        <v>293</v>
      </c>
      <c r="C177" s="228" t="s">
        <v>518</v>
      </c>
      <c r="D177" s="228">
        <v>8.77</v>
      </c>
      <c r="E177" s="275">
        <v>8.75</v>
      </c>
      <c r="F177" s="228">
        <v>9</v>
      </c>
      <c r="G177" s="228">
        <v>0.72</v>
      </c>
      <c r="H177" s="228">
        <v>1</v>
      </c>
      <c r="I177" s="228">
        <v>11</v>
      </c>
      <c r="J177" s="228">
        <v>0</v>
      </c>
      <c r="K177" s="227" t="s">
        <v>713</v>
      </c>
      <c r="L177" s="228">
        <v>2016</v>
      </c>
      <c r="M177" s="228" t="s">
        <v>1836</v>
      </c>
      <c r="N177" s="229" t="s">
        <v>2078</v>
      </c>
    </row>
    <row r="178" spans="1:14" x14ac:dyDescent="0.2">
      <c r="A178" s="237">
        <v>176</v>
      </c>
      <c r="B178" s="230" t="s">
        <v>293</v>
      </c>
      <c r="C178" s="231" t="s">
        <v>813</v>
      </c>
      <c r="D178" s="231">
        <v>8.5</v>
      </c>
      <c r="E178" s="291">
        <v>8.56</v>
      </c>
      <c r="F178" s="231">
        <v>8.5</v>
      </c>
      <c r="G178" s="231">
        <v>0.96</v>
      </c>
      <c r="H178" s="231">
        <v>2</v>
      </c>
      <c r="I178" s="231">
        <v>14</v>
      </c>
      <c r="J178" s="231">
        <v>1</v>
      </c>
      <c r="K178" s="230" t="s">
        <v>713</v>
      </c>
      <c r="L178" s="231">
        <v>2003</v>
      </c>
      <c r="M178" s="231" t="s">
        <v>1841</v>
      </c>
      <c r="N178" s="232" t="s">
        <v>2064</v>
      </c>
    </row>
    <row r="179" spans="1:14" x14ac:dyDescent="0.2">
      <c r="A179" s="237">
        <v>177</v>
      </c>
      <c r="B179" s="227" t="s">
        <v>293</v>
      </c>
      <c r="C179" s="228" t="s">
        <v>573</v>
      </c>
      <c r="D179" s="228">
        <v>8.0500000000000007</v>
      </c>
      <c r="E179" s="317">
        <v>8.11</v>
      </c>
      <c r="F179" s="228">
        <v>8.25</v>
      </c>
      <c r="G179" s="228">
        <v>1.19</v>
      </c>
      <c r="H179" s="228">
        <v>1</v>
      </c>
      <c r="I179" s="228">
        <v>11</v>
      </c>
      <c r="J179" s="228">
        <v>1</v>
      </c>
      <c r="K179" s="227" t="s">
        <v>713</v>
      </c>
      <c r="L179" s="228">
        <v>2001</v>
      </c>
      <c r="M179" s="228" t="s">
        <v>1845</v>
      </c>
      <c r="N179" s="229" t="s">
        <v>2076</v>
      </c>
    </row>
    <row r="180" spans="1:14" x14ac:dyDescent="0.2">
      <c r="A180" s="237">
        <v>178</v>
      </c>
      <c r="B180" s="230" t="s">
        <v>293</v>
      </c>
      <c r="C180" s="231" t="s">
        <v>899</v>
      </c>
      <c r="D180" s="231">
        <v>7.88</v>
      </c>
      <c r="E180" s="325">
        <v>7.74</v>
      </c>
      <c r="F180" s="231">
        <v>7.75</v>
      </c>
      <c r="G180" s="231">
        <v>0.86</v>
      </c>
      <c r="H180" s="231">
        <v>0</v>
      </c>
      <c r="I180" s="231">
        <v>8</v>
      </c>
      <c r="J180" s="231">
        <v>0</v>
      </c>
      <c r="K180" s="230" t="s">
        <v>900</v>
      </c>
      <c r="L180" s="231">
        <v>2011</v>
      </c>
      <c r="M180" s="231" t="s">
        <v>1843</v>
      </c>
      <c r="N180" s="232" t="s">
        <v>2061</v>
      </c>
    </row>
    <row r="181" spans="1:14" x14ac:dyDescent="0.2">
      <c r="A181" s="237">
        <v>179</v>
      </c>
      <c r="B181" s="227" t="s">
        <v>293</v>
      </c>
      <c r="C181" s="228" t="s">
        <v>937</v>
      </c>
      <c r="D181" s="228">
        <v>7.5</v>
      </c>
      <c r="E181" s="330">
        <v>7.4</v>
      </c>
      <c r="F181" s="228">
        <v>7.5</v>
      </c>
      <c r="G181" s="228">
        <v>0.76</v>
      </c>
      <c r="H181" s="228">
        <v>0</v>
      </c>
      <c r="I181" s="228">
        <v>12</v>
      </c>
      <c r="J181" s="228">
        <v>0</v>
      </c>
      <c r="K181" s="227" t="s">
        <v>732</v>
      </c>
      <c r="L181" s="228">
        <v>1993</v>
      </c>
      <c r="M181" s="228" t="s">
        <v>1809</v>
      </c>
      <c r="N181" s="229" t="s">
        <v>2059</v>
      </c>
    </row>
    <row r="182" spans="1:14" x14ac:dyDescent="0.2">
      <c r="A182" s="237">
        <v>180</v>
      </c>
      <c r="B182" s="230" t="s">
        <v>2959</v>
      </c>
      <c r="C182" s="231" t="s">
        <v>2960</v>
      </c>
      <c r="D182" s="231">
        <v>8.58</v>
      </c>
      <c r="E182" s="296">
        <v>8.5</v>
      </c>
      <c r="F182" s="231">
        <v>8.5</v>
      </c>
      <c r="G182" s="231">
        <v>0.79</v>
      </c>
      <c r="H182" s="231">
        <v>1</v>
      </c>
      <c r="I182" s="231">
        <v>6</v>
      </c>
      <c r="J182" s="231">
        <v>0</v>
      </c>
      <c r="K182" s="230" t="s">
        <v>2962</v>
      </c>
      <c r="L182" s="231">
        <v>1976</v>
      </c>
      <c r="M182" s="231" t="s">
        <v>2492</v>
      </c>
      <c r="N182" s="232" t="s">
        <v>2952</v>
      </c>
    </row>
    <row r="183" spans="1:14" x14ac:dyDescent="0.2">
      <c r="A183" s="237">
        <v>181</v>
      </c>
      <c r="B183" s="227" t="s">
        <v>346</v>
      </c>
      <c r="C183" s="228" t="s">
        <v>339</v>
      </c>
      <c r="D183" s="228">
        <v>8</v>
      </c>
      <c r="E183" s="321">
        <v>7.98</v>
      </c>
      <c r="F183" s="228">
        <v>8.25</v>
      </c>
      <c r="G183" s="228">
        <v>0.56000000000000005</v>
      </c>
      <c r="H183" s="228">
        <v>0</v>
      </c>
      <c r="I183" s="228">
        <v>9</v>
      </c>
      <c r="J183" s="228">
        <v>1</v>
      </c>
      <c r="K183" s="227" t="s">
        <v>716</v>
      </c>
      <c r="L183" s="228">
        <v>2005</v>
      </c>
      <c r="M183" s="228" t="s">
        <v>1840</v>
      </c>
      <c r="N183" s="229" t="s">
        <v>2084</v>
      </c>
    </row>
    <row r="184" spans="1:14" x14ac:dyDescent="0.2">
      <c r="A184" s="237">
        <v>182</v>
      </c>
      <c r="B184" s="230" t="s">
        <v>3928</v>
      </c>
      <c r="C184" s="231" t="s">
        <v>3929</v>
      </c>
      <c r="D184" s="231">
        <v>8.7899999999999991</v>
      </c>
      <c r="E184" s="281">
        <v>8.67</v>
      </c>
      <c r="F184" s="231">
        <v>8.5</v>
      </c>
      <c r="G184" s="231">
        <v>0.7</v>
      </c>
      <c r="H184" s="231">
        <v>1</v>
      </c>
      <c r="I184" s="231">
        <v>7</v>
      </c>
      <c r="J184" s="231">
        <v>0</v>
      </c>
      <c r="K184" s="230" t="s">
        <v>3959</v>
      </c>
      <c r="L184" s="231">
        <v>1981</v>
      </c>
      <c r="M184" s="231" t="s">
        <v>1822</v>
      </c>
      <c r="N184" s="232" t="s">
        <v>3879</v>
      </c>
    </row>
    <row r="185" spans="1:14" x14ac:dyDescent="0.2">
      <c r="A185" s="237">
        <v>183</v>
      </c>
      <c r="B185" s="227" t="s">
        <v>687</v>
      </c>
      <c r="C185" s="228" t="s">
        <v>688</v>
      </c>
      <c r="D185" s="228">
        <v>8.67</v>
      </c>
      <c r="E185" s="289">
        <v>8.58</v>
      </c>
      <c r="F185" s="228">
        <v>8.5</v>
      </c>
      <c r="G185" s="228">
        <v>0.62</v>
      </c>
      <c r="H185" s="228">
        <v>1</v>
      </c>
      <c r="I185" s="228">
        <v>9</v>
      </c>
      <c r="J185" s="228">
        <v>0</v>
      </c>
      <c r="K185" s="227" t="s">
        <v>737</v>
      </c>
      <c r="L185" s="228">
        <v>1992</v>
      </c>
      <c r="M185" s="228" t="s">
        <v>1832</v>
      </c>
      <c r="N185" s="229" t="s">
        <v>2069</v>
      </c>
    </row>
    <row r="186" spans="1:14" x14ac:dyDescent="0.2">
      <c r="A186" s="237">
        <v>184</v>
      </c>
      <c r="B186" s="230" t="s">
        <v>913</v>
      </c>
      <c r="C186" s="231" t="s">
        <v>911</v>
      </c>
      <c r="D186" s="231">
        <v>8.67</v>
      </c>
      <c r="E186" s="291">
        <v>8.56</v>
      </c>
      <c r="F186" s="231">
        <v>8.5</v>
      </c>
      <c r="G186" s="231">
        <v>0.71</v>
      </c>
      <c r="H186" s="231">
        <v>1</v>
      </c>
      <c r="I186" s="231">
        <v>10</v>
      </c>
      <c r="J186" s="231">
        <v>1</v>
      </c>
      <c r="K186" s="230" t="s">
        <v>914</v>
      </c>
      <c r="L186" s="231">
        <v>1999</v>
      </c>
      <c r="M186" s="231" t="s">
        <v>1847</v>
      </c>
      <c r="N186" s="232" t="s">
        <v>2060</v>
      </c>
    </row>
    <row r="187" spans="1:14" x14ac:dyDescent="0.2">
      <c r="A187" s="237">
        <v>185</v>
      </c>
      <c r="B187" s="227" t="s">
        <v>3032</v>
      </c>
      <c r="C187" s="228" t="s">
        <v>3033</v>
      </c>
      <c r="D187" s="228">
        <v>8.4499999999999993</v>
      </c>
      <c r="E187" s="306">
        <v>8.34</v>
      </c>
      <c r="F187" s="228">
        <v>8.25</v>
      </c>
      <c r="G187" s="228">
        <v>0.69</v>
      </c>
      <c r="H187" s="228">
        <v>1</v>
      </c>
      <c r="I187" s="228">
        <v>10</v>
      </c>
      <c r="J187" s="228">
        <v>0</v>
      </c>
      <c r="K187" s="227" t="s">
        <v>734</v>
      </c>
      <c r="L187" s="228">
        <v>1986</v>
      </c>
      <c r="M187" s="228" t="s">
        <v>3034</v>
      </c>
      <c r="N187" s="229" t="s">
        <v>3035</v>
      </c>
    </row>
    <row r="188" spans="1:14" x14ac:dyDescent="0.2">
      <c r="A188" s="237">
        <v>186</v>
      </c>
      <c r="B188" s="230" t="s">
        <v>2808</v>
      </c>
      <c r="C188" s="231" t="s">
        <v>2809</v>
      </c>
      <c r="D188" s="231">
        <v>8.65</v>
      </c>
      <c r="E188" s="291">
        <v>8.56</v>
      </c>
      <c r="F188" s="231">
        <v>8.5</v>
      </c>
      <c r="G188" s="231">
        <v>0.77</v>
      </c>
      <c r="H188" s="231">
        <v>2</v>
      </c>
      <c r="I188" s="231">
        <v>14</v>
      </c>
      <c r="J188" s="231">
        <v>1</v>
      </c>
      <c r="K188" s="230" t="s">
        <v>2810</v>
      </c>
      <c r="L188" s="231">
        <v>2026</v>
      </c>
      <c r="M188" s="231" t="s">
        <v>1809</v>
      </c>
      <c r="N188" s="232" t="s">
        <v>2811</v>
      </c>
    </row>
    <row r="189" spans="1:14" x14ac:dyDescent="0.2">
      <c r="A189" s="237">
        <v>187</v>
      </c>
      <c r="B189" s="227" t="s">
        <v>1695</v>
      </c>
      <c r="C189" s="228" t="s">
        <v>1696</v>
      </c>
      <c r="D189" s="228">
        <v>8.92</v>
      </c>
      <c r="E189" s="268">
        <v>8.83</v>
      </c>
      <c r="F189" s="228">
        <v>8.75</v>
      </c>
      <c r="G189" s="228">
        <v>0.67</v>
      </c>
      <c r="H189" s="228">
        <v>1</v>
      </c>
      <c r="I189" s="228">
        <v>6</v>
      </c>
      <c r="J189" s="228">
        <v>0</v>
      </c>
      <c r="K189" s="227" t="s">
        <v>1697</v>
      </c>
      <c r="L189" s="228">
        <v>1991</v>
      </c>
      <c r="M189" s="228" t="s">
        <v>1838</v>
      </c>
      <c r="N189" s="229" t="s">
        <v>2030</v>
      </c>
    </row>
    <row r="190" spans="1:14" x14ac:dyDescent="0.2">
      <c r="A190" s="237">
        <v>188</v>
      </c>
      <c r="B190" s="230" t="s">
        <v>3670</v>
      </c>
      <c r="C190" s="231" t="s">
        <v>3670</v>
      </c>
      <c r="D190" s="231">
        <v>7.75</v>
      </c>
      <c r="E190" s="327">
        <v>7.66</v>
      </c>
      <c r="F190" s="231">
        <v>7.75</v>
      </c>
      <c r="G190" s="231">
        <v>0.73</v>
      </c>
      <c r="H190" s="231">
        <v>0</v>
      </c>
      <c r="I190" s="231">
        <v>15</v>
      </c>
      <c r="J190" s="231">
        <v>1</v>
      </c>
      <c r="K190" s="230" t="s">
        <v>1055</v>
      </c>
      <c r="L190" s="231">
        <v>1999</v>
      </c>
      <c r="M190" s="231" t="s">
        <v>1853</v>
      </c>
      <c r="N190" s="232" t="s">
        <v>3671</v>
      </c>
    </row>
    <row r="191" spans="1:14" x14ac:dyDescent="0.2">
      <c r="A191" s="237">
        <v>189</v>
      </c>
      <c r="B191" s="227" t="s">
        <v>1555</v>
      </c>
      <c r="C191" s="228" t="s">
        <v>1556</v>
      </c>
      <c r="D191" s="228">
        <v>8.6</v>
      </c>
      <c r="E191" s="296">
        <v>8.5</v>
      </c>
      <c r="F191" s="228">
        <v>8.5</v>
      </c>
      <c r="G191" s="228">
        <v>0.83</v>
      </c>
      <c r="H191" s="228">
        <v>1</v>
      </c>
      <c r="I191" s="228">
        <v>10</v>
      </c>
      <c r="J191" s="228">
        <v>0</v>
      </c>
      <c r="K191" s="227" t="s">
        <v>722</v>
      </c>
      <c r="L191" s="228">
        <v>1993</v>
      </c>
      <c r="M191" s="228" t="s">
        <v>1822</v>
      </c>
      <c r="N191" s="229" t="s">
        <v>2038</v>
      </c>
    </row>
    <row r="192" spans="1:14" x14ac:dyDescent="0.2">
      <c r="A192" s="237">
        <v>190</v>
      </c>
      <c r="B192" s="230" t="s">
        <v>2135</v>
      </c>
      <c r="C192" s="231" t="s">
        <v>2136</v>
      </c>
      <c r="D192" s="231">
        <v>8.58</v>
      </c>
      <c r="E192" s="296">
        <v>8.5</v>
      </c>
      <c r="F192" s="231">
        <v>8.5</v>
      </c>
      <c r="G192" s="231">
        <v>0.67</v>
      </c>
      <c r="H192" s="231">
        <v>1</v>
      </c>
      <c r="I192" s="231">
        <v>12</v>
      </c>
      <c r="J192" s="231">
        <v>0</v>
      </c>
      <c r="K192" s="230" t="s">
        <v>2139</v>
      </c>
      <c r="L192" s="231">
        <v>1992</v>
      </c>
      <c r="M192" s="231" t="s">
        <v>1841</v>
      </c>
      <c r="N192" s="232" t="s">
        <v>2121</v>
      </c>
    </row>
    <row r="193" spans="1:14" x14ac:dyDescent="0.2">
      <c r="A193" s="237">
        <v>191</v>
      </c>
      <c r="B193" s="227" t="s">
        <v>1911</v>
      </c>
      <c r="C193" s="228" t="s">
        <v>1912</v>
      </c>
      <c r="D193" s="228">
        <v>8.67</v>
      </c>
      <c r="E193" s="287">
        <v>8.61</v>
      </c>
      <c r="F193" s="228">
        <v>8.75</v>
      </c>
      <c r="G193" s="228">
        <v>0.62</v>
      </c>
      <c r="H193" s="228">
        <v>0</v>
      </c>
      <c r="I193" s="228">
        <v>6</v>
      </c>
      <c r="J193" s="228">
        <v>0</v>
      </c>
      <c r="K193" s="227" t="s">
        <v>1024</v>
      </c>
      <c r="L193" s="228">
        <v>2013</v>
      </c>
      <c r="M193" s="228" t="s">
        <v>1816</v>
      </c>
      <c r="N193" s="229" t="s">
        <v>2024</v>
      </c>
    </row>
    <row r="194" spans="1:14" x14ac:dyDescent="0.2">
      <c r="A194" s="237">
        <v>192</v>
      </c>
      <c r="B194" s="230" t="s">
        <v>1529</v>
      </c>
      <c r="C194" s="231" t="s">
        <v>2257</v>
      </c>
      <c r="D194" s="231">
        <v>9.07</v>
      </c>
      <c r="E194" s="255">
        <v>9.02</v>
      </c>
      <c r="F194" s="231">
        <v>9</v>
      </c>
      <c r="G194" s="231">
        <v>0.73</v>
      </c>
      <c r="H194" s="231">
        <v>2</v>
      </c>
      <c r="I194" s="231">
        <v>7</v>
      </c>
      <c r="J194" s="231">
        <v>0</v>
      </c>
      <c r="K194" s="230" t="s">
        <v>1531</v>
      </c>
      <c r="L194" s="231">
        <v>1977</v>
      </c>
      <c r="M194" s="231" t="s">
        <v>1845</v>
      </c>
      <c r="N194" s="232" t="s">
        <v>2258</v>
      </c>
    </row>
    <row r="195" spans="1:14" x14ac:dyDescent="0.2">
      <c r="A195" s="237">
        <v>193</v>
      </c>
      <c r="B195" s="227" t="s">
        <v>1529</v>
      </c>
      <c r="C195" s="228" t="s">
        <v>1522</v>
      </c>
      <c r="D195" s="228">
        <v>8.75</v>
      </c>
      <c r="E195" s="285">
        <v>8.6300000000000008</v>
      </c>
      <c r="F195" s="228">
        <v>8.5</v>
      </c>
      <c r="G195" s="228">
        <v>0.87</v>
      </c>
      <c r="H195" s="228">
        <v>2</v>
      </c>
      <c r="I195" s="228">
        <v>10</v>
      </c>
      <c r="J195" s="228">
        <v>0</v>
      </c>
      <c r="K195" s="227" t="s">
        <v>1531</v>
      </c>
      <c r="L195" s="228">
        <v>1979</v>
      </c>
      <c r="M195" s="228" t="s">
        <v>1827</v>
      </c>
      <c r="N195" s="229" t="s">
        <v>2039</v>
      </c>
    </row>
    <row r="196" spans="1:14" x14ac:dyDescent="0.2">
      <c r="A196" s="237">
        <v>194</v>
      </c>
      <c r="B196" s="230" t="s">
        <v>1594</v>
      </c>
      <c r="C196" s="231" t="s">
        <v>1593</v>
      </c>
      <c r="D196" s="231">
        <v>8.85</v>
      </c>
      <c r="E196" s="272">
        <v>8.7799999999999994</v>
      </c>
      <c r="F196" s="231">
        <v>8.75</v>
      </c>
      <c r="G196" s="231">
        <v>0.55000000000000004</v>
      </c>
      <c r="H196" s="231">
        <v>1</v>
      </c>
      <c r="I196" s="231">
        <v>10</v>
      </c>
      <c r="J196" s="231">
        <v>0</v>
      </c>
      <c r="K196" s="230" t="s">
        <v>1595</v>
      </c>
      <c r="L196" s="231">
        <v>2014</v>
      </c>
      <c r="M196" s="231" t="s">
        <v>1837</v>
      </c>
      <c r="N196" s="232" t="s">
        <v>2035</v>
      </c>
    </row>
    <row r="197" spans="1:14" x14ac:dyDescent="0.2">
      <c r="A197" s="237">
        <v>195</v>
      </c>
      <c r="B197" s="227" t="s">
        <v>1594</v>
      </c>
      <c r="C197" s="228" t="s">
        <v>3730</v>
      </c>
      <c r="D197" s="228">
        <v>8.61</v>
      </c>
      <c r="E197" s="295">
        <v>8.52</v>
      </c>
      <c r="F197" s="228">
        <v>8.5</v>
      </c>
      <c r="G197" s="228">
        <v>0.62</v>
      </c>
      <c r="H197" s="228">
        <v>2</v>
      </c>
      <c r="I197" s="228">
        <v>26</v>
      </c>
      <c r="J197" s="228">
        <v>3</v>
      </c>
      <c r="K197" s="227" t="s">
        <v>1595</v>
      </c>
      <c r="L197" s="228">
        <v>1996</v>
      </c>
      <c r="M197" s="228" t="s">
        <v>3791</v>
      </c>
      <c r="N197" s="229" t="s">
        <v>3681</v>
      </c>
    </row>
    <row r="198" spans="1:14" x14ac:dyDescent="0.2">
      <c r="A198" s="237">
        <v>196</v>
      </c>
      <c r="B198" s="230" t="s">
        <v>312</v>
      </c>
      <c r="C198" s="231" t="s">
        <v>1755</v>
      </c>
      <c r="D198" s="231">
        <v>9</v>
      </c>
      <c r="E198" s="258">
        <v>8.9600000000000009</v>
      </c>
      <c r="F198" s="231">
        <v>9</v>
      </c>
      <c r="G198" s="231">
        <v>0.61</v>
      </c>
      <c r="H198" s="231">
        <v>2</v>
      </c>
      <c r="I198" s="231">
        <v>12</v>
      </c>
      <c r="J198" s="231">
        <v>0</v>
      </c>
      <c r="K198" s="230" t="s">
        <v>1756</v>
      </c>
      <c r="L198" s="231">
        <v>2003</v>
      </c>
      <c r="M198" s="231" t="s">
        <v>1828</v>
      </c>
      <c r="N198" s="232" t="s">
        <v>2027</v>
      </c>
    </row>
    <row r="199" spans="1:14" x14ac:dyDescent="0.2">
      <c r="A199" s="237">
        <v>197</v>
      </c>
      <c r="B199" s="227" t="s">
        <v>312</v>
      </c>
      <c r="C199" s="228" t="s">
        <v>1117</v>
      </c>
      <c r="D199" s="228">
        <v>8.77</v>
      </c>
      <c r="E199" s="263">
        <v>8.89</v>
      </c>
      <c r="F199" s="228">
        <v>9</v>
      </c>
      <c r="G199" s="228">
        <v>0.87</v>
      </c>
      <c r="H199" s="228">
        <v>2</v>
      </c>
      <c r="I199" s="228">
        <v>13</v>
      </c>
      <c r="J199" s="228">
        <v>0</v>
      </c>
      <c r="K199" s="227" t="s">
        <v>1119</v>
      </c>
      <c r="L199" s="228">
        <v>2009</v>
      </c>
      <c r="M199" s="228" t="s">
        <v>1839</v>
      </c>
      <c r="N199" s="229" t="s">
        <v>2087</v>
      </c>
    </row>
    <row r="200" spans="1:14" x14ac:dyDescent="0.2">
      <c r="A200" s="237">
        <v>198</v>
      </c>
      <c r="B200" s="230" t="s">
        <v>2703</v>
      </c>
      <c r="C200" s="231" t="s">
        <v>2699</v>
      </c>
      <c r="D200" s="231">
        <v>8.83</v>
      </c>
      <c r="E200" s="256">
        <v>9</v>
      </c>
      <c r="F200" s="231">
        <v>8.5</v>
      </c>
      <c r="G200" s="231">
        <v>0.87</v>
      </c>
      <c r="H200" s="231">
        <v>3</v>
      </c>
      <c r="I200" s="231">
        <v>15</v>
      </c>
      <c r="J200" s="231">
        <v>0</v>
      </c>
      <c r="K200" s="230" t="s">
        <v>731</v>
      </c>
      <c r="L200" s="231">
        <v>2001</v>
      </c>
      <c r="M200" s="231" t="s">
        <v>1808</v>
      </c>
      <c r="N200" s="232" t="s">
        <v>2686</v>
      </c>
    </row>
    <row r="201" spans="1:14" x14ac:dyDescent="0.2">
      <c r="A201" s="237">
        <v>199</v>
      </c>
      <c r="B201" s="227" t="s">
        <v>3678</v>
      </c>
      <c r="C201" s="228" t="s">
        <v>3679</v>
      </c>
      <c r="D201" s="228">
        <v>9</v>
      </c>
      <c r="E201" s="261">
        <v>8.92</v>
      </c>
      <c r="F201" s="228">
        <v>8.75</v>
      </c>
      <c r="G201" s="228">
        <v>0.61</v>
      </c>
      <c r="H201" s="228">
        <v>1</v>
      </c>
      <c r="I201" s="228">
        <v>4</v>
      </c>
      <c r="J201" s="228">
        <v>0</v>
      </c>
      <c r="K201" s="227" t="s">
        <v>3680</v>
      </c>
      <c r="L201" s="228">
        <v>1988</v>
      </c>
      <c r="M201" s="228" t="s">
        <v>1822</v>
      </c>
      <c r="N201" s="229" t="s">
        <v>3681</v>
      </c>
    </row>
    <row r="202" spans="1:14" x14ac:dyDescent="0.2">
      <c r="A202" s="237">
        <v>200</v>
      </c>
      <c r="B202" s="230" t="s">
        <v>545</v>
      </c>
      <c r="C202" s="231" t="s">
        <v>546</v>
      </c>
      <c r="D202" s="231">
        <v>8.7799999999999994</v>
      </c>
      <c r="E202" s="271">
        <v>8.7899999999999991</v>
      </c>
      <c r="F202" s="231">
        <v>8.5</v>
      </c>
      <c r="G202" s="231">
        <v>0.97</v>
      </c>
      <c r="H202" s="231">
        <v>2</v>
      </c>
      <c r="I202" s="231">
        <v>9</v>
      </c>
      <c r="J202" s="231">
        <v>0</v>
      </c>
      <c r="K202" s="230" t="s">
        <v>777</v>
      </c>
      <c r="L202" s="231">
        <v>1983</v>
      </c>
      <c r="M202" s="231" t="s">
        <v>1817</v>
      </c>
      <c r="N202" s="232" t="s">
        <v>2077</v>
      </c>
    </row>
    <row r="203" spans="1:14" x14ac:dyDescent="0.2">
      <c r="A203" s="237">
        <v>201</v>
      </c>
      <c r="B203" s="227" t="s">
        <v>560</v>
      </c>
      <c r="C203" s="228" t="s">
        <v>561</v>
      </c>
      <c r="D203" s="228">
        <v>8.73</v>
      </c>
      <c r="E203" s="286">
        <v>8.6199999999999992</v>
      </c>
      <c r="F203" s="228">
        <v>8.5</v>
      </c>
      <c r="G203" s="228">
        <v>0.89</v>
      </c>
      <c r="H203" s="228">
        <v>3</v>
      </c>
      <c r="I203" s="228">
        <v>13</v>
      </c>
      <c r="J203" s="228">
        <v>2</v>
      </c>
      <c r="K203" s="227" t="s">
        <v>778</v>
      </c>
      <c r="L203" s="228">
        <v>2015</v>
      </c>
      <c r="M203" s="228" t="s">
        <v>1820</v>
      </c>
      <c r="N203" s="229" t="s">
        <v>2076</v>
      </c>
    </row>
    <row r="204" spans="1:14" x14ac:dyDescent="0.2">
      <c r="A204" s="237">
        <v>202</v>
      </c>
      <c r="B204" s="230" t="s">
        <v>405</v>
      </c>
      <c r="C204" s="231" t="s">
        <v>36</v>
      </c>
      <c r="D204" s="231">
        <v>9.15</v>
      </c>
      <c r="E204" s="247">
        <v>9.23</v>
      </c>
      <c r="F204" s="231">
        <v>9</v>
      </c>
      <c r="G204" s="231">
        <v>0.78</v>
      </c>
      <c r="H204" s="231">
        <v>3</v>
      </c>
      <c r="I204" s="231">
        <v>10</v>
      </c>
      <c r="J204" s="231">
        <v>0</v>
      </c>
      <c r="K204" s="230" t="s">
        <v>714</v>
      </c>
      <c r="L204" s="231">
        <v>1982</v>
      </c>
      <c r="M204" s="231" t="s">
        <v>1809</v>
      </c>
      <c r="N204" s="232" t="s">
        <v>2087</v>
      </c>
    </row>
    <row r="205" spans="1:14" x14ac:dyDescent="0.2">
      <c r="A205" s="237">
        <v>203</v>
      </c>
      <c r="B205" s="227" t="s">
        <v>2232</v>
      </c>
      <c r="C205" s="228" t="s">
        <v>2233</v>
      </c>
      <c r="D205" s="228">
        <v>8.81</v>
      </c>
      <c r="E205" s="268">
        <v>8.83</v>
      </c>
      <c r="F205" s="228">
        <v>8.5</v>
      </c>
      <c r="G205" s="228">
        <v>0.73</v>
      </c>
      <c r="H205" s="228">
        <v>2</v>
      </c>
      <c r="I205" s="228">
        <v>17</v>
      </c>
      <c r="J205" s="228">
        <v>1</v>
      </c>
      <c r="K205" s="227" t="s">
        <v>1044</v>
      </c>
      <c r="L205" s="228">
        <v>1969</v>
      </c>
      <c r="M205" s="228" t="s">
        <v>1817</v>
      </c>
      <c r="N205" s="229" t="s">
        <v>2234</v>
      </c>
    </row>
    <row r="206" spans="1:14" x14ac:dyDescent="0.2">
      <c r="A206" s="237">
        <v>204</v>
      </c>
      <c r="B206" s="230" t="s">
        <v>2232</v>
      </c>
      <c r="C206" s="231" t="s">
        <v>2382</v>
      </c>
      <c r="D206" s="231">
        <v>8.7899999999999991</v>
      </c>
      <c r="E206" s="266">
        <v>8.86</v>
      </c>
      <c r="F206" s="231">
        <v>8.75</v>
      </c>
      <c r="G206" s="231">
        <v>0.75</v>
      </c>
      <c r="H206" s="231">
        <v>1</v>
      </c>
      <c r="I206" s="231">
        <v>13</v>
      </c>
      <c r="J206" s="231">
        <v>1</v>
      </c>
      <c r="K206" s="230" t="s">
        <v>2395</v>
      </c>
      <c r="L206" s="231">
        <v>1967</v>
      </c>
      <c r="M206" s="231" t="s">
        <v>1838</v>
      </c>
      <c r="N206" s="232" t="s">
        <v>2396</v>
      </c>
    </row>
    <row r="207" spans="1:14" x14ac:dyDescent="0.2">
      <c r="A207" s="237">
        <v>205</v>
      </c>
      <c r="B207" s="227" t="s">
        <v>2232</v>
      </c>
      <c r="C207" s="228" t="s">
        <v>2828</v>
      </c>
      <c r="D207" s="228">
        <v>8.39</v>
      </c>
      <c r="E207" s="303">
        <v>8.39</v>
      </c>
      <c r="F207" s="228">
        <v>8</v>
      </c>
      <c r="G207" s="228">
        <v>0.83</v>
      </c>
      <c r="H207" s="228">
        <v>2</v>
      </c>
      <c r="I207" s="228">
        <v>14</v>
      </c>
      <c r="J207" s="228">
        <v>0</v>
      </c>
      <c r="K207" s="227" t="s">
        <v>2812</v>
      </c>
      <c r="L207" s="228">
        <v>1966</v>
      </c>
      <c r="M207" s="228" t="s">
        <v>1848</v>
      </c>
      <c r="N207" s="229" t="s">
        <v>2829</v>
      </c>
    </row>
    <row r="208" spans="1:14" x14ac:dyDescent="0.2">
      <c r="A208" s="237">
        <v>206</v>
      </c>
      <c r="B208" s="230" t="s">
        <v>888</v>
      </c>
      <c r="C208" s="231" t="s">
        <v>869</v>
      </c>
      <c r="D208" s="231">
        <v>8.5500000000000007</v>
      </c>
      <c r="E208" s="288">
        <v>8.6</v>
      </c>
      <c r="F208" s="231">
        <v>8.5</v>
      </c>
      <c r="G208" s="231">
        <v>0.96</v>
      </c>
      <c r="H208" s="231">
        <v>3</v>
      </c>
      <c r="I208" s="231">
        <v>19</v>
      </c>
      <c r="J208" s="231">
        <v>0</v>
      </c>
      <c r="K208" s="230" t="s">
        <v>889</v>
      </c>
      <c r="L208" s="231">
        <v>1979</v>
      </c>
      <c r="M208" s="231" t="s">
        <v>1823</v>
      </c>
      <c r="N208" s="232" t="s">
        <v>2061</v>
      </c>
    </row>
    <row r="209" spans="1:14" x14ac:dyDescent="0.2">
      <c r="A209" s="237">
        <v>207</v>
      </c>
      <c r="B209" s="227" t="s">
        <v>370</v>
      </c>
      <c r="C209" s="228" t="s">
        <v>368</v>
      </c>
      <c r="D209" s="228">
        <v>8.67</v>
      </c>
      <c r="E209" s="278">
        <v>8.7100000000000009</v>
      </c>
      <c r="F209" s="228">
        <v>8.5</v>
      </c>
      <c r="G209" s="228">
        <v>0.85</v>
      </c>
      <c r="H209" s="228">
        <v>2</v>
      </c>
      <c r="I209" s="228">
        <v>12</v>
      </c>
      <c r="J209" s="228">
        <v>0</v>
      </c>
      <c r="K209" s="227" t="s">
        <v>777</v>
      </c>
      <c r="L209" s="228">
        <v>1989</v>
      </c>
      <c r="M209" s="228" t="s">
        <v>1844</v>
      </c>
      <c r="N209" s="229" t="s">
        <v>2083</v>
      </c>
    </row>
    <row r="210" spans="1:14" x14ac:dyDescent="0.2">
      <c r="A210" s="237">
        <v>208</v>
      </c>
      <c r="B210" s="230" t="s">
        <v>1956</v>
      </c>
      <c r="C210" s="231" t="s">
        <v>1942</v>
      </c>
      <c r="D210" s="231">
        <v>8.3800000000000008</v>
      </c>
      <c r="E210" s="307">
        <v>8.33</v>
      </c>
      <c r="F210" s="231">
        <v>8.5</v>
      </c>
      <c r="G210" s="231">
        <v>0.78</v>
      </c>
      <c r="H210" s="231">
        <v>2</v>
      </c>
      <c r="I210" s="231">
        <v>19</v>
      </c>
      <c r="J210" s="231">
        <v>2</v>
      </c>
      <c r="K210" s="230" t="s">
        <v>1958</v>
      </c>
      <c r="L210" s="231">
        <v>1994</v>
      </c>
      <c r="M210" s="231" t="s">
        <v>1807</v>
      </c>
      <c r="N210" s="232" t="s">
        <v>2023</v>
      </c>
    </row>
    <row r="211" spans="1:14" x14ac:dyDescent="0.2">
      <c r="A211" s="237">
        <v>209</v>
      </c>
      <c r="B211" s="227" t="s">
        <v>2601</v>
      </c>
      <c r="C211" s="228" t="s">
        <v>2602</v>
      </c>
      <c r="D211" s="228">
        <v>8.31</v>
      </c>
      <c r="E211" s="315">
        <v>8.16</v>
      </c>
      <c r="F211" s="228">
        <v>8</v>
      </c>
      <c r="G211" s="228">
        <v>0.93</v>
      </c>
      <c r="H211" s="228">
        <v>1</v>
      </c>
      <c r="I211" s="228">
        <v>8</v>
      </c>
      <c r="J211" s="228">
        <v>0</v>
      </c>
      <c r="K211" s="227" t="s">
        <v>1024</v>
      </c>
      <c r="L211" s="228">
        <v>2016</v>
      </c>
      <c r="M211" s="228" t="s">
        <v>1814</v>
      </c>
      <c r="N211" s="229" t="s">
        <v>2603</v>
      </c>
    </row>
    <row r="212" spans="1:14" x14ac:dyDescent="0.2">
      <c r="A212" s="237">
        <v>210</v>
      </c>
      <c r="B212" s="230" t="s">
        <v>3112</v>
      </c>
      <c r="C212" s="231" t="s">
        <v>3113</v>
      </c>
      <c r="D212" s="231">
        <v>8.6999999999999993</v>
      </c>
      <c r="E212" s="287">
        <v>8.61</v>
      </c>
      <c r="F212" s="231">
        <v>8.5</v>
      </c>
      <c r="G212" s="231">
        <v>0.56000000000000005</v>
      </c>
      <c r="H212" s="231">
        <v>1</v>
      </c>
      <c r="I212" s="231">
        <v>10</v>
      </c>
      <c r="J212" s="231">
        <v>0</v>
      </c>
      <c r="K212" s="230" t="s">
        <v>3114</v>
      </c>
      <c r="L212" s="231">
        <v>1997</v>
      </c>
      <c r="M212" s="231" t="s">
        <v>1841</v>
      </c>
      <c r="N212" s="232" t="s">
        <v>3115</v>
      </c>
    </row>
    <row r="213" spans="1:14" x14ac:dyDescent="0.2">
      <c r="A213" s="237">
        <v>211</v>
      </c>
      <c r="B213" s="227" t="s">
        <v>1085</v>
      </c>
      <c r="C213" s="228" t="s">
        <v>1625</v>
      </c>
      <c r="D213" s="228">
        <v>8.57</v>
      </c>
      <c r="E213" s="285">
        <v>8.6300000000000008</v>
      </c>
      <c r="F213" s="228">
        <v>8.5</v>
      </c>
      <c r="G213" s="228">
        <v>0.78</v>
      </c>
      <c r="H213" s="228">
        <v>3</v>
      </c>
      <c r="I213" s="228">
        <v>28</v>
      </c>
      <c r="J213" s="228">
        <v>1</v>
      </c>
      <c r="K213" s="227" t="s">
        <v>1652</v>
      </c>
      <c r="L213" s="228">
        <v>1995</v>
      </c>
      <c r="M213" s="228" t="s">
        <v>1837</v>
      </c>
      <c r="N213" s="229" t="s">
        <v>2032</v>
      </c>
    </row>
    <row r="214" spans="1:14" x14ac:dyDescent="0.2">
      <c r="A214" s="237">
        <v>212</v>
      </c>
      <c r="B214" s="230" t="s">
        <v>1085</v>
      </c>
      <c r="C214" s="231" t="s">
        <v>1086</v>
      </c>
      <c r="D214" s="231">
        <v>8.4600000000000009</v>
      </c>
      <c r="E214" s="308">
        <v>8.27</v>
      </c>
      <c r="F214" s="231">
        <v>8</v>
      </c>
      <c r="G214" s="231">
        <v>1.1299999999999999</v>
      </c>
      <c r="H214" s="231">
        <v>3</v>
      </c>
      <c r="I214" s="231">
        <v>13</v>
      </c>
      <c r="J214" s="231">
        <v>1</v>
      </c>
      <c r="K214" s="230" t="s">
        <v>1087</v>
      </c>
      <c r="L214" s="231">
        <v>1993</v>
      </c>
      <c r="M214" s="231" t="s">
        <v>1842</v>
      </c>
      <c r="N214" s="232" t="s">
        <v>2054</v>
      </c>
    </row>
    <row r="215" spans="1:14" x14ac:dyDescent="0.2">
      <c r="A215" s="237">
        <v>213</v>
      </c>
      <c r="B215" s="227" t="s">
        <v>3005</v>
      </c>
      <c r="C215" s="228" t="s">
        <v>2978</v>
      </c>
      <c r="D215" s="228">
        <v>8.8000000000000007</v>
      </c>
      <c r="E215" s="265">
        <v>8.8699999999999992</v>
      </c>
      <c r="F215" s="228">
        <v>8.75</v>
      </c>
      <c r="G215" s="228">
        <v>0.87</v>
      </c>
      <c r="H215" s="228">
        <v>2</v>
      </c>
      <c r="I215" s="228">
        <v>10</v>
      </c>
      <c r="J215" s="228">
        <v>0</v>
      </c>
      <c r="K215" s="227" t="s">
        <v>3007</v>
      </c>
      <c r="L215" s="228">
        <v>1986</v>
      </c>
      <c r="M215" s="228" t="s">
        <v>1843</v>
      </c>
      <c r="N215" s="229" t="s">
        <v>3003</v>
      </c>
    </row>
    <row r="216" spans="1:14" x14ac:dyDescent="0.2">
      <c r="A216" s="237">
        <v>214</v>
      </c>
      <c r="B216" s="230" t="s">
        <v>3528</v>
      </c>
      <c r="C216" s="231" t="s">
        <v>3528</v>
      </c>
      <c r="D216" s="231">
        <v>8.82</v>
      </c>
      <c r="E216" s="268">
        <v>8.83</v>
      </c>
      <c r="F216" s="231">
        <v>8.5</v>
      </c>
      <c r="G216" s="231">
        <v>0.86</v>
      </c>
      <c r="H216" s="231">
        <v>2</v>
      </c>
      <c r="I216" s="231">
        <v>12</v>
      </c>
      <c r="J216" s="231">
        <v>1</v>
      </c>
      <c r="K216" s="230" t="s">
        <v>3529</v>
      </c>
      <c r="L216" s="231">
        <v>1989</v>
      </c>
      <c r="M216" s="231" t="s">
        <v>1829</v>
      </c>
      <c r="N216" s="232" t="s">
        <v>3530</v>
      </c>
    </row>
    <row r="217" spans="1:14" x14ac:dyDescent="0.2">
      <c r="A217" s="237">
        <v>215</v>
      </c>
      <c r="B217" s="227" t="s">
        <v>305</v>
      </c>
      <c r="C217" s="228" t="s">
        <v>306</v>
      </c>
      <c r="D217" s="228">
        <v>8.89</v>
      </c>
      <c r="E217" s="265">
        <v>8.8699999999999992</v>
      </c>
      <c r="F217" s="228">
        <v>9</v>
      </c>
      <c r="G217" s="228">
        <v>0.7</v>
      </c>
      <c r="H217" s="228">
        <v>2</v>
      </c>
      <c r="I217" s="228">
        <v>9</v>
      </c>
      <c r="J217" s="228">
        <v>0</v>
      </c>
      <c r="K217" s="227" t="s">
        <v>719</v>
      </c>
      <c r="L217" s="228">
        <v>2020</v>
      </c>
      <c r="M217" s="228" t="s">
        <v>1832</v>
      </c>
      <c r="N217" s="229" t="s">
        <v>2087</v>
      </c>
    </row>
    <row r="218" spans="1:14" x14ac:dyDescent="0.2">
      <c r="A218" s="237">
        <v>216</v>
      </c>
      <c r="B218" s="230" t="s">
        <v>305</v>
      </c>
      <c r="C218" s="231" t="s">
        <v>1775</v>
      </c>
      <c r="D218" s="231">
        <v>8.18</v>
      </c>
      <c r="E218" s="318">
        <v>8.06</v>
      </c>
      <c r="F218" s="231">
        <v>8</v>
      </c>
      <c r="G218" s="231">
        <v>0.86</v>
      </c>
      <c r="H218" s="231">
        <v>1</v>
      </c>
      <c r="I218" s="231">
        <v>11</v>
      </c>
      <c r="J218" s="231">
        <v>0</v>
      </c>
      <c r="K218" s="230" t="s">
        <v>1785</v>
      </c>
      <c r="L218" s="231">
        <v>2001</v>
      </c>
      <c r="M218" s="231" t="s">
        <v>1806</v>
      </c>
      <c r="N218" s="232" t="s">
        <v>2026</v>
      </c>
    </row>
    <row r="219" spans="1:14" x14ac:dyDescent="0.2">
      <c r="A219" s="237">
        <v>217</v>
      </c>
      <c r="B219" s="227" t="s">
        <v>292</v>
      </c>
      <c r="C219" s="228" t="s">
        <v>7</v>
      </c>
      <c r="D219" s="228">
        <v>10.11</v>
      </c>
      <c r="E219" s="234">
        <v>10.99</v>
      </c>
      <c r="F219" s="228">
        <v>10.5</v>
      </c>
      <c r="G219" s="228">
        <v>0.52</v>
      </c>
      <c r="H219" s="228">
        <v>7</v>
      </c>
      <c r="I219" s="228">
        <v>12</v>
      </c>
      <c r="J219" s="228">
        <v>3</v>
      </c>
      <c r="K219" s="227" t="s">
        <v>712</v>
      </c>
      <c r="L219" s="228">
        <v>2001</v>
      </c>
      <c r="M219" s="228" t="s">
        <v>1807</v>
      </c>
      <c r="N219" s="229" t="s">
        <v>3021</v>
      </c>
    </row>
    <row r="220" spans="1:14" x14ac:dyDescent="0.2">
      <c r="A220" s="237">
        <v>218</v>
      </c>
      <c r="B220" s="230" t="s">
        <v>292</v>
      </c>
      <c r="C220" s="231" t="s">
        <v>156</v>
      </c>
      <c r="D220" s="231">
        <v>9.61</v>
      </c>
      <c r="E220" s="239">
        <v>9.9600000000000009</v>
      </c>
      <c r="F220" s="231">
        <v>10</v>
      </c>
      <c r="G220" s="231">
        <v>0.74</v>
      </c>
      <c r="H220" s="231">
        <v>5</v>
      </c>
      <c r="I220" s="231">
        <v>15</v>
      </c>
      <c r="J220" s="231">
        <v>6</v>
      </c>
      <c r="K220" s="230" t="s">
        <v>712</v>
      </c>
      <c r="L220" s="231">
        <v>1996</v>
      </c>
      <c r="M220" s="231" t="s">
        <v>1811</v>
      </c>
      <c r="N220" s="232" t="s">
        <v>2070</v>
      </c>
    </row>
    <row r="221" spans="1:14" x14ac:dyDescent="0.2">
      <c r="A221" s="237">
        <v>219</v>
      </c>
      <c r="B221" s="227" t="s">
        <v>292</v>
      </c>
      <c r="C221" s="228" t="s">
        <v>517</v>
      </c>
      <c r="D221" s="228">
        <v>9.61</v>
      </c>
      <c r="E221" s="238">
        <v>9.99</v>
      </c>
      <c r="F221" s="228">
        <v>10</v>
      </c>
      <c r="G221" s="228">
        <v>0.74</v>
      </c>
      <c r="H221" s="228">
        <v>5</v>
      </c>
      <c r="I221" s="228">
        <v>11</v>
      </c>
      <c r="J221" s="228">
        <v>2</v>
      </c>
      <c r="K221" s="227" t="s">
        <v>712</v>
      </c>
      <c r="L221" s="228">
        <v>2006</v>
      </c>
      <c r="M221" s="228" t="s">
        <v>1810</v>
      </c>
      <c r="N221" s="229" t="s">
        <v>2053</v>
      </c>
    </row>
    <row r="222" spans="1:14" x14ac:dyDescent="0.2">
      <c r="A222" s="237">
        <v>220</v>
      </c>
      <c r="B222" s="230" t="s">
        <v>292</v>
      </c>
      <c r="C222" s="231" t="s">
        <v>1175</v>
      </c>
      <c r="D222" s="231">
        <v>9.2899999999999991</v>
      </c>
      <c r="E222" s="379">
        <v>9.42</v>
      </c>
      <c r="F222" s="231">
        <v>9.5</v>
      </c>
      <c r="G222" s="231">
        <v>0.92</v>
      </c>
      <c r="H222" s="231">
        <v>3</v>
      </c>
      <c r="I222" s="231">
        <v>10</v>
      </c>
      <c r="J222" s="231">
        <v>3</v>
      </c>
      <c r="K222" s="230" t="s">
        <v>1187</v>
      </c>
      <c r="L222" s="231">
        <v>2019</v>
      </c>
      <c r="M222" s="231" t="s">
        <v>1813</v>
      </c>
      <c r="N222" s="232" t="s">
        <v>2052</v>
      </c>
    </row>
    <row r="223" spans="1:14" x14ac:dyDescent="0.2">
      <c r="A223" s="237">
        <v>221</v>
      </c>
      <c r="B223" s="227" t="s">
        <v>292</v>
      </c>
      <c r="C223" s="228" t="s">
        <v>2436</v>
      </c>
      <c r="D223" s="228">
        <v>9.25</v>
      </c>
      <c r="E223" s="241">
        <v>9.5299999999999994</v>
      </c>
      <c r="F223" s="228">
        <v>9.5</v>
      </c>
      <c r="G223" s="228">
        <v>1.18</v>
      </c>
      <c r="H223" s="228">
        <v>3</v>
      </c>
      <c r="I223" s="228">
        <v>8</v>
      </c>
      <c r="J223" s="228">
        <v>2</v>
      </c>
      <c r="K223" s="227" t="s">
        <v>2437</v>
      </c>
      <c r="L223" s="228">
        <v>2000</v>
      </c>
      <c r="M223" s="228" t="s">
        <v>1828</v>
      </c>
      <c r="N223" s="229" t="s">
        <v>2324</v>
      </c>
    </row>
    <row r="224" spans="1:14" x14ac:dyDescent="0.2">
      <c r="A224" s="237">
        <v>222</v>
      </c>
      <c r="B224" s="230" t="s">
        <v>292</v>
      </c>
      <c r="C224" s="231" t="s">
        <v>278</v>
      </c>
      <c r="D224" s="231">
        <v>8.35</v>
      </c>
      <c r="E224" s="312">
        <v>8.2200000000000006</v>
      </c>
      <c r="F224" s="231">
        <v>8.25</v>
      </c>
      <c r="G224" s="231">
        <v>1.32</v>
      </c>
      <c r="H224" s="231">
        <v>3</v>
      </c>
      <c r="I224" s="231">
        <v>10</v>
      </c>
      <c r="J224" s="231">
        <v>0</v>
      </c>
      <c r="K224" s="230" t="s">
        <v>731</v>
      </c>
      <c r="L224" s="231">
        <v>1993</v>
      </c>
      <c r="M224" s="231" t="s">
        <v>1835</v>
      </c>
      <c r="N224" s="232" t="s">
        <v>2084</v>
      </c>
    </row>
    <row r="225" spans="1:14" x14ac:dyDescent="0.2">
      <c r="A225" s="237">
        <v>223</v>
      </c>
      <c r="B225" s="227" t="s">
        <v>292</v>
      </c>
      <c r="C225" s="228" t="s">
        <v>3041</v>
      </c>
      <c r="D225" s="228">
        <v>7.92</v>
      </c>
      <c r="E225" s="356">
        <v>7.84</v>
      </c>
      <c r="F225" s="228">
        <v>8</v>
      </c>
      <c r="G225" s="228">
        <v>0.79</v>
      </c>
      <c r="H225" s="228">
        <v>0</v>
      </c>
      <c r="I225" s="228">
        <v>6</v>
      </c>
      <c r="J225" s="228">
        <v>0</v>
      </c>
      <c r="K225" s="227" t="s">
        <v>731</v>
      </c>
      <c r="L225" s="228">
        <v>1992</v>
      </c>
      <c r="M225" s="228" t="s">
        <v>3127</v>
      </c>
      <c r="N225" s="229" t="s">
        <v>3035</v>
      </c>
    </row>
    <row r="226" spans="1:14" x14ac:dyDescent="0.2">
      <c r="A226" s="237">
        <v>224</v>
      </c>
      <c r="B226" s="230" t="s">
        <v>426</v>
      </c>
      <c r="C226" s="231" t="s">
        <v>427</v>
      </c>
      <c r="D226" s="231">
        <v>8.18</v>
      </c>
      <c r="E226" s="318">
        <v>8.06</v>
      </c>
      <c r="F226" s="231">
        <v>8</v>
      </c>
      <c r="G226" s="231">
        <v>0.89</v>
      </c>
      <c r="H226" s="231">
        <v>2</v>
      </c>
      <c r="I226" s="231">
        <v>19</v>
      </c>
      <c r="J226" s="231">
        <v>0</v>
      </c>
      <c r="K226" s="230" t="s">
        <v>738</v>
      </c>
      <c r="L226" s="231">
        <v>2023</v>
      </c>
      <c r="M226" s="231" t="s">
        <v>1828</v>
      </c>
      <c r="N226" s="232" t="s">
        <v>2080</v>
      </c>
    </row>
    <row r="227" spans="1:14" x14ac:dyDescent="0.2">
      <c r="A227" s="237">
        <v>225</v>
      </c>
      <c r="B227" s="227" t="s">
        <v>1687</v>
      </c>
      <c r="C227" s="228" t="s">
        <v>1688</v>
      </c>
      <c r="D227" s="228">
        <v>8.5</v>
      </c>
      <c r="E227" s="300">
        <v>8.4499999999999993</v>
      </c>
      <c r="F227" s="228">
        <v>8.5</v>
      </c>
      <c r="G227" s="228">
        <v>0.41</v>
      </c>
      <c r="H227" s="228">
        <v>0</v>
      </c>
      <c r="I227" s="228">
        <v>9</v>
      </c>
      <c r="J227" s="228">
        <v>0</v>
      </c>
      <c r="K227" s="227" t="s">
        <v>1162</v>
      </c>
      <c r="L227" s="228">
        <v>2026</v>
      </c>
      <c r="M227" s="228" t="s">
        <v>1848</v>
      </c>
      <c r="N227" s="229" t="s">
        <v>2031</v>
      </c>
    </row>
    <row r="228" spans="1:14" x14ac:dyDescent="0.2">
      <c r="A228" s="237">
        <v>226</v>
      </c>
      <c r="B228" s="230" t="s">
        <v>759</v>
      </c>
      <c r="C228" s="231" t="s">
        <v>760</v>
      </c>
      <c r="D228" s="231">
        <v>8.33</v>
      </c>
      <c r="E228" s="315">
        <v>8.16</v>
      </c>
      <c r="F228" s="231">
        <v>8</v>
      </c>
      <c r="G228" s="231">
        <v>1.1599999999999999</v>
      </c>
      <c r="H228" s="231">
        <v>3</v>
      </c>
      <c r="I228" s="231">
        <v>15</v>
      </c>
      <c r="J228" s="231">
        <v>0</v>
      </c>
      <c r="K228" s="230" t="s">
        <v>780</v>
      </c>
      <c r="L228" s="231">
        <v>2003</v>
      </c>
      <c r="M228" s="231" t="s">
        <v>1849</v>
      </c>
      <c r="N228" s="232" t="s">
        <v>2066</v>
      </c>
    </row>
    <row r="229" spans="1:14" x14ac:dyDescent="0.2">
      <c r="A229" s="237">
        <v>227</v>
      </c>
      <c r="B229" s="227" t="s">
        <v>319</v>
      </c>
      <c r="C229" s="228" t="s">
        <v>320</v>
      </c>
      <c r="D229" s="228">
        <v>8.33</v>
      </c>
      <c r="E229" s="315">
        <v>8.17</v>
      </c>
      <c r="F229" s="228">
        <v>8</v>
      </c>
      <c r="G229" s="228">
        <v>0.94</v>
      </c>
      <c r="H229" s="228">
        <v>1</v>
      </c>
      <c r="I229" s="228">
        <v>9</v>
      </c>
      <c r="J229" s="228">
        <v>0</v>
      </c>
      <c r="K229" s="227" t="s">
        <v>721</v>
      </c>
      <c r="L229" s="228">
        <v>1993</v>
      </c>
      <c r="M229" s="228" t="s">
        <v>1833</v>
      </c>
      <c r="N229" s="229" t="s">
        <v>2085</v>
      </c>
    </row>
    <row r="230" spans="1:14" x14ac:dyDescent="0.2">
      <c r="A230" s="237">
        <v>228</v>
      </c>
      <c r="B230" s="230" t="s">
        <v>2361</v>
      </c>
      <c r="C230" s="231" t="s">
        <v>2346</v>
      </c>
      <c r="D230" s="231">
        <v>10</v>
      </c>
      <c r="E230" s="234">
        <v>10.44</v>
      </c>
      <c r="F230" s="231">
        <v>10.5</v>
      </c>
      <c r="G230" s="231">
        <v>0.71</v>
      </c>
      <c r="H230" s="231">
        <v>2</v>
      </c>
      <c r="I230" s="231">
        <v>3</v>
      </c>
      <c r="J230" s="231">
        <v>0</v>
      </c>
      <c r="K230" s="230" t="s">
        <v>1024</v>
      </c>
      <c r="L230" s="231">
        <v>1972</v>
      </c>
      <c r="M230" s="231" t="s">
        <v>1818</v>
      </c>
      <c r="N230" s="232" t="s">
        <v>2377</v>
      </c>
    </row>
    <row r="231" spans="1:14" x14ac:dyDescent="0.2">
      <c r="A231" s="237">
        <v>229</v>
      </c>
      <c r="B231" s="227" t="s">
        <v>2361</v>
      </c>
      <c r="C231" s="228" t="s">
        <v>3396</v>
      </c>
      <c r="D231" s="228">
        <v>8.56</v>
      </c>
      <c r="E231" s="378">
        <v>8.48</v>
      </c>
      <c r="F231" s="228">
        <v>8.5</v>
      </c>
      <c r="G231" s="228">
        <v>0.73</v>
      </c>
      <c r="H231" s="228">
        <v>1</v>
      </c>
      <c r="I231" s="228">
        <v>9</v>
      </c>
      <c r="J231" s="228">
        <v>1</v>
      </c>
      <c r="K231" s="227" t="s">
        <v>1024</v>
      </c>
      <c r="L231" s="228">
        <v>1971</v>
      </c>
      <c r="M231" s="228" t="s">
        <v>1814</v>
      </c>
      <c r="N231" s="229" t="s">
        <v>3399</v>
      </c>
    </row>
    <row r="232" spans="1:14" x14ac:dyDescent="0.2">
      <c r="A232" s="237">
        <v>230</v>
      </c>
      <c r="B232" s="230" t="s">
        <v>533</v>
      </c>
      <c r="C232" s="231" t="s">
        <v>534</v>
      </c>
      <c r="D232" s="231">
        <v>8.31</v>
      </c>
      <c r="E232" s="315">
        <v>8.16</v>
      </c>
      <c r="F232" s="231">
        <v>8</v>
      </c>
      <c r="G232" s="231">
        <v>0.89</v>
      </c>
      <c r="H232" s="231">
        <v>2</v>
      </c>
      <c r="I232" s="231">
        <v>14</v>
      </c>
      <c r="J232" s="231">
        <v>1</v>
      </c>
      <c r="K232" s="230" t="s">
        <v>724</v>
      </c>
      <c r="L232" s="231">
        <v>2016</v>
      </c>
      <c r="M232" s="231" t="s">
        <v>1829</v>
      </c>
      <c r="N232" s="232" t="s">
        <v>2077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76"/>
  <sheetViews>
    <sheetView zoomScale="60" zoomScaleNormal="60" workbookViewId="0">
      <selection activeCell="S148" sqref="S148"/>
    </sheetView>
  </sheetViews>
  <sheetFormatPr baseColWidth="10" defaultColWidth="8.83203125" defaultRowHeight="16" x14ac:dyDescent="0.2"/>
  <cols>
    <col min="1" max="1" width="3.5" bestFit="1" customWidth="1"/>
    <col min="2" max="2" width="25.6640625" bestFit="1" customWidth="1"/>
    <col min="3" max="3" width="58.6640625" bestFit="1" customWidth="1"/>
    <col min="4" max="4" width="6.83203125" bestFit="1" customWidth="1"/>
    <col min="5" max="5" width="14.83203125" bestFit="1" customWidth="1"/>
    <col min="6" max="6" width="8.1640625" bestFit="1" customWidth="1"/>
    <col min="7" max="7" width="11.1640625" bestFit="1" customWidth="1"/>
    <col min="8" max="8" width="9.5" bestFit="1" customWidth="1"/>
    <col min="9" max="9" width="14.33203125" bestFit="1" customWidth="1"/>
    <col min="10" max="10" width="10.5" bestFit="1" customWidth="1"/>
    <col min="11" max="11" width="58.5" bestFit="1" customWidth="1"/>
    <col min="12" max="12" width="11.33203125" bestFit="1" customWidth="1"/>
    <col min="13" max="13" width="8.6640625" bestFit="1" customWidth="1"/>
    <col min="14" max="14" width="14.33203125" bestFit="1" customWidth="1"/>
  </cols>
  <sheetData>
    <row r="1" spans="1:14" ht="18" x14ac:dyDescent="0.25">
      <c r="A1" s="418" t="s">
        <v>1266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</row>
    <row r="2" spans="1:14" x14ac:dyDescent="0.2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2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2991</v>
      </c>
      <c r="L3" s="228" t="s">
        <v>2865</v>
      </c>
      <c r="M3" s="228" t="s">
        <v>1820</v>
      </c>
      <c r="N3" s="229" t="s">
        <v>2088</v>
      </c>
    </row>
    <row r="4" spans="1:14" x14ac:dyDescent="0.2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3400</v>
      </c>
      <c r="M4" s="231" t="s">
        <v>1822</v>
      </c>
      <c r="N4" s="232" t="s">
        <v>2088</v>
      </c>
    </row>
    <row r="5" spans="1:14" x14ac:dyDescent="0.2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2990</v>
      </c>
      <c r="L5" s="228" t="s">
        <v>3129</v>
      </c>
      <c r="M5" s="228" t="s">
        <v>3078</v>
      </c>
      <c r="N5" s="229" t="s">
        <v>2088</v>
      </c>
    </row>
    <row r="6" spans="1:14" x14ac:dyDescent="0.2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3731</v>
      </c>
      <c r="M6" s="231" t="s">
        <v>1810</v>
      </c>
      <c r="N6" s="232" t="s">
        <v>2088</v>
      </c>
    </row>
    <row r="7" spans="1:14" x14ac:dyDescent="0.2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2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2992</v>
      </c>
      <c r="L8" s="231" t="s">
        <v>2007</v>
      </c>
      <c r="M8" s="231" t="s">
        <v>1845</v>
      </c>
      <c r="N8" s="232" t="s">
        <v>2088</v>
      </c>
    </row>
    <row r="9" spans="1:14" x14ac:dyDescent="0.2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2993</v>
      </c>
      <c r="L9" s="228" t="s">
        <v>2410</v>
      </c>
      <c r="M9" s="228" t="s">
        <v>1824</v>
      </c>
      <c r="N9" s="229" t="s">
        <v>2088</v>
      </c>
    </row>
    <row r="10" spans="1:14" x14ac:dyDescent="0.2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2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2004</v>
      </c>
      <c r="M11" s="228" t="s">
        <v>2005</v>
      </c>
      <c r="N11" s="229" t="s">
        <v>2088</v>
      </c>
    </row>
    <row r="12" spans="1:14" x14ac:dyDescent="0.2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2994</v>
      </c>
      <c r="L12" s="231" t="s">
        <v>1858</v>
      </c>
      <c r="M12" s="231" t="s">
        <v>1832</v>
      </c>
      <c r="N12" s="232" t="s">
        <v>2088</v>
      </c>
    </row>
    <row r="13" spans="1:14" x14ac:dyDescent="0.2">
      <c r="A13" s="237">
        <v>11</v>
      </c>
      <c r="B13" s="227" t="s">
        <v>2785</v>
      </c>
      <c r="C13" s="228">
        <v>3</v>
      </c>
      <c r="D13" s="228">
        <v>8.84</v>
      </c>
      <c r="E13" s="268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2791</v>
      </c>
      <c r="L13" s="228" t="s">
        <v>3080</v>
      </c>
      <c r="M13" s="228" t="s">
        <v>1825</v>
      </c>
      <c r="N13" s="229" t="s">
        <v>2088</v>
      </c>
    </row>
    <row r="14" spans="1:14" x14ac:dyDescent="0.2">
      <c r="A14" s="237">
        <v>12</v>
      </c>
      <c r="B14" s="230" t="s">
        <v>2936</v>
      </c>
      <c r="C14" s="231">
        <v>2</v>
      </c>
      <c r="D14" s="231">
        <v>8.85</v>
      </c>
      <c r="E14" s="268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3300</v>
      </c>
      <c r="M14" s="231" t="s">
        <v>1836</v>
      </c>
      <c r="N14" s="232" t="s">
        <v>2088</v>
      </c>
    </row>
    <row r="15" spans="1:14" x14ac:dyDescent="0.2">
      <c r="A15" s="237">
        <v>13</v>
      </c>
      <c r="B15" s="227" t="s">
        <v>293</v>
      </c>
      <c r="C15" s="228">
        <v>9</v>
      </c>
      <c r="D15" s="228">
        <v>8.6999999999999993</v>
      </c>
      <c r="E15" s="268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2">
      <c r="A16" s="237">
        <v>14</v>
      </c>
      <c r="B16" s="230" t="s">
        <v>1529</v>
      </c>
      <c r="C16" s="231">
        <v>2</v>
      </c>
      <c r="D16" s="231">
        <v>8.91</v>
      </c>
      <c r="E16" s="269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2">
      <c r="A17" s="237">
        <v>15</v>
      </c>
      <c r="B17" s="227" t="s">
        <v>2630</v>
      </c>
      <c r="C17" s="228">
        <v>2</v>
      </c>
      <c r="D17" s="228">
        <v>8.9</v>
      </c>
      <c r="E17" s="270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3322</v>
      </c>
      <c r="M17" s="228" t="s">
        <v>1822</v>
      </c>
      <c r="N17" s="229" t="s">
        <v>2088</v>
      </c>
    </row>
    <row r="18" spans="1:14" x14ac:dyDescent="0.2">
      <c r="A18" s="237">
        <v>16</v>
      </c>
      <c r="B18" s="230" t="s">
        <v>311</v>
      </c>
      <c r="C18" s="231">
        <v>3</v>
      </c>
      <c r="D18" s="231">
        <v>8.77</v>
      </c>
      <c r="E18" s="271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2">
      <c r="A19" s="237">
        <v>17</v>
      </c>
      <c r="B19" s="227" t="s">
        <v>1616</v>
      </c>
      <c r="C19" s="228">
        <v>2</v>
      </c>
      <c r="D19" s="228">
        <v>8.81</v>
      </c>
      <c r="E19" s="273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2">
      <c r="A20" s="237">
        <v>18</v>
      </c>
      <c r="B20" s="230" t="s">
        <v>2551</v>
      </c>
      <c r="C20" s="231">
        <v>2</v>
      </c>
      <c r="D20" s="231">
        <v>8.77</v>
      </c>
      <c r="E20" s="337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3645</v>
      </c>
      <c r="L20" s="231" t="s">
        <v>1859</v>
      </c>
      <c r="M20" s="231" t="s">
        <v>1824</v>
      </c>
      <c r="N20" s="232" t="s">
        <v>2088</v>
      </c>
    </row>
    <row r="21" spans="1:14" x14ac:dyDescent="0.2">
      <c r="A21" s="237">
        <v>19</v>
      </c>
      <c r="B21" s="227" t="s">
        <v>2232</v>
      </c>
      <c r="C21" s="228">
        <v>3</v>
      </c>
      <c r="D21" s="228">
        <v>8.66</v>
      </c>
      <c r="E21" s="337">
        <v>8.69</v>
      </c>
      <c r="F21" s="228">
        <v>8.42</v>
      </c>
      <c r="G21" s="228">
        <v>0.77</v>
      </c>
      <c r="H21" s="228">
        <v>5</v>
      </c>
      <c r="I21" s="228">
        <v>44</v>
      </c>
      <c r="J21" s="228">
        <v>2</v>
      </c>
      <c r="K21" s="227" t="s">
        <v>2812</v>
      </c>
      <c r="L21" s="228" t="s">
        <v>2858</v>
      </c>
      <c r="M21" s="228" t="s">
        <v>1822</v>
      </c>
      <c r="N21" s="229" t="s">
        <v>2088</v>
      </c>
    </row>
    <row r="22" spans="1:14" x14ac:dyDescent="0.2">
      <c r="A22" s="237">
        <v>20</v>
      </c>
      <c r="B22" s="230" t="s">
        <v>1664</v>
      </c>
      <c r="C22" s="231">
        <v>2</v>
      </c>
      <c r="D22" s="231">
        <v>8.7100000000000009</v>
      </c>
      <c r="E22" s="280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2995</v>
      </c>
      <c r="L22" s="231" t="s">
        <v>2684</v>
      </c>
      <c r="M22" s="231" t="s">
        <v>1831</v>
      </c>
      <c r="N22" s="232" t="s">
        <v>2088</v>
      </c>
    </row>
    <row r="23" spans="1:14" x14ac:dyDescent="0.2">
      <c r="A23" s="237">
        <v>21</v>
      </c>
      <c r="B23" s="227" t="s">
        <v>1367</v>
      </c>
      <c r="C23" s="228">
        <v>2</v>
      </c>
      <c r="D23" s="228">
        <v>8.77</v>
      </c>
      <c r="E23" s="281">
        <v>8.67</v>
      </c>
      <c r="F23" s="228">
        <v>8.5</v>
      </c>
      <c r="G23" s="228">
        <v>0.62</v>
      </c>
      <c r="H23" s="228">
        <v>2</v>
      </c>
      <c r="I23" s="228">
        <v>17</v>
      </c>
      <c r="J23" s="228">
        <v>1</v>
      </c>
      <c r="K23" s="227" t="s">
        <v>2996</v>
      </c>
      <c r="L23" s="228" t="s">
        <v>2157</v>
      </c>
      <c r="M23" s="228" t="s">
        <v>1860</v>
      </c>
      <c r="N23" s="229" t="s">
        <v>2088</v>
      </c>
    </row>
    <row r="24" spans="1:14" x14ac:dyDescent="0.2">
      <c r="A24" s="237">
        <v>22</v>
      </c>
      <c r="B24" s="230" t="s">
        <v>1405</v>
      </c>
      <c r="C24" s="231">
        <v>5</v>
      </c>
      <c r="D24" s="231">
        <v>8.69</v>
      </c>
      <c r="E24" s="281">
        <v>8.67</v>
      </c>
      <c r="F24" s="231">
        <v>8.4499999999999993</v>
      </c>
      <c r="G24" s="231">
        <v>0.85</v>
      </c>
      <c r="H24" s="231">
        <v>12</v>
      </c>
      <c r="I24" s="231">
        <v>67</v>
      </c>
      <c r="J24" s="231">
        <v>0</v>
      </c>
      <c r="K24" s="230" t="s">
        <v>3772</v>
      </c>
      <c r="L24" s="231" t="s">
        <v>2552</v>
      </c>
      <c r="M24" s="231" t="s">
        <v>1844</v>
      </c>
      <c r="N24" s="232" t="s">
        <v>2088</v>
      </c>
    </row>
    <row r="25" spans="1:14" x14ac:dyDescent="0.2">
      <c r="A25" s="237">
        <v>23</v>
      </c>
      <c r="B25" s="227" t="s">
        <v>315</v>
      </c>
      <c r="C25" s="228">
        <v>2</v>
      </c>
      <c r="D25" s="228">
        <v>8.67</v>
      </c>
      <c r="E25" s="281">
        <v>8.67</v>
      </c>
      <c r="F25" s="228">
        <v>8.75</v>
      </c>
      <c r="G25" s="228">
        <v>0.97</v>
      </c>
      <c r="H25" s="228">
        <v>4</v>
      </c>
      <c r="I25" s="228">
        <v>26</v>
      </c>
      <c r="J25" s="228">
        <v>2</v>
      </c>
      <c r="K25" s="227" t="s">
        <v>725</v>
      </c>
      <c r="L25" s="228" t="s">
        <v>2309</v>
      </c>
      <c r="M25" s="228" t="s">
        <v>1843</v>
      </c>
      <c r="N25" s="229" t="s">
        <v>2088</v>
      </c>
    </row>
    <row r="26" spans="1:14" x14ac:dyDescent="0.2">
      <c r="A26" s="237">
        <v>24</v>
      </c>
      <c r="B26" s="230" t="s">
        <v>1594</v>
      </c>
      <c r="C26" s="231">
        <v>2</v>
      </c>
      <c r="D26" s="231">
        <v>8.73</v>
      </c>
      <c r="E26" s="283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 t="s">
        <v>3793</v>
      </c>
      <c r="M26" s="231" t="s">
        <v>3794</v>
      </c>
      <c r="N26" s="232" t="s">
        <v>2088</v>
      </c>
    </row>
    <row r="27" spans="1:14" x14ac:dyDescent="0.2">
      <c r="A27" s="237">
        <v>25</v>
      </c>
      <c r="B27" s="227" t="s">
        <v>795</v>
      </c>
      <c r="C27" s="228">
        <v>2</v>
      </c>
      <c r="D27" s="228">
        <v>8.64</v>
      </c>
      <c r="E27" s="285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2">
      <c r="A28" s="237">
        <v>26</v>
      </c>
      <c r="B28" s="230" t="s">
        <v>1448</v>
      </c>
      <c r="C28" s="231">
        <v>3</v>
      </c>
      <c r="D28" s="231">
        <v>8.6300000000000008</v>
      </c>
      <c r="E28" s="286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2997</v>
      </c>
      <c r="L28" s="231" t="s">
        <v>1862</v>
      </c>
      <c r="M28" s="231" t="s">
        <v>1821</v>
      </c>
      <c r="N28" s="232" t="s">
        <v>2088</v>
      </c>
    </row>
    <row r="29" spans="1:14" x14ac:dyDescent="0.2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3859</v>
      </c>
      <c r="L29" s="228" t="s">
        <v>3860</v>
      </c>
      <c r="M29" s="228" t="s">
        <v>1812</v>
      </c>
      <c r="N29" s="229" t="s">
        <v>2088</v>
      </c>
    </row>
    <row r="30" spans="1:14" x14ac:dyDescent="0.2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2998</v>
      </c>
      <c r="L30" s="231" t="s">
        <v>1866</v>
      </c>
      <c r="M30" s="231" t="s">
        <v>1835</v>
      </c>
      <c r="N30" s="232" t="s">
        <v>2088</v>
      </c>
    </row>
    <row r="31" spans="1:14" x14ac:dyDescent="0.2">
      <c r="A31" s="237">
        <v>29</v>
      </c>
      <c r="B31" s="227" t="s">
        <v>2683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3499</v>
      </c>
      <c r="L31" s="228" t="s">
        <v>3503</v>
      </c>
      <c r="M31" s="228" t="s">
        <v>1825</v>
      </c>
      <c r="N31" s="229" t="s">
        <v>2088</v>
      </c>
    </row>
    <row r="32" spans="1:14" x14ac:dyDescent="0.2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3571</v>
      </c>
      <c r="L32" s="231" t="s">
        <v>3572</v>
      </c>
      <c r="M32" s="231" t="s">
        <v>1812</v>
      </c>
      <c r="N32" s="232" t="s">
        <v>2088</v>
      </c>
    </row>
    <row r="33" spans="1:14" x14ac:dyDescent="0.2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2999</v>
      </c>
      <c r="L33" s="228" t="s">
        <v>2527</v>
      </c>
      <c r="M33" s="228" t="s">
        <v>1824</v>
      </c>
      <c r="N33" s="229" t="s">
        <v>2088</v>
      </c>
    </row>
    <row r="34" spans="1:14" x14ac:dyDescent="0.2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3000</v>
      </c>
      <c r="L34" s="231" t="s">
        <v>1863</v>
      </c>
      <c r="M34" s="231" t="s">
        <v>1822</v>
      </c>
      <c r="N34" s="232" t="s">
        <v>2088</v>
      </c>
    </row>
    <row r="35" spans="1:14" x14ac:dyDescent="0.2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3335</v>
      </c>
      <c r="L35" s="228" t="s">
        <v>3336</v>
      </c>
      <c r="M35" s="228" t="s">
        <v>1821</v>
      </c>
      <c r="N35" s="229" t="s">
        <v>2088</v>
      </c>
    </row>
    <row r="36" spans="1:14" x14ac:dyDescent="0.2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1666</v>
      </c>
      <c r="L36" s="231" t="s">
        <v>1864</v>
      </c>
      <c r="M36" s="231" t="s">
        <v>1865</v>
      </c>
      <c r="N36" s="232" t="s">
        <v>2088</v>
      </c>
    </row>
    <row r="37" spans="1:14" x14ac:dyDescent="0.2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1867</v>
      </c>
      <c r="M37" s="228" t="s">
        <v>1808</v>
      </c>
      <c r="N37" s="229" t="s">
        <v>2088</v>
      </c>
    </row>
    <row r="38" spans="1:14" x14ac:dyDescent="0.2">
      <c r="A38" s="237">
        <v>36</v>
      </c>
      <c r="B38" s="230" t="s">
        <v>2918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2921</v>
      </c>
      <c r="L38" s="231" t="s">
        <v>2309</v>
      </c>
      <c r="M38" s="231" t="s">
        <v>1817</v>
      </c>
      <c r="N38" s="232" t="s">
        <v>2088</v>
      </c>
    </row>
    <row r="39" spans="1:14" x14ac:dyDescent="0.2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3001</v>
      </c>
      <c r="L39" s="228" t="s">
        <v>2732</v>
      </c>
      <c r="M39" s="228" t="s">
        <v>1842</v>
      </c>
      <c r="N39" s="229" t="s">
        <v>2088</v>
      </c>
    </row>
    <row r="40" spans="1:14" x14ac:dyDescent="0.2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2437</v>
      </c>
      <c r="L40" s="231" t="s">
        <v>3795</v>
      </c>
      <c r="M40" s="231" t="s">
        <v>1841</v>
      </c>
      <c r="N40" s="232" t="s">
        <v>2088</v>
      </c>
    </row>
    <row r="41" spans="1:14" x14ac:dyDescent="0.2">
      <c r="A41" s="237">
        <v>39</v>
      </c>
      <c r="B41" s="227" t="s">
        <v>301</v>
      </c>
      <c r="C41" s="228">
        <v>7</v>
      </c>
      <c r="D41" s="228">
        <v>8.0399999999999991</v>
      </c>
      <c r="E41" s="415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3891</v>
      </c>
      <c r="L41" s="228" t="s">
        <v>2192</v>
      </c>
      <c r="M41" s="228" t="s">
        <v>1842</v>
      </c>
      <c r="N41" s="229" t="s">
        <v>2088</v>
      </c>
    </row>
    <row r="42" spans="1:14" x14ac:dyDescent="0.2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3623</v>
      </c>
      <c r="M42" s="231" t="s">
        <v>1853</v>
      </c>
      <c r="N42" s="232" t="s">
        <v>2088</v>
      </c>
    </row>
    <row r="44" spans="1:14" ht="18" x14ac:dyDescent="0.25">
      <c r="A44" s="418" t="s">
        <v>2636</v>
      </c>
      <c r="B44" s="418"/>
      <c r="C44" s="418"/>
      <c r="D44" s="418"/>
      <c r="E44" s="418"/>
    </row>
    <row r="45" spans="1:14" x14ac:dyDescent="0.2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2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2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2">
      <c r="A48" s="236">
        <v>3</v>
      </c>
      <c r="B48" s="227" t="s">
        <v>2361</v>
      </c>
      <c r="C48" s="227" t="s">
        <v>2346</v>
      </c>
      <c r="D48" s="228">
        <v>10</v>
      </c>
      <c r="E48" s="234">
        <v>10.44</v>
      </c>
    </row>
    <row r="49" spans="1:5" x14ac:dyDescent="0.2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2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2">
      <c r="A51" s="237">
        <v>6</v>
      </c>
      <c r="B51" s="230" t="s">
        <v>2531</v>
      </c>
      <c r="C51" s="230" t="s">
        <v>634</v>
      </c>
      <c r="D51" s="231">
        <v>9.8800000000000008</v>
      </c>
      <c r="E51" s="234">
        <v>10.220000000000001</v>
      </c>
    </row>
    <row r="52" spans="1:5" x14ac:dyDescent="0.2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2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2">
      <c r="A54" s="237">
        <v>9</v>
      </c>
      <c r="B54" s="227" t="s">
        <v>300</v>
      </c>
      <c r="C54" s="227" t="s">
        <v>131</v>
      </c>
      <c r="D54" s="228">
        <v>9.2899999999999991</v>
      </c>
      <c r="E54" s="412">
        <v>9.44</v>
      </c>
    </row>
    <row r="55" spans="1:5" x14ac:dyDescent="0.2">
      <c r="A55" s="237">
        <v>10</v>
      </c>
      <c r="B55" s="230" t="s">
        <v>1935</v>
      </c>
      <c r="C55" s="230" t="s">
        <v>1928</v>
      </c>
      <c r="D55" s="231">
        <v>9.31</v>
      </c>
      <c r="E55" s="243">
        <v>9.43</v>
      </c>
    </row>
    <row r="56" spans="1:5" x14ac:dyDescent="0.2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2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2">
      <c r="A58" s="237">
        <v>13</v>
      </c>
      <c r="B58" s="227" t="s">
        <v>3139</v>
      </c>
      <c r="C58" s="227" t="s">
        <v>3140</v>
      </c>
      <c r="D58" s="228">
        <v>9.14</v>
      </c>
      <c r="E58" s="247">
        <v>9.23</v>
      </c>
    </row>
    <row r="59" spans="1:5" x14ac:dyDescent="0.2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2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2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2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2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2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2">
      <c r="A65" s="237">
        <v>20</v>
      </c>
      <c r="B65" s="230" t="s">
        <v>2614</v>
      </c>
      <c r="C65" s="230" t="s">
        <v>2607</v>
      </c>
      <c r="D65" s="231">
        <v>9.06</v>
      </c>
      <c r="E65" s="255">
        <v>9.02</v>
      </c>
    </row>
    <row r="66" spans="1:5" x14ac:dyDescent="0.2">
      <c r="A66" s="237">
        <v>21</v>
      </c>
      <c r="B66" s="227" t="s">
        <v>1529</v>
      </c>
      <c r="C66" s="227" t="s">
        <v>2257</v>
      </c>
      <c r="D66" s="228">
        <v>9.07</v>
      </c>
      <c r="E66" s="255">
        <v>9.02</v>
      </c>
    </row>
    <row r="67" spans="1:5" x14ac:dyDescent="0.2">
      <c r="A67" s="237">
        <v>22</v>
      </c>
      <c r="B67" s="230" t="s">
        <v>315</v>
      </c>
      <c r="C67" s="230" t="s">
        <v>2273</v>
      </c>
      <c r="D67" s="231">
        <v>8.92</v>
      </c>
      <c r="E67" s="256">
        <v>9</v>
      </c>
    </row>
    <row r="68" spans="1:5" x14ac:dyDescent="0.2">
      <c r="A68" s="237">
        <v>23</v>
      </c>
      <c r="B68" s="227" t="s">
        <v>2703</v>
      </c>
      <c r="C68" s="227" t="s">
        <v>2699</v>
      </c>
      <c r="D68" s="228">
        <v>8.83</v>
      </c>
      <c r="E68" s="256">
        <v>9</v>
      </c>
    </row>
    <row r="69" spans="1:5" x14ac:dyDescent="0.2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2">
      <c r="A70" s="237">
        <v>25</v>
      </c>
      <c r="B70" s="227" t="s">
        <v>312</v>
      </c>
      <c r="C70" s="227" t="s">
        <v>1755</v>
      </c>
      <c r="D70" s="228">
        <v>9</v>
      </c>
      <c r="E70" s="258">
        <v>8.9600000000000009</v>
      </c>
    </row>
    <row r="72" spans="1:5" ht="18" x14ac:dyDescent="0.25">
      <c r="A72" s="418" t="s">
        <v>2637</v>
      </c>
      <c r="B72" s="418"/>
      <c r="C72" s="418"/>
      <c r="D72" s="418"/>
      <c r="E72" s="418"/>
    </row>
    <row r="73" spans="1:5" x14ac:dyDescent="0.2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2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2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2">
      <c r="A76" s="236">
        <v>3</v>
      </c>
      <c r="B76" s="227" t="s">
        <v>2361</v>
      </c>
      <c r="C76" s="227" t="s">
        <v>2346</v>
      </c>
      <c r="D76" s="228">
        <v>10</v>
      </c>
      <c r="E76" s="234">
        <v>10.44</v>
      </c>
    </row>
    <row r="77" spans="1:5" x14ac:dyDescent="0.2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2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2">
      <c r="A79" s="237">
        <v>6</v>
      </c>
      <c r="B79" s="230" t="s">
        <v>2531</v>
      </c>
      <c r="C79" s="230" t="s">
        <v>634</v>
      </c>
      <c r="D79" s="231">
        <v>9.8800000000000008</v>
      </c>
      <c r="E79" s="234">
        <v>10.220000000000001</v>
      </c>
    </row>
    <row r="80" spans="1:5" x14ac:dyDescent="0.2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2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2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2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2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2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2">
      <c r="A86" s="237">
        <v>13</v>
      </c>
      <c r="B86" s="227" t="s">
        <v>292</v>
      </c>
      <c r="C86" s="227" t="s">
        <v>2436</v>
      </c>
      <c r="D86" s="228">
        <v>9.25</v>
      </c>
      <c r="E86" s="241">
        <v>9.5299999999999994</v>
      </c>
    </row>
    <row r="87" spans="1:5" x14ac:dyDescent="0.2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2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2">
      <c r="A89" s="237">
        <v>16</v>
      </c>
      <c r="B89" s="230" t="s">
        <v>1935</v>
      </c>
      <c r="C89" s="230" t="s">
        <v>1928</v>
      </c>
      <c r="D89" s="231">
        <v>9.31</v>
      </c>
      <c r="E89" s="243">
        <v>9.43</v>
      </c>
    </row>
    <row r="90" spans="1:5" x14ac:dyDescent="0.2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2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2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2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2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2">
      <c r="A95" s="237">
        <v>22</v>
      </c>
      <c r="B95" s="230" t="s">
        <v>3139</v>
      </c>
      <c r="C95" s="230" t="s">
        <v>3140</v>
      </c>
      <c r="D95" s="231">
        <v>9.14</v>
      </c>
      <c r="E95" s="247">
        <v>9.23</v>
      </c>
    </row>
    <row r="96" spans="1:5" x14ac:dyDescent="0.2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2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2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8" x14ac:dyDescent="0.25">
      <c r="A103" s="418" t="s">
        <v>3796</v>
      </c>
      <c r="B103" s="418"/>
      <c r="C103" s="418"/>
      <c r="D103" s="418"/>
      <c r="E103" s="418"/>
    </row>
    <row r="104" spans="1:5" x14ac:dyDescent="0.2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2">
      <c r="A105" s="233">
        <v>1</v>
      </c>
      <c r="B105" s="227" t="s">
        <v>292</v>
      </c>
      <c r="C105" s="227" t="s">
        <v>3402</v>
      </c>
      <c r="D105" s="228">
        <v>9.57</v>
      </c>
      <c r="E105" s="380">
        <v>9.98</v>
      </c>
    </row>
    <row r="106" spans="1:5" x14ac:dyDescent="0.2">
      <c r="A106" s="235">
        <v>2</v>
      </c>
      <c r="B106" s="230" t="s">
        <v>300</v>
      </c>
      <c r="C106" s="230" t="s">
        <v>3409</v>
      </c>
      <c r="D106" s="231">
        <v>9.0299999999999994</v>
      </c>
      <c r="E106" s="252">
        <v>9.08</v>
      </c>
    </row>
    <row r="107" spans="1:5" x14ac:dyDescent="0.2">
      <c r="A107" s="236">
        <v>3</v>
      </c>
      <c r="B107" s="227" t="s">
        <v>3139</v>
      </c>
      <c r="C107" s="227" t="s">
        <v>3140</v>
      </c>
      <c r="D107" s="228">
        <v>9.14</v>
      </c>
      <c r="E107" s="247">
        <v>9.23</v>
      </c>
    </row>
    <row r="108" spans="1:5" x14ac:dyDescent="0.2">
      <c r="A108" s="237">
        <v>4</v>
      </c>
      <c r="B108" s="230" t="s">
        <v>441</v>
      </c>
      <c r="C108" s="230" t="s">
        <v>2638</v>
      </c>
      <c r="D108" s="231">
        <v>8.9700000000000006</v>
      </c>
      <c r="E108" s="254">
        <v>9.0299999999999994</v>
      </c>
    </row>
    <row r="109" spans="1:5" x14ac:dyDescent="0.2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8" x14ac:dyDescent="0.25">
      <c r="A111" s="418" t="s">
        <v>3962</v>
      </c>
      <c r="B111" s="418"/>
      <c r="C111" s="418"/>
      <c r="D111" s="418"/>
      <c r="E111" s="418"/>
    </row>
    <row r="112" spans="1:5" x14ac:dyDescent="0.2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2">
      <c r="A113" s="233">
        <v>1</v>
      </c>
      <c r="B113" s="227" t="s">
        <v>2361</v>
      </c>
      <c r="C113" s="227" t="s">
        <v>2346</v>
      </c>
      <c r="D113" s="228">
        <v>10</v>
      </c>
      <c r="E113" s="234">
        <v>10.44</v>
      </c>
    </row>
    <row r="114" spans="1:5" x14ac:dyDescent="0.2">
      <c r="A114" s="235">
        <v>2</v>
      </c>
      <c r="B114" s="230" t="s">
        <v>298</v>
      </c>
      <c r="C114" s="230" t="s">
        <v>2639</v>
      </c>
      <c r="D114" s="231">
        <v>9.48</v>
      </c>
      <c r="E114" s="339">
        <v>9.73</v>
      </c>
    </row>
    <row r="115" spans="1:5" x14ac:dyDescent="0.2">
      <c r="A115" s="236">
        <v>3</v>
      </c>
      <c r="B115" s="227" t="s">
        <v>297</v>
      </c>
      <c r="C115" s="227" t="s">
        <v>2640</v>
      </c>
      <c r="D115" s="228">
        <v>9.35</v>
      </c>
      <c r="E115" s="340">
        <v>9.41</v>
      </c>
    </row>
    <row r="116" spans="1:5" x14ac:dyDescent="0.2">
      <c r="A116" s="237">
        <v>4</v>
      </c>
      <c r="B116" s="230" t="s">
        <v>441</v>
      </c>
      <c r="C116" s="230" t="s">
        <v>2641</v>
      </c>
      <c r="D116" s="231">
        <v>9.06</v>
      </c>
      <c r="E116" s="250">
        <v>9.14</v>
      </c>
    </row>
    <row r="117" spans="1:5" x14ac:dyDescent="0.2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8" x14ac:dyDescent="0.25">
      <c r="A119" s="418" t="s">
        <v>3717</v>
      </c>
      <c r="B119" s="418"/>
      <c r="C119" s="418"/>
      <c r="D119" s="418"/>
      <c r="E119" s="418"/>
    </row>
    <row r="120" spans="1:5" x14ac:dyDescent="0.2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2">
      <c r="A121" s="233">
        <v>1</v>
      </c>
      <c r="B121" s="227" t="s">
        <v>298</v>
      </c>
      <c r="C121" s="227" t="s">
        <v>2866</v>
      </c>
      <c r="D121" s="228">
        <v>9.4</v>
      </c>
      <c r="E121" s="341">
        <v>9.68</v>
      </c>
    </row>
    <row r="122" spans="1:5" x14ac:dyDescent="0.2">
      <c r="A122" s="235">
        <v>2</v>
      </c>
      <c r="B122" s="230" t="s">
        <v>293</v>
      </c>
      <c r="C122" s="230" t="s">
        <v>2642</v>
      </c>
      <c r="D122" s="231">
        <v>9.51</v>
      </c>
      <c r="E122" s="342">
        <v>9.94</v>
      </c>
    </row>
    <row r="123" spans="1:5" x14ac:dyDescent="0.2">
      <c r="A123" s="236">
        <v>3</v>
      </c>
      <c r="B123" s="227" t="s">
        <v>297</v>
      </c>
      <c r="C123" s="227" t="s">
        <v>2640</v>
      </c>
      <c r="D123" s="228">
        <v>9.35</v>
      </c>
      <c r="E123" s="340">
        <v>9.41</v>
      </c>
    </row>
    <row r="124" spans="1:5" x14ac:dyDescent="0.2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2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8" x14ac:dyDescent="0.25">
      <c r="A127" s="418" t="s">
        <v>3773</v>
      </c>
      <c r="B127" s="418"/>
      <c r="C127" s="418"/>
      <c r="D127" s="418"/>
      <c r="E127" s="418"/>
    </row>
    <row r="128" spans="1:5" x14ac:dyDescent="0.2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2">
      <c r="A129" s="233">
        <v>1</v>
      </c>
      <c r="B129" s="227" t="s">
        <v>293</v>
      </c>
      <c r="C129" s="227" t="s">
        <v>2643</v>
      </c>
      <c r="D129" s="228">
        <v>9.3000000000000007</v>
      </c>
      <c r="E129" s="336">
        <v>9.58</v>
      </c>
    </row>
    <row r="130" spans="1:5" x14ac:dyDescent="0.2">
      <c r="A130" s="235">
        <v>2</v>
      </c>
      <c r="B130" s="230" t="s">
        <v>677</v>
      </c>
      <c r="C130" s="230" t="s">
        <v>1355</v>
      </c>
      <c r="D130" s="231">
        <v>8.8800000000000008</v>
      </c>
      <c r="E130" s="263">
        <v>8.89</v>
      </c>
    </row>
    <row r="131" spans="1:5" x14ac:dyDescent="0.2">
      <c r="A131" s="236">
        <v>3</v>
      </c>
      <c r="B131" s="227" t="s">
        <v>2450</v>
      </c>
      <c r="C131" s="227" t="s">
        <v>2451</v>
      </c>
      <c r="D131" s="228">
        <v>8.86</v>
      </c>
      <c r="E131" s="264">
        <v>8.8800000000000008</v>
      </c>
    </row>
    <row r="132" spans="1:5" x14ac:dyDescent="0.2">
      <c r="A132" s="237">
        <v>4</v>
      </c>
      <c r="B132" s="230" t="s">
        <v>2306</v>
      </c>
      <c r="C132" s="230" t="s">
        <v>2296</v>
      </c>
      <c r="D132" s="231">
        <v>8.86</v>
      </c>
      <c r="E132" s="276">
        <v>8.74</v>
      </c>
    </row>
    <row r="133" spans="1:5" x14ac:dyDescent="0.2">
      <c r="A133" s="237">
        <v>5</v>
      </c>
      <c r="B133" s="227" t="s">
        <v>1264</v>
      </c>
      <c r="C133" s="227" t="s">
        <v>1265</v>
      </c>
      <c r="D133" s="228">
        <v>8.77</v>
      </c>
      <c r="E133" s="283">
        <v>8.65</v>
      </c>
    </row>
    <row r="135" spans="1:5" ht="18" x14ac:dyDescent="0.25">
      <c r="A135" s="418" t="s">
        <v>3797</v>
      </c>
      <c r="B135" s="418"/>
      <c r="C135" s="418"/>
      <c r="D135" s="418"/>
      <c r="E135" s="418"/>
    </row>
    <row r="136" spans="1:5" x14ac:dyDescent="0.2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2">
      <c r="A137" s="233">
        <v>1</v>
      </c>
      <c r="B137" s="227" t="s">
        <v>292</v>
      </c>
      <c r="C137" s="227" t="s">
        <v>3798</v>
      </c>
      <c r="D137" s="228">
        <v>9.65</v>
      </c>
      <c r="E137" s="234">
        <v>10.119999999999999</v>
      </c>
    </row>
    <row r="138" spans="1:5" x14ac:dyDescent="0.2">
      <c r="A138" s="235">
        <v>2</v>
      </c>
      <c r="B138" s="230" t="s">
        <v>2703</v>
      </c>
      <c r="C138" s="230" t="s">
        <v>2699</v>
      </c>
      <c r="D138" s="231">
        <v>8.83</v>
      </c>
      <c r="E138" s="256">
        <v>9</v>
      </c>
    </row>
    <row r="139" spans="1:5" x14ac:dyDescent="0.2">
      <c r="A139" s="236">
        <v>3</v>
      </c>
      <c r="B139" s="227" t="s">
        <v>2936</v>
      </c>
      <c r="C139" s="227" t="s">
        <v>3301</v>
      </c>
      <c r="D139" s="228">
        <v>8.85</v>
      </c>
      <c r="E139" s="268">
        <v>8.84</v>
      </c>
    </row>
    <row r="140" spans="1:5" x14ac:dyDescent="0.2">
      <c r="A140" s="237">
        <v>4</v>
      </c>
      <c r="B140" s="230" t="s">
        <v>3097</v>
      </c>
      <c r="C140" s="230" t="s">
        <v>3098</v>
      </c>
      <c r="D140" s="231">
        <v>8.6</v>
      </c>
      <c r="E140" s="294">
        <v>8.5299999999999994</v>
      </c>
    </row>
    <row r="141" spans="1:5" x14ac:dyDescent="0.2">
      <c r="A141" s="237">
        <v>5</v>
      </c>
      <c r="B141" s="227" t="s">
        <v>1337</v>
      </c>
      <c r="C141" s="227" t="s">
        <v>3779</v>
      </c>
      <c r="D141" s="228">
        <v>8.36</v>
      </c>
      <c r="E141" s="306">
        <v>8.34</v>
      </c>
    </row>
    <row r="143" spans="1:5" ht="18" x14ac:dyDescent="0.25">
      <c r="A143" s="418" t="s">
        <v>3504</v>
      </c>
      <c r="B143" s="418"/>
      <c r="C143" s="418"/>
      <c r="D143" s="418"/>
      <c r="E143" s="418"/>
    </row>
    <row r="144" spans="1:5" x14ac:dyDescent="0.2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2">
      <c r="A145" s="233">
        <v>1</v>
      </c>
      <c r="B145" s="227" t="s">
        <v>300</v>
      </c>
      <c r="C145" s="227" t="s">
        <v>3361</v>
      </c>
      <c r="D145" s="228">
        <v>8.98</v>
      </c>
      <c r="E145" s="413">
        <v>9.01</v>
      </c>
    </row>
    <row r="146" spans="1:5" x14ac:dyDescent="0.2">
      <c r="A146" s="235">
        <v>2</v>
      </c>
      <c r="B146" s="230" t="s">
        <v>1448</v>
      </c>
      <c r="C146" s="230" t="s">
        <v>3505</v>
      </c>
      <c r="D146" s="231">
        <v>8.73</v>
      </c>
      <c r="E146" s="274">
        <v>8.76</v>
      </c>
    </row>
    <row r="147" spans="1:5" x14ac:dyDescent="0.2">
      <c r="A147" s="236">
        <v>3</v>
      </c>
      <c r="B147" s="227" t="s">
        <v>3357</v>
      </c>
      <c r="C147" s="227" t="s">
        <v>3358</v>
      </c>
      <c r="D147" s="228">
        <v>8.57</v>
      </c>
      <c r="E147" s="338">
        <v>8.59</v>
      </c>
    </row>
    <row r="148" spans="1:5" x14ac:dyDescent="0.2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2">
      <c r="A149" s="237">
        <v>5</v>
      </c>
      <c r="B149" s="227" t="s">
        <v>1091</v>
      </c>
      <c r="C149" s="227" t="s">
        <v>2360</v>
      </c>
      <c r="D149" s="228">
        <v>8.61</v>
      </c>
      <c r="E149" s="294">
        <v>8.5299999999999994</v>
      </c>
    </row>
    <row r="151" spans="1:5" ht="18" x14ac:dyDescent="0.25">
      <c r="A151" s="418" t="s">
        <v>2859</v>
      </c>
      <c r="B151" s="418"/>
      <c r="C151" s="418"/>
      <c r="D151" s="418"/>
      <c r="E151" s="418"/>
    </row>
    <row r="152" spans="1:5" x14ac:dyDescent="0.2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2">
      <c r="A153" s="233">
        <v>1</v>
      </c>
      <c r="B153" s="227" t="s">
        <v>1529</v>
      </c>
      <c r="C153" s="227" t="s">
        <v>2644</v>
      </c>
      <c r="D153" s="228">
        <v>8.91</v>
      </c>
      <c r="E153" s="269">
        <v>8.82</v>
      </c>
    </row>
    <row r="154" spans="1:5" x14ac:dyDescent="0.2">
      <c r="A154" s="235">
        <v>2</v>
      </c>
      <c r="B154" s="230" t="s">
        <v>311</v>
      </c>
      <c r="C154" s="230" t="s">
        <v>2645</v>
      </c>
      <c r="D154" s="231">
        <v>8.8000000000000007</v>
      </c>
      <c r="E154" s="275">
        <v>8.75</v>
      </c>
    </row>
    <row r="155" spans="1:5" x14ac:dyDescent="0.2">
      <c r="A155" s="236">
        <v>3</v>
      </c>
      <c r="B155" s="227" t="s">
        <v>2232</v>
      </c>
      <c r="C155" s="227" t="s">
        <v>2860</v>
      </c>
      <c r="D155" s="228">
        <v>8.66</v>
      </c>
      <c r="E155" s="337">
        <v>8.69</v>
      </c>
    </row>
    <row r="156" spans="1:5" x14ac:dyDescent="0.2">
      <c r="A156" s="237">
        <v>4</v>
      </c>
      <c r="B156" s="230" t="s">
        <v>310</v>
      </c>
      <c r="C156" s="230" t="s">
        <v>159</v>
      </c>
      <c r="D156" s="231">
        <v>8.7100000000000009</v>
      </c>
      <c r="E156" s="283">
        <v>8.65</v>
      </c>
    </row>
    <row r="157" spans="1:5" x14ac:dyDescent="0.2">
      <c r="A157" s="237">
        <v>5</v>
      </c>
      <c r="B157" s="227" t="s">
        <v>2375</v>
      </c>
      <c r="C157" s="227" t="s">
        <v>2376</v>
      </c>
      <c r="D157" s="228">
        <v>7.17</v>
      </c>
      <c r="E157" s="333">
        <v>7.04</v>
      </c>
    </row>
    <row r="159" spans="1:5" ht="18" x14ac:dyDescent="0.25">
      <c r="A159" s="418" t="s">
        <v>3799</v>
      </c>
      <c r="B159" s="418"/>
      <c r="C159" s="418"/>
      <c r="D159" s="418"/>
      <c r="E159" s="418"/>
    </row>
    <row r="160" spans="1:5" x14ac:dyDescent="0.2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2">
      <c r="A161" s="233">
        <v>1</v>
      </c>
      <c r="B161" s="227" t="s">
        <v>2531</v>
      </c>
      <c r="C161" s="227" t="s">
        <v>3732</v>
      </c>
      <c r="D161" s="228">
        <v>9.24</v>
      </c>
      <c r="E161" s="246">
        <v>9.34</v>
      </c>
    </row>
    <row r="162" spans="1:5" x14ac:dyDescent="0.2">
      <c r="A162" s="235">
        <v>2</v>
      </c>
      <c r="B162" s="230" t="s">
        <v>3678</v>
      </c>
      <c r="C162" s="230" t="s">
        <v>3679</v>
      </c>
      <c r="D162" s="231">
        <v>9</v>
      </c>
      <c r="E162" s="261">
        <v>8.92</v>
      </c>
    </row>
    <row r="163" spans="1:5" x14ac:dyDescent="0.2">
      <c r="A163" s="236">
        <v>3</v>
      </c>
      <c r="B163" s="227" t="s">
        <v>1695</v>
      </c>
      <c r="C163" s="227" t="s">
        <v>1696</v>
      </c>
      <c r="D163" s="228">
        <v>8.92</v>
      </c>
      <c r="E163" s="268">
        <v>8.83</v>
      </c>
    </row>
    <row r="164" spans="1:5" x14ac:dyDescent="0.2">
      <c r="A164" s="237">
        <v>4</v>
      </c>
      <c r="B164" s="230" t="s">
        <v>2551</v>
      </c>
      <c r="C164" s="230" t="s">
        <v>2550</v>
      </c>
      <c r="D164" s="231">
        <v>8.8800000000000008</v>
      </c>
      <c r="E164" s="270">
        <v>8.81</v>
      </c>
    </row>
    <row r="165" spans="1:5" x14ac:dyDescent="0.2">
      <c r="A165" s="237">
        <v>5</v>
      </c>
      <c r="B165" s="227" t="s">
        <v>1594</v>
      </c>
      <c r="C165" s="227" t="s">
        <v>1593</v>
      </c>
      <c r="D165" s="228">
        <v>8.85</v>
      </c>
      <c r="E165" s="272">
        <v>8.7799999999999994</v>
      </c>
    </row>
    <row r="167" spans="1:5" ht="18" x14ac:dyDescent="0.25">
      <c r="A167" s="418" t="s">
        <v>3903</v>
      </c>
      <c r="B167" s="418"/>
      <c r="C167" s="418"/>
      <c r="D167" s="418"/>
      <c r="E167" s="418"/>
    </row>
    <row r="168" spans="1:5" x14ac:dyDescent="0.2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2">
      <c r="A169" s="233">
        <v>1</v>
      </c>
      <c r="B169" s="227" t="s">
        <v>302</v>
      </c>
      <c r="C169" s="227" t="s">
        <v>186</v>
      </c>
      <c r="D169" s="228">
        <v>9.2100000000000009</v>
      </c>
      <c r="E169" s="246">
        <v>9.34</v>
      </c>
    </row>
    <row r="170" spans="1:5" x14ac:dyDescent="0.2">
      <c r="A170" s="235">
        <v>2</v>
      </c>
      <c r="B170" s="230" t="s">
        <v>357</v>
      </c>
      <c r="C170" s="230" t="s">
        <v>351</v>
      </c>
      <c r="D170" s="231">
        <v>8.8000000000000007</v>
      </c>
      <c r="E170" s="270">
        <v>8.81</v>
      </c>
    </row>
    <row r="171" spans="1:5" x14ac:dyDescent="0.2">
      <c r="A171" s="236">
        <v>3</v>
      </c>
      <c r="B171" s="227" t="s">
        <v>2487</v>
      </c>
      <c r="C171" s="227" t="s">
        <v>2488</v>
      </c>
      <c r="D171" s="228">
        <v>8.8800000000000008</v>
      </c>
      <c r="E171" s="273">
        <v>8.77</v>
      </c>
    </row>
    <row r="172" spans="1:5" x14ac:dyDescent="0.2">
      <c r="A172" s="237">
        <v>4</v>
      </c>
      <c r="B172" s="230" t="s">
        <v>2888</v>
      </c>
      <c r="C172" s="230" t="s">
        <v>2888</v>
      </c>
      <c r="D172" s="231">
        <v>8.8000000000000007</v>
      </c>
      <c r="E172" s="279">
        <v>8.6999999999999993</v>
      </c>
    </row>
    <row r="173" spans="1:5" x14ac:dyDescent="0.2">
      <c r="A173" s="237">
        <v>5</v>
      </c>
      <c r="B173" s="227" t="s">
        <v>2582</v>
      </c>
      <c r="C173" s="227" t="s">
        <v>2583</v>
      </c>
      <c r="D173" s="228">
        <v>8.75</v>
      </c>
      <c r="E173" s="281">
        <v>8.67</v>
      </c>
    </row>
    <row r="175" spans="1:5" ht="18" x14ac:dyDescent="0.25">
      <c r="A175" s="418" t="s">
        <v>2654</v>
      </c>
      <c r="B175" s="418"/>
      <c r="C175" s="418"/>
      <c r="D175" s="418"/>
      <c r="E175" s="418"/>
    </row>
    <row r="176" spans="1:5" x14ac:dyDescent="0.2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2">
      <c r="A177" s="233">
        <v>1</v>
      </c>
      <c r="B177" s="227" t="s">
        <v>1263</v>
      </c>
      <c r="C177" s="227" t="s">
        <v>1254</v>
      </c>
      <c r="D177" s="228">
        <v>9</v>
      </c>
      <c r="E177" s="258">
        <v>8.9600000000000009</v>
      </c>
    </row>
    <row r="178" spans="1:5" x14ac:dyDescent="0.2">
      <c r="A178" s="235">
        <v>2</v>
      </c>
      <c r="B178" s="230" t="s">
        <v>699</v>
      </c>
      <c r="C178" s="230" t="s">
        <v>700</v>
      </c>
      <c r="D178" s="231">
        <v>8.91</v>
      </c>
      <c r="E178" s="260">
        <v>8.93</v>
      </c>
    </row>
    <row r="179" spans="1:5" x14ac:dyDescent="0.2">
      <c r="A179" s="236">
        <v>3</v>
      </c>
      <c r="B179" s="227" t="s">
        <v>1416</v>
      </c>
      <c r="C179" s="227" t="s">
        <v>1417</v>
      </c>
      <c r="D179" s="228">
        <v>8.93</v>
      </c>
      <c r="E179" s="264">
        <v>8.8800000000000008</v>
      </c>
    </row>
    <row r="180" spans="1:5" x14ac:dyDescent="0.2">
      <c r="A180" s="237">
        <v>4</v>
      </c>
      <c r="B180" s="230" t="s">
        <v>305</v>
      </c>
      <c r="C180" s="230" t="s">
        <v>2646</v>
      </c>
      <c r="D180" s="231">
        <v>8.5399999999999991</v>
      </c>
      <c r="E180" s="298">
        <v>8.4700000000000006</v>
      </c>
    </row>
    <row r="181" spans="1:5" x14ac:dyDescent="0.2">
      <c r="A181" s="237">
        <v>5</v>
      </c>
      <c r="B181" s="227" t="s">
        <v>2291</v>
      </c>
      <c r="C181" s="227" t="s">
        <v>2292</v>
      </c>
      <c r="D181" s="228">
        <v>8.1999999999999993</v>
      </c>
      <c r="E181" s="316">
        <v>8.1300000000000008</v>
      </c>
    </row>
    <row r="183" spans="1:5" ht="18" x14ac:dyDescent="0.25">
      <c r="A183" s="418" t="s">
        <v>2903</v>
      </c>
      <c r="B183" s="418"/>
      <c r="C183" s="418"/>
      <c r="D183" s="418"/>
      <c r="E183" s="418"/>
    </row>
    <row r="184" spans="1:5" x14ac:dyDescent="0.2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2">
      <c r="A185" s="233">
        <v>1</v>
      </c>
      <c r="B185" s="227" t="s">
        <v>952</v>
      </c>
      <c r="C185" s="227" t="s">
        <v>950</v>
      </c>
      <c r="D185" s="228">
        <v>10.5</v>
      </c>
      <c r="E185" s="234">
        <v>10.85</v>
      </c>
    </row>
    <row r="186" spans="1:5" x14ac:dyDescent="0.2">
      <c r="A186" s="235">
        <v>2</v>
      </c>
      <c r="B186" s="230" t="s">
        <v>312</v>
      </c>
      <c r="C186" s="230" t="s">
        <v>2647</v>
      </c>
      <c r="D186" s="231">
        <v>8.89</v>
      </c>
      <c r="E186" s="260">
        <v>8.93</v>
      </c>
    </row>
    <row r="187" spans="1:5" x14ac:dyDescent="0.2">
      <c r="A187" s="236">
        <v>3</v>
      </c>
      <c r="B187" s="227" t="s">
        <v>1416</v>
      </c>
      <c r="C187" s="227" t="s">
        <v>1417</v>
      </c>
      <c r="D187" s="228">
        <v>8.93</v>
      </c>
      <c r="E187" s="264">
        <v>8.8800000000000008</v>
      </c>
    </row>
    <row r="188" spans="1:5" x14ac:dyDescent="0.2">
      <c r="A188" s="237">
        <v>4</v>
      </c>
      <c r="B188" s="230" t="s">
        <v>357</v>
      </c>
      <c r="C188" s="230" t="s">
        <v>351</v>
      </c>
      <c r="D188" s="231">
        <v>8.8000000000000007</v>
      </c>
      <c r="E188" s="270">
        <v>8.81</v>
      </c>
    </row>
    <row r="189" spans="1:5" x14ac:dyDescent="0.2">
      <c r="A189" s="237">
        <v>5</v>
      </c>
      <c r="B189" s="227" t="s">
        <v>2888</v>
      </c>
      <c r="C189" s="227" t="s">
        <v>2888</v>
      </c>
      <c r="D189" s="228">
        <v>8.8000000000000007</v>
      </c>
      <c r="E189" s="279">
        <v>8.6999999999999993</v>
      </c>
    </row>
    <row r="191" spans="1:5" ht="18" x14ac:dyDescent="0.25">
      <c r="A191" s="418" t="s">
        <v>3573</v>
      </c>
      <c r="B191" s="418"/>
      <c r="C191" s="418"/>
      <c r="D191" s="418"/>
      <c r="E191" s="418"/>
    </row>
    <row r="192" spans="1:5" x14ac:dyDescent="0.2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2">
      <c r="A193" s="233">
        <v>1</v>
      </c>
      <c r="B193" s="227" t="s">
        <v>2785</v>
      </c>
      <c r="C193" s="227" t="s">
        <v>3081</v>
      </c>
      <c r="D193" s="228">
        <v>8.84</v>
      </c>
      <c r="E193" s="268">
        <v>8.84</v>
      </c>
    </row>
    <row r="194" spans="1:5" x14ac:dyDescent="0.2">
      <c r="A194" s="235">
        <v>2</v>
      </c>
      <c r="B194" s="230" t="s">
        <v>312</v>
      </c>
      <c r="C194" s="230" t="s">
        <v>1755</v>
      </c>
      <c r="D194" s="231">
        <v>9</v>
      </c>
      <c r="E194" s="258">
        <v>8.9600000000000009</v>
      </c>
    </row>
    <row r="195" spans="1:5" x14ac:dyDescent="0.2">
      <c r="A195" s="236">
        <v>3</v>
      </c>
      <c r="B195" s="227" t="s">
        <v>1405</v>
      </c>
      <c r="C195" s="227" t="s">
        <v>3574</v>
      </c>
      <c r="D195" s="228">
        <v>8.7100000000000009</v>
      </c>
      <c r="E195" s="284">
        <v>8.64</v>
      </c>
    </row>
    <row r="199" spans="1:5" ht="18" x14ac:dyDescent="0.25">
      <c r="A199" s="418" t="s">
        <v>3646</v>
      </c>
      <c r="B199" s="418"/>
      <c r="C199" s="418"/>
      <c r="D199" s="418"/>
      <c r="E199" s="418"/>
    </row>
    <row r="200" spans="1:5" x14ac:dyDescent="0.2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2">
      <c r="A201" s="233">
        <v>1</v>
      </c>
      <c r="B201" s="227" t="s">
        <v>293</v>
      </c>
      <c r="C201" s="227" t="s">
        <v>2651</v>
      </c>
      <c r="D201" s="228">
        <v>8.52</v>
      </c>
      <c r="E201" s="291">
        <v>8.56</v>
      </c>
    </row>
    <row r="202" spans="1:5" x14ac:dyDescent="0.2">
      <c r="A202" s="235">
        <v>2</v>
      </c>
      <c r="B202" s="230" t="s">
        <v>303</v>
      </c>
      <c r="C202" s="230" t="s">
        <v>2652</v>
      </c>
      <c r="D202" s="231">
        <v>8.61</v>
      </c>
      <c r="E202" s="287">
        <v>8.61</v>
      </c>
    </row>
    <row r="203" spans="1:5" x14ac:dyDescent="0.2">
      <c r="A203" s="236">
        <v>3</v>
      </c>
      <c r="B203" s="227" t="s">
        <v>1405</v>
      </c>
      <c r="C203" s="227" t="s">
        <v>3622</v>
      </c>
      <c r="D203" s="228">
        <v>8.6</v>
      </c>
      <c r="E203" s="282">
        <v>8.66</v>
      </c>
    </row>
    <row r="204" spans="1:5" x14ac:dyDescent="0.2">
      <c r="A204" s="237">
        <v>4</v>
      </c>
      <c r="B204" s="230" t="s">
        <v>1664</v>
      </c>
      <c r="C204" s="230" t="s">
        <v>2668</v>
      </c>
      <c r="D204" s="231">
        <v>8.5</v>
      </c>
      <c r="E204" s="298">
        <v>8.4700000000000006</v>
      </c>
    </row>
    <row r="207" spans="1:5" ht="18" x14ac:dyDescent="0.25">
      <c r="A207" s="418" t="s">
        <v>3043</v>
      </c>
      <c r="B207" s="418"/>
      <c r="C207" s="418"/>
      <c r="D207" s="418"/>
      <c r="E207" s="418"/>
    </row>
    <row r="208" spans="1:5" x14ac:dyDescent="0.2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2">
      <c r="A209" s="233">
        <v>1</v>
      </c>
      <c r="B209" s="227" t="s">
        <v>301</v>
      </c>
      <c r="C209" s="227" t="s">
        <v>2649</v>
      </c>
      <c r="D209" s="228">
        <v>9.02</v>
      </c>
      <c r="E209" s="343">
        <v>9.07</v>
      </c>
    </row>
    <row r="210" spans="1:5" x14ac:dyDescent="0.2">
      <c r="A210" s="235">
        <v>2</v>
      </c>
      <c r="B210" s="230" t="s">
        <v>304</v>
      </c>
      <c r="C210" s="230" t="s">
        <v>2650</v>
      </c>
      <c r="D210" s="231">
        <v>8.39</v>
      </c>
      <c r="E210" s="305">
        <v>8.3699999999999992</v>
      </c>
    </row>
    <row r="211" spans="1:5" x14ac:dyDescent="0.2">
      <c r="A211" s="236">
        <v>3</v>
      </c>
      <c r="B211" s="227" t="s">
        <v>3032</v>
      </c>
      <c r="C211" s="227" t="s">
        <v>3033</v>
      </c>
      <c r="D211" s="228">
        <v>8.4499999999999993</v>
      </c>
      <c r="E211" s="306">
        <v>8.34</v>
      </c>
    </row>
    <row r="215" spans="1:5" ht="18" x14ac:dyDescent="0.25">
      <c r="A215" s="418" t="s">
        <v>2655</v>
      </c>
      <c r="B215" s="418"/>
      <c r="C215" s="418"/>
      <c r="D215" s="418"/>
      <c r="E215" s="418"/>
    </row>
    <row r="216" spans="1:5" x14ac:dyDescent="0.2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2">
      <c r="A217" s="233">
        <v>1</v>
      </c>
      <c r="B217" s="227" t="s">
        <v>292</v>
      </c>
      <c r="C217" s="227" t="s">
        <v>1175</v>
      </c>
      <c r="D217" s="228">
        <v>9.2899999999999991</v>
      </c>
      <c r="E217" s="379">
        <v>9.42</v>
      </c>
    </row>
    <row r="218" spans="1:5" x14ac:dyDescent="0.2">
      <c r="A218" s="235">
        <v>2</v>
      </c>
      <c r="B218" s="230" t="s">
        <v>1367</v>
      </c>
      <c r="C218" s="230" t="s">
        <v>2648</v>
      </c>
      <c r="D218" s="231">
        <v>8.77</v>
      </c>
      <c r="E218" s="281">
        <v>8.67</v>
      </c>
    </row>
    <row r="219" spans="1:5" x14ac:dyDescent="0.2">
      <c r="A219" s="236">
        <v>3</v>
      </c>
      <c r="B219" s="227" t="s">
        <v>1171</v>
      </c>
      <c r="C219" s="227" t="s">
        <v>1166</v>
      </c>
      <c r="D219" s="228">
        <v>8.75</v>
      </c>
      <c r="E219" s="285">
        <v>8.6300000000000008</v>
      </c>
    </row>
    <row r="220" spans="1:5" x14ac:dyDescent="0.2">
      <c r="A220" s="237">
        <v>4</v>
      </c>
      <c r="B220" s="230" t="s">
        <v>2246</v>
      </c>
      <c r="C220" s="230" t="s">
        <v>2245</v>
      </c>
      <c r="D220" s="231">
        <v>8.67</v>
      </c>
      <c r="E220" s="290">
        <v>8.57</v>
      </c>
    </row>
    <row r="221" spans="1:5" x14ac:dyDescent="0.2">
      <c r="A221" s="237">
        <v>5</v>
      </c>
      <c r="B221" s="227" t="s">
        <v>1579</v>
      </c>
      <c r="C221" s="227" t="s">
        <v>1580</v>
      </c>
      <c r="D221" s="228">
        <v>8.4</v>
      </c>
      <c r="E221" s="305">
        <v>8.3699999999999992</v>
      </c>
    </row>
    <row r="223" spans="1:5" ht="18" x14ac:dyDescent="0.25">
      <c r="A223" s="418" t="s">
        <v>3082</v>
      </c>
      <c r="B223" s="418"/>
      <c r="C223" s="418"/>
      <c r="D223" s="418"/>
      <c r="E223" s="418"/>
    </row>
    <row r="224" spans="1:5" x14ac:dyDescent="0.2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2">
      <c r="A225" s="233">
        <v>1</v>
      </c>
      <c r="B225" s="227" t="s">
        <v>2785</v>
      </c>
      <c r="C225" s="227" t="s">
        <v>3081</v>
      </c>
      <c r="D225" s="228">
        <v>8.84</v>
      </c>
      <c r="E225" s="268">
        <v>8.84</v>
      </c>
    </row>
    <row r="226" spans="1:5" x14ac:dyDescent="0.2">
      <c r="A226" s="235">
        <v>2</v>
      </c>
      <c r="B226" s="230" t="s">
        <v>1431</v>
      </c>
      <c r="C226" s="230" t="s">
        <v>1432</v>
      </c>
      <c r="D226" s="231">
        <v>8.75</v>
      </c>
      <c r="E226" s="279">
        <v>8.6999999999999993</v>
      </c>
    </row>
    <row r="227" spans="1:5" x14ac:dyDescent="0.2">
      <c r="A227" s="236">
        <v>3</v>
      </c>
      <c r="B227" s="227" t="s">
        <v>309</v>
      </c>
      <c r="C227" s="227" t="s">
        <v>218</v>
      </c>
      <c r="D227" s="228">
        <v>8.77</v>
      </c>
      <c r="E227" s="282">
        <v>8.66</v>
      </c>
    </row>
    <row r="228" spans="1:5" x14ac:dyDescent="0.2">
      <c r="A228" s="237">
        <v>4</v>
      </c>
      <c r="B228" s="230" t="s">
        <v>2788</v>
      </c>
      <c r="C228" s="230" t="s">
        <v>2789</v>
      </c>
      <c r="D228" s="231">
        <v>8.4</v>
      </c>
      <c r="E228" s="305">
        <v>8.3699999999999992</v>
      </c>
    </row>
    <row r="231" spans="1:5" ht="18" x14ac:dyDescent="0.25">
      <c r="A231" s="418" t="s">
        <v>3963</v>
      </c>
      <c r="B231" s="418"/>
      <c r="C231" s="418"/>
      <c r="D231" s="418"/>
      <c r="E231" s="418"/>
    </row>
    <row r="232" spans="1:5" x14ac:dyDescent="0.2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2">
      <c r="A233" s="233">
        <v>1</v>
      </c>
      <c r="B233" s="227" t="s">
        <v>1478</v>
      </c>
      <c r="C233" s="227" t="s">
        <v>1479</v>
      </c>
      <c r="D233" s="228">
        <v>8.67</v>
      </c>
      <c r="E233" s="256">
        <v>9</v>
      </c>
    </row>
    <row r="234" spans="1:5" x14ac:dyDescent="0.2">
      <c r="A234" s="235">
        <v>2</v>
      </c>
      <c r="B234" s="230" t="s">
        <v>2630</v>
      </c>
      <c r="C234" s="230" t="s">
        <v>168</v>
      </c>
      <c r="D234" s="231">
        <v>9</v>
      </c>
      <c r="E234" s="400">
        <v>8.94</v>
      </c>
    </row>
    <row r="235" spans="1:5" x14ac:dyDescent="0.2">
      <c r="A235" s="236">
        <v>3</v>
      </c>
      <c r="B235" s="227" t="s">
        <v>1112</v>
      </c>
      <c r="C235" s="227" t="s">
        <v>3647</v>
      </c>
      <c r="D235" s="228">
        <v>8.7200000000000006</v>
      </c>
      <c r="E235" s="262">
        <v>8.9</v>
      </c>
    </row>
    <row r="236" spans="1:5" x14ac:dyDescent="0.2">
      <c r="A236" s="237">
        <v>4</v>
      </c>
      <c r="B236" s="230" t="s">
        <v>1405</v>
      </c>
      <c r="C236" s="230" t="s">
        <v>3622</v>
      </c>
      <c r="D236" s="231">
        <v>8.6</v>
      </c>
      <c r="E236" s="282">
        <v>8.66</v>
      </c>
    </row>
    <row r="237" spans="1:5" x14ac:dyDescent="0.2">
      <c r="A237" s="237">
        <v>5</v>
      </c>
      <c r="B237" s="227" t="s">
        <v>3926</v>
      </c>
      <c r="C237" s="227" t="s">
        <v>3927</v>
      </c>
      <c r="D237" s="228">
        <v>8.35</v>
      </c>
      <c r="E237" s="308">
        <v>8.27</v>
      </c>
    </row>
    <row r="239" spans="1:5" ht="18" x14ac:dyDescent="0.25">
      <c r="A239" s="418" t="s">
        <v>3892</v>
      </c>
      <c r="B239" s="418"/>
      <c r="C239" s="418"/>
      <c r="D239" s="418"/>
      <c r="E239" s="418"/>
    </row>
    <row r="240" spans="1:5" x14ac:dyDescent="0.2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2">
      <c r="A241" s="233">
        <v>1</v>
      </c>
      <c r="B241" s="227" t="s">
        <v>1935</v>
      </c>
      <c r="C241" s="227" t="s">
        <v>1928</v>
      </c>
      <c r="D241" s="228">
        <v>9.31</v>
      </c>
      <c r="E241" s="243">
        <v>9.43</v>
      </c>
    </row>
    <row r="242" spans="1:5" x14ac:dyDescent="0.2">
      <c r="A242" s="235">
        <v>2</v>
      </c>
      <c r="B242" s="230" t="s">
        <v>1616</v>
      </c>
      <c r="C242" s="230" t="s">
        <v>2963</v>
      </c>
      <c r="D242" s="231">
        <v>8.81</v>
      </c>
      <c r="E242" s="273">
        <v>8.77</v>
      </c>
    </row>
    <row r="243" spans="1:5" x14ac:dyDescent="0.2">
      <c r="A243" s="236">
        <v>3</v>
      </c>
      <c r="B243" s="227" t="s">
        <v>301</v>
      </c>
      <c r="C243" s="227" t="s">
        <v>3893</v>
      </c>
      <c r="D243" s="228">
        <v>8.25</v>
      </c>
      <c r="E243" s="417">
        <v>8.31</v>
      </c>
    </row>
    <row r="244" spans="1:5" x14ac:dyDescent="0.2">
      <c r="A244" s="237">
        <v>4</v>
      </c>
      <c r="B244" s="230" t="s">
        <v>2959</v>
      </c>
      <c r="C244" s="230" t="s">
        <v>2960</v>
      </c>
      <c r="D244" s="231">
        <v>8.58</v>
      </c>
      <c r="E244" s="296">
        <v>8.5</v>
      </c>
    </row>
    <row r="247" spans="1:5" ht="18" x14ac:dyDescent="0.25">
      <c r="A247" s="418" t="s">
        <v>3964</v>
      </c>
      <c r="B247" s="418"/>
      <c r="C247" s="418"/>
      <c r="D247" s="418"/>
      <c r="E247" s="418"/>
    </row>
    <row r="248" spans="1:5" x14ac:dyDescent="0.2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2">
      <c r="A249" s="233">
        <v>1</v>
      </c>
      <c r="B249" s="227" t="s">
        <v>1935</v>
      </c>
      <c r="C249" s="227" t="s">
        <v>1928</v>
      </c>
      <c r="D249" s="228">
        <v>9.31</v>
      </c>
      <c r="E249" s="243">
        <v>9.43</v>
      </c>
    </row>
    <row r="250" spans="1:5" x14ac:dyDescent="0.2">
      <c r="A250" s="235">
        <v>2</v>
      </c>
      <c r="B250" s="230" t="s">
        <v>3928</v>
      </c>
      <c r="C250" s="230" t="s">
        <v>3929</v>
      </c>
      <c r="D250" s="231">
        <v>8.7899999999999991</v>
      </c>
      <c r="E250" s="281">
        <v>8.67</v>
      </c>
    </row>
    <row r="251" spans="1:5" x14ac:dyDescent="0.2">
      <c r="A251" s="236">
        <v>3</v>
      </c>
      <c r="B251" s="227" t="s">
        <v>2950</v>
      </c>
      <c r="C251" s="227">
        <v>4</v>
      </c>
      <c r="D251" s="228">
        <v>8.6</v>
      </c>
      <c r="E251" s="288">
        <v>8.6</v>
      </c>
    </row>
    <row r="252" spans="1:5" x14ac:dyDescent="0.2">
      <c r="A252" s="237">
        <v>4</v>
      </c>
      <c r="B252" s="230" t="s">
        <v>296</v>
      </c>
      <c r="C252" s="230" t="s">
        <v>2003</v>
      </c>
      <c r="D252" s="231">
        <v>8.6</v>
      </c>
      <c r="E252" s="293">
        <v>8.5399999999999991</v>
      </c>
    </row>
    <row r="253" spans="1:5" x14ac:dyDescent="0.2">
      <c r="A253" s="237">
        <v>5</v>
      </c>
      <c r="B253" s="227" t="s">
        <v>2959</v>
      </c>
      <c r="C253" s="227" t="s">
        <v>2960</v>
      </c>
      <c r="D253" s="228">
        <v>8.58</v>
      </c>
      <c r="E253" s="296">
        <v>8.5</v>
      </c>
    </row>
    <row r="255" spans="1:5" ht="18" x14ac:dyDescent="0.25">
      <c r="A255" s="418" t="s">
        <v>2656</v>
      </c>
      <c r="B255" s="418"/>
      <c r="C255" s="418"/>
      <c r="D255" s="418"/>
      <c r="E255" s="418"/>
    </row>
    <row r="256" spans="1:5" x14ac:dyDescent="0.2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2">
      <c r="A257" s="233">
        <v>1</v>
      </c>
      <c r="B257" s="227" t="s">
        <v>1302</v>
      </c>
      <c r="C257" s="227" t="s">
        <v>1303</v>
      </c>
      <c r="D257" s="228">
        <v>8.82</v>
      </c>
      <c r="E257" s="264">
        <v>8.8800000000000008</v>
      </c>
    </row>
    <row r="258" spans="1:5" x14ac:dyDescent="0.2">
      <c r="A258" s="235">
        <v>2</v>
      </c>
      <c r="B258" s="230" t="s">
        <v>795</v>
      </c>
      <c r="C258" s="230" t="s">
        <v>2653</v>
      </c>
      <c r="D258" s="231">
        <v>8.64</v>
      </c>
      <c r="E258" s="285">
        <v>8.6300000000000008</v>
      </c>
    </row>
    <row r="259" spans="1:5" x14ac:dyDescent="0.2">
      <c r="A259" s="236">
        <v>3</v>
      </c>
      <c r="B259" s="227" t="s">
        <v>1385</v>
      </c>
      <c r="C259" s="227" t="s">
        <v>1390</v>
      </c>
      <c r="D259" s="228">
        <v>8.8000000000000007</v>
      </c>
      <c r="E259" s="280">
        <v>8.68</v>
      </c>
    </row>
    <row r="260" spans="1:5" x14ac:dyDescent="0.2">
      <c r="A260" s="237">
        <v>4</v>
      </c>
      <c r="B260" s="230" t="s">
        <v>2155</v>
      </c>
      <c r="C260" s="230" t="s">
        <v>2156</v>
      </c>
      <c r="D260" s="231">
        <v>8.5399999999999991</v>
      </c>
      <c r="E260" s="302">
        <v>8.41</v>
      </c>
    </row>
    <row r="263" spans="1:5" ht="18" x14ac:dyDescent="0.25">
      <c r="A263" s="418" t="s">
        <v>3303</v>
      </c>
      <c r="B263" s="418"/>
      <c r="C263" s="418"/>
      <c r="D263" s="418"/>
      <c r="E263" s="418"/>
    </row>
    <row r="264" spans="1:5" x14ac:dyDescent="0.2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2">
      <c r="A265" s="233">
        <v>1</v>
      </c>
      <c r="B265" s="227" t="s">
        <v>2306</v>
      </c>
      <c r="C265" s="227" t="s">
        <v>2296</v>
      </c>
      <c r="D265" s="228">
        <v>8.86</v>
      </c>
      <c r="E265" s="276">
        <v>8.74</v>
      </c>
    </row>
    <row r="266" spans="1:5" x14ac:dyDescent="0.2">
      <c r="A266" s="235">
        <v>2</v>
      </c>
      <c r="B266" s="230" t="s">
        <v>2988</v>
      </c>
      <c r="C266" s="230" t="s">
        <v>2989</v>
      </c>
      <c r="D266" s="231">
        <v>8.85</v>
      </c>
      <c r="E266" s="277">
        <v>8.7200000000000006</v>
      </c>
    </row>
    <row r="267" spans="1:5" x14ac:dyDescent="0.2">
      <c r="A267" s="236">
        <v>3</v>
      </c>
      <c r="B267" s="227" t="s">
        <v>3057</v>
      </c>
      <c r="C267" s="227" t="s">
        <v>3045</v>
      </c>
      <c r="D267" s="228">
        <v>8.6300000000000008</v>
      </c>
      <c r="E267" s="294">
        <v>8.5299999999999994</v>
      </c>
    </row>
    <row r="268" spans="1:5" x14ac:dyDescent="0.2">
      <c r="A268" s="237">
        <v>4</v>
      </c>
      <c r="B268" s="230" t="s">
        <v>3298</v>
      </c>
      <c r="C268" s="230" t="s">
        <v>3299</v>
      </c>
      <c r="D268" s="231">
        <v>8.58</v>
      </c>
      <c r="E268" s="371">
        <v>8.51</v>
      </c>
    </row>
    <row r="269" spans="1:5" x14ac:dyDescent="0.2">
      <c r="A269" s="237">
        <v>5</v>
      </c>
      <c r="B269" s="227" t="s">
        <v>2584</v>
      </c>
      <c r="C269" s="227" t="s">
        <v>2580</v>
      </c>
      <c r="D269" s="228">
        <v>8.5500000000000007</v>
      </c>
      <c r="E269" s="298">
        <v>8.4700000000000006</v>
      </c>
    </row>
    <row r="271" spans="1:5" ht="18" x14ac:dyDescent="0.25">
      <c r="A271" s="418" t="s">
        <v>3624</v>
      </c>
      <c r="B271" s="418"/>
      <c r="C271" s="418"/>
      <c r="D271" s="418"/>
      <c r="E271" s="418"/>
    </row>
    <row r="272" spans="1:5" x14ac:dyDescent="0.2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2">
      <c r="A273" s="233">
        <v>1</v>
      </c>
      <c r="B273" s="227" t="s">
        <v>493</v>
      </c>
      <c r="C273" s="227" t="s">
        <v>494</v>
      </c>
      <c r="D273" s="228">
        <v>8.5</v>
      </c>
      <c r="E273" s="301">
        <v>8.43</v>
      </c>
    </row>
    <row r="274" spans="1:5" x14ac:dyDescent="0.2">
      <c r="A274" s="235">
        <v>2</v>
      </c>
      <c r="B274" s="230" t="s">
        <v>334</v>
      </c>
      <c r="C274" s="230" t="s">
        <v>335</v>
      </c>
      <c r="D274" s="231">
        <v>8.4600000000000009</v>
      </c>
      <c r="E274" s="303">
        <v>8.39</v>
      </c>
    </row>
    <row r="275" spans="1:5" x14ac:dyDescent="0.2">
      <c r="A275" s="236">
        <v>3</v>
      </c>
      <c r="B275" s="227" t="s">
        <v>607</v>
      </c>
      <c r="C275" s="227" t="s">
        <v>3625</v>
      </c>
      <c r="D275" s="228">
        <v>8.0500000000000007</v>
      </c>
      <c r="E275" s="396">
        <v>7.99</v>
      </c>
    </row>
    <row r="276" spans="1:5" x14ac:dyDescent="0.2">
      <c r="A276" s="237">
        <v>4</v>
      </c>
      <c r="B276" s="230" t="s">
        <v>426</v>
      </c>
      <c r="C276" s="230" t="s">
        <v>427</v>
      </c>
      <c r="D276" s="231">
        <v>8.18</v>
      </c>
      <c r="E276" s="318">
        <v>8.06</v>
      </c>
    </row>
  </sheetData>
  <mergeCells count="25"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C126" sqref="C126"/>
    </sheetView>
  </sheetViews>
  <sheetFormatPr baseColWidth="10" defaultColWidth="8.83203125" defaultRowHeight="16" x14ac:dyDescent="0.2"/>
  <cols>
    <col min="1" max="1" width="4.5" bestFit="1" customWidth="1"/>
    <col min="2" max="2" width="36.6640625" customWidth="1"/>
    <col min="3" max="3" width="33.33203125" customWidth="1"/>
    <col min="4" max="4" width="25" customWidth="1"/>
    <col min="5" max="5" width="31.5" bestFit="1" customWidth="1"/>
  </cols>
  <sheetData>
    <row r="1" spans="1:5" ht="18" x14ac:dyDescent="0.25">
      <c r="A1" s="418" t="s">
        <v>3161</v>
      </c>
      <c r="B1" s="418"/>
      <c r="C1" s="418"/>
      <c r="D1" s="418"/>
      <c r="E1" s="418"/>
    </row>
    <row r="2" spans="1:5" x14ac:dyDescent="0.2">
      <c r="A2" s="226" t="s">
        <v>318</v>
      </c>
      <c r="B2" s="226" t="s">
        <v>3083</v>
      </c>
      <c r="C2" s="226" t="s">
        <v>286</v>
      </c>
      <c r="D2" s="226" t="s">
        <v>285</v>
      </c>
      <c r="E2" s="226" t="s">
        <v>3162</v>
      </c>
    </row>
    <row r="3" spans="1:5" x14ac:dyDescent="0.2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2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2">
      <c r="A5" s="236">
        <v>3</v>
      </c>
      <c r="B5" s="358" t="s">
        <v>2346</v>
      </c>
      <c r="C5" s="358" t="s">
        <v>2346</v>
      </c>
      <c r="D5" s="227" t="s">
        <v>2361</v>
      </c>
      <c r="E5" s="227" t="s">
        <v>1024</v>
      </c>
    </row>
    <row r="6" spans="1:5" x14ac:dyDescent="0.2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2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2">
      <c r="A8" s="237">
        <v>6</v>
      </c>
      <c r="B8" s="357" t="s">
        <v>630</v>
      </c>
      <c r="C8" s="357" t="s">
        <v>634</v>
      </c>
      <c r="D8" s="230" t="s">
        <v>2531</v>
      </c>
      <c r="E8" s="230" t="s">
        <v>1042</v>
      </c>
    </row>
    <row r="9" spans="1:5" x14ac:dyDescent="0.2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2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2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2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2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2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2">
      <c r="A15" s="237">
        <v>13</v>
      </c>
      <c r="B15" s="358" t="s">
        <v>2331</v>
      </c>
      <c r="C15" s="358" t="s">
        <v>2436</v>
      </c>
      <c r="D15" s="227" t="s">
        <v>292</v>
      </c>
      <c r="E15" s="227" t="s">
        <v>2437</v>
      </c>
    </row>
    <row r="16" spans="1:5" x14ac:dyDescent="0.2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2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2">
      <c r="A18" s="237">
        <v>16</v>
      </c>
      <c r="B18" s="357" t="s">
        <v>1928</v>
      </c>
      <c r="C18" s="357" t="s">
        <v>1928</v>
      </c>
      <c r="D18" s="230" t="s">
        <v>1935</v>
      </c>
      <c r="E18" s="230" t="s">
        <v>1936</v>
      </c>
    </row>
    <row r="19" spans="1:5" x14ac:dyDescent="0.2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2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2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2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2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2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2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2">
      <c r="A26" s="237">
        <v>24</v>
      </c>
      <c r="B26" s="357" t="s">
        <v>3135</v>
      </c>
      <c r="C26" s="357" t="s">
        <v>3140</v>
      </c>
      <c r="D26" s="230" t="s">
        <v>3139</v>
      </c>
      <c r="E26" s="230" t="s">
        <v>733</v>
      </c>
    </row>
    <row r="27" spans="1:5" x14ac:dyDescent="0.2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2">
      <c r="A28" s="237">
        <v>26</v>
      </c>
      <c r="B28" s="357" t="s">
        <v>2424</v>
      </c>
      <c r="C28" s="357" t="s">
        <v>2435</v>
      </c>
      <c r="D28" s="230" t="s">
        <v>303</v>
      </c>
      <c r="E28" s="230" t="s">
        <v>2449</v>
      </c>
    </row>
    <row r="29" spans="1:5" x14ac:dyDescent="0.2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2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2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2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2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2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2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2">
      <c r="A36" s="237">
        <v>34</v>
      </c>
      <c r="B36" s="357" t="s">
        <v>2776</v>
      </c>
      <c r="C36" s="357" t="s">
        <v>2786</v>
      </c>
      <c r="D36" s="230" t="s">
        <v>2785</v>
      </c>
      <c r="E36" s="230" t="s">
        <v>2791</v>
      </c>
    </row>
    <row r="37" spans="1:5" x14ac:dyDescent="0.2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2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2">
      <c r="A39" s="237">
        <v>37</v>
      </c>
      <c r="B39" s="358" t="s">
        <v>2263</v>
      </c>
      <c r="C39" s="358" t="s">
        <v>2273</v>
      </c>
      <c r="D39" s="227" t="s">
        <v>315</v>
      </c>
      <c r="E39" s="227" t="s">
        <v>725</v>
      </c>
    </row>
    <row r="40" spans="1:5" x14ac:dyDescent="0.2">
      <c r="A40" s="237">
        <v>38</v>
      </c>
      <c r="B40" s="357" t="s">
        <v>2693</v>
      </c>
      <c r="C40" s="357" t="s">
        <v>2699</v>
      </c>
      <c r="D40" s="230" t="s">
        <v>2703</v>
      </c>
      <c r="E40" s="230" t="s">
        <v>731</v>
      </c>
    </row>
    <row r="41" spans="1:5" x14ac:dyDescent="0.2">
      <c r="A41" s="237">
        <v>39</v>
      </c>
      <c r="B41" s="358" t="s">
        <v>1718</v>
      </c>
      <c r="C41" s="358" t="s">
        <v>1719</v>
      </c>
      <c r="D41" s="227" t="s">
        <v>298</v>
      </c>
      <c r="E41" s="227" t="s">
        <v>1024</v>
      </c>
    </row>
    <row r="42" spans="1:5" x14ac:dyDescent="0.2">
      <c r="A42" s="237">
        <v>40</v>
      </c>
      <c r="B42" s="357" t="s">
        <v>2835</v>
      </c>
      <c r="C42" s="357" t="s">
        <v>2857</v>
      </c>
      <c r="D42" s="230" t="s">
        <v>298</v>
      </c>
      <c r="E42" s="230" t="s">
        <v>2863</v>
      </c>
    </row>
    <row r="43" spans="1:5" x14ac:dyDescent="0.2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2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2">
      <c r="A45" s="237">
        <v>43</v>
      </c>
      <c r="B45" s="358" t="s">
        <v>1962</v>
      </c>
      <c r="C45" s="358" t="s">
        <v>1990</v>
      </c>
      <c r="D45" s="227" t="s">
        <v>1112</v>
      </c>
      <c r="E45" s="227" t="s">
        <v>1480</v>
      </c>
    </row>
    <row r="46" spans="1:5" x14ac:dyDescent="0.2">
      <c r="A46" s="237">
        <v>44</v>
      </c>
      <c r="B46" s="357" t="s">
        <v>2414</v>
      </c>
      <c r="C46" s="357" t="s">
        <v>2414</v>
      </c>
      <c r="D46" s="230" t="s">
        <v>300</v>
      </c>
      <c r="E46" s="230" t="s">
        <v>735</v>
      </c>
    </row>
    <row r="47" spans="1:5" x14ac:dyDescent="0.2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2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2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2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2">
      <c r="A51" s="237">
        <v>49</v>
      </c>
      <c r="B51" s="358" t="s">
        <v>2442</v>
      </c>
      <c r="C51" s="358" t="s">
        <v>2451</v>
      </c>
      <c r="D51" s="227" t="s">
        <v>2450</v>
      </c>
      <c r="E51" s="227" t="s">
        <v>2453</v>
      </c>
    </row>
    <row r="52" spans="1:5" x14ac:dyDescent="0.2">
      <c r="A52" s="237">
        <v>50</v>
      </c>
      <c r="B52" s="357" t="s">
        <v>2986</v>
      </c>
      <c r="C52" s="357" t="s">
        <v>2978</v>
      </c>
      <c r="D52" s="230" t="s">
        <v>3005</v>
      </c>
      <c r="E52" s="230" t="s">
        <v>3007</v>
      </c>
    </row>
    <row r="53" spans="1:5" x14ac:dyDescent="0.2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2">
      <c r="A54" s="237">
        <v>52</v>
      </c>
      <c r="B54" s="357" t="s">
        <v>2394</v>
      </c>
      <c r="C54" s="357" t="s">
        <v>2382</v>
      </c>
      <c r="D54" s="230" t="s">
        <v>2232</v>
      </c>
      <c r="E54" s="230" t="s">
        <v>2395</v>
      </c>
    </row>
    <row r="55" spans="1:5" x14ac:dyDescent="0.2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2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2">
      <c r="A57" s="237">
        <v>55</v>
      </c>
      <c r="B57" s="358" t="s">
        <v>1441</v>
      </c>
      <c r="C57" s="358" t="s">
        <v>1449</v>
      </c>
      <c r="D57" s="227" t="s">
        <v>1448</v>
      </c>
      <c r="E57" s="227" t="s">
        <v>735</v>
      </c>
    </row>
    <row r="58" spans="1:5" x14ac:dyDescent="0.2">
      <c r="A58" s="237">
        <v>56</v>
      </c>
      <c r="B58" s="357" t="s">
        <v>2012</v>
      </c>
      <c r="C58" s="357" t="s">
        <v>2013</v>
      </c>
      <c r="D58" s="230" t="s">
        <v>1616</v>
      </c>
      <c r="E58" s="230" t="s">
        <v>1284</v>
      </c>
    </row>
    <row r="59" spans="1:5" x14ac:dyDescent="0.2">
      <c r="A59" s="237">
        <v>57</v>
      </c>
      <c r="B59" s="358" t="s">
        <v>2222</v>
      </c>
      <c r="C59" s="358" t="s">
        <v>2233</v>
      </c>
      <c r="D59" s="227" t="s">
        <v>2232</v>
      </c>
      <c r="E59" s="227" t="s">
        <v>1044</v>
      </c>
    </row>
    <row r="60" spans="1:5" x14ac:dyDescent="0.2">
      <c r="A60" s="237">
        <v>58</v>
      </c>
      <c r="B60" s="357" t="s">
        <v>3508</v>
      </c>
      <c r="C60" s="357" t="s">
        <v>3528</v>
      </c>
      <c r="D60" s="230" t="s">
        <v>3528</v>
      </c>
      <c r="E60" s="230" t="s">
        <v>3529</v>
      </c>
    </row>
    <row r="61" spans="1:5" x14ac:dyDescent="0.2">
      <c r="A61" s="237">
        <v>59</v>
      </c>
      <c r="B61" s="358" t="s">
        <v>3722</v>
      </c>
      <c r="C61" s="358" t="s">
        <v>3729</v>
      </c>
      <c r="D61" s="227" t="s">
        <v>2672</v>
      </c>
      <c r="E61" s="227" t="s">
        <v>3739</v>
      </c>
    </row>
    <row r="62" spans="1:5" x14ac:dyDescent="0.2">
      <c r="A62" s="237">
        <v>60</v>
      </c>
      <c r="B62" s="357" t="s">
        <v>347</v>
      </c>
      <c r="C62" s="357" t="s">
        <v>351</v>
      </c>
      <c r="D62" s="230" t="s">
        <v>357</v>
      </c>
      <c r="E62" s="230" t="s">
        <v>722</v>
      </c>
    </row>
    <row r="63" spans="1:5" x14ac:dyDescent="0.2">
      <c r="A63" s="237">
        <v>61</v>
      </c>
      <c r="B63" s="358" t="s">
        <v>429</v>
      </c>
      <c r="C63" s="358" t="s">
        <v>442</v>
      </c>
      <c r="D63" s="227" t="s">
        <v>441</v>
      </c>
      <c r="E63" s="227" t="s">
        <v>716</v>
      </c>
    </row>
    <row r="64" spans="1:5" x14ac:dyDescent="0.2">
      <c r="A64" s="237">
        <v>62</v>
      </c>
      <c r="B64" s="357" t="s">
        <v>2727</v>
      </c>
      <c r="C64" s="357" t="s">
        <v>2730</v>
      </c>
      <c r="D64" s="230" t="s">
        <v>307</v>
      </c>
      <c r="E64" s="230" t="s">
        <v>1025</v>
      </c>
    </row>
    <row r="65" spans="1:5" x14ac:dyDescent="0.2">
      <c r="A65" s="237">
        <v>63</v>
      </c>
      <c r="B65" s="358" t="s">
        <v>544</v>
      </c>
      <c r="C65" s="358" t="s">
        <v>546</v>
      </c>
      <c r="D65" s="227" t="s">
        <v>545</v>
      </c>
      <c r="E65" s="227" t="s">
        <v>777</v>
      </c>
    </row>
    <row r="66" spans="1:5" x14ac:dyDescent="0.2">
      <c r="A66" s="237">
        <v>64</v>
      </c>
      <c r="B66" s="357" t="s">
        <v>581</v>
      </c>
      <c r="C66" s="357" t="s">
        <v>588</v>
      </c>
      <c r="D66" s="230" t="s">
        <v>303</v>
      </c>
      <c r="E66" s="230" t="s">
        <v>718</v>
      </c>
    </row>
    <row r="67" spans="1:5" x14ac:dyDescent="0.2">
      <c r="A67" s="237">
        <v>65</v>
      </c>
      <c r="B67" s="358" t="s">
        <v>1204</v>
      </c>
      <c r="C67" s="358" t="s">
        <v>1212</v>
      </c>
      <c r="D67" s="227" t="s">
        <v>1211</v>
      </c>
      <c r="E67" s="227" t="s">
        <v>1215</v>
      </c>
    </row>
    <row r="68" spans="1:5" x14ac:dyDescent="0.2">
      <c r="A68" s="237">
        <v>66</v>
      </c>
      <c r="B68" s="357" t="s">
        <v>2401</v>
      </c>
      <c r="C68" s="357" t="s">
        <v>2398</v>
      </c>
      <c r="D68" s="230" t="s">
        <v>441</v>
      </c>
      <c r="E68" s="230" t="s">
        <v>2409</v>
      </c>
    </row>
    <row r="69" spans="1:5" x14ac:dyDescent="0.2">
      <c r="A69" s="237">
        <v>67</v>
      </c>
      <c r="B69" s="358" t="s">
        <v>3277</v>
      </c>
      <c r="C69" s="358" t="s">
        <v>3281</v>
      </c>
      <c r="D69" s="227" t="s">
        <v>2936</v>
      </c>
      <c r="E69" s="227" t="s">
        <v>731</v>
      </c>
    </row>
    <row r="70" spans="1:5" x14ac:dyDescent="0.2">
      <c r="A70" s="237">
        <v>68</v>
      </c>
      <c r="B70" s="357" t="s">
        <v>785</v>
      </c>
      <c r="C70" s="357" t="s">
        <v>790</v>
      </c>
      <c r="D70" s="230" t="s">
        <v>795</v>
      </c>
      <c r="E70" s="230" t="s">
        <v>796</v>
      </c>
    </row>
    <row r="71" spans="1:5" x14ac:dyDescent="0.2">
      <c r="A71" s="237">
        <v>69</v>
      </c>
      <c r="B71" s="358" t="s">
        <v>1404</v>
      </c>
      <c r="C71" s="358" t="s">
        <v>1406</v>
      </c>
      <c r="D71" s="227" t="s">
        <v>1405</v>
      </c>
      <c r="E71" s="227" t="s">
        <v>1407</v>
      </c>
    </row>
    <row r="72" spans="1:5" x14ac:dyDescent="0.2">
      <c r="A72" s="237">
        <v>70</v>
      </c>
      <c r="B72" s="357" t="s">
        <v>667</v>
      </c>
      <c r="C72" s="357" t="s">
        <v>673</v>
      </c>
      <c r="D72" s="230" t="s">
        <v>677</v>
      </c>
      <c r="E72" s="230" t="s">
        <v>736</v>
      </c>
    </row>
    <row r="73" spans="1:5" x14ac:dyDescent="0.2">
      <c r="A73" s="237">
        <v>71</v>
      </c>
      <c r="B73" s="358" t="s">
        <v>364</v>
      </c>
      <c r="C73" s="358" t="s">
        <v>368</v>
      </c>
      <c r="D73" s="227" t="s">
        <v>370</v>
      </c>
      <c r="E73" s="227" t="s">
        <v>777</v>
      </c>
    </row>
    <row r="74" spans="1:5" x14ac:dyDescent="0.2">
      <c r="A74" s="237">
        <v>72</v>
      </c>
      <c r="B74" s="357" t="s">
        <v>3421</v>
      </c>
      <c r="C74" s="357" t="s">
        <v>3425</v>
      </c>
      <c r="D74" s="230" t="s">
        <v>1448</v>
      </c>
      <c r="E74" s="230" t="s">
        <v>735</v>
      </c>
    </row>
    <row r="75" spans="1:5" x14ac:dyDescent="0.2">
      <c r="A75" s="237">
        <v>73</v>
      </c>
      <c r="B75" s="358" t="s">
        <v>2463</v>
      </c>
      <c r="C75" s="358" t="s">
        <v>2486</v>
      </c>
      <c r="D75" s="227" t="s">
        <v>1405</v>
      </c>
      <c r="E75" s="227" t="s">
        <v>1758</v>
      </c>
    </row>
    <row r="76" spans="1:5" x14ac:dyDescent="0.2">
      <c r="A76" s="237">
        <v>74</v>
      </c>
      <c r="B76" s="357" t="s">
        <v>3617</v>
      </c>
      <c r="C76" s="357" t="s">
        <v>3622</v>
      </c>
      <c r="D76" s="230" t="s">
        <v>1405</v>
      </c>
      <c r="E76" s="230" t="s">
        <v>3641</v>
      </c>
    </row>
    <row r="77" spans="1:5" x14ac:dyDescent="0.2">
      <c r="A77" s="237">
        <v>75</v>
      </c>
      <c r="B77" s="358" t="s">
        <v>1275</v>
      </c>
      <c r="C77" s="358" t="s">
        <v>301</v>
      </c>
      <c r="D77" s="227" t="s">
        <v>301</v>
      </c>
      <c r="E77" s="227" t="s">
        <v>1284</v>
      </c>
    </row>
    <row r="78" spans="1:5" x14ac:dyDescent="0.2">
      <c r="A78" s="237">
        <v>76</v>
      </c>
      <c r="B78" s="357" t="s">
        <v>3084</v>
      </c>
      <c r="C78" s="357" t="s">
        <v>1625</v>
      </c>
      <c r="D78" s="230" t="s">
        <v>1085</v>
      </c>
      <c r="E78" s="230" t="s">
        <v>1652</v>
      </c>
    </row>
    <row r="79" spans="1:5" x14ac:dyDescent="0.2">
      <c r="A79" s="237">
        <v>77</v>
      </c>
      <c r="B79" s="358" t="s">
        <v>887</v>
      </c>
      <c r="C79" s="358" t="s">
        <v>869</v>
      </c>
      <c r="D79" s="227" t="s">
        <v>888</v>
      </c>
      <c r="E79" s="227" t="s">
        <v>889</v>
      </c>
    </row>
    <row r="80" spans="1:5" x14ac:dyDescent="0.2">
      <c r="A80" s="237">
        <v>78</v>
      </c>
      <c r="B80" s="357" t="s">
        <v>2945</v>
      </c>
      <c r="C80" s="357" t="s">
        <v>3085</v>
      </c>
      <c r="D80" s="230" t="s">
        <v>2950</v>
      </c>
      <c r="E80" s="230" t="s">
        <v>2951</v>
      </c>
    </row>
    <row r="81" spans="1:5" x14ac:dyDescent="0.2">
      <c r="A81" s="237">
        <v>79</v>
      </c>
      <c r="B81" s="358" t="s">
        <v>807</v>
      </c>
      <c r="C81" s="358" t="s">
        <v>813</v>
      </c>
      <c r="D81" s="227" t="s">
        <v>293</v>
      </c>
      <c r="E81" s="227" t="s">
        <v>713</v>
      </c>
    </row>
    <row r="82" spans="1:5" x14ac:dyDescent="0.2">
      <c r="A82" s="237">
        <v>80</v>
      </c>
      <c r="B82" s="357" t="s">
        <v>2286</v>
      </c>
      <c r="C82" s="357" t="s">
        <v>2290</v>
      </c>
      <c r="D82" s="230" t="s">
        <v>2289</v>
      </c>
      <c r="E82" s="230" t="s">
        <v>2138</v>
      </c>
    </row>
    <row r="83" spans="1:5" x14ac:dyDescent="0.2">
      <c r="A83" s="237">
        <v>81</v>
      </c>
      <c r="B83" s="358" t="s">
        <v>1993</v>
      </c>
      <c r="C83" s="358" t="s">
        <v>2003</v>
      </c>
      <c r="D83" s="227" t="s">
        <v>296</v>
      </c>
      <c r="E83" s="227" t="s">
        <v>2006</v>
      </c>
    </row>
    <row r="84" spans="1:5" x14ac:dyDescent="0.2">
      <c r="A84" s="237">
        <v>82</v>
      </c>
      <c r="B84" s="357" t="s">
        <v>2661</v>
      </c>
      <c r="C84" s="357" t="s">
        <v>2668</v>
      </c>
      <c r="D84" s="230" t="s">
        <v>1664</v>
      </c>
      <c r="E84" s="230" t="s">
        <v>900</v>
      </c>
    </row>
    <row r="85" spans="1:5" x14ac:dyDescent="0.2">
      <c r="A85" s="237">
        <v>83</v>
      </c>
      <c r="B85" s="358" t="s">
        <v>2819</v>
      </c>
      <c r="C85" s="358" t="s">
        <v>2828</v>
      </c>
      <c r="D85" s="227" t="s">
        <v>2232</v>
      </c>
      <c r="E85" s="227" t="s">
        <v>2812</v>
      </c>
    </row>
    <row r="86" spans="1:5" x14ac:dyDescent="0.2">
      <c r="A86" s="237">
        <v>84</v>
      </c>
      <c r="B86" s="357" t="s">
        <v>3779</v>
      </c>
      <c r="C86" s="357" t="s">
        <v>3779</v>
      </c>
      <c r="D86" s="230" t="s">
        <v>1337</v>
      </c>
      <c r="E86" s="230" t="s">
        <v>2437</v>
      </c>
    </row>
    <row r="87" spans="1:5" x14ac:dyDescent="0.2">
      <c r="A87" s="237">
        <v>85</v>
      </c>
      <c r="B87" s="358" t="s">
        <v>2504</v>
      </c>
      <c r="C87" s="358" t="s">
        <v>677</v>
      </c>
      <c r="D87" s="227" t="s">
        <v>677</v>
      </c>
      <c r="E87" s="227" t="s">
        <v>2517</v>
      </c>
    </row>
    <row r="88" spans="1:5" x14ac:dyDescent="0.2">
      <c r="A88" s="237">
        <v>86</v>
      </c>
      <c r="B88" s="357" t="s">
        <v>3547</v>
      </c>
      <c r="C88" s="357" t="s">
        <v>3566</v>
      </c>
      <c r="D88" s="230" t="s">
        <v>1211</v>
      </c>
      <c r="E88" s="230" t="s">
        <v>3567</v>
      </c>
    </row>
    <row r="89" spans="1:5" x14ac:dyDescent="0.2">
      <c r="A89" s="237">
        <v>87</v>
      </c>
      <c r="B89" s="358" t="s">
        <v>563</v>
      </c>
      <c r="C89" s="358" t="s">
        <v>573</v>
      </c>
      <c r="D89" s="227" t="s">
        <v>293</v>
      </c>
      <c r="E89" s="227" t="s">
        <v>713</v>
      </c>
    </row>
    <row r="90" spans="1:5" x14ac:dyDescent="0.2">
      <c r="A90" s="237">
        <v>88</v>
      </c>
      <c r="B90" s="357" t="s">
        <v>2250</v>
      </c>
      <c r="C90" s="357" t="s">
        <v>2257</v>
      </c>
      <c r="D90" s="230" t="s">
        <v>1529</v>
      </c>
      <c r="E90" s="230" t="s">
        <v>1531</v>
      </c>
    </row>
    <row r="91" spans="1:5" x14ac:dyDescent="0.2">
      <c r="A91" s="237">
        <v>89</v>
      </c>
      <c r="B91" s="358" t="s">
        <v>2607</v>
      </c>
      <c r="C91" s="358" t="s">
        <v>2607</v>
      </c>
      <c r="D91" s="227" t="s">
        <v>2614</v>
      </c>
      <c r="E91" s="227" t="s">
        <v>2616</v>
      </c>
    </row>
    <row r="92" spans="1:5" x14ac:dyDescent="0.2">
      <c r="A92" s="237">
        <v>90</v>
      </c>
      <c r="B92" s="357" t="s">
        <v>1252</v>
      </c>
      <c r="C92" s="357" t="s">
        <v>1254</v>
      </c>
      <c r="D92" s="230" t="s">
        <v>1263</v>
      </c>
      <c r="E92" s="230" t="s">
        <v>1267</v>
      </c>
    </row>
    <row r="93" spans="1:5" x14ac:dyDescent="0.2">
      <c r="A93" s="237">
        <v>91</v>
      </c>
      <c r="B93" s="358" t="s">
        <v>1743</v>
      </c>
      <c r="C93" s="358" t="s">
        <v>1755</v>
      </c>
      <c r="D93" s="227" t="s">
        <v>312</v>
      </c>
      <c r="E93" s="227" t="s">
        <v>1756</v>
      </c>
    </row>
    <row r="94" spans="1:5" x14ac:dyDescent="0.2">
      <c r="A94" s="237">
        <v>92</v>
      </c>
      <c r="B94" s="357" t="s">
        <v>2622</v>
      </c>
      <c r="C94" s="357" t="s">
        <v>168</v>
      </c>
      <c r="D94" s="230" t="s">
        <v>2630</v>
      </c>
      <c r="E94" s="230" t="s">
        <v>2634</v>
      </c>
    </row>
    <row r="95" spans="1:5" x14ac:dyDescent="0.2">
      <c r="A95" s="237">
        <v>93</v>
      </c>
      <c r="B95" s="358" t="s">
        <v>2925</v>
      </c>
      <c r="C95" s="358" t="s">
        <v>2937</v>
      </c>
      <c r="D95" s="227" t="s">
        <v>2936</v>
      </c>
      <c r="E95" s="227" t="s">
        <v>731</v>
      </c>
    </row>
    <row r="96" spans="1:5" x14ac:dyDescent="0.2">
      <c r="A96" s="237">
        <v>94</v>
      </c>
      <c r="B96" s="357" t="s">
        <v>3677</v>
      </c>
      <c r="C96" s="357" t="s">
        <v>3679</v>
      </c>
      <c r="D96" s="230" t="s">
        <v>3678</v>
      </c>
      <c r="E96" s="230" t="s">
        <v>3680</v>
      </c>
    </row>
    <row r="97" spans="1:5" x14ac:dyDescent="0.2">
      <c r="A97" s="237">
        <v>95</v>
      </c>
      <c r="B97" s="358" t="s">
        <v>1411</v>
      </c>
      <c r="C97" s="358" t="s">
        <v>1417</v>
      </c>
      <c r="D97" s="227" t="s">
        <v>1416</v>
      </c>
      <c r="E97" s="227" t="s">
        <v>1420</v>
      </c>
    </row>
    <row r="98" spans="1:5" x14ac:dyDescent="0.2">
      <c r="A98" s="237">
        <v>96</v>
      </c>
      <c r="B98" s="357" t="s">
        <v>1514</v>
      </c>
      <c r="C98" s="357" t="s">
        <v>1516</v>
      </c>
      <c r="D98" s="230" t="s">
        <v>1515</v>
      </c>
      <c r="E98" s="230" t="s">
        <v>1517</v>
      </c>
    </row>
    <row r="99" spans="1:5" x14ac:dyDescent="0.2">
      <c r="A99" s="237">
        <v>97</v>
      </c>
      <c r="B99" s="358" t="s">
        <v>1660</v>
      </c>
      <c r="C99" s="358" t="s">
        <v>1665</v>
      </c>
      <c r="D99" s="227" t="s">
        <v>1664</v>
      </c>
      <c r="E99" s="227" t="s">
        <v>1039</v>
      </c>
    </row>
    <row r="100" spans="1:5" x14ac:dyDescent="0.2">
      <c r="A100" s="237">
        <v>98</v>
      </c>
      <c r="B100" s="357" t="s">
        <v>132</v>
      </c>
      <c r="C100" s="357" t="s">
        <v>306</v>
      </c>
      <c r="D100" s="230" t="s">
        <v>305</v>
      </c>
      <c r="E100" s="230" t="s">
        <v>719</v>
      </c>
    </row>
    <row r="101" spans="1:5" x14ac:dyDescent="0.2">
      <c r="A101" s="237">
        <v>99</v>
      </c>
      <c r="B101" s="358" t="s">
        <v>2737</v>
      </c>
      <c r="C101" s="358" t="s">
        <v>2787</v>
      </c>
      <c r="D101" s="227" t="s">
        <v>2785</v>
      </c>
      <c r="E101" s="227" t="s">
        <v>2791</v>
      </c>
    </row>
    <row r="102" spans="1:5" x14ac:dyDescent="0.2">
      <c r="A102" s="237">
        <v>100</v>
      </c>
      <c r="B102" s="357" t="s">
        <v>1306</v>
      </c>
      <c r="C102" s="357" t="s">
        <v>1306</v>
      </c>
      <c r="D102" s="230" t="s">
        <v>1313</v>
      </c>
      <c r="E102" s="230" t="s">
        <v>1315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30"/>
  <sheetViews>
    <sheetView topLeftCell="A245" zoomScale="80" zoomScaleNormal="80" workbookViewId="0">
      <selection activeCell="S148" sqref="S148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418" t="s">
        <v>3966</v>
      </c>
      <c r="B1" s="418"/>
      <c r="C1" s="418"/>
      <c r="D1" s="418"/>
      <c r="E1" s="418"/>
    </row>
    <row r="2" spans="1:5" x14ac:dyDescent="0.2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2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2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2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2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2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2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2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2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2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2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2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2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2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2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2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2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2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2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2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2">
      <c r="A22" s="237">
        <v>20</v>
      </c>
      <c r="B22" s="230" t="s">
        <v>1529</v>
      </c>
      <c r="C22" s="230" t="s">
        <v>2257</v>
      </c>
      <c r="D22" s="231">
        <v>9.07</v>
      </c>
      <c r="E22" s="255">
        <v>9.02</v>
      </c>
    </row>
    <row r="23" spans="1:5" x14ac:dyDescent="0.2">
      <c r="A23" s="237">
        <v>21</v>
      </c>
      <c r="B23" s="227" t="s">
        <v>298</v>
      </c>
      <c r="C23" s="227" t="s">
        <v>1719</v>
      </c>
      <c r="D23" s="228">
        <v>8.92</v>
      </c>
      <c r="E23" s="257">
        <v>8.9700000000000006</v>
      </c>
    </row>
    <row r="24" spans="1:5" x14ac:dyDescent="0.2">
      <c r="A24" s="237">
        <v>22</v>
      </c>
      <c r="B24" s="230" t="s">
        <v>298</v>
      </c>
      <c r="C24" s="230" t="s">
        <v>2857</v>
      </c>
      <c r="D24" s="231">
        <v>8.8000000000000007</v>
      </c>
      <c r="E24" s="257">
        <v>8.9700000000000006</v>
      </c>
    </row>
    <row r="25" spans="1:5" x14ac:dyDescent="0.2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2">
      <c r="A26" s="237">
        <v>24</v>
      </c>
      <c r="B26" s="230" t="s">
        <v>2531</v>
      </c>
      <c r="C26" s="230" t="s">
        <v>3716</v>
      </c>
      <c r="D26" s="231">
        <v>9</v>
      </c>
      <c r="E26" s="258">
        <v>8.9600000000000009</v>
      </c>
    </row>
    <row r="27" spans="1:5" x14ac:dyDescent="0.2">
      <c r="A27" s="237">
        <v>25</v>
      </c>
      <c r="B27" s="227" t="s">
        <v>312</v>
      </c>
      <c r="C27" s="227" t="s">
        <v>1755</v>
      </c>
      <c r="D27" s="228">
        <v>9</v>
      </c>
      <c r="E27" s="258">
        <v>8.9600000000000009</v>
      </c>
    </row>
    <row r="28" spans="1:5" x14ac:dyDescent="0.2">
      <c r="A28" s="237">
        <v>26</v>
      </c>
      <c r="B28" s="230" t="s">
        <v>311</v>
      </c>
      <c r="C28" s="230" t="s">
        <v>1540</v>
      </c>
      <c r="D28" s="231">
        <v>8.94</v>
      </c>
      <c r="E28" s="259">
        <v>8.9499999999999993</v>
      </c>
    </row>
    <row r="29" spans="1:5" x14ac:dyDescent="0.2">
      <c r="A29" s="237">
        <v>27</v>
      </c>
      <c r="B29" s="227" t="s">
        <v>2630</v>
      </c>
      <c r="C29" s="227" t="s">
        <v>168</v>
      </c>
      <c r="D29" s="228">
        <v>9</v>
      </c>
      <c r="E29" s="400">
        <v>8.94</v>
      </c>
    </row>
    <row r="30" spans="1:5" x14ac:dyDescent="0.2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2">
      <c r="A31" s="237">
        <v>29</v>
      </c>
      <c r="B31" s="227" t="s">
        <v>3678</v>
      </c>
      <c r="C31" s="227" t="s">
        <v>3679</v>
      </c>
      <c r="D31" s="228">
        <v>9</v>
      </c>
      <c r="E31" s="261">
        <v>8.92</v>
      </c>
    </row>
    <row r="32" spans="1:5" x14ac:dyDescent="0.2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2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2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2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2">
      <c r="A36" s="237">
        <v>34</v>
      </c>
      <c r="B36" s="230" t="s">
        <v>2450</v>
      </c>
      <c r="C36" s="230" t="s">
        <v>2451</v>
      </c>
      <c r="D36" s="231">
        <v>8.86</v>
      </c>
      <c r="E36" s="264">
        <v>8.8800000000000008</v>
      </c>
    </row>
    <row r="37" spans="1:5" x14ac:dyDescent="0.2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2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2">
      <c r="A39" s="237">
        <v>37</v>
      </c>
      <c r="B39" s="227" t="s">
        <v>2232</v>
      </c>
      <c r="C39" s="227" t="s">
        <v>2382</v>
      </c>
      <c r="D39" s="228">
        <v>8.7899999999999991</v>
      </c>
      <c r="E39" s="266">
        <v>8.86</v>
      </c>
    </row>
    <row r="40" spans="1:5" x14ac:dyDescent="0.2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2">
      <c r="A41" s="237">
        <v>39</v>
      </c>
      <c r="B41" s="227" t="s">
        <v>2531</v>
      </c>
      <c r="C41" s="227" t="s">
        <v>2532</v>
      </c>
      <c r="D41" s="228">
        <v>8.83</v>
      </c>
      <c r="E41" s="268">
        <v>8.84</v>
      </c>
    </row>
    <row r="42" spans="1:5" x14ac:dyDescent="0.2">
      <c r="A42" s="237">
        <v>40</v>
      </c>
      <c r="B42" s="230" t="s">
        <v>1313</v>
      </c>
      <c r="C42" s="230" t="s">
        <v>1306</v>
      </c>
      <c r="D42" s="231">
        <v>8.86</v>
      </c>
      <c r="E42" s="268">
        <v>8.83</v>
      </c>
    </row>
    <row r="43" spans="1:5" x14ac:dyDescent="0.2">
      <c r="A43" s="237">
        <v>41</v>
      </c>
      <c r="B43" s="227" t="s">
        <v>2672</v>
      </c>
      <c r="C43" s="227" t="s">
        <v>3729</v>
      </c>
      <c r="D43" s="228">
        <v>8.81</v>
      </c>
      <c r="E43" s="268">
        <v>8.83</v>
      </c>
    </row>
    <row r="44" spans="1:5" x14ac:dyDescent="0.2">
      <c r="A44" s="237">
        <v>42</v>
      </c>
      <c r="B44" s="230" t="s">
        <v>1695</v>
      </c>
      <c r="C44" s="230" t="s">
        <v>1696</v>
      </c>
      <c r="D44" s="231">
        <v>8.92</v>
      </c>
      <c r="E44" s="268">
        <v>8.83</v>
      </c>
    </row>
    <row r="45" spans="1:5" x14ac:dyDescent="0.2">
      <c r="A45" s="237">
        <v>43</v>
      </c>
      <c r="B45" s="227" t="s">
        <v>2232</v>
      </c>
      <c r="C45" s="227" t="s">
        <v>2233</v>
      </c>
      <c r="D45" s="228">
        <v>8.81</v>
      </c>
      <c r="E45" s="268">
        <v>8.83</v>
      </c>
    </row>
    <row r="46" spans="1:5" x14ac:dyDescent="0.2">
      <c r="A46" s="237">
        <v>44</v>
      </c>
      <c r="B46" s="230" t="s">
        <v>3528</v>
      </c>
      <c r="C46" s="230" t="s">
        <v>3528</v>
      </c>
      <c r="D46" s="231">
        <v>8.82</v>
      </c>
      <c r="E46" s="268">
        <v>8.83</v>
      </c>
    </row>
    <row r="47" spans="1:5" x14ac:dyDescent="0.2">
      <c r="A47" s="237">
        <v>45</v>
      </c>
      <c r="B47" s="227" t="s">
        <v>297</v>
      </c>
      <c r="C47" s="227" t="s">
        <v>2526</v>
      </c>
      <c r="D47" s="228">
        <v>8.86</v>
      </c>
      <c r="E47" s="269">
        <v>8.82</v>
      </c>
    </row>
    <row r="48" spans="1:5" x14ac:dyDescent="0.2">
      <c r="A48" s="237">
        <v>46</v>
      </c>
      <c r="B48" s="230" t="s">
        <v>2551</v>
      </c>
      <c r="C48" s="230" t="s">
        <v>2550</v>
      </c>
      <c r="D48" s="231">
        <v>8.8800000000000008</v>
      </c>
      <c r="E48" s="270">
        <v>8.81</v>
      </c>
    </row>
    <row r="49" spans="1:5" x14ac:dyDescent="0.2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2">
      <c r="A50" s="237">
        <v>48</v>
      </c>
      <c r="B50" s="230" t="s">
        <v>307</v>
      </c>
      <c r="C50" s="230" t="s">
        <v>2730</v>
      </c>
      <c r="D50" s="231">
        <v>8.8000000000000007</v>
      </c>
      <c r="E50" s="270">
        <v>8.81</v>
      </c>
    </row>
    <row r="51" spans="1:5" x14ac:dyDescent="0.2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2">
      <c r="A52" s="237">
        <v>50</v>
      </c>
      <c r="B52" s="230" t="s">
        <v>545</v>
      </c>
      <c r="C52" s="230" t="s">
        <v>546</v>
      </c>
      <c r="D52" s="231">
        <v>8.7799999999999994</v>
      </c>
      <c r="E52" s="271">
        <v>8.7899999999999991</v>
      </c>
    </row>
    <row r="53" spans="1:5" x14ac:dyDescent="0.2">
      <c r="A53" s="237">
        <v>51</v>
      </c>
      <c r="B53" s="227" t="s">
        <v>441</v>
      </c>
      <c r="C53" s="227" t="s">
        <v>2398</v>
      </c>
      <c r="D53" s="228">
        <v>8.75</v>
      </c>
      <c r="E53" s="272">
        <v>8.7799999999999994</v>
      </c>
    </row>
    <row r="54" spans="1:5" x14ac:dyDescent="0.2">
      <c r="A54" s="237">
        <v>52</v>
      </c>
      <c r="B54" s="230" t="s">
        <v>1594</v>
      </c>
      <c r="C54" s="230" t="s">
        <v>1593</v>
      </c>
      <c r="D54" s="231">
        <v>8.85</v>
      </c>
      <c r="E54" s="272">
        <v>8.7799999999999994</v>
      </c>
    </row>
    <row r="55" spans="1:5" x14ac:dyDescent="0.2">
      <c r="A55" s="237">
        <v>53</v>
      </c>
      <c r="B55" s="227" t="s">
        <v>2487</v>
      </c>
      <c r="C55" s="227" t="s">
        <v>2488</v>
      </c>
      <c r="D55" s="228">
        <v>8.8800000000000008</v>
      </c>
      <c r="E55" s="273">
        <v>8.77</v>
      </c>
    </row>
    <row r="56" spans="1:5" x14ac:dyDescent="0.2">
      <c r="A56" s="237">
        <v>54</v>
      </c>
      <c r="B56" s="230" t="s">
        <v>297</v>
      </c>
      <c r="C56" s="230" t="s">
        <v>1323</v>
      </c>
      <c r="D56" s="231">
        <v>8.83</v>
      </c>
      <c r="E56" s="273">
        <v>8.77</v>
      </c>
    </row>
    <row r="57" spans="1:5" x14ac:dyDescent="0.2">
      <c r="A57" s="237">
        <v>55</v>
      </c>
      <c r="B57" s="227" t="s">
        <v>293</v>
      </c>
      <c r="C57" s="227" t="s">
        <v>518</v>
      </c>
      <c r="D57" s="228">
        <v>8.77</v>
      </c>
      <c r="E57" s="275">
        <v>8.75</v>
      </c>
    </row>
    <row r="58" spans="1:5" x14ac:dyDescent="0.2">
      <c r="A58" s="237">
        <v>56</v>
      </c>
      <c r="B58" s="230" t="s">
        <v>2306</v>
      </c>
      <c r="C58" s="230" t="s">
        <v>2296</v>
      </c>
      <c r="D58" s="231">
        <v>8.86</v>
      </c>
      <c r="E58" s="276">
        <v>8.74</v>
      </c>
    </row>
    <row r="59" spans="1:5" x14ac:dyDescent="0.2">
      <c r="A59" s="237">
        <v>57</v>
      </c>
      <c r="B59" s="227" t="s">
        <v>370</v>
      </c>
      <c r="C59" s="227" t="s">
        <v>368</v>
      </c>
      <c r="D59" s="228">
        <v>8.67</v>
      </c>
      <c r="E59" s="278">
        <v>8.7100000000000009</v>
      </c>
    </row>
    <row r="60" spans="1:5" x14ac:dyDescent="0.2">
      <c r="A60" s="237">
        <v>58</v>
      </c>
      <c r="B60" s="230" t="s">
        <v>2888</v>
      </c>
      <c r="C60" s="230" t="s">
        <v>2888</v>
      </c>
      <c r="D60" s="231">
        <v>8.8000000000000007</v>
      </c>
      <c r="E60" s="279">
        <v>8.6999999999999993</v>
      </c>
    </row>
    <row r="61" spans="1:5" x14ac:dyDescent="0.2">
      <c r="A61" s="237">
        <v>59</v>
      </c>
      <c r="B61" s="227" t="s">
        <v>2630</v>
      </c>
      <c r="C61" s="227" t="s">
        <v>3320</v>
      </c>
      <c r="D61" s="228">
        <v>8.7899999999999991</v>
      </c>
      <c r="E61" s="281">
        <v>8.67</v>
      </c>
    </row>
    <row r="62" spans="1:5" x14ac:dyDescent="0.2">
      <c r="A62" s="237">
        <v>60</v>
      </c>
      <c r="B62" s="230" t="s">
        <v>2582</v>
      </c>
      <c r="C62" s="230" t="s">
        <v>2583</v>
      </c>
      <c r="D62" s="231">
        <v>8.75</v>
      </c>
      <c r="E62" s="281">
        <v>8.67</v>
      </c>
    </row>
    <row r="63" spans="1:5" x14ac:dyDescent="0.2">
      <c r="A63" s="237">
        <v>61</v>
      </c>
      <c r="B63" s="227" t="s">
        <v>3928</v>
      </c>
      <c r="C63" s="227" t="s">
        <v>3929</v>
      </c>
      <c r="D63" s="228">
        <v>8.7899999999999991</v>
      </c>
      <c r="E63" s="281">
        <v>8.67</v>
      </c>
    </row>
    <row r="64" spans="1:5" x14ac:dyDescent="0.2">
      <c r="A64" s="237">
        <v>62</v>
      </c>
      <c r="B64" s="230" t="s">
        <v>310</v>
      </c>
      <c r="C64" s="230" t="s">
        <v>159</v>
      </c>
      <c r="D64" s="231">
        <v>8.7100000000000009</v>
      </c>
      <c r="E64" s="283">
        <v>8.65</v>
      </c>
    </row>
    <row r="65" spans="1:5" x14ac:dyDescent="0.2">
      <c r="A65" s="237">
        <v>63</v>
      </c>
      <c r="B65" s="227" t="s">
        <v>1264</v>
      </c>
      <c r="C65" s="227" t="s">
        <v>1265</v>
      </c>
      <c r="D65" s="228">
        <v>8.77</v>
      </c>
      <c r="E65" s="283">
        <v>8.65</v>
      </c>
    </row>
    <row r="66" spans="1:5" x14ac:dyDescent="0.2">
      <c r="A66" s="237">
        <v>64</v>
      </c>
      <c r="B66" s="230" t="s">
        <v>1529</v>
      </c>
      <c r="C66" s="230" t="s">
        <v>1522</v>
      </c>
      <c r="D66" s="231">
        <v>8.75</v>
      </c>
      <c r="E66" s="285">
        <v>8.6300000000000008</v>
      </c>
    </row>
    <row r="67" spans="1:5" x14ac:dyDescent="0.2">
      <c r="A67" s="237">
        <v>65</v>
      </c>
      <c r="B67" s="227" t="s">
        <v>1085</v>
      </c>
      <c r="C67" s="227" t="s">
        <v>1625</v>
      </c>
      <c r="D67" s="228">
        <v>8.57</v>
      </c>
      <c r="E67" s="285">
        <v>8.6300000000000008</v>
      </c>
    </row>
    <row r="68" spans="1:5" x14ac:dyDescent="0.2">
      <c r="A68" s="237">
        <v>66</v>
      </c>
      <c r="B68" s="230" t="s">
        <v>560</v>
      </c>
      <c r="C68" s="230" t="s">
        <v>561</v>
      </c>
      <c r="D68" s="231">
        <v>8.73</v>
      </c>
      <c r="E68" s="286">
        <v>8.6199999999999992</v>
      </c>
    </row>
    <row r="69" spans="1:5" x14ac:dyDescent="0.2">
      <c r="A69" s="237">
        <v>67</v>
      </c>
      <c r="B69" s="227" t="s">
        <v>1911</v>
      </c>
      <c r="C69" s="227" t="s">
        <v>1912</v>
      </c>
      <c r="D69" s="228">
        <v>8.67</v>
      </c>
      <c r="E69" s="287">
        <v>8.61</v>
      </c>
    </row>
    <row r="70" spans="1:5" x14ac:dyDescent="0.2">
      <c r="A70" s="237">
        <v>68</v>
      </c>
      <c r="B70" s="230" t="s">
        <v>2950</v>
      </c>
      <c r="C70" s="230">
        <v>4</v>
      </c>
      <c r="D70" s="231">
        <v>8.6</v>
      </c>
      <c r="E70" s="288">
        <v>8.6</v>
      </c>
    </row>
    <row r="71" spans="1:5" x14ac:dyDescent="0.2">
      <c r="A71" s="237">
        <v>69</v>
      </c>
      <c r="B71" s="227" t="s">
        <v>888</v>
      </c>
      <c r="C71" s="227" t="s">
        <v>869</v>
      </c>
      <c r="D71" s="228">
        <v>8.5500000000000007</v>
      </c>
      <c r="E71" s="288">
        <v>8.6</v>
      </c>
    </row>
    <row r="72" spans="1:5" x14ac:dyDescent="0.2">
      <c r="A72" s="237">
        <v>70</v>
      </c>
      <c r="B72" s="230" t="s">
        <v>2246</v>
      </c>
      <c r="C72" s="230" t="s">
        <v>2245</v>
      </c>
      <c r="D72" s="231">
        <v>8.67</v>
      </c>
      <c r="E72" s="290">
        <v>8.57</v>
      </c>
    </row>
    <row r="73" spans="1:5" x14ac:dyDescent="0.2">
      <c r="A73" s="237">
        <v>71</v>
      </c>
      <c r="B73" s="227" t="s">
        <v>2551</v>
      </c>
      <c r="C73" s="227" t="s">
        <v>3631</v>
      </c>
      <c r="D73" s="228">
        <v>8.65</v>
      </c>
      <c r="E73" s="291">
        <v>8.56</v>
      </c>
    </row>
    <row r="74" spans="1:5" x14ac:dyDescent="0.2">
      <c r="A74" s="237">
        <v>72</v>
      </c>
      <c r="B74" s="230" t="s">
        <v>311</v>
      </c>
      <c r="C74" s="230" t="s">
        <v>158</v>
      </c>
      <c r="D74" s="231">
        <v>8.65</v>
      </c>
      <c r="E74" s="291">
        <v>8.56</v>
      </c>
    </row>
    <row r="75" spans="1:5" x14ac:dyDescent="0.2">
      <c r="A75" s="237">
        <v>73</v>
      </c>
      <c r="B75" s="227" t="s">
        <v>293</v>
      </c>
      <c r="C75" s="227" t="s">
        <v>813</v>
      </c>
      <c r="D75" s="228">
        <v>8.5</v>
      </c>
      <c r="E75" s="291">
        <v>8.56</v>
      </c>
    </row>
    <row r="76" spans="1:5" x14ac:dyDescent="0.2">
      <c r="A76" s="237">
        <v>74</v>
      </c>
      <c r="B76" s="230" t="s">
        <v>913</v>
      </c>
      <c r="C76" s="230" t="s">
        <v>911</v>
      </c>
      <c r="D76" s="231">
        <v>8.67</v>
      </c>
      <c r="E76" s="291">
        <v>8.56</v>
      </c>
    </row>
    <row r="77" spans="1:5" x14ac:dyDescent="0.2">
      <c r="A77" s="237">
        <v>75</v>
      </c>
      <c r="B77" s="227" t="s">
        <v>296</v>
      </c>
      <c r="C77" s="227" t="s">
        <v>2003</v>
      </c>
      <c r="D77" s="228">
        <v>8.6</v>
      </c>
      <c r="E77" s="293">
        <v>8.5399999999999991</v>
      </c>
    </row>
    <row r="78" spans="1:5" x14ac:dyDescent="0.2">
      <c r="A78" s="237">
        <v>76</v>
      </c>
      <c r="B78" s="230" t="s">
        <v>1594</v>
      </c>
      <c r="C78" s="230" t="s">
        <v>3730</v>
      </c>
      <c r="D78" s="231">
        <v>8.61</v>
      </c>
      <c r="E78" s="295">
        <v>8.52</v>
      </c>
    </row>
    <row r="79" spans="1:5" x14ac:dyDescent="0.2">
      <c r="A79" s="237">
        <v>77</v>
      </c>
      <c r="B79" s="227" t="s">
        <v>2959</v>
      </c>
      <c r="C79" s="227" t="s">
        <v>2960</v>
      </c>
      <c r="D79" s="228">
        <v>8.58</v>
      </c>
      <c r="E79" s="296">
        <v>8.5</v>
      </c>
    </row>
    <row r="80" spans="1:5" x14ac:dyDescent="0.2">
      <c r="A80" s="237">
        <v>78</v>
      </c>
      <c r="B80" s="230" t="s">
        <v>1555</v>
      </c>
      <c r="C80" s="230" t="s">
        <v>1556</v>
      </c>
      <c r="D80" s="231">
        <v>8.6</v>
      </c>
      <c r="E80" s="296">
        <v>8.5</v>
      </c>
    </row>
    <row r="81" spans="1:5" x14ac:dyDescent="0.2">
      <c r="A81" s="237">
        <v>79</v>
      </c>
      <c r="B81" s="227" t="s">
        <v>2135</v>
      </c>
      <c r="C81" s="227" t="s">
        <v>2136</v>
      </c>
      <c r="D81" s="228">
        <v>8.58</v>
      </c>
      <c r="E81" s="296">
        <v>8.5</v>
      </c>
    </row>
    <row r="82" spans="1:5" x14ac:dyDescent="0.2">
      <c r="A82" s="237">
        <v>80</v>
      </c>
      <c r="B82" s="230" t="s">
        <v>2361</v>
      </c>
      <c r="C82" s="230" t="s">
        <v>3396</v>
      </c>
      <c r="D82" s="231">
        <v>8.56</v>
      </c>
      <c r="E82" s="378">
        <v>8.48</v>
      </c>
    </row>
    <row r="83" spans="1:5" x14ac:dyDescent="0.2">
      <c r="A83" s="237">
        <v>81</v>
      </c>
      <c r="B83" s="227" t="s">
        <v>1664</v>
      </c>
      <c r="C83" s="227" t="s">
        <v>2668</v>
      </c>
      <c r="D83" s="228">
        <v>8.5</v>
      </c>
      <c r="E83" s="298">
        <v>8.4700000000000006</v>
      </c>
    </row>
    <row r="84" spans="1:5" x14ac:dyDescent="0.2">
      <c r="A84" s="237">
        <v>82</v>
      </c>
      <c r="B84" s="230" t="s">
        <v>3890</v>
      </c>
      <c r="C84" s="230" t="s">
        <v>3884</v>
      </c>
      <c r="D84" s="231">
        <v>8.5</v>
      </c>
      <c r="E84" s="301">
        <v>8.43</v>
      </c>
    </row>
    <row r="85" spans="1:5" x14ac:dyDescent="0.2">
      <c r="A85" s="237">
        <v>83</v>
      </c>
      <c r="B85" s="227" t="s">
        <v>2902</v>
      </c>
      <c r="C85" s="227" t="s">
        <v>2892</v>
      </c>
      <c r="D85" s="228">
        <v>8.44</v>
      </c>
      <c r="E85" s="303">
        <v>8.39</v>
      </c>
    </row>
    <row r="86" spans="1:5" x14ac:dyDescent="0.2">
      <c r="A86" s="237">
        <v>84</v>
      </c>
      <c r="B86" s="230" t="s">
        <v>2232</v>
      </c>
      <c r="C86" s="230" t="s">
        <v>2828</v>
      </c>
      <c r="D86" s="231">
        <v>8.39</v>
      </c>
      <c r="E86" s="303">
        <v>8.39</v>
      </c>
    </row>
    <row r="87" spans="1:5" x14ac:dyDescent="0.2">
      <c r="A87" s="237">
        <v>85</v>
      </c>
      <c r="B87" s="227" t="s">
        <v>1085</v>
      </c>
      <c r="C87" s="227" t="s">
        <v>1086</v>
      </c>
      <c r="D87" s="228">
        <v>8.4600000000000009</v>
      </c>
      <c r="E87" s="308">
        <v>8.27</v>
      </c>
    </row>
    <row r="88" spans="1:5" x14ac:dyDescent="0.2">
      <c r="A88" s="237">
        <v>86</v>
      </c>
      <c r="B88" s="230" t="s">
        <v>313</v>
      </c>
      <c r="C88" s="230" t="s">
        <v>160</v>
      </c>
      <c r="D88" s="231">
        <v>8.3800000000000008</v>
      </c>
      <c r="E88" s="309">
        <v>8.25</v>
      </c>
    </row>
    <row r="89" spans="1:5" x14ac:dyDescent="0.2">
      <c r="A89" s="237">
        <v>87</v>
      </c>
      <c r="B89" s="227" t="s">
        <v>2918</v>
      </c>
      <c r="C89" s="227" t="s">
        <v>2919</v>
      </c>
      <c r="D89" s="228">
        <v>8.41</v>
      </c>
      <c r="E89" s="310">
        <v>8.24</v>
      </c>
    </row>
    <row r="90" spans="1:5" x14ac:dyDescent="0.2">
      <c r="A90" s="237">
        <v>88</v>
      </c>
      <c r="B90" s="230" t="s">
        <v>2918</v>
      </c>
      <c r="C90" s="230" t="s">
        <v>3757</v>
      </c>
      <c r="D90" s="231">
        <v>8.35</v>
      </c>
      <c r="E90" s="310">
        <v>8.24</v>
      </c>
    </row>
    <row r="91" spans="1:5" x14ac:dyDescent="0.2">
      <c r="A91" s="237">
        <v>89</v>
      </c>
      <c r="B91" s="227" t="s">
        <v>677</v>
      </c>
      <c r="C91" s="227" t="s">
        <v>677</v>
      </c>
      <c r="D91" s="228">
        <v>8.24</v>
      </c>
      <c r="E91" s="311">
        <v>8.23</v>
      </c>
    </row>
    <row r="92" spans="1:5" x14ac:dyDescent="0.2">
      <c r="A92" s="237">
        <v>90</v>
      </c>
      <c r="B92" s="230" t="s">
        <v>314</v>
      </c>
      <c r="C92" s="230" t="s">
        <v>271</v>
      </c>
      <c r="D92" s="231">
        <v>8.35</v>
      </c>
      <c r="E92" s="313">
        <v>8.1999999999999993</v>
      </c>
    </row>
    <row r="93" spans="1:5" x14ac:dyDescent="0.2">
      <c r="A93" s="237">
        <v>91</v>
      </c>
      <c r="B93" s="227" t="s">
        <v>2601</v>
      </c>
      <c r="C93" s="227" t="s">
        <v>2602</v>
      </c>
      <c r="D93" s="228">
        <v>8.31</v>
      </c>
      <c r="E93" s="315">
        <v>8.16</v>
      </c>
    </row>
    <row r="94" spans="1:5" x14ac:dyDescent="0.2">
      <c r="A94" s="237">
        <v>92</v>
      </c>
      <c r="B94" s="230" t="s">
        <v>759</v>
      </c>
      <c r="C94" s="230" t="s">
        <v>760</v>
      </c>
      <c r="D94" s="231">
        <v>8.33</v>
      </c>
      <c r="E94" s="315">
        <v>8.16</v>
      </c>
    </row>
    <row r="95" spans="1:5" x14ac:dyDescent="0.2">
      <c r="A95" s="237">
        <v>93</v>
      </c>
      <c r="B95" s="227" t="s">
        <v>2291</v>
      </c>
      <c r="C95" s="227" t="s">
        <v>2292</v>
      </c>
      <c r="D95" s="228">
        <v>8.1999999999999993</v>
      </c>
      <c r="E95" s="316">
        <v>8.1300000000000008</v>
      </c>
    </row>
    <row r="96" spans="1:5" x14ac:dyDescent="0.2">
      <c r="A96" s="237">
        <v>94</v>
      </c>
      <c r="B96" s="230" t="s">
        <v>300</v>
      </c>
      <c r="C96" s="230" t="s">
        <v>1676</v>
      </c>
      <c r="D96" s="231">
        <v>8.25</v>
      </c>
      <c r="E96" s="316">
        <v>8.1300000000000008</v>
      </c>
    </row>
    <row r="97" spans="1:5" x14ac:dyDescent="0.2">
      <c r="A97" s="237">
        <v>95</v>
      </c>
      <c r="B97" s="227" t="s">
        <v>293</v>
      </c>
      <c r="C97" s="227" t="s">
        <v>573</v>
      </c>
      <c r="D97" s="228">
        <v>8.0500000000000007</v>
      </c>
      <c r="E97" s="317">
        <v>8.11</v>
      </c>
    </row>
    <row r="98" spans="1:5" x14ac:dyDescent="0.2">
      <c r="A98" s="237">
        <v>96</v>
      </c>
      <c r="B98" s="230" t="s">
        <v>305</v>
      </c>
      <c r="C98" s="230" t="s">
        <v>1775</v>
      </c>
      <c r="D98" s="231">
        <v>8.18</v>
      </c>
      <c r="E98" s="318">
        <v>8.06</v>
      </c>
    </row>
    <row r="99" spans="1:5" x14ac:dyDescent="0.2">
      <c r="A99" s="237">
        <v>97</v>
      </c>
      <c r="B99" s="227" t="s">
        <v>300</v>
      </c>
      <c r="C99" s="227" t="s">
        <v>2350</v>
      </c>
      <c r="D99" s="228">
        <v>8.11</v>
      </c>
      <c r="E99" s="319">
        <v>8.0299999999999994</v>
      </c>
    </row>
    <row r="100" spans="1:5" x14ac:dyDescent="0.2">
      <c r="A100" s="237">
        <v>98</v>
      </c>
      <c r="B100" s="230" t="s">
        <v>346</v>
      </c>
      <c r="C100" s="230" t="s">
        <v>339</v>
      </c>
      <c r="D100" s="231">
        <v>8</v>
      </c>
      <c r="E100" s="321">
        <v>7.98</v>
      </c>
    </row>
    <row r="101" spans="1:5" x14ac:dyDescent="0.2">
      <c r="A101" s="237">
        <v>99</v>
      </c>
      <c r="B101" s="227" t="s">
        <v>301</v>
      </c>
      <c r="C101" s="227" t="s">
        <v>3858</v>
      </c>
      <c r="D101" s="228">
        <v>8.0399999999999991</v>
      </c>
      <c r="E101" s="414">
        <v>7.96</v>
      </c>
    </row>
    <row r="102" spans="1:5" x14ac:dyDescent="0.2">
      <c r="A102" s="237">
        <v>100</v>
      </c>
      <c r="B102" s="230" t="s">
        <v>2204</v>
      </c>
      <c r="C102" s="230" t="s">
        <v>2205</v>
      </c>
      <c r="D102" s="231">
        <v>8</v>
      </c>
      <c r="E102" s="323">
        <v>7.94</v>
      </c>
    </row>
    <row r="103" spans="1:5" x14ac:dyDescent="0.2">
      <c r="A103" s="237">
        <v>101</v>
      </c>
      <c r="B103" s="227" t="s">
        <v>300</v>
      </c>
      <c r="C103" s="227" t="s">
        <v>3128</v>
      </c>
      <c r="D103" s="228">
        <v>7.95</v>
      </c>
      <c r="E103" s="364">
        <v>7.89</v>
      </c>
    </row>
    <row r="104" spans="1:5" x14ac:dyDescent="0.2">
      <c r="A104" s="237">
        <v>102</v>
      </c>
      <c r="B104" s="230" t="s">
        <v>293</v>
      </c>
      <c r="C104" s="230" t="s">
        <v>899</v>
      </c>
      <c r="D104" s="231">
        <v>7.88</v>
      </c>
      <c r="E104" s="325">
        <v>7.74</v>
      </c>
    </row>
    <row r="105" spans="1:5" x14ac:dyDescent="0.2">
      <c r="A105" s="237">
        <v>103</v>
      </c>
      <c r="B105" s="227" t="s">
        <v>300</v>
      </c>
      <c r="C105" s="227" t="s">
        <v>3760</v>
      </c>
      <c r="D105" s="228">
        <v>7.75</v>
      </c>
      <c r="E105" s="327">
        <v>7.66</v>
      </c>
    </row>
    <row r="106" spans="1:5" x14ac:dyDescent="0.2">
      <c r="A106" s="237">
        <v>104</v>
      </c>
      <c r="B106" s="230" t="s">
        <v>1129</v>
      </c>
      <c r="C106" s="230" t="s">
        <v>1130</v>
      </c>
      <c r="D106" s="231">
        <v>7.71</v>
      </c>
      <c r="E106" s="329">
        <v>7.61</v>
      </c>
    </row>
    <row r="107" spans="1:5" x14ac:dyDescent="0.2">
      <c r="A107" s="237">
        <v>105</v>
      </c>
      <c r="B107" s="227" t="s">
        <v>293</v>
      </c>
      <c r="C107" s="227" t="s">
        <v>937</v>
      </c>
      <c r="D107" s="228">
        <v>7.5</v>
      </c>
      <c r="E107" s="330">
        <v>7.4</v>
      </c>
    </row>
    <row r="108" spans="1:5" x14ac:dyDescent="0.2">
      <c r="A108" s="237">
        <v>106</v>
      </c>
      <c r="B108" s="230" t="s">
        <v>2375</v>
      </c>
      <c r="C108" s="230" t="s">
        <v>2376</v>
      </c>
      <c r="D108" s="231">
        <v>7.17</v>
      </c>
      <c r="E108" s="333">
        <v>7.04</v>
      </c>
    </row>
    <row r="109" spans="1:5" x14ac:dyDescent="0.2">
      <c r="A109" s="237">
        <v>107</v>
      </c>
      <c r="B109" s="227" t="s">
        <v>2489</v>
      </c>
      <c r="C109" s="227" t="s">
        <v>2490</v>
      </c>
      <c r="D109" s="228">
        <v>2.5</v>
      </c>
      <c r="E109" s="335">
        <v>2.39</v>
      </c>
    </row>
    <row r="111" spans="1:5" ht="18" x14ac:dyDescent="0.25">
      <c r="A111" s="418" t="s">
        <v>3894</v>
      </c>
      <c r="B111" s="418"/>
      <c r="C111" s="418"/>
      <c r="D111" s="418"/>
      <c r="E111" s="418"/>
    </row>
    <row r="112" spans="1:5" x14ac:dyDescent="0.2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2">
      <c r="A113" s="233">
        <v>1</v>
      </c>
      <c r="B113" s="227" t="s">
        <v>292</v>
      </c>
      <c r="C113" s="227" t="s">
        <v>7</v>
      </c>
      <c r="D113" s="228">
        <v>10.11</v>
      </c>
      <c r="E113" s="234">
        <v>10.99</v>
      </c>
    </row>
    <row r="114" spans="1:5" x14ac:dyDescent="0.2">
      <c r="A114" s="235">
        <v>2</v>
      </c>
      <c r="B114" s="230" t="s">
        <v>292</v>
      </c>
      <c r="C114" s="230" t="s">
        <v>517</v>
      </c>
      <c r="D114" s="231">
        <v>9.61</v>
      </c>
      <c r="E114" s="238">
        <v>9.99</v>
      </c>
    </row>
    <row r="115" spans="1:5" x14ac:dyDescent="0.2">
      <c r="A115" s="236">
        <v>3</v>
      </c>
      <c r="B115" s="227" t="s">
        <v>292</v>
      </c>
      <c r="C115" s="227" t="s">
        <v>156</v>
      </c>
      <c r="D115" s="228">
        <v>9.61</v>
      </c>
      <c r="E115" s="239">
        <v>9.9600000000000009</v>
      </c>
    </row>
    <row r="116" spans="1:5" x14ac:dyDescent="0.2">
      <c r="A116" s="237">
        <v>4</v>
      </c>
      <c r="B116" s="230" t="s">
        <v>292</v>
      </c>
      <c r="C116" s="230" t="s">
        <v>2436</v>
      </c>
      <c r="D116" s="231">
        <v>9.25</v>
      </c>
      <c r="E116" s="241">
        <v>9.5299999999999994</v>
      </c>
    </row>
    <row r="117" spans="1:5" x14ac:dyDescent="0.2">
      <c r="A117" s="237">
        <v>5</v>
      </c>
      <c r="B117" s="227" t="s">
        <v>300</v>
      </c>
      <c r="C117" s="227" t="s">
        <v>131</v>
      </c>
      <c r="D117" s="228">
        <v>9.2899999999999991</v>
      </c>
      <c r="E117" s="412">
        <v>9.44</v>
      </c>
    </row>
    <row r="118" spans="1:5" x14ac:dyDescent="0.2">
      <c r="A118" s="237">
        <v>6</v>
      </c>
      <c r="B118" s="230" t="s">
        <v>1935</v>
      </c>
      <c r="C118" s="230" t="s">
        <v>1928</v>
      </c>
      <c r="D118" s="231">
        <v>9.31</v>
      </c>
      <c r="E118" s="243">
        <v>9.43</v>
      </c>
    </row>
    <row r="119" spans="1:5" x14ac:dyDescent="0.2">
      <c r="A119" s="237">
        <v>7</v>
      </c>
      <c r="B119" s="227" t="s">
        <v>292</v>
      </c>
      <c r="C119" s="227" t="s">
        <v>1175</v>
      </c>
      <c r="D119" s="228">
        <v>9.2899999999999991</v>
      </c>
      <c r="E119" s="379">
        <v>9.42</v>
      </c>
    </row>
    <row r="120" spans="1:5" x14ac:dyDescent="0.2">
      <c r="A120" s="237">
        <v>8</v>
      </c>
      <c r="B120" s="230" t="s">
        <v>301</v>
      </c>
      <c r="C120" s="230" t="s">
        <v>56</v>
      </c>
      <c r="D120" s="231">
        <v>9.25</v>
      </c>
      <c r="E120" s="244">
        <v>9.3699999999999992</v>
      </c>
    </row>
    <row r="121" spans="1:5" x14ac:dyDescent="0.2">
      <c r="A121" s="237">
        <v>9</v>
      </c>
      <c r="B121" s="227" t="s">
        <v>3139</v>
      </c>
      <c r="C121" s="227" t="s">
        <v>3140</v>
      </c>
      <c r="D121" s="228">
        <v>9.14</v>
      </c>
      <c r="E121" s="247">
        <v>9.23</v>
      </c>
    </row>
    <row r="122" spans="1:5" x14ac:dyDescent="0.2">
      <c r="A122" s="237">
        <v>10</v>
      </c>
      <c r="B122" s="230" t="s">
        <v>441</v>
      </c>
      <c r="C122" s="230" t="s">
        <v>459</v>
      </c>
      <c r="D122" s="231">
        <v>9.17</v>
      </c>
      <c r="E122" s="247">
        <v>9.23</v>
      </c>
    </row>
    <row r="123" spans="1:5" x14ac:dyDescent="0.2">
      <c r="A123" s="237">
        <v>11</v>
      </c>
      <c r="B123" s="227" t="s">
        <v>301</v>
      </c>
      <c r="C123" s="227" t="s">
        <v>653</v>
      </c>
      <c r="D123" s="228">
        <v>9.1300000000000008</v>
      </c>
      <c r="E123" s="248">
        <v>9.2100000000000009</v>
      </c>
    </row>
    <row r="124" spans="1:5" x14ac:dyDescent="0.2">
      <c r="A124" s="237">
        <v>12</v>
      </c>
      <c r="B124" s="230" t="s">
        <v>300</v>
      </c>
      <c r="C124" s="230" t="s">
        <v>923</v>
      </c>
      <c r="D124" s="231">
        <v>9.06</v>
      </c>
      <c r="E124" s="250">
        <v>9.14</v>
      </c>
    </row>
    <row r="125" spans="1:5" x14ac:dyDescent="0.2">
      <c r="A125" s="237">
        <v>13</v>
      </c>
      <c r="B125" s="227" t="s">
        <v>304</v>
      </c>
      <c r="C125" s="227" t="s">
        <v>229</v>
      </c>
      <c r="D125" s="228">
        <v>9</v>
      </c>
      <c r="E125" s="251">
        <v>9.09</v>
      </c>
    </row>
    <row r="126" spans="1:5" x14ac:dyDescent="0.2">
      <c r="A126" s="237">
        <v>14</v>
      </c>
      <c r="B126" s="230" t="s">
        <v>301</v>
      </c>
      <c r="C126" s="230" t="s">
        <v>1063</v>
      </c>
      <c r="D126" s="231">
        <v>9</v>
      </c>
      <c r="E126" s="252">
        <v>9.08</v>
      </c>
    </row>
    <row r="127" spans="1:5" x14ac:dyDescent="0.2">
      <c r="A127" s="237">
        <v>15</v>
      </c>
      <c r="B127" s="227" t="s">
        <v>441</v>
      </c>
      <c r="C127" s="227" t="s">
        <v>609</v>
      </c>
      <c r="D127" s="228">
        <v>8.94</v>
      </c>
      <c r="E127" s="253">
        <v>9.0399999999999991</v>
      </c>
    </row>
    <row r="128" spans="1:5" x14ac:dyDescent="0.2">
      <c r="A128" s="237">
        <v>16</v>
      </c>
      <c r="B128" s="230" t="s">
        <v>315</v>
      </c>
      <c r="C128" s="230" t="s">
        <v>2273</v>
      </c>
      <c r="D128" s="231">
        <v>8.92</v>
      </c>
      <c r="E128" s="256">
        <v>9</v>
      </c>
    </row>
    <row r="129" spans="1:5" x14ac:dyDescent="0.2">
      <c r="A129" s="237">
        <v>17</v>
      </c>
      <c r="B129" s="227" t="s">
        <v>2703</v>
      </c>
      <c r="C129" s="227" t="s">
        <v>2699</v>
      </c>
      <c r="D129" s="228">
        <v>8.83</v>
      </c>
      <c r="E129" s="256">
        <v>9</v>
      </c>
    </row>
    <row r="130" spans="1:5" x14ac:dyDescent="0.2">
      <c r="A130" s="237">
        <v>18</v>
      </c>
      <c r="B130" s="230" t="s">
        <v>2936</v>
      </c>
      <c r="C130" s="230" t="s">
        <v>2937</v>
      </c>
      <c r="D130" s="231">
        <v>8.9600000000000009</v>
      </c>
      <c r="E130" s="261">
        <v>8.92</v>
      </c>
    </row>
    <row r="131" spans="1:5" x14ac:dyDescent="0.2">
      <c r="A131" s="237">
        <v>19</v>
      </c>
      <c r="B131" s="227" t="s">
        <v>300</v>
      </c>
      <c r="C131" s="227" t="s">
        <v>2414</v>
      </c>
      <c r="D131" s="228">
        <v>8.9</v>
      </c>
      <c r="E131" s="262">
        <v>8.9</v>
      </c>
    </row>
    <row r="132" spans="1:5" x14ac:dyDescent="0.2">
      <c r="A132" s="237">
        <v>20</v>
      </c>
      <c r="B132" s="230" t="s">
        <v>300</v>
      </c>
      <c r="C132" s="230" t="s">
        <v>855</v>
      </c>
      <c r="D132" s="231">
        <v>8.86</v>
      </c>
      <c r="E132" s="267">
        <v>8.85</v>
      </c>
    </row>
    <row r="133" spans="1:5" x14ac:dyDescent="0.2">
      <c r="A133" s="237">
        <v>21</v>
      </c>
      <c r="B133" s="227" t="s">
        <v>1448</v>
      </c>
      <c r="C133" s="227" t="s">
        <v>1449</v>
      </c>
      <c r="D133" s="228">
        <v>8.82</v>
      </c>
      <c r="E133" s="268">
        <v>8.84</v>
      </c>
    </row>
    <row r="134" spans="1:5" x14ac:dyDescent="0.2">
      <c r="A134" s="237">
        <v>22</v>
      </c>
      <c r="B134" s="230" t="s">
        <v>1616</v>
      </c>
      <c r="C134" s="230" t="s">
        <v>2013</v>
      </c>
      <c r="D134" s="231">
        <v>8.81</v>
      </c>
      <c r="E134" s="268">
        <v>8.83</v>
      </c>
    </row>
    <row r="135" spans="1:5" x14ac:dyDescent="0.2">
      <c r="A135" s="237">
        <v>23</v>
      </c>
      <c r="B135" s="227" t="s">
        <v>441</v>
      </c>
      <c r="C135" s="227" t="s">
        <v>442</v>
      </c>
      <c r="D135" s="228">
        <v>8.7899999999999991</v>
      </c>
      <c r="E135" s="270">
        <v>8.81</v>
      </c>
    </row>
    <row r="136" spans="1:5" x14ac:dyDescent="0.2">
      <c r="A136" s="237">
        <v>24</v>
      </c>
      <c r="B136" s="230" t="s">
        <v>1211</v>
      </c>
      <c r="C136" s="230" t="s">
        <v>1212</v>
      </c>
      <c r="D136" s="231">
        <v>8.67</v>
      </c>
      <c r="E136" s="271">
        <v>8.7899999999999991</v>
      </c>
    </row>
    <row r="137" spans="1:5" x14ac:dyDescent="0.2">
      <c r="A137" s="237">
        <v>25</v>
      </c>
      <c r="B137" s="227" t="s">
        <v>2936</v>
      </c>
      <c r="C137" s="227" t="s">
        <v>3281</v>
      </c>
      <c r="D137" s="228">
        <v>8.73</v>
      </c>
      <c r="E137" s="273">
        <v>8.77</v>
      </c>
    </row>
    <row r="138" spans="1:5" x14ac:dyDescent="0.2">
      <c r="A138" s="237">
        <v>26</v>
      </c>
      <c r="B138" s="230" t="s">
        <v>300</v>
      </c>
      <c r="C138" s="230" t="s">
        <v>473</v>
      </c>
      <c r="D138" s="231">
        <v>8.81</v>
      </c>
      <c r="E138" s="381">
        <v>8.73</v>
      </c>
    </row>
    <row r="139" spans="1:5" x14ac:dyDescent="0.2">
      <c r="A139" s="237">
        <v>27</v>
      </c>
      <c r="B139" s="227" t="s">
        <v>1367</v>
      </c>
      <c r="C139" s="227" t="s">
        <v>1368</v>
      </c>
      <c r="D139" s="228">
        <v>8.83</v>
      </c>
      <c r="E139" s="277">
        <v>8.7200000000000006</v>
      </c>
    </row>
    <row r="140" spans="1:5" x14ac:dyDescent="0.2">
      <c r="A140" s="237">
        <v>28</v>
      </c>
      <c r="B140" s="230" t="s">
        <v>1616</v>
      </c>
      <c r="C140" s="230" t="s">
        <v>1612</v>
      </c>
      <c r="D140" s="231">
        <v>8.81</v>
      </c>
      <c r="E140" s="279">
        <v>8.6999999999999993</v>
      </c>
    </row>
    <row r="141" spans="1:5" x14ac:dyDescent="0.2">
      <c r="A141" s="237">
        <v>29</v>
      </c>
      <c r="B141" s="227" t="s">
        <v>1448</v>
      </c>
      <c r="C141" s="227" t="s">
        <v>3425</v>
      </c>
      <c r="D141" s="228">
        <v>8.64</v>
      </c>
      <c r="E141" s="280">
        <v>8.68</v>
      </c>
    </row>
    <row r="142" spans="1:5" x14ac:dyDescent="0.2">
      <c r="A142" s="237">
        <v>30</v>
      </c>
      <c r="B142" s="230" t="s">
        <v>1568</v>
      </c>
      <c r="C142" s="230" t="s">
        <v>1564</v>
      </c>
      <c r="D142" s="231">
        <v>8.75</v>
      </c>
      <c r="E142" s="283">
        <v>8.65</v>
      </c>
    </row>
    <row r="143" spans="1:5" x14ac:dyDescent="0.2">
      <c r="A143" s="237">
        <v>31</v>
      </c>
      <c r="B143" s="227" t="s">
        <v>301</v>
      </c>
      <c r="C143" s="227" t="s">
        <v>301</v>
      </c>
      <c r="D143" s="228">
        <v>8.4600000000000009</v>
      </c>
      <c r="E143" s="283">
        <v>8.65</v>
      </c>
    </row>
    <row r="144" spans="1:5" x14ac:dyDescent="0.2">
      <c r="A144" s="237">
        <v>32</v>
      </c>
      <c r="B144" s="230" t="s">
        <v>2099</v>
      </c>
      <c r="C144" s="230" t="s">
        <v>2100</v>
      </c>
      <c r="D144" s="231">
        <v>8.75</v>
      </c>
      <c r="E144" s="284">
        <v>8.64</v>
      </c>
    </row>
    <row r="145" spans="1:5" x14ac:dyDescent="0.2">
      <c r="A145" s="237">
        <v>33</v>
      </c>
      <c r="B145" s="227" t="s">
        <v>1171</v>
      </c>
      <c r="C145" s="227" t="s">
        <v>1166</v>
      </c>
      <c r="D145" s="228">
        <v>8.75</v>
      </c>
      <c r="E145" s="285">
        <v>8.6300000000000008</v>
      </c>
    </row>
    <row r="146" spans="1:5" x14ac:dyDescent="0.2">
      <c r="A146" s="237">
        <v>34</v>
      </c>
      <c r="B146" s="230" t="s">
        <v>1091</v>
      </c>
      <c r="C146" s="230" t="s">
        <v>3830</v>
      </c>
      <c r="D146" s="231">
        <v>8.7200000000000006</v>
      </c>
      <c r="E146" s="285">
        <v>8.6300000000000008</v>
      </c>
    </row>
    <row r="147" spans="1:5" x14ac:dyDescent="0.2">
      <c r="A147" s="237">
        <v>35</v>
      </c>
      <c r="B147" s="227" t="s">
        <v>1367</v>
      </c>
      <c r="C147" s="227" t="s">
        <v>1604</v>
      </c>
      <c r="D147" s="228">
        <v>8.7100000000000009</v>
      </c>
      <c r="E147" s="286">
        <v>8.6199999999999992</v>
      </c>
    </row>
    <row r="148" spans="1:5" x14ac:dyDescent="0.2">
      <c r="A148" s="237">
        <v>36</v>
      </c>
      <c r="B148" s="230" t="s">
        <v>301</v>
      </c>
      <c r="C148" s="230" t="s">
        <v>2190</v>
      </c>
      <c r="D148" s="231">
        <v>8.6999999999999993</v>
      </c>
      <c r="E148" s="287">
        <v>8.61</v>
      </c>
    </row>
    <row r="149" spans="1:5" x14ac:dyDescent="0.2">
      <c r="A149" s="237">
        <v>37</v>
      </c>
      <c r="B149" s="227" t="s">
        <v>3357</v>
      </c>
      <c r="C149" s="227" t="s">
        <v>3358</v>
      </c>
      <c r="D149" s="228">
        <v>8.57</v>
      </c>
      <c r="E149" s="338">
        <v>8.59</v>
      </c>
    </row>
    <row r="150" spans="1:5" x14ac:dyDescent="0.2">
      <c r="A150" s="237">
        <v>38</v>
      </c>
      <c r="B150" s="230" t="s">
        <v>728</v>
      </c>
      <c r="C150" s="230" t="s">
        <v>729</v>
      </c>
      <c r="D150" s="231">
        <v>8.67</v>
      </c>
      <c r="E150" s="290">
        <v>8.57</v>
      </c>
    </row>
    <row r="151" spans="1:5" x14ac:dyDescent="0.2">
      <c r="A151" s="237">
        <v>39</v>
      </c>
      <c r="B151" s="227" t="s">
        <v>2246</v>
      </c>
      <c r="C151" s="227" t="s">
        <v>2245</v>
      </c>
      <c r="D151" s="228">
        <v>8.67</v>
      </c>
      <c r="E151" s="290">
        <v>8.57</v>
      </c>
    </row>
    <row r="152" spans="1:5" x14ac:dyDescent="0.2">
      <c r="A152" s="237">
        <v>40</v>
      </c>
      <c r="B152" s="230" t="s">
        <v>2551</v>
      </c>
      <c r="C152" s="230" t="s">
        <v>3631</v>
      </c>
      <c r="D152" s="231">
        <v>8.65</v>
      </c>
      <c r="E152" s="291">
        <v>8.56</v>
      </c>
    </row>
    <row r="153" spans="1:5" x14ac:dyDescent="0.2">
      <c r="A153" s="237">
        <v>41</v>
      </c>
      <c r="B153" s="227" t="s">
        <v>300</v>
      </c>
      <c r="C153" s="227" t="s">
        <v>2214</v>
      </c>
      <c r="D153" s="228">
        <v>8.64</v>
      </c>
      <c r="E153" s="292">
        <v>8.5500000000000007</v>
      </c>
    </row>
    <row r="154" spans="1:5" x14ac:dyDescent="0.2">
      <c r="A154" s="237">
        <v>42</v>
      </c>
      <c r="B154" s="230" t="s">
        <v>1091</v>
      </c>
      <c r="C154" s="230" t="s">
        <v>2360</v>
      </c>
      <c r="D154" s="231">
        <v>8.61</v>
      </c>
      <c r="E154" s="294">
        <v>8.5299999999999994</v>
      </c>
    </row>
    <row r="155" spans="1:5" x14ac:dyDescent="0.2">
      <c r="A155" s="237">
        <v>43</v>
      </c>
      <c r="B155" s="227" t="s">
        <v>3097</v>
      </c>
      <c r="C155" s="227" t="s">
        <v>3098</v>
      </c>
      <c r="D155" s="228">
        <v>8.6</v>
      </c>
      <c r="E155" s="294">
        <v>8.5299999999999994</v>
      </c>
    </row>
    <row r="156" spans="1:5" x14ac:dyDescent="0.2">
      <c r="A156" s="237">
        <v>44</v>
      </c>
      <c r="B156" s="230" t="s">
        <v>2959</v>
      </c>
      <c r="C156" s="230" t="s">
        <v>2960</v>
      </c>
      <c r="D156" s="231">
        <v>8.58</v>
      </c>
      <c r="E156" s="296">
        <v>8.5</v>
      </c>
    </row>
    <row r="157" spans="1:5" x14ac:dyDescent="0.2">
      <c r="A157" s="237">
        <v>45</v>
      </c>
      <c r="B157" s="227" t="s">
        <v>977</v>
      </c>
      <c r="C157" s="227" t="s">
        <v>978</v>
      </c>
      <c r="D157" s="228">
        <v>8.5500000000000007</v>
      </c>
      <c r="E157" s="298">
        <v>8.4700000000000006</v>
      </c>
    </row>
    <row r="158" spans="1:5" x14ac:dyDescent="0.2">
      <c r="A158" s="237">
        <v>46</v>
      </c>
      <c r="B158" s="230" t="s">
        <v>300</v>
      </c>
      <c r="C158" s="230" t="s">
        <v>1903</v>
      </c>
      <c r="D158" s="231">
        <v>8.5</v>
      </c>
      <c r="E158" s="299">
        <v>8.4600000000000009</v>
      </c>
    </row>
    <row r="159" spans="1:5" x14ac:dyDescent="0.2">
      <c r="A159" s="237">
        <v>47</v>
      </c>
      <c r="B159" s="227" t="s">
        <v>2902</v>
      </c>
      <c r="C159" s="227" t="s">
        <v>2892</v>
      </c>
      <c r="D159" s="228">
        <v>8.44</v>
      </c>
      <c r="E159" s="303">
        <v>8.39</v>
      </c>
    </row>
    <row r="160" spans="1:5" x14ac:dyDescent="0.2">
      <c r="A160" s="237">
        <v>48</v>
      </c>
      <c r="B160" s="230" t="s">
        <v>1923</v>
      </c>
      <c r="C160" s="230" t="s">
        <v>1924</v>
      </c>
      <c r="D160" s="231">
        <v>8.43</v>
      </c>
      <c r="E160" s="304">
        <v>8.3800000000000008</v>
      </c>
    </row>
    <row r="161" spans="1:5" x14ac:dyDescent="0.2">
      <c r="A161" s="237">
        <v>49</v>
      </c>
      <c r="B161" s="227" t="s">
        <v>1579</v>
      </c>
      <c r="C161" s="227" t="s">
        <v>1580</v>
      </c>
      <c r="D161" s="228">
        <v>8.4</v>
      </c>
      <c r="E161" s="305">
        <v>8.3699999999999992</v>
      </c>
    </row>
    <row r="162" spans="1:5" x14ac:dyDescent="0.2">
      <c r="A162" s="237">
        <v>50</v>
      </c>
      <c r="B162" s="230" t="s">
        <v>1448</v>
      </c>
      <c r="C162" s="230" t="s">
        <v>1502</v>
      </c>
      <c r="D162" s="231">
        <v>8.44</v>
      </c>
      <c r="E162" s="306">
        <v>8.34</v>
      </c>
    </row>
    <row r="163" spans="1:5" x14ac:dyDescent="0.2">
      <c r="A163" s="237">
        <v>51</v>
      </c>
      <c r="B163" s="227" t="s">
        <v>1337</v>
      </c>
      <c r="C163" s="227" t="s">
        <v>3779</v>
      </c>
      <c r="D163" s="228">
        <v>8.36</v>
      </c>
      <c r="E163" s="306">
        <v>8.34</v>
      </c>
    </row>
    <row r="164" spans="1:5" x14ac:dyDescent="0.2">
      <c r="A164" s="237">
        <v>52</v>
      </c>
      <c r="B164" s="230" t="s">
        <v>315</v>
      </c>
      <c r="C164" s="230" t="s">
        <v>316</v>
      </c>
      <c r="D164" s="231">
        <v>8.42</v>
      </c>
      <c r="E164" s="306">
        <v>8.34</v>
      </c>
    </row>
    <row r="165" spans="1:5" x14ac:dyDescent="0.2">
      <c r="A165" s="237">
        <v>53</v>
      </c>
      <c r="B165" s="227" t="s">
        <v>3032</v>
      </c>
      <c r="C165" s="227" t="s">
        <v>3033</v>
      </c>
      <c r="D165" s="228">
        <v>8.4499999999999993</v>
      </c>
      <c r="E165" s="306">
        <v>8.34</v>
      </c>
    </row>
    <row r="166" spans="1:5" x14ac:dyDescent="0.2">
      <c r="A166" s="237">
        <v>54</v>
      </c>
      <c r="B166" s="230" t="s">
        <v>3538</v>
      </c>
      <c r="C166" s="230" t="s">
        <v>3539</v>
      </c>
      <c r="D166" s="231">
        <v>8.2899999999999991</v>
      </c>
      <c r="E166" s="354">
        <v>8.3000000000000007</v>
      </c>
    </row>
    <row r="167" spans="1:5" x14ac:dyDescent="0.2">
      <c r="A167" s="237">
        <v>55</v>
      </c>
      <c r="B167" s="227" t="s">
        <v>3018</v>
      </c>
      <c r="C167" s="227" t="s">
        <v>3019</v>
      </c>
      <c r="D167" s="228">
        <v>8.4</v>
      </c>
      <c r="E167" s="354">
        <v>8.3000000000000007</v>
      </c>
    </row>
    <row r="168" spans="1:5" x14ac:dyDescent="0.2">
      <c r="A168" s="237">
        <v>56</v>
      </c>
      <c r="B168" s="230" t="s">
        <v>300</v>
      </c>
      <c r="C168" s="230" t="s">
        <v>1740</v>
      </c>
      <c r="D168" s="231">
        <v>8.2899999999999991</v>
      </c>
      <c r="E168" s="308">
        <v>8.27</v>
      </c>
    </row>
    <row r="169" spans="1:5" x14ac:dyDescent="0.2">
      <c r="A169" s="237">
        <v>57</v>
      </c>
      <c r="B169" s="227" t="s">
        <v>300</v>
      </c>
      <c r="C169" s="227" t="s">
        <v>1623</v>
      </c>
      <c r="D169" s="228">
        <v>8.4</v>
      </c>
      <c r="E169" s="309">
        <v>8.25</v>
      </c>
    </row>
    <row r="170" spans="1:5" x14ac:dyDescent="0.2">
      <c r="A170" s="237">
        <v>58</v>
      </c>
      <c r="B170" s="230" t="s">
        <v>2918</v>
      </c>
      <c r="C170" s="230" t="s">
        <v>2919</v>
      </c>
      <c r="D170" s="231">
        <v>8.41</v>
      </c>
      <c r="E170" s="310">
        <v>8.24</v>
      </c>
    </row>
    <row r="171" spans="1:5" x14ac:dyDescent="0.2">
      <c r="A171" s="237">
        <v>59</v>
      </c>
      <c r="B171" s="227" t="s">
        <v>2918</v>
      </c>
      <c r="C171" s="227" t="s">
        <v>3757</v>
      </c>
      <c r="D171" s="228">
        <v>8.35</v>
      </c>
      <c r="E171" s="310">
        <v>8.24</v>
      </c>
    </row>
    <row r="172" spans="1:5" x14ac:dyDescent="0.2">
      <c r="A172" s="237">
        <v>60</v>
      </c>
      <c r="B172" s="230" t="s">
        <v>292</v>
      </c>
      <c r="C172" s="230" t="s">
        <v>278</v>
      </c>
      <c r="D172" s="231">
        <v>8.35</v>
      </c>
      <c r="E172" s="312">
        <v>8.2200000000000006</v>
      </c>
    </row>
    <row r="173" spans="1:5" x14ac:dyDescent="0.2">
      <c r="A173" s="237">
        <v>61</v>
      </c>
      <c r="B173" s="227" t="s">
        <v>1211</v>
      </c>
      <c r="C173" s="227" t="s">
        <v>3566</v>
      </c>
      <c r="D173" s="228">
        <v>8.1999999999999993</v>
      </c>
      <c r="E173" s="393">
        <v>8.2100000000000009</v>
      </c>
    </row>
    <row r="174" spans="1:5" x14ac:dyDescent="0.2">
      <c r="A174" s="237">
        <v>62</v>
      </c>
      <c r="B174" s="230" t="s">
        <v>346</v>
      </c>
      <c r="C174" s="230" t="s">
        <v>339</v>
      </c>
      <c r="D174" s="231">
        <v>8</v>
      </c>
      <c r="E174" s="321">
        <v>7.98</v>
      </c>
    </row>
    <row r="175" spans="1:5" x14ac:dyDescent="0.2">
      <c r="A175" s="237">
        <v>63</v>
      </c>
      <c r="B175" s="227" t="s">
        <v>301</v>
      </c>
      <c r="C175" s="227" t="s">
        <v>3858</v>
      </c>
      <c r="D175" s="228">
        <v>8.0399999999999991</v>
      </c>
      <c r="E175" s="414">
        <v>7.96</v>
      </c>
    </row>
    <row r="176" spans="1:5" x14ac:dyDescent="0.2">
      <c r="A176" s="237">
        <v>64</v>
      </c>
      <c r="B176" s="230" t="s">
        <v>1337</v>
      </c>
      <c r="C176" s="230" t="s">
        <v>1338</v>
      </c>
      <c r="D176" s="231">
        <v>8.0500000000000007</v>
      </c>
      <c r="E176" s="322">
        <v>7.95</v>
      </c>
    </row>
    <row r="177" spans="1:5" x14ac:dyDescent="0.2">
      <c r="A177" s="237">
        <v>65</v>
      </c>
      <c r="B177" s="227" t="s">
        <v>300</v>
      </c>
      <c r="C177" s="227" t="s">
        <v>3331</v>
      </c>
      <c r="D177" s="228">
        <v>8</v>
      </c>
      <c r="E177" s="323">
        <v>7.94</v>
      </c>
    </row>
    <row r="178" spans="1:5" x14ac:dyDescent="0.2">
      <c r="A178" s="237">
        <v>66</v>
      </c>
      <c r="B178" s="230" t="s">
        <v>292</v>
      </c>
      <c r="C178" s="230" t="s">
        <v>3041</v>
      </c>
      <c r="D178" s="231">
        <v>7.92</v>
      </c>
      <c r="E178" s="356">
        <v>7.84</v>
      </c>
    </row>
    <row r="179" spans="1:5" x14ac:dyDescent="0.2">
      <c r="A179" s="237">
        <v>67</v>
      </c>
      <c r="B179" s="227" t="s">
        <v>3670</v>
      </c>
      <c r="C179" s="227" t="s">
        <v>3670</v>
      </c>
      <c r="D179" s="228">
        <v>7.75</v>
      </c>
      <c r="E179" s="327">
        <v>7.66</v>
      </c>
    </row>
    <row r="180" spans="1:5" x14ac:dyDescent="0.2">
      <c r="A180" s="237">
        <v>68</v>
      </c>
      <c r="B180" s="230" t="s">
        <v>304</v>
      </c>
      <c r="C180" s="230" t="s">
        <v>304</v>
      </c>
      <c r="D180" s="231">
        <v>7.77</v>
      </c>
      <c r="E180" s="328">
        <v>7.64</v>
      </c>
    </row>
    <row r="181" spans="1:5" x14ac:dyDescent="0.2">
      <c r="A181" s="237">
        <v>69</v>
      </c>
      <c r="B181" s="227" t="s">
        <v>628</v>
      </c>
      <c r="C181" s="227" t="s">
        <v>629</v>
      </c>
      <c r="D181" s="228">
        <v>7.06</v>
      </c>
      <c r="E181" s="334">
        <v>6.99</v>
      </c>
    </row>
    <row r="182" spans="1:5" x14ac:dyDescent="0.2">
      <c r="A182" s="237">
        <v>70</v>
      </c>
      <c r="B182" s="230" t="s">
        <v>301</v>
      </c>
      <c r="C182" s="230" t="s">
        <v>1701</v>
      </c>
      <c r="D182" s="231">
        <v>3.68</v>
      </c>
      <c r="E182" s="335">
        <v>3.37</v>
      </c>
    </row>
    <row r="184" spans="1:5" ht="18" x14ac:dyDescent="0.25">
      <c r="A184" s="418" t="s">
        <v>3828</v>
      </c>
      <c r="B184" s="418"/>
      <c r="C184" s="418"/>
      <c r="D184" s="418"/>
      <c r="E184" s="418"/>
    </row>
    <row r="185" spans="1:5" x14ac:dyDescent="0.2">
      <c r="A185" s="226" t="s">
        <v>318</v>
      </c>
      <c r="B185" s="226" t="s">
        <v>285</v>
      </c>
      <c r="C185" s="226" t="s">
        <v>286</v>
      </c>
      <c r="D185" s="226" t="s">
        <v>287</v>
      </c>
      <c r="E185" s="226" t="s">
        <v>958</v>
      </c>
    </row>
    <row r="186" spans="1:5" x14ac:dyDescent="0.2">
      <c r="A186" s="233">
        <v>1</v>
      </c>
      <c r="B186" s="227" t="s">
        <v>293</v>
      </c>
      <c r="C186" s="227" t="s">
        <v>251</v>
      </c>
      <c r="D186" s="228">
        <v>9.15</v>
      </c>
      <c r="E186" s="244">
        <v>9.3699999999999992</v>
      </c>
    </row>
    <row r="187" spans="1:5" x14ac:dyDescent="0.2">
      <c r="A187" s="235">
        <v>2</v>
      </c>
      <c r="B187" s="230" t="s">
        <v>303</v>
      </c>
      <c r="C187" s="230" t="s">
        <v>2435</v>
      </c>
      <c r="D187" s="231">
        <v>9.08</v>
      </c>
      <c r="E187" s="249">
        <v>9.17</v>
      </c>
    </row>
    <row r="188" spans="1:5" x14ac:dyDescent="0.2">
      <c r="A188" s="236">
        <v>3</v>
      </c>
      <c r="B188" s="227" t="s">
        <v>303</v>
      </c>
      <c r="C188" s="227" t="s">
        <v>157</v>
      </c>
      <c r="D188" s="228">
        <v>9</v>
      </c>
      <c r="E188" s="251">
        <v>9.09</v>
      </c>
    </row>
    <row r="189" spans="1:5" x14ac:dyDescent="0.2">
      <c r="A189" s="237">
        <v>4</v>
      </c>
      <c r="B189" s="230" t="s">
        <v>2785</v>
      </c>
      <c r="C189" s="230" t="s">
        <v>2786</v>
      </c>
      <c r="D189" s="231">
        <v>8.8800000000000008</v>
      </c>
      <c r="E189" s="253">
        <v>9.0399999999999991</v>
      </c>
    </row>
    <row r="190" spans="1:5" x14ac:dyDescent="0.2">
      <c r="A190" s="237">
        <v>5</v>
      </c>
      <c r="B190" s="227" t="s">
        <v>1478</v>
      </c>
      <c r="C190" s="227" t="s">
        <v>1479</v>
      </c>
      <c r="D190" s="228">
        <v>8.67</v>
      </c>
      <c r="E190" s="256">
        <v>9</v>
      </c>
    </row>
    <row r="191" spans="1:5" x14ac:dyDescent="0.2">
      <c r="A191" s="237">
        <v>6</v>
      </c>
      <c r="B191" s="230" t="s">
        <v>312</v>
      </c>
      <c r="C191" s="230" t="s">
        <v>1755</v>
      </c>
      <c r="D191" s="231">
        <v>9</v>
      </c>
      <c r="E191" s="258">
        <v>8.9600000000000009</v>
      </c>
    </row>
    <row r="192" spans="1:5" x14ac:dyDescent="0.2">
      <c r="A192" s="237">
        <v>7</v>
      </c>
      <c r="B192" s="227" t="s">
        <v>1112</v>
      </c>
      <c r="C192" s="227" t="s">
        <v>1990</v>
      </c>
      <c r="D192" s="228">
        <v>8.7200000000000006</v>
      </c>
      <c r="E192" s="262">
        <v>8.91</v>
      </c>
    </row>
    <row r="193" spans="1:5" x14ac:dyDescent="0.2">
      <c r="A193" s="237">
        <v>8</v>
      </c>
      <c r="B193" s="230" t="s">
        <v>1112</v>
      </c>
      <c r="C193" s="230" t="s">
        <v>1477</v>
      </c>
      <c r="D193" s="231">
        <v>8.7200000000000006</v>
      </c>
      <c r="E193" s="263">
        <v>8.89</v>
      </c>
    </row>
    <row r="194" spans="1:5" x14ac:dyDescent="0.2">
      <c r="A194" s="237">
        <v>9</v>
      </c>
      <c r="B194" s="227" t="s">
        <v>1664</v>
      </c>
      <c r="C194" s="227" t="s">
        <v>1665</v>
      </c>
      <c r="D194" s="228">
        <v>8.91</v>
      </c>
      <c r="E194" s="264">
        <v>8.8800000000000008</v>
      </c>
    </row>
    <row r="195" spans="1:5" x14ac:dyDescent="0.2">
      <c r="A195" s="237">
        <v>10</v>
      </c>
      <c r="B195" s="230" t="s">
        <v>2785</v>
      </c>
      <c r="C195" s="230" t="s">
        <v>2787</v>
      </c>
      <c r="D195" s="231">
        <v>8.8800000000000008</v>
      </c>
      <c r="E195" s="268">
        <v>8.84</v>
      </c>
    </row>
    <row r="196" spans="1:5" x14ac:dyDescent="0.2">
      <c r="A196" s="237">
        <v>11</v>
      </c>
      <c r="B196" s="227" t="s">
        <v>303</v>
      </c>
      <c r="C196" s="227" t="s">
        <v>588</v>
      </c>
      <c r="D196" s="228">
        <v>8.77</v>
      </c>
      <c r="E196" s="271">
        <v>8.7899999999999991</v>
      </c>
    </row>
    <row r="197" spans="1:5" x14ac:dyDescent="0.2">
      <c r="A197" s="237">
        <v>12</v>
      </c>
      <c r="B197" s="230" t="s">
        <v>1405</v>
      </c>
      <c r="C197" s="230" t="s">
        <v>1406</v>
      </c>
      <c r="D197" s="231">
        <v>8.73</v>
      </c>
      <c r="E197" s="274">
        <v>8.76</v>
      </c>
    </row>
    <row r="198" spans="1:5" x14ac:dyDescent="0.2">
      <c r="A198" s="237">
        <v>13</v>
      </c>
      <c r="B198" s="227" t="s">
        <v>1431</v>
      </c>
      <c r="C198" s="227" t="s">
        <v>1432</v>
      </c>
      <c r="D198" s="228">
        <v>8.75</v>
      </c>
      <c r="E198" s="279">
        <v>8.6999999999999993</v>
      </c>
    </row>
    <row r="199" spans="1:5" x14ac:dyDescent="0.2">
      <c r="A199" s="237">
        <v>14</v>
      </c>
      <c r="B199" s="230" t="s">
        <v>1405</v>
      </c>
      <c r="C199" s="230" t="s">
        <v>3565</v>
      </c>
      <c r="D199" s="231">
        <v>8.8000000000000007</v>
      </c>
      <c r="E199" s="279">
        <v>8.6999999999999993</v>
      </c>
    </row>
    <row r="200" spans="1:5" x14ac:dyDescent="0.2">
      <c r="A200" s="237">
        <v>15</v>
      </c>
      <c r="B200" s="227" t="s">
        <v>1405</v>
      </c>
      <c r="C200" s="227" t="s">
        <v>2486</v>
      </c>
      <c r="D200" s="228">
        <v>8.6300000000000008</v>
      </c>
      <c r="E200" s="281">
        <v>8.67</v>
      </c>
    </row>
    <row r="201" spans="1:5" x14ac:dyDescent="0.2">
      <c r="A201" s="237">
        <v>16</v>
      </c>
      <c r="B201" s="230" t="s">
        <v>1405</v>
      </c>
      <c r="C201" s="230" t="s">
        <v>3622</v>
      </c>
      <c r="D201" s="231">
        <v>8.6</v>
      </c>
      <c r="E201" s="282">
        <v>8.66</v>
      </c>
    </row>
    <row r="202" spans="1:5" x14ac:dyDescent="0.2">
      <c r="A202" s="237">
        <v>17</v>
      </c>
      <c r="B202" s="227" t="s">
        <v>309</v>
      </c>
      <c r="C202" s="227" t="s">
        <v>218</v>
      </c>
      <c r="D202" s="228">
        <v>8.77</v>
      </c>
      <c r="E202" s="282">
        <v>8.66</v>
      </c>
    </row>
    <row r="203" spans="1:5" x14ac:dyDescent="0.2">
      <c r="A203" s="237">
        <v>18</v>
      </c>
      <c r="B203" s="230" t="s">
        <v>2785</v>
      </c>
      <c r="C203" s="230" t="s">
        <v>3077</v>
      </c>
      <c r="D203" s="231">
        <v>8.75</v>
      </c>
      <c r="E203" s="283">
        <v>8.65</v>
      </c>
    </row>
    <row r="204" spans="1:5" x14ac:dyDescent="0.2">
      <c r="A204" s="237">
        <v>19</v>
      </c>
      <c r="B204" s="227" t="s">
        <v>3818</v>
      </c>
      <c r="C204" s="227" t="s">
        <v>3811</v>
      </c>
      <c r="D204" s="228">
        <v>8.77</v>
      </c>
      <c r="E204" s="283">
        <v>8.65</v>
      </c>
    </row>
    <row r="205" spans="1:5" x14ac:dyDescent="0.2">
      <c r="A205" s="237">
        <v>20</v>
      </c>
      <c r="B205" s="230" t="s">
        <v>3112</v>
      </c>
      <c r="C205" s="230" t="s">
        <v>3113</v>
      </c>
      <c r="D205" s="231">
        <v>8.6999999999999993</v>
      </c>
      <c r="E205" s="287">
        <v>8.61</v>
      </c>
    </row>
    <row r="206" spans="1:5" x14ac:dyDescent="0.2">
      <c r="A206" s="237">
        <v>21</v>
      </c>
      <c r="B206" s="227" t="s">
        <v>2808</v>
      </c>
      <c r="C206" s="227" t="s">
        <v>2809</v>
      </c>
      <c r="D206" s="228">
        <v>8.65</v>
      </c>
      <c r="E206" s="291">
        <v>8.56</v>
      </c>
    </row>
    <row r="207" spans="1:5" x14ac:dyDescent="0.2">
      <c r="A207" s="237">
        <v>22</v>
      </c>
      <c r="B207" s="230" t="s">
        <v>1405</v>
      </c>
      <c r="C207" s="230" t="s">
        <v>2539</v>
      </c>
      <c r="D207" s="231">
        <v>8.69</v>
      </c>
      <c r="E207" s="293">
        <v>8.5399999999999991</v>
      </c>
    </row>
    <row r="208" spans="1:5" x14ac:dyDescent="0.2">
      <c r="A208" s="237">
        <v>23</v>
      </c>
      <c r="B208" s="227" t="s">
        <v>2683</v>
      </c>
      <c r="C208" s="227" t="s">
        <v>2683</v>
      </c>
      <c r="D208" s="228">
        <v>8.6300000000000008</v>
      </c>
      <c r="E208" s="293">
        <v>8.5399999999999991</v>
      </c>
    </row>
    <row r="209" spans="1:5" x14ac:dyDescent="0.2">
      <c r="A209" s="237">
        <v>24</v>
      </c>
      <c r="B209" s="230" t="s">
        <v>2683</v>
      </c>
      <c r="C209" s="230" t="s">
        <v>3498</v>
      </c>
      <c r="D209" s="231">
        <v>8.6300000000000008</v>
      </c>
      <c r="E209" s="294">
        <v>8.5299999999999994</v>
      </c>
    </row>
    <row r="210" spans="1:5" x14ac:dyDescent="0.2">
      <c r="A210" s="237">
        <v>25</v>
      </c>
      <c r="B210" s="227" t="s">
        <v>1664</v>
      </c>
      <c r="C210" s="227" t="s">
        <v>2668</v>
      </c>
      <c r="D210" s="228">
        <v>8.5</v>
      </c>
      <c r="E210" s="298">
        <v>8.4700000000000006</v>
      </c>
    </row>
    <row r="211" spans="1:5" x14ac:dyDescent="0.2">
      <c r="A211" s="237">
        <v>26</v>
      </c>
      <c r="B211" s="230" t="s">
        <v>1158</v>
      </c>
      <c r="C211" s="230" t="s">
        <v>1159</v>
      </c>
      <c r="D211" s="231">
        <v>8.5299999999999994</v>
      </c>
      <c r="E211" s="300">
        <v>8.4499999999999993</v>
      </c>
    </row>
    <row r="212" spans="1:5" x14ac:dyDescent="0.2">
      <c r="A212" s="237">
        <v>27</v>
      </c>
      <c r="B212" s="227" t="s">
        <v>1687</v>
      </c>
      <c r="C212" s="227" t="s">
        <v>1688</v>
      </c>
      <c r="D212" s="228">
        <v>8.5</v>
      </c>
      <c r="E212" s="300">
        <v>8.4499999999999993</v>
      </c>
    </row>
    <row r="213" spans="1:5" x14ac:dyDescent="0.2">
      <c r="A213" s="237">
        <v>28</v>
      </c>
      <c r="B213" s="230" t="s">
        <v>1200</v>
      </c>
      <c r="C213" s="230" t="s">
        <v>1190</v>
      </c>
      <c r="D213" s="231">
        <v>8.4499999999999993</v>
      </c>
      <c r="E213" s="304">
        <v>8.3800000000000008</v>
      </c>
    </row>
    <row r="214" spans="1:5" x14ac:dyDescent="0.2">
      <c r="A214" s="237">
        <v>29</v>
      </c>
      <c r="B214" s="227" t="s">
        <v>2788</v>
      </c>
      <c r="C214" s="227" t="s">
        <v>2789</v>
      </c>
      <c r="D214" s="228">
        <v>8.4</v>
      </c>
      <c r="E214" s="305">
        <v>8.3699999999999992</v>
      </c>
    </row>
    <row r="215" spans="1:5" x14ac:dyDescent="0.2">
      <c r="A215" s="237">
        <v>30</v>
      </c>
      <c r="B215" s="230" t="s">
        <v>533</v>
      </c>
      <c r="C215" s="230" t="s">
        <v>534</v>
      </c>
      <c r="D215" s="231">
        <v>8.31</v>
      </c>
      <c r="E215" s="315">
        <v>8.16</v>
      </c>
    </row>
    <row r="216" spans="1:5" x14ac:dyDescent="0.2">
      <c r="A216" s="237">
        <v>31</v>
      </c>
      <c r="B216" s="227" t="s">
        <v>303</v>
      </c>
      <c r="C216" s="227" t="s">
        <v>651</v>
      </c>
      <c r="D216" s="228">
        <v>8.07</v>
      </c>
      <c r="E216" s="322">
        <v>7.95</v>
      </c>
    </row>
    <row r="217" spans="1:5" x14ac:dyDescent="0.2">
      <c r="A217" s="237">
        <v>32</v>
      </c>
      <c r="B217" s="230" t="s">
        <v>303</v>
      </c>
      <c r="C217" s="230" t="s">
        <v>1482</v>
      </c>
      <c r="D217" s="231">
        <v>8</v>
      </c>
      <c r="E217" s="324">
        <v>7.79</v>
      </c>
    </row>
    <row r="218" spans="1:5" x14ac:dyDescent="0.2">
      <c r="A218" s="237">
        <v>33</v>
      </c>
      <c r="B218" s="227" t="s">
        <v>293</v>
      </c>
      <c r="C218" s="227" t="s">
        <v>899</v>
      </c>
      <c r="D218" s="228">
        <v>7.88</v>
      </c>
      <c r="E218" s="325">
        <v>7.74</v>
      </c>
    </row>
    <row r="220" spans="1:5" ht="18" x14ac:dyDescent="0.25">
      <c r="A220" s="418" t="s">
        <v>3532</v>
      </c>
      <c r="B220" s="418"/>
      <c r="C220" s="418"/>
      <c r="D220" s="418"/>
      <c r="E220" s="418"/>
    </row>
    <row r="221" spans="1:5" x14ac:dyDescent="0.2">
      <c r="A221" s="226" t="s">
        <v>318</v>
      </c>
      <c r="B221" s="226" t="s">
        <v>285</v>
      </c>
      <c r="C221" s="226" t="s">
        <v>286</v>
      </c>
      <c r="D221" s="226" t="s">
        <v>287</v>
      </c>
      <c r="E221" s="226" t="s">
        <v>958</v>
      </c>
    </row>
    <row r="222" spans="1:5" x14ac:dyDescent="0.2">
      <c r="A222" s="233">
        <v>1</v>
      </c>
      <c r="B222" s="227" t="s">
        <v>2614</v>
      </c>
      <c r="C222" s="227" t="s">
        <v>2607</v>
      </c>
      <c r="D222" s="228">
        <v>9.06</v>
      </c>
      <c r="E222" s="255">
        <v>9.02</v>
      </c>
    </row>
    <row r="223" spans="1:5" x14ac:dyDescent="0.2">
      <c r="A223" s="235">
        <v>2</v>
      </c>
      <c r="B223" s="230" t="s">
        <v>1529</v>
      </c>
      <c r="C223" s="230" t="s">
        <v>2257</v>
      </c>
      <c r="D223" s="231">
        <v>9.07</v>
      </c>
      <c r="E223" s="255">
        <v>9.02</v>
      </c>
    </row>
    <row r="224" spans="1:5" x14ac:dyDescent="0.2">
      <c r="A224" s="236">
        <v>3</v>
      </c>
      <c r="B224" s="227" t="s">
        <v>677</v>
      </c>
      <c r="C224" s="227" t="s">
        <v>1355</v>
      </c>
      <c r="D224" s="228">
        <v>8.8800000000000008</v>
      </c>
      <c r="E224" s="263">
        <v>8.89</v>
      </c>
    </row>
    <row r="225" spans="1:5" x14ac:dyDescent="0.2">
      <c r="A225" s="237">
        <v>4</v>
      </c>
      <c r="B225" s="230" t="s">
        <v>312</v>
      </c>
      <c r="C225" s="230" t="s">
        <v>1117</v>
      </c>
      <c r="D225" s="231">
        <v>8.77</v>
      </c>
      <c r="E225" s="263">
        <v>8.89</v>
      </c>
    </row>
    <row r="226" spans="1:5" x14ac:dyDescent="0.2">
      <c r="A226" s="237">
        <v>5</v>
      </c>
      <c r="B226" s="227" t="s">
        <v>3005</v>
      </c>
      <c r="C226" s="227" t="s">
        <v>2978</v>
      </c>
      <c r="D226" s="228">
        <v>8.8000000000000007</v>
      </c>
      <c r="E226" s="265">
        <v>8.8699999999999992</v>
      </c>
    </row>
    <row r="227" spans="1:5" x14ac:dyDescent="0.2">
      <c r="A227" s="237">
        <v>6</v>
      </c>
      <c r="B227" s="230" t="s">
        <v>2232</v>
      </c>
      <c r="C227" s="230" t="s">
        <v>2382</v>
      </c>
      <c r="D227" s="231">
        <v>8.7899999999999991</v>
      </c>
      <c r="E227" s="266">
        <v>8.86</v>
      </c>
    </row>
    <row r="228" spans="1:5" x14ac:dyDescent="0.2">
      <c r="A228" s="237">
        <v>7</v>
      </c>
      <c r="B228" s="227" t="s">
        <v>3528</v>
      </c>
      <c r="C228" s="227" t="s">
        <v>3528</v>
      </c>
      <c r="D228" s="228">
        <v>8.82</v>
      </c>
      <c r="E228" s="268">
        <v>8.83</v>
      </c>
    </row>
    <row r="229" spans="1:5" x14ac:dyDescent="0.2">
      <c r="A229" s="237">
        <v>8</v>
      </c>
      <c r="B229" s="230" t="s">
        <v>677</v>
      </c>
      <c r="C229" s="230" t="s">
        <v>673</v>
      </c>
      <c r="D229" s="231">
        <v>8.67</v>
      </c>
      <c r="E229" s="275">
        <v>8.75</v>
      </c>
    </row>
    <row r="230" spans="1:5" x14ac:dyDescent="0.2">
      <c r="A230" s="237">
        <v>9</v>
      </c>
      <c r="B230" s="227" t="s">
        <v>1431</v>
      </c>
      <c r="C230" s="227" t="s">
        <v>1432</v>
      </c>
      <c r="D230" s="228">
        <v>8.75</v>
      </c>
      <c r="E230" s="279">
        <v>8.6999999999999993</v>
      </c>
    </row>
    <row r="231" spans="1:5" x14ac:dyDescent="0.2">
      <c r="A231" s="237">
        <v>10</v>
      </c>
      <c r="B231" s="230" t="s">
        <v>2118</v>
      </c>
      <c r="C231" s="230" t="s">
        <v>2119</v>
      </c>
      <c r="D231" s="231">
        <v>8.73</v>
      </c>
      <c r="E231" s="285">
        <v>8.6300000000000008</v>
      </c>
    </row>
    <row r="232" spans="1:5" x14ac:dyDescent="0.2">
      <c r="A232" s="237">
        <v>11</v>
      </c>
      <c r="B232" s="227" t="s">
        <v>1529</v>
      </c>
      <c r="C232" s="227" t="s">
        <v>1522</v>
      </c>
      <c r="D232" s="228">
        <v>8.75</v>
      </c>
      <c r="E232" s="285">
        <v>8.6300000000000008</v>
      </c>
    </row>
    <row r="233" spans="1:5" x14ac:dyDescent="0.2">
      <c r="A233" s="237">
        <v>12</v>
      </c>
      <c r="B233" s="230" t="s">
        <v>311</v>
      </c>
      <c r="C233" s="230" t="s">
        <v>158</v>
      </c>
      <c r="D233" s="231">
        <v>8.65</v>
      </c>
      <c r="E233" s="291">
        <v>8.56</v>
      </c>
    </row>
    <row r="234" spans="1:5" x14ac:dyDescent="0.2">
      <c r="A234" s="237">
        <v>13</v>
      </c>
      <c r="B234" s="227" t="s">
        <v>2808</v>
      </c>
      <c r="C234" s="227" t="s">
        <v>2809</v>
      </c>
      <c r="D234" s="228">
        <v>8.65</v>
      </c>
      <c r="E234" s="291">
        <v>8.56</v>
      </c>
    </row>
    <row r="235" spans="1:5" x14ac:dyDescent="0.2">
      <c r="A235" s="237">
        <v>14</v>
      </c>
      <c r="B235" s="230" t="s">
        <v>2289</v>
      </c>
      <c r="C235" s="230" t="s">
        <v>2290</v>
      </c>
      <c r="D235" s="231">
        <v>8.61</v>
      </c>
      <c r="E235" s="292">
        <v>8.5500000000000007</v>
      </c>
    </row>
    <row r="236" spans="1:5" x14ac:dyDescent="0.2">
      <c r="A236" s="237">
        <v>15</v>
      </c>
      <c r="B236" s="227" t="s">
        <v>3057</v>
      </c>
      <c r="C236" s="227" t="s">
        <v>3045</v>
      </c>
      <c r="D236" s="228">
        <v>8.6300000000000008</v>
      </c>
      <c r="E236" s="294">
        <v>8.5299999999999994</v>
      </c>
    </row>
    <row r="237" spans="1:5" x14ac:dyDescent="0.2">
      <c r="A237" s="237">
        <v>16</v>
      </c>
      <c r="B237" s="230" t="s">
        <v>2320</v>
      </c>
      <c r="C237" s="230" t="s">
        <v>2321</v>
      </c>
      <c r="D237" s="231">
        <v>8.69</v>
      </c>
      <c r="E237" s="294">
        <v>8.5299999999999994</v>
      </c>
    </row>
    <row r="238" spans="1:5" x14ac:dyDescent="0.2">
      <c r="A238" s="237">
        <v>17</v>
      </c>
      <c r="B238" s="227" t="s">
        <v>1770</v>
      </c>
      <c r="C238" s="227" t="s">
        <v>1771</v>
      </c>
      <c r="D238" s="228">
        <v>8.6</v>
      </c>
      <c r="E238" s="295">
        <v>8.52</v>
      </c>
    </row>
    <row r="239" spans="1:5" x14ac:dyDescent="0.2">
      <c r="A239" s="237">
        <v>18</v>
      </c>
      <c r="B239" s="230" t="s">
        <v>1158</v>
      </c>
      <c r="C239" s="230" t="s">
        <v>1159</v>
      </c>
      <c r="D239" s="231">
        <v>8.5299999999999994</v>
      </c>
      <c r="E239" s="300">
        <v>8.4499999999999993</v>
      </c>
    </row>
    <row r="240" spans="1:5" x14ac:dyDescent="0.2">
      <c r="A240" s="237">
        <v>19</v>
      </c>
      <c r="B240" s="227" t="s">
        <v>1687</v>
      </c>
      <c r="C240" s="227" t="s">
        <v>1688</v>
      </c>
      <c r="D240" s="228">
        <v>8.5</v>
      </c>
      <c r="E240" s="300">
        <v>8.4499999999999993</v>
      </c>
    </row>
    <row r="241" spans="1:5" x14ac:dyDescent="0.2">
      <c r="A241" s="237">
        <v>20</v>
      </c>
      <c r="B241" s="230" t="s">
        <v>2232</v>
      </c>
      <c r="C241" s="230" t="s">
        <v>2828</v>
      </c>
      <c r="D241" s="231">
        <v>8.39</v>
      </c>
      <c r="E241" s="303">
        <v>8.39</v>
      </c>
    </row>
    <row r="242" spans="1:5" x14ac:dyDescent="0.2">
      <c r="A242" s="237">
        <v>21</v>
      </c>
      <c r="B242" s="227" t="s">
        <v>2881</v>
      </c>
      <c r="C242" s="227" t="s">
        <v>2882</v>
      </c>
      <c r="D242" s="228">
        <v>8.25</v>
      </c>
      <c r="E242" s="314">
        <v>8.18</v>
      </c>
    </row>
    <row r="243" spans="1:5" x14ac:dyDescent="0.2">
      <c r="A243" s="237">
        <v>22</v>
      </c>
      <c r="B243" s="230" t="s">
        <v>677</v>
      </c>
      <c r="C243" s="230" t="s">
        <v>1217</v>
      </c>
      <c r="D243" s="231">
        <v>8.11</v>
      </c>
      <c r="E243" s="320">
        <v>8</v>
      </c>
    </row>
    <row r="245" spans="1:5" ht="18" x14ac:dyDescent="0.25">
      <c r="A245" s="418" t="s">
        <v>3626</v>
      </c>
      <c r="B245" s="418"/>
      <c r="C245" s="418"/>
      <c r="D245" s="418"/>
      <c r="E245" s="418"/>
    </row>
    <row r="246" spans="1:5" x14ac:dyDescent="0.2">
      <c r="A246" s="226" t="s">
        <v>318</v>
      </c>
      <c r="B246" s="226" t="s">
        <v>285</v>
      </c>
      <c r="C246" s="226" t="s">
        <v>286</v>
      </c>
      <c r="D246" s="226" t="s">
        <v>287</v>
      </c>
      <c r="E246" s="226" t="s">
        <v>958</v>
      </c>
    </row>
    <row r="247" spans="1:5" x14ac:dyDescent="0.2">
      <c r="A247" s="233">
        <v>1</v>
      </c>
      <c r="B247" s="227" t="s">
        <v>1302</v>
      </c>
      <c r="C247" s="227" t="s">
        <v>1303</v>
      </c>
      <c r="D247" s="228">
        <v>8.82</v>
      </c>
      <c r="E247" s="264">
        <v>8.8800000000000008</v>
      </c>
    </row>
    <row r="248" spans="1:5" x14ac:dyDescent="0.2">
      <c r="A248" s="235">
        <v>2</v>
      </c>
      <c r="B248" s="230" t="s">
        <v>774</v>
      </c>
      <c r="C248" s="230" t="s">
        <v>775</v>
      </c>
      <c r="D248" s="231">
        <v>8.82</v>
      </c>
      <c r="E248" s="271">
        <v>8.7899999999999991</v>
      </c>
    </row>
    <row r="249" spans="1:5" x14ac:dyDescent="0.2">
      <c r="A249" s="236">
        <v>3</v>
      </c>
      <c r="B249" s="227" t="s">
        <v>308</v>
      </c>
      <c r="C249" s="227" t="s">
        <v>240</v>
      </c>
      <c r="D249" s="228">
        <v>8.7799999999999994</v>
      </c>
      <c r="E249" s="274">
        <v>8.76</v>
      </c>
    </row>
    <row r="250" spans="1:5" x14ac:dyDescent="0.2">
      <c r="A250" s="237">
        <v>4</v>
      </c>
      <c r="B250" s="230" t="s">
        <v>795</v>
      </c>
      <c r="C250" s="230" t="s">
        <v>790</v>
      </c>
      <c r="D250" s="231">
        <v>8.7100000000000009</v>
      </c>
      <c r="E250" s="274">
        <v>8.76</v>
      </c>
    </row>
    <row r="251" spans="1:5" x14ac:dyDescent="0.2">
      <c r="A251" s="237">
        <v>5</v>
      </c>
      <c r="B251" s="227" t="s">
        <v>1385</v>
      </c>
      <c r="C251" s="227" t="s">
        <v>1390</v>
      </c>
      <c r="D251" s="228">
        <v>8.8000000000000007</v>
      </c>
      <c r="E251" s="280">
        <v>8.68</v>
      </c>
    </row>
    <row r="252" spans="1:5" x14ac:dyDescent="0.2">
      <c r="A252" s="237">
        <v>6</v>
      </c>
      <c r="B252" s="230" t="s">
        <v>774</v>
      </c>
      <c r="C252" s="230" t="s">
        <v>2725</v>
      </c>
      <c r="D252" s="231">
        <v>8.73</v>
      </c>
      <c r="E252" s="286">
        <v>8.6199999999999992</v>
      </c>
    </row>
    <row r="253" spans="1:5" x14ac:dyDescent="0.2">
      <c r="A253" s="237">
        <v>7</v>
      </c>
      <c r="B253" s="227" t="s">
        <v>795</v>
      </c>
      <c r="C253" s="227" t="s">
        <v>2177</v>
      </c>
      <c r="D253" s="228">
        <v>8.57</v>
      </c>
      <c r="E253" s="297">
        <v>8.49</v>
      </c>
    </row>
    <row r="254" spans="1:5" x14ac:dyDescent="0.2">
      <c r="A254" s="237">
        <v>8</v>
      </c>
      <c r="B254" s="230" t="s">
        <v>493</v>
      </c>
      <c r="C254" s="230" t="s">
        <v>494</v>
      </c>
      <c r="D254" s="231">
        <v>8.5</v>
      </c>
      <c r="E254" s="301">
        <v>8.43</v>
      </c>
    </row>
    <row r="255" spans="1:5" x14ac:dyDescent="0.2">
      <c r="A255" s="237">
        <v>9</v>
      </c>
      <c r="B255" s="227" t="s">
        <v>2155</v>
      </c>
      <c r="C255" s="227" t="s">
        <v>2156</v>
      </c>
      <c r="D255" s="228">
        <v>8.5399999999999991</v>
      </c>
      <c r="E255" s="302">
        <v>8.41</v>
      </c>
    </row>
    <row r="256" spans="1:5" x14ac:dyDescent="0.2">
      <c r="A256" s="237">
        <v>10</v>
      </c>
      <c r="B256" s="230" t="s">
        <v>334</v>
      </c>
      <c r="C256" s="230" t="s">
        <v>335</v>
      </c>
      <c r="D256" s="231">
        <v>8.4600000000000009</v>
      </c>
      <c r="E256" s="303">
        <v>8.39</v>
      </c>
    </row>
    <row r="257" spans="1:5" x14ac:dyDescent="0.2">
      <c r="A257" s="237">
        <v>11</v>
      </c>
      <c r="B257" s="227" t="s">
        <v>1956</v>
      </c>
      <c r="C257" s="227" t="s">
        <v>1942</v>
      </c>
      <c r="D257" s="228">
        <v>8.3800000000000008</v>
      </c>
      <c r="E257" s="307">
        <v>8.33</v>
      </c>
    </row>
    <row r="258" spans="1:5" x14ac:dyDescent="0.2">
      <c r="A258" s="237">
        <v>12</v>
      </c>
      <c r="B258" s="230" t="s">
        <v>607</v>
      </c>
      <c r="C258" s="230" t="s">
        <v>3595</v>
      </c>
      <c r="D258" s="231">
        <v>8.3800000000000008</v>
      </c>
      <c r="E258" s="395">
        <v>8.2799999999999994</v>
      </c>
    </row>
    <row r="259" spans="1:5" x14ac:dyDescent="0.2">
      <c r="A259" s="237">
        <v>13</v>
      </c>
      <c r="B259" s="227" t="s">
        <v>677</v>
      </c>
      <c r="C259" s="227" t="s">
        <v>677</v>
      </c>
      <c r="D259" s="228">
        <v>8.24</v>
      </c>
      <c r="E259" s="311">
        <v>8.23</v>
      </c>
    </row>
    <row r="260" spans="1:5" x14ac:dyDescent="0.2">
      <c r="A260" s="237">
        <v>14</v>
      </c>
      <c r="B260" s="230" t="s">
        <v>319</v>
      </c>
      <c r="C260" s="230" t="s">
        <v>320</v>
      </c>
      <c r="D260" s="231">
        <v>8.33</v>
      </c>
      <c r="E260" s="315">
        <v>8.17</v>
      </c>
    </row>
    <row r="261" spans="1:5" x14ac:dyDescent="0.2">
      <c r="A261" s="237">
        <v>15</v>
      </c>
      <c r="B261" s="227" t="s">
        <v>1728</v>
      </c>
      <c r="C261" s="227" t="s">
        <v>1728</v>
      </c>
      <c r="D261" s="228">
        <v>8.2899999999999991</v>
      </c>
      <c r="E261" s="315">
        <v>8.16</v>
      </c>
    </row>
    <row r="262" spans="1:5" x14ac:dyDescent="0.2">
      <c r="A262" s="237">
        <v>16</v>
      </c>
      <c r="B262" s="230" t="s">
        <v>426</v>
      </c>
      <c r="C262" s="230" t="s">
        <v>427</v>
      </c>
      <c r="D262" s="231">
        <v>8.18</v>
      </c>
      <c r="E262" s="318">
        <v>8.06</v>
      </c>
    </row>
    <row r="263" spans="1:5" x14ac:dyDescent="0.2">
      <c r="A263" s="237">
        <v>17</v>
      </c>
      <c r="B263" s="227" t="s">
        <v>607</v>
      </c>
      <c r="C263" s="227" t="s">
        <v>608</v>
      </c>
      <c r="D263" s="228">
        <v>7.72</v>
      </c>
      <c r="E263" s="326">
        <v>7.7</v>
      </c>
    </row>
    <row r="264" spans="1:5" x14ac:dyDescent="0.2">
      <c r="A264" s="237">
        <v>18</v>
      </c>
      <c r="B264" s="230" t="s">
        <v>456</v>
      </c>
      <c r="C264" s="230" t="s">
        <v>457</v>
      </c>
      <c r="D264" s="231">
        <v>7.67</v>
      </c>
      <c r="E264" s="327">
        <v>7.66</v>
      </c>
    </row>
    <row r="265" spans="1:5" x14ac:dyDescent="0.2">
      <c r="A265" s="237">
        <v>19</v>
      </c>
      <c r="B265" s="227" t="s">
        <v>774</v>
      </c>
      <c r="C265" s="227" t="s">
        <v>1794</v>
      </c>
      <c r="D265" s="228">
        <v>7.31</v>
      </c>
      <c r="E265" s="331">
        <v>7.2</v>
      </c>
    </row>
    <row r="266" spans="1:5" x14ac:dyDescent="0.2">
      <c r="A266" s="237">
        <v>20</v>
      </c>
      <c r="B266" s="230" t="s">
        <v>378</v>
      </c>
      <c r="C266" s="230" t="s">
        <v>379</v>
      </c>
      <c r="D266" s="231">
        <v>7.29</v>
      </c>
      <c r="E266" s="332">
        <v>7.16</v>
      </c>
    </row>
    <row r="268" spans="1:5" ht="18" x14ac:dyDescent="0.25">
      <c r="A268" s="418" t="s">
        <v>3967</v>
      </c>
      <c r="B268" s="418"/>
      <c r="C268" s="418"/>
      <c r="D268" s="418"/>
      <c r="E268" s="418"/>
    </row>
    <row r="269" spans="1:5" x14ac:dyDescent="0.2">
      <c r="A269" s="226" t="s">
        <v>318</v>
      </c>
      <c r="B269" s="226" t="s">
        <v>285</v>
      </c>
      <c r="C269" s="226" t="s">
        <v>286</v>
      </c>
      <c r="D269" s="226" t="s">
        <v>287</v>
      </c>
      <c r="E269" s="226" t="s">
        <v>958</v>
      </c>
    </row>
    <row r="270" spans="1:5" x14ac:dyDescent="0.2">
      <c r="A270" s="233">
        <v>1</v>
      </c>
      <c r="B270" s="227" t="s">
        <v>1478</v>
      </c>
      <c r="C270" s="227" t="s">
        <v>1479</v>
      </c>
      <c r="D270" s="228">
        <v>8.67</v>
      </c>
      <c r="E270" s="256">
        <v>9</v>
      </c>
    </row>
    <row r="271" spans="1:5" x14ac:dyDescent="0.2">
      <c r="A271" s="235">
        <v>2</v>
      </c>
      <c r="B271" s="230" t="s">
        <v>2630</v>
      </c>
      <c r="C271" s="230" t="s">
        <v>168</v>
      </c>
      <c r="D271" s="231">
        <v>9</v>
      </c>
      <c r="E271" s="400">
        <v>8.94</v>
      </c>
    </row>
    <row r="272" spans="1:5" x14ac:dyDescent="0.2">
      <c r="A272" s="236">
        <v>3</v>
      </c>
      <c r="B272" s="227" t="s">
        <v>1112</v>
      </c>
      <c r="C272" s="227" t="s">
        <v>1990</v>
      </c>
      <c r="D272" s="228">
        <v>8.7200000000000006</v>
      </c>
      <c r="E272" s="262">
        <v>8.91</v>
      </c>
    </row>
    <row r="273" spans="1:5" x14ac:dyDescent="0.2">
      <c r="A273" s="237">
        <v>4</v>
      </c>
      <c r="B273" s="230" t="s">
        <v>1112</v>
      </c>
      <c r="C273" s="230" t="s">
        <v>1477</v>
      </c>
      <c r="D273" s="231">
        <v>8.7200000000000006</v>
      </c>
      <c r="E273" s="263">
        <v>8.89</v>
      </c>
    </row>
    <row r="274" spans="1:5" x14ac:dyDescent="0.2">
      <c r="A274" s="237">
        <v>5</v>
      </c>
      <c r="B274" s="227" t="s">
        <v>2551</v>
      </c>
      <c r="C274" s="227" t="s">
        <v>2550</v>
      </c>
      <c r="D274" s="228">
        <v>8.8800000000000008</v>
      </c>
      <c r="E274" s="270">
        <v>8.81</v>
      </c>
    </row>
    <row r="275" spans="1:5" x14ac:dyDescent="0.2">
      <c r="A275" s="237">
        <v>6</v>
      </c>
      <c r="B275" s="230" t="s">
        <v>1405</v>
      </c>
      <c r="C275" s="230" t="s">
        <v>3622</v>
      </c>
      <c r="D275" s="231">
        <v>8.6</v>
      </c>
      <c r="E275" s="282">
        <v>8.66</v>
      </c>
    </row>
    <row r="276" spans="1:5" x14ac:dyDescent="0.2">
      <c r="A276" s="237">
        <v>7</v>
      </c>
      <c r="B276" s="227" t="s">
        <v>3926</v>
      </c>
      <c r="C276" s="227" t="s">
        <v>3927</v>
      </c>
      <c r="D276" s="228">
        <v>8.35</v>
      </c>
      <c r="E276" s="308">
        <v>8.27</v>
      </c>
    </row>
    <row r="278" spans="1:5" ht="18" x14ac:dyDescent="0.25">
      <c r="A278" s="418" t="s">
        <v>3155</v>
      </c>
      <c r="B278" s="418"/>
      <c r="C278" s="418"/>
      <c r="D278" s="418"/>
      <c r="E278" s="418"/>
    </row>
    <row r="279" spans="1:5" x14ac:dyDescent="0.2">
      <c r="A279" s="226" t="s">
        <v>318</v>
      </c>
      <c r="B279" s="226" t="s">
        <v>285</v>
      </c>
      <c r="C279" s="226" t="s">
        <v>286</v>
      </c>
      <c r="D279" s="226" t="s">
        <v>287</v>
      </c>
      <c r="E279" s="226" t="s">
        <v>958</v>
      </c>
    </row>
    <row r="280" spans="1:5" x14ac:dyDescent="0.2">
      <c r="A280" s="233">
        <v>1</v>
      </c>
      <c r="B280" s="227" t="s">
        <v>699</v>
      </c>
      <c r="C280" s="227" t="s">
        <v>700</v>
      </c>
      <c r="D280" s="228">
        <v>8.91</v>
      </c>
      <c r="E280" s="260">
        <v>8.93</v>
      </c>
    </row>
    <row r="281" spans="1:5" x14ac:dyDescent="0.2">
      <c r="A281" s="235">
        <v>2</v>
      </c>
      <c r="B281" s="230" t="s">
        <v>1695</v>
      </c>
      <c r="C281" s="230" t="s">
        <v>1696</v>
      </c>
      <c r="D281" s="231">
        <v>8.92</v>
      </c>
      <c r="E281" s="268">
        <v>8.83</v>
      </c>
    </row>
    <row r="282" spans="1:5" x14ac:dyDescent="0.2">
      <c r="A282" s="236">
        <v>3</v>
      </c>
      <c r="B282" s="227" t="s">
        <v>545</v>
      </c>
      <c r="C282" s="227" t="s">
        <v>546</v>
      </c>
      <c r="D282" s="228">
        <v>8.7799999999999994</v>
      </c>
      <c r="E282" s="271">
        <v>8.7899999999999991</v>
      </c>
    </row>
    <row r="283" spans="1:5" x14ac:dyDescent="0.2">
      <c r="A283" s="237">
        <v>4</v>
      </c>
      <c r="B283" s="230" t="s">
        <v>370</v>
      </c>
      <c r="C283" s="230" t="s">
        <v>368</v>
      </c>
      <c r="D283" s="231">
        <v>8.67</v>
      </c>
      <c r="E283" s="278">
        <v>8.7100000000000009</v>
      </c>
    </row>
    <row r="284" spans="1:5" x14ac:dyDescent="0.2">
      <c r="A284" s="237">
        <v>5</v>
      </c>
      <c r="B284" s="227" t="s">
        <v>888</v>
      </c>
      <c r="C284" s="227" t="s">
        <v>869</v>
      </c>
      <c r="D284" s="228">
        <v>8.5500000000000007</v>
      </c>
      <c r="E284" s="288">
        <v>8.6</v>
      </c>
    </row>
    <row r="285" spans="1:5" x14ac:dyDescent="0.2">
      <c r="A285" s="237">
        <v>6</v>
      </c>
      <c r="B285" s="230" t="s">
        <v>3097</v>
      </c>
      <c r="C285" s="230" t="s">
        <v>3098</v>
      </c>
      <c r="D285" s="231">
        <v>8.6</v>
      </c>
      <c r="E285" s="294">
        <v>8.5299999999999994</v>
      </c>
    </row>
    <row r="286" spans="1:5" x14ac:dyDescent="0.2">
      <c r="A286" s="237">
        <v>7</v>
      </c>
      <c r="B286" s="227" t="s">
        <v>314</v>
      </c>
      <c r="C286" s="227" t="s">
        <v>271</v>
      </c>
      <c r="D286" s="228">
        <v>8.35</v>
      </c>
      <c r="E286" s="313">
        <v>8.1999999999999993</v>
      </c>
    </row>
    <row r="288" spans="1:5" ht="18" x14ac:dyDescent="0.25">
      <c r="A288" s="418" t="s">
        <v>3305</v>
      </c>
      <c r="B288" s="418"/>
      <c r="C288" s="418"/>
      <c r="D288" s="418"/>
      <c r="E288" s="418"/>
    </row>
    <row r="289" spans="1:5" x14ac:dyDescent="0.2">
      <c r="A289" s="226" t="s">
        <v>318</v>
      </c>
      <c r="B289" s="226" t="s">
        <v>285</v>
      </c>
      <c r="C289" s="226" t="s">
        <v>286</v>
      </c>
      <c r="D289" s="226" t="s">
        <v>287</v>
      </c>
      <c r="E289" s="226" t="s">
        <v>958</v>
      </c>
    </row>
    <row r="290" spans="1:5" x14ac:dyDescent="0.2">
      <c r="A290" s="233">
        <v>1</v>
      </c>
      <c r="B290" s="227" t="s">
        <v>2306</v>
      </c>
      <c r="C290" s="227" t="s">
        <v>2296</v>
      </c>
      <c r="D290" s="228">
        <v>8.86</v>
      </c>
      <c r="E290" s="276">
        <v>8.74</v>
      </c>
    </row>
    <row r="291" spans="1:5" x14ac:dyDescent="0.2">
      <c r="A291" s="235">
        <v>2</v>
      </c>
      <c r="B291" s="230" t="s">
        <v>2988</v>
      </c>
      <c r="C291" s="230" t="s">
        <v>2989</v>
      </c>
      <c r="D291" s="231">
        <v>8.85</v>
      </c>
      <c r="E291" s="277">
        <v>8.7200000000000006</v>
      </c>
    </row>
    <row r="292" spans="1:5" x14ac:dyDescent="0.2">
      <c r="A292" s="236">
        <v>3</v>
      </c>
      <c r="B292" s="227" t="s">
        <v>3057</v>
      </c>
      <c r="C292" s="227" t="s">
        <v>3045</v>
      </c>
      <c r="D292" s="228">
        <v>8.6300000000000008</v>
      </c>
      <c r="E292" s="294">
        <v>8.5299999999999994</v>
      </c>
    </row>
    <row r="293" spans="1:5" x14ac:dyDescent="0.2">
      <c r="A293" s="237">
        <v>4</v>
      </c>
      <c r="B293" s="230" t="s">
        <v>3298</v>
      </c>
      <c r="C293" s="230" t="s">
        <v>3299</v>
      </c>
      <c r="D293" s="231">
        <v>8.58</v>
      </c>
      <c r="E293" s="371">
        <v>8.51</v>
      </c>
    </row>
    <row r="294" spans="1:5" x14ac:dyDescent="0.2">
      <c r="A294" s="237">
        <v>5</v>
      </c>
      <c r="B294" s="227" t="s">
        <v>2584</v>
      </c>
      <c r="C294" s="227" t="s">
        <v>2580</v>
      </c>
      <c r="D294" s="228">
        <v>8.5500000000000007</v>
      </c>
      <c r="E294" s="298">
        <v>8.4700000000000006</v>
      </c>
    </row>
    <row r="296" spans="1:5" ht="18" x14ac:dyDescent="0.25">
      <c r="A296" s="418" t="s">
        <v>3309</v>
      </c>
      <c r="B296" s="418"/>
      <c r="C296" s="418"/>
      <c r="D296" s="418"/>
      <c r="E296" s="418"/>
    </row>
    <row r="297" spans="1:5" x14ac:dyDescent="0.2">
      <c r="A297" s="226" t="s">
        <v>318</v>
      </c>
      <c r="B297" s="226" t="s">
        <v>285</v>
      </c>
      <c r="C297" s="226" t="s">
        <v>286</v>
      </c>
      <c r="D297" s="226" t="s">
        <v>287</v>
      </c>
      <c r="E297" s="226" t="s">
        <v>958</v>
      </c>
    </row>
    <row r="298" spans="1:5" x14ac:dyDescent="0.2">
      <c r="A298" s="233">
        <v>1</v>
      </c>
      <c r="B298" s="227" t="s">
        <v>2988</v>
      </c>
      <c r="C298" s="227" t="s">
        <v>2989</v>
      </c>
      <c r="D298" s="228">
        <v>8.85</v>
      </c>
      <c r="E298" s="277">
        <v>8.7200000000000006</v>
      </c>
    </row>
    <row r="299" spans="1:5" x14ac:dyDescent="0.2">
      <c r="A299" s="235">
        <v>2</v>
      </c>
      <c r="B299" s="230" t="s">
        <v>296</v>
      </c>
      <c r="C299" s="230" t="s">
        <v>2003</v>
      </c>
      <c r="D299" s="231">
        <v>8.6</v>
      </c>
      <c r="E299" s="293">
        <v>8.5399999999999991</v>
      </c>
    </row>
    <row r="300" spans="1:5" x14ac:dyDescent="0.2">
      <c r="A300" s="236">
        <v>3</v>
      </c>
      <c r="B300" s="227" t="s">
        <v>3298</v>
      </c>
      <c r="C300" s="227" t="s">
        <v>3299</v>
      </c>
      <c r="D300" s="228">
        <v>8.58</v>
      </c>
      <c r="E300" s="371">
        <v>8.51</v>
      </c>
    </row>
    <row r="301" spans="1:5" x14ac:dyDescent="0.2">
      <c r="A301" s="237">
        <v>4</v>
      </c>
      <c r="B301" s="230" t="s">
        <v>2584</v>
      </c>
      <c r="C301" s="230" t="s">
        <v>2580</v>
      </c>
      <c r="D301" s="231">
        <v>8.5500000000000007</v>
      </c>
      <c r="E301" s="298">
        <v>8.4700000000000006</v>
      </c>
    </row>
    <row r="303" spans="1:5" ht="18" x14ac:dyDescent="0.25">
      <c r="A303" s="418" t="s">
        <v>3156</v>
      </c>
      <c r="B303" s="418"/>
      <c r="C303" s="418"/>
      <c r="D303" s="418"/>
      <c r="E303" s="418"/>
    </row>
    <row r="304" spans="1:5" x14ac:dyDescent="0.2">
      <c r="A304" s="226" t="s">
        <v>318</v>
      </c>
      <c r="B304" s="226" t="s">
        <v>285</v>
      </c>
      <c r="C304" s="226" t="s">
        <v>286</v>
      </c>
      <c r="D304" s="226" t="s">
        <v>287</v>
      </c>
      <c r="E304" s="226" t="s">
        <v>958</v>
      </c>
    </row>
    <row r="305" spans="1:5" x14ac:dyDescent="0.2">
      <c r="A305" s="233">
        <v>1</v>
      </c>
      <c r="B305" s="227" t="s">
        <v>866</v>
      </c>
      <c r="C305" s="227" t="s">
        <v>857</v>
      </c>
      <c r="D305" s="228">
        <v>9.06</v>
      </c>
      <c r="E305" s="251">
        <v>9.1</v>
      </c>
    </row>
    <row r="306" spans="1:5" x14ac:dyDescent="0.2">
      <c r="A306" s="235">
        <v>2</v>
      </c>
      <c r="B306" s="230" t="s">
        <v>2614</v>
      </c>
      <c r="C306" s="230" t="s">
        <v>2607</v>
      </c>
      <c r="D306" s="231">
        <v>9.06</v>
      </c>
      <c r="E306" s="255">
        <v>9.02</v>
      </c>
    </row>
    <row r="307" spans="1:5" x14ac:dyDescent="0.2">
      <c r="A307" s="236">
        <v>3</v>
      </c>
      <c r="B307" s="227" t="s">
        <v>687</v>
      </c>
      <c r="C307" s="227" t="s">
        <v>688</v>
      </c>
      <c r="D307" s="228">
        <v>8.67</v>
      </c>
      <c r="E307" s="289">
        <v>8.58</v>
      </c>
    </row>
    <row r="308" spans="1:5" x14ac:dyDescent="0.2">
      <c r="A308" s="237">
        <v>4</v>
      </c>
      <c r="B308" s="230" t="s">
        <v>493</v>
      </c>
      <c r="C308" s="230" t="s">
        <v>494</v>
      </c>
      <c r="D308" s="231">
        <v>8.5</v>
      </c>
      <c r="E308" s="301">
        <v>8.43</v>
      </c>
    </row>
    <row r="310" spans="1:5" ht="18" x14ac:dyDescent="0.25">
      <c r="A310" s="418" t="s">
        <v>3158</v>
      </c>
      <c r="B310" s="418"/>
      <c r="C310" s="418"/>
      <c r="D310" s="418"/>
      <c r="E310" s="418"/>
    </row>
    <row r="311" spans="1:5" x14ac:dyDescent="0.2">
      <c r="A311" s="226" t="s">
        <v>318</v>
      </c>
      <c r="B311" s="226" t="s">
        <v>285</v>
      </c>
      <c r="C311" s="226" t="s">
        <v>286</v>
      </c>
      <c r="D311" s="226" t="s">
        <v>287</v>
      </c>
      <c r="E311" s="226" t="s">
        <v>958</v>
      </c>
    </row>
    <row r="312" spans="1:5" x14ac:dyDescent="0.2">
      <c r="A312" s="233">
        <v>1</v>
      </c>
      <c r="B312" s="227" t="s">
        <v>2320</v>
      </c>
      <c r="C312" s="227" t="s">
        <v>2321</v>
      </c>
      <c r="D312" s="228">
        <v>8.69</v>
      </c>
      <c r="E312" s="294">
        <v>8.5299999999999994</v>
      </c>
    </row>
    <row r="313" spans="1:5" x14ac:dyDescent="0.2">
      <c r="A313" s="235">
        <v>2</v>
      </c>
      <c r="B313" s="230" t="s">
        <v>1200</v>
      </c>
      <c r="C313" s="230" t="s">
        <v>1190</v>
      </c>
      <c r="D313" s="231">
        <v>8.4499999999999993</v>
      </c>
      <c r="E313" s="304">
        <v>8.3800000000000008</v>
      </c>
    </row>
    <row r="315" spans="1:5" ht="18" x14ac:dyDescent="0.25">
      <c r="A315" s="418" t="s">
        <v>3157</v>
      </c>
      <c r="B315" s="418"/>
      <c r="C315" s="418"/>
      <c r="D315" s="418"/>
      <c r="E315" s="418"/>
    </row>
    <row r="316" spans="1:5" x14ac:dyDescent="0.2">
      <c r="A316" s="226" t="s">
        <v>318</v>
      </c>
      <c r="B316" s="226" t="s">
        <v>285</v>
      </c>
      <c r="C316" s="226" t="s">
        <v>286</v>
      </c>
      <c r="D316" s="226" t="s">
        <v>287</v>
      </c>
      <c r="E316" s="226" t="s">
        <v>958</v>
      </c>
    </row>
    <row r="317" spans="1:5" x14ac:dyDescent="0.2">
      <c r="A317" s="233">
        <v>1</v>
      </c>
      <c r="B317" s="227" t="s">
        <v>2118</v>
      </c>
      <c r="C317" s="227" t="s">
        <v>2119</v>
      </c>
      <c r="D317" s="228">
        <v>8.73</v>
      </c>
      <c r="E317" s="285">
        <v>8.6300000000000008</v>
      </c>
    </row>
    <row r="318" spans="1:5" x14ac:dyDescent="0.2">
      <c r="A318" s="235">
        <v>2</v>
      </c>
      <c r="B318" s="230" t="s">
        <v>677</v>
      </c>
      <c r="C318" s="230" t="s">
        <v>1217</v>
      </c>
      <c r="D318" s="231">
        <v>8.11</v>
      </c>
      <c r="E318" s="320">
        <v>8</v>
      </c>
    </row>
    <row r="320" spans="1:5" ht="18" x14ac:dyDescent="0.25">
      <c r="A320" s="418" t="s">
        <v>3403</v>
      </c>
      <c r="B320" s="418"/>
      <c r="C320" s="418"/>
      <c r="D320" s="418"/>
      <c r="E320" s="418"/>
    </row>
    <row r="321" spans="1:5" x14ac:dyDescent="0.2">
      <c r="A321" s="226" t="s">
        <v>318</v>
      </c>
      <c r="B321" s="226" t="s">
        <v>285</v>
      </c>
      <c r="C321" s="226" t="s">
        <v>286</v>
      </c>
      <c r="D321" s="226" t="s">
        <v>287</v>
      </c>
      <c r="E321" s="226" t="s">
        <v>958</v>
      </c>
    </row>
    <row r="322" spans="1:5" x14ac:dyDescent="0.2">
      <c r="A322" s="233">
        <v>1</v>
      </c>
      <c r="B322" s="227" t="s">
        <v>3382</v>
      </c>
      <c r="C322" s="227" t="s">
        <v>3383</v>
      </c>
      <c r="D322" s="228">
        <v>4.79</v>
      </c>
      <c r="E322" s="335">
        <v>4.62</v>
      </c>
    </row>
    <row r="324" spans="1:5" ht="18" x14ac:dyDescent="0.25">
      <c r="A324" s="418" t="s">
        <v>3160</v>
      </c>
      <c r="B324" s="418"/>
      <c r="C324" s="418"/>
      <c r="D324" s="418"/>
      <c r="E324" s="418"/>
    </row>
    <row r="325" spans="1:5" x14ac:dyDescent="0.2">
      <c r="A325" s="226" t="s">
        <v>318</v>
      </c>
      <c r="B325" s="226" t="s">
        <v>285</v>
      </c>
      <c r="C325" s="226" t="s">
        <v>286</v>
      </c>
      <c r="D325" s="226" t="s">
        <v>287</v>
      </c>
      <c r="E325" s="226" t="s">
        <v>958</v>
      </c>
    </row>
    <row r="326" spans="1:5" x14ac:dyDescent="0.2">
      <c r="A326" s="233">
        <v>1</v>
      </c>
      <c r="B326" s="227" t="s">
        <v>303</v>
      </c>
      <c r="C326" s="227" t="s">
        <v>1482</v>
      </c>
      <c r="D326" s="228">
        <v>8</v>
      </c>
      <c r="E326" s="324">
        <v>7.79</v>
      </c>
    </row>
    <row r="328" spans="1:5" ht="18" x14ac:dyDescent="0.25">
      <c r="A328" s="418" t="s">
        <v>3159</v>
      </c>
      <c r="B328" s="418"/>
      <c r="C328" s="418"/>
      <c r="D328" s="418"/>
      <c r="E328" s="418"/>
    </row>
    <row r="329" spans="1:5" x14ac:dyDescent="0.2">
      <c r="A329" s="226" t="s">
        <v>318</v>
      </c>
      <c r="B329" s="226" t="s">
        <v>285</v>
      </c>
      <c r="C329" s="226" t="s">
        <v>286</v>
      </c>
      <c r="D329" s="226" t="s">
        <v>287</v>
      </c>
      <c r="E329" s="226" t="s">
        <v>958</v>
      </c>
    </row>
    <row r="330" spans="1:5" x14ac:dyDescent="0.2">
      <c r="A330" s="233">
        <v>1</v>
      </c>
      <c r="B330" s="227" t="s">
        <v>2788</v>
      </c>
      <c r="C330" s="227" t="s">
        <v>2789</v>
      </c>
      <c r="D330" s="228">
        <v>8.4</v>
      </c>
      <c r="E330" s="305">
        <v>8.3699999999999992</v>
      </c>
    </row>
  </sheetData>
  <mergeCells count="15">
    <mergeCell ref="A328:E328"/>
    <mergeCell ref="A1:E1"/>
    <mergeCell ref="A111:E111"/>
    <mergeCell ref="A184:E184"/>
    <mergeCell ref="A220:E220"/>
    <mergeCell ref="A245:E245"/>
    <mergeCell ref="A268:E268"/>
    <mergeCell ref="A278:E278"/>
    <mergeCell ref="A288:E288"/>
    <mergeCell ref="A296:E296"/>
    <mergeCell ref="A303:E303"/>
    <mergeCell ref="A310:E310"/>
    <mergeCell ref="A315:E315"/>
    <mergeCell ref="A320:E320"/>
    <mergeCell ref="A324:E3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5"/>
  <sheetViews>
    <sheetView tabSelected="1" topLeftCell="A103" zoomScale="80" zoomScaleNormal="80" workbookViewId="0">
      <selection activeCell="H128" sqref="H128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4" t="s">
        <v>3151</v>
      </c>
      <c r="B1" s="344" t="s">
        <v>3152</v>
      </c>
      <c r="C1" s="344" t="s">
        <v>3153</v>
      </c>
      <c r="E1" s="366" t="s">
        <v>3478</v>
      </c>
    </row>
    <row r="2" spans="1:5" x14ac:dyDescent="0.2">
      <c r="A2" t="s">
        <v>1021</v>
      </c>
      <c r="B2" t="s">
        <v>3141</v>
      </c>
      <c r="C2" t="s">
        <v>1118</v>
      </c>
      <c r="E2" t="s">
        <v>3534</v>
      </c>
    </row>
    <row r="3" spans="1:5" x14ac:dyDescent="0.2">
      <c r="A3" t="s">
        <v>1026</v>
      </c>
      <c r="B3" t="s">
        <v>3141</v>
      </c>
      <c r="C3" t="s">
        <v>1048</v>
      </c>
    </row>
    <row r="4" spans="1:5" x14ac:dyDescent="0.2">
      <c r="A4" t="s">
        <v>1023</v>
      </c>
      <c r="B4" t="s">
        <v>3141</v>
      </c>
      <c r="C4" t="s">
        <v>3144</v>
      </c>
      <c r="E4" t="s">
        <v>3535</v>
      </c>
    </row>
    <row r="5" spans="1:5" x14ac:dyDescent="0.2">
      <c r="A5" t="s">
        <v>720</v>
      </c>
      <c r="B5" t="s">
        <v>3141</v>
      </c>
      <c r="C5" t="s">
        <v>1032</v>
      </c>
    </row>
    <row r="6" spans="1:5" x14ac:dyDescent="0.2">
      <c r="A6" t="s">
        <v>2452</v>
      </c>
      <c r="B6" t="s">
        <v>1048</v>
      </c>
      <c r="C6" t="s">
        <v>3150</v>
      </c>
      <c r="E6" t="s">
        <v>3682</v>
      </c>
    </row>
    <row r="7" spans="1:5" x14ac:dyDescent="0.2">
      <c r="A7" t="s">
        <v>1027</v>
      </c>
      <c r="B7" t="s">
        <v>3142</v>
      </c>
      <c r="C7" t="s">
        <v>3149</v>
      </c>
    </row>
    <row r="8" spans="1:5" x14ac:dyDescent="0.2">
      <c r="A8" t="s">
        <v>1028</v>
      </c>
      <c r="B8" t="s">
        <v>3142</v>
      </c>
      <c r="C8" t="s">
        <v>3145</v>
      </c>
      <c r="E8" t="s">
        <v>3477</v>
      </c>
    </row>
    <row r="9" spans="1:5" x14ac:dyDescent="0.2">
      <c r="A9" t="s">
        <v>2631</v>
      </c>
      <c r="B9" t="s">
        <v>3142</v>
      </c>
      <c r="C9" t="s">
        <v>2793</v>
      </c>
      <c r="E9" t="s">
        <v>3536</v>
      </c>
    </row>
    <row r="10" spans="1:5" x14ac:dyDescent="0.2">
      <c r="A10" t="s">
        <v>2632</v>
      </c>
      <c r="B10" t="s">
        <v>3143</v>
      </c>
      <c r="C10" t="s">
        <v>3143</v>
      </c>
    </row>
    <row r="11" spans="1:5" x14ac:dyDescent="0.2">
      <c r="A11" t="s">
        <v>1022</v>
      </c>
      <c r="B11" t="s">
        <v>3141</v>
      </c>
      <c r="C11" t="s">
        <v>3146</v>
      </c>
    </row>
    <row r="12" spans="1:5" x14ac:dyDescent="0.2">
      <c r="A12" t="s">
        <v>1025</v>
      </c>
      <c r="B12" t="s">
        <v>3141</v>
      </c>
      <c r="C12" t="s">
        <v>3148</v>
      </c>
    </row>
    <row r="13" spans="1:5" x14ac:dyDescent="0.2">
      <c r="A13" t="s">
        <v>1042</v>
      </c>
      <c r="B13" t="s">
        <v>3141</v>
      </c>
      <c r="C13" t="s">
        <v>3142</v>
      </c>
    </row>
    <row r="14" spans="1:5" x14ac:dyDescent="0.2">
      <c r="A14" t="s">
        <v>1532</v>
      </c>
      <c r="B14" t="s">
        <v>3143</v>
      </c>
      <c r="C14" t="s">
        <v>3401</v>
      </c>
    </row>
    <row r="15" spans="1:5" x14ac:dyDescent="0.2">
      <c r="A15" t="s">
        <v>1530</v>
      </c>
      <c r="B15" t="s">
        <v>3141</v>
      </c>
      <c r="C15" t="s">
        <v>3141</v>
      </c>
    </row>
    <row r="16" spans="1:5" x14ac:dyDescent="0.2">
      <c r="A16" t="s">
        <v>1024</v>
      </c>
      <c r="B16" t="s">
        <v>3141</v>
      </c>
      <c r="C16" t="s">
        <v>3147</v>
      </c>
    </row>
    <row r="17" spans="1:2" x14ac:dyDescent="0.2">
      <c r="A17" t="s">
        <v>1030</v>
      </c>
      <c r="B17" t="s">
        <v>3141</v>
      </c>
    </row>
    <row r="18" spans="1:2" x14ac:dyDescent="0.2">
      <c r="A18" t="s">
        <v>2591</v>
      </c>
      <c r="B18" t="s">
        <v>1118</v>
      </c>
    </row>
    <row r="19" spans="1:2" x14ac:dyDescent="0.2">
      <c r="A19" t="s">
        <v>2498</v>
      </c>
      <c r="B19" t="s">
        <v>3141</v>
      </c>
    </row>
    <row r="20" spans="1:2" x14ac:dyDescent="0.2">
      <c r="A20" t="s">
        <v>1324</v>
      </c>
      <c r="B20" t="s">
        <v>3141</v>
      </c>
    </row>
    <row r="21" spans="1:2" x14ac:dyDescent="0.2">
      <c r="A21" t="s">
        <v>3006</v>
      </c>
      <c r="B21" t="s">
        <v>3144</v>
      </c>
    </row>
    <row r="22" spans="1:2" x14ac:dyDescent="0.2">
      <c r="A22" t="s">
        <v>1035</v>
      </c>
      <c r="B22" t="s">
        <v>3141</v>
      </c>
    </row>
    <row r="23" spans="1:2" x14ac:dyDescent="0.2">
      <c r="A23" t="s">
        <v>1039</v>
      </c>
      <c r="B23" t="s">
        <v>1048</v>
      </c>
    </row>
    <row r="24" spans="1:2" x14ac:dyDescent="0.2">
      <c r="A24" t="s">
        <v>1160</v>
      </c>
      <c r="B24" t="s">
        <v>3141</v>
      </c>
    </row>
    <row r="25" spans="1:2" x14ac:dyDescent="0.2">
      <c r="A25" t="s">
        <v>1161</v>
      </c>
      <c r="B25" t="s">
        <v>3141</v>
      </c>
    </row>
    <row r="26" spans="1:2" x14ac:dyDescent="0.2">
      <c r="A26" t="s">
        <v>1386</v>
      </c>
      <c r="B26" t="s">
        <v>3145</v>
      </c>
    </row>
    <row r="27" spans="1:2" x14ac:dyDescent="0.2">
      <c r="A27" t="s">
        <v>2867</v>
      </c>
      <c r="B27" t="s">
        <v>3141</v>
      </c>
    </row>
    <row r="28" spans="1:2" x14ac:dyDescent="0.2">
      <c r="A28" t="s">
        <v>3020</v>
      </c>
      <c r="B28" t="s">
        <v>3143</v>
      </c>
    </row>
    <row r="29" spans="1:2" x14ac:dyDescent="0.2">
      <c r="A29" t="s">
        <v>1758</v>
      </c>
      <c r="B29" t="s">
        <v>1048</v>
      </c>
    </row>
    <row r="30" spans="1:2" x14ac:dyDescent="0.2">
      <c r="A30" t="s">
        <v>1284</v>
      </c>
      <c r="B30" t="s">
        <v>3145</v>
      </c>
    </row>
    <row r="31" spans="1:2" x14ac:dyDescent="0.2">
      <c r="A31" t="s">
        <v>733</v>
      </c>
      <c r="B31" t="s">
        <v>3145</v>
      </c>
    </row>
    <row r="32" spans="1:2" x14ac:dyDescent="0.2">
      <c r="A32" t="s">
        <v>1174</v>
      </c>
      <c r="B32" t="s">
        <v>3145</v>
      </c>
    </row>
    <row r="33" spans="1:2" x14ac:dyDescent="0.2">
      <c r="A33" t="s">
        <v>1957</v>
      </c>
      <c r="B33" t="s">
        <v>3141</v>
      </c>
    </row>
    <row r="34" spans="1:2" x14ac:dyDescent="0.2">
      <c r="A34" t="s">
        <v>1269</v>
      </c>
      <c r="B34" t="s">
        <v>3141</v>
      </c>
    </row>
    <row r="35" spans="1:2" x14ac:dyDescent="0.2">
      <c r="A35" t="s">
        <v>1029</v>
      </c>
      <c r="B35" t="s">
        <v>3141</v>
      </c>
    </row>
    <row r="36" spans="1:2" x14ac:dyDescent="0.2">
      <c r="A36" t="s">
        <v>734</v>
      </c>
      <c r="B36" t="s">
        <v>3145</v>
      </c>
    </row>
    <row r="37" spans="1:2" x14ac:dyDescent="0.2">
      <c r="A37" t="s">
        <v>1118</v>
      </c>
      <c r="B37" t="s">
        <v>1118</v>
      </c>
    </row>
    <row r="38" spans="1:2" x14ac:dyDescent="0.2">
      <c r="A38" t="s">
        <v>2411</v>
      </c>
      <c r="B38" t="s">
        <v>3141</v>
      </c>
    </row>
    <row r="39" spans="1:2" x14ac:dyDescent="0.2">
      <c r="A39" t="s">
        <v>1434</v>
      </c>
      <c r="B39" t="s">
        <v>3143</v>
      </c>
    </row>
    <row r="40" spans="1:2" x14ac:dyDescent="0.2">
      <c r="A40" t="s">
        <v>2633</v>
      </c>
      <c r="B40" t="s">
        <v>3141</v>
      </c>
    </row>
    <row r="41" spans="1:2" x14ac:dyDescent="0.2">
      <c r="A41" t="s">
        <v>1571</v>
      </c>
      <c r="B41" t="s">
        <v>3145</v>
      </c>
    </row>
    <row r="42" spans="1:2" x14ac:dyDescent="0.2">
      <c r="A42" t="s">
        <v>1572</v>
      </c>
      <c r="B42" t="s">
        <v>3145</v>
      </c>
    </row>
    <row r="43" spans="1:2" x14ac:dyDescent="0.2">
      <c r="A43" t="s">
        <v>2101</v>
      </c>
      <c r="B43" t="s">
        <v>3145</v>
      </c>
    </row>
    <row r="44" spans="1:2" x14ac:dyDescent="0.2">
      <c r="A44" t="s">
        <v>1173</v>
      </c>
      <c r="B44" t="s">
        <v>3145</v>
      </c>
    </row>
    <row r="45" spans="1:2" x14ac:dyDescent="0.2">
      <c r="A45" t="s">
        <v>1034</v>
      </c>
      <c r="B45" t="s">
        <v>3145</v>
      </c>
    </row>
    <row r="46" spans="1:2" x14ac:dyDescent="0.2">
      <c r="A46" t="s">
        <v>1040</v>
      </c>
      <c r="B46" t="s">
        <v>1048</v>
      </c>
    </row>
    <row r="47" spans="1:2" x14ac:dyDescent="0.2">
      <c r="A47" t="s">
        <v>1046</v>
      </c>
      <c r="B47" t="s">
        <v>1048</v>
      </c>
    </row>
    <row r="48" spans="1:2" x14ac:dyDescent="0.2">
      <c r="A48" t="s">
        <v>1131</v>
      </c>
      <c r="B48" t="s">
        <v>3143</v>
      </c>
    </row>
    <row r="49" spans="1:2" x14ac:dyDescent="0.2">
      <c r="A49" t="s">
        <v>1418</v>
      </c>
      <c r="B49" t="s">
        <v>1048</v>
      </c>
    </row>
    <row r="50" spans="1:2" x14ac:dyDescent="0.2">
      <c r="A50" t="s">
        <v>1419</v>
      </c>
      <c r="B50" t="s">
        <v>1048</v>
      </c>
    </row>
    <row r="51" spans="1:2" x14ac:dyDescent="0.2">
      <c r="A51" t="s">
        <v>2137</v>
      </c>
      <c r="B51" t="s">
        <v>3146</v>
      </c>
    </row>
    <row r="52" spans="1:2" x14ac:dyDescent="0.2">
      <c r="A52" t="s">
        <v>1036</v>
      </c>
      <c r="B52" t="s">
        <v>3141</v>
      </c>
    </row>
    <row r="53" spans="1:2" x14ac:dyDescent="0.2">
      <c r="A53" t="s">
        <v>2733</v>
      </c>
      <c r="B53" t="s">
        <v>1032</v>
      </c>
    </row>
    <row r="54" spans="1:2" x14ac:dyDescent="0.2">
      <c r="A54" t="s">
        <v>2310</v>
      </c>
      <c r="B54" t="s">
        <v>3147</v>
      </c>
    </row>
    <row r="55" spans="1:2" x14ac:dyDescent="0.2">
      <c r="A55" t="s">
        <v>1698</v>
      </c>
      <c r="B55" t="s">
        <v>3148</v>
      </c>
    </row>
    <row r="56" spans="1:2" x14ac:dyDescent="0.2">
      <c r="A56" t="s">
        <v>2669</v>
      </c>
      <c r="B56" t="s">
        <v>3141</v>
      </c>
    </row>
    <row r="57" spans="1:2" x14ac:dyDescent="0.2">
      <c r="A57" t="s">
        <v>1481</v>
      </c>
      <c r="B57" t="s">
        <v>1048</v>
      </c>
    </row>
    <row r="58" spans="1:2" x14ac:dyDescent="0.2">
      <c r="A58" t="s">
        <v>3114</v>
      </c>
      <c r="B58" t="s">
        <v>1048</v>
      </c>
    </row>
    <row r="59" spans="1:2" x14ac:dyDescent="0.2">
      <c r="A59" t="s">
        <v>1037</v>
      </c>
      <c r="B59" t="s">
        <v>1032</v>
      </c>
    </row>
    <row r="60" spans="1:2" x14ac:dyDescent="0.2">
      <c r="A60" t="s">
        <v>2553</v>
      </c>
      <c r="B60" t="s">
        <v>1048</v>
      </c>
    </row>
    <row r="61" spans="1:2" x14ac:dyDescent="0.2">
      <c r="A61" t="s">
        <v>2333</v>
      </c>
      <c r="B61" t="s">
        <v>3149</v>
      </c>
    </row>
    <row r="62" spans="1:2" x14ac:dyDescent="0.2">
      <c r="A62" t="s">
        <v>2334</v>
      </c>
      <c r="B62" t="s">
        <v>3143</v>
      </c>
    </row>
    <row r="63" spans="1:2" x14ac:dyDescent="0.2">
      <c r="A63" t="s">
        <v>732</v>
      </c>
      <c r="B63" t="s">
        <v>3141</v>
      </c>
    </row>
    <row r="64" spans="1:2" x14ac:dyDescent="0.2">
      <c r="A64" t="s">
        <v>1045</v>
      </c>
      <c r="B64" t="s">
        <v>3148</v>
      </c>
    </row>
    <row r="65" spans="1:2" x14ac:dyDescent="0.2">
      <c r="A65" t="s">
        <v>1314</v>
      </c>
      <c r="B65" t="s">
        <v>1032</v>
      </c>
    </row>
    <row r="66" spans="1:2" x14ac:dyDescent="0.2">
      <c r="A66" t="s">
        <v>1055</v>
      </c>
      <c r="B66" t="s">
        <v>3145</v>
      </c>
    </row>
    <row r="67" spans="1:2" x14ac:dyDescent="0.2">
      <c r="A67" t="s">
        <v>1056</v>
      </c>
      <c r="B67" t="s">
        <v>3145</v>
      </c>
    </row>
    <row r="68" spans="1:2" x14ac:dyDescent="0.2">
      <c r="A68" t="s">
        <v>2138</v>
      </c>
      <c r="B68" t="s">
        <v>3143</v>
      </c>
    </row>
    <row r="69" spans="1:2" x14ac:dyDescent="0.2">
      <c r="A69" t="s">
        <v>1216</v>
      </c>
      <c r="B69" t="s">
        <v>3145</v>
      </c>
    </row>
    <row r="70" spans="1:2" x14ac:dyDescent="0.2">
      <c r="A70" t="s">
        <v>737</v>
      </c>
      <c r="B70" t="s">
        <v>3142</v>
      </c>
    </row>
    <row r="71" spans="1:2" x14ac:dyDescent="0.2">
      <c r="A71" t="s">
        <v>1326</v>
      </c>
      <c r="B71" t="s">
        <v>3141</v>
      </c>
    </row>
    <row r="72" spans="1:2" x14ac:dyDescent="0.2">
      <c r="A72" t="s">
        <v>1038</v>
      </c>
      <c r="B72" t="s">
        <v>1032</v>
      </c>
    </row>
    <row r="73" spans="1:2" x14ac:dyDescent="0.2">
      <c r="A73" t="s">
        <v>2685</v>
      </c>
      <c r="B73" t="s">
        <v>1048</v>
      </c>
    </row>
    <row r="74" spans="1:2" x14ac:dyDescent="0.2">
      <c r="A74" t="s">
        <v>1053</v>
      </c>
      <c r="B74" t="s">
        <v>3141</v>
      </c>
    </row>
    <row r="75" spans="1:2" x14ac:dyDescent="0.2">
      <c r="A75" t="s">
        <v>1031</v>
      </c>
      <c r="B75" t="s">
        <v>1032</v>
      </c>
    </row>
    <row r="76" spans="1:2" x14ac:dyDescent="0.2">
      <c r="A76" t="s">
        <v>2961</v>
      </c>
      <c r="B76" t="s">
        <v>3141</v>
      </c>
    </row>
    <row r="77" spans="1:2" x14ac:dyDescent="0.2">
      <c r="A77" t="s">
        <v>2008</v>
      </c>
      <c r="B77" t="s">
        <v>3144</v>
      </c>
    </row>
    <row r="78" spans="1:2" x14ac:dyDescent="0.2">
      <c r="A78" t="s">
        <v>1047</v>
      </c>
      <c r="B78" t="s">
        <v>3141</v>
      </c>
    </row>
    <row r="79" spans="1:2" x14ac:dyDescent="0.2">
      <c r="A79" t="s">
        <v>1041</v>
      </c>
      <c r="B79" t="s">
        <v>3143</v>
      </c>
    </row>
    <row r="80" spans="1:2" x14ac:dyDescent="0.2">
      <c r="A80" t="s">
        <v>2397</v>
      </c>
      <c r="B80" t="s">
        <v>3143</v>
      </c>
    </row>
    <row r="81" spans="1:2" x14ac:dyDescent="0.2">
      <c r="A81" t="s">
        <v>1388</v>
      </c>
      <c r="B81" t="s">
        <v>1032</v>
      </c>
    </row>
    <row r="82" spans="1:2" x14ac:dyDescent="0.2">
      <c r="A82" t="s">
        <v>1043</v>
      </c>
      <c r="B82" t="s">
        <v>3143</v>
      </c>
    </row>
    <row r="83" spans="1:2" x14ac:dyDescent="0.2">
      <c r="A83" t="s">
        <v>1048</v>
      </c>
      <c r="B83" t="s">
        <v>1048</v>
      </c>
    </row>
    <row r="84" spans="1:2" x14ac:dyDescent="0.2">
      <c r="A84" t="s">
        <v>1049</v>
      </c>
      <c r="B84" t="s">
        <v>1032</v>
      </c>
    </row>
    <row r="85" spans="1:2" x14ac:dyDescent="0.2">
      <c r="A85" t="s">
        <v>1050</v>
      </c>
      <c r="B85" t="s">
        <v>1032</v>
      </c>
    </row>
    <row r="86" spans="1:2" x14ac:dyDescent="0.2">
      <c r="A86" t="s">
        <v>1582</v>
      </c>
      <c r="B86" t="s">
        <v>3145</v>
      </c>
    </row>
    <row r="87" spans="1:2" x14ac:dyDescent="0.2">
      <c r="A87" t="s">
        <v>1051</v>
      </c>
      <c r="B87" t="s">
        <v>3148</v>
      </c>
    </row>
    <row r="88" spans="1:2" x14ac:dyDescent="0.2">
      <c r="A88" t="s">
        <v>2587</v>
      </c>
      <c r="B88" t="s">
        <v>3144</v>
      </c>
    </row>
    <row r="89" spans="1:2" x14ac:dyDescent="0.2">
      <c r="A89" t="s">
        <v>1032</v>
      </c>
      <c r="B89" t="s">
        <v>1032</v>
      </c>
    </row>
    <row r="90" spans="1:2" x14ac:dyDescent="0.2">
      <c r="A90" t="s">
        <v>1052</v>
      </c>
      <c r="B90" t="s">
        <v>3142</v>
      </c>
    </row>
    <row r="91" spans="1:2" x14ac:dyDescent="0.2">
      <c r="A91" t="s">
        <v>731</v>
      </c>
      <c r="B91" t="s">
        <v>3145</v>
      </c>
    </row>
    <row r="92" spans="1:2" x14ac:dyDescent="0.2">
      <c r="A92" t="s">
        <v>724</v>
      </c>
      <c r="B92" t="s">
        <v>1048</v>
      </c>
    </row>
    <row r="93" spans="1:2" x14ac:dyDescent="0.2">
      <c r="A93" t="s">
        <v>1213</v>
      </c>
      <c r="B93" t="s">
        <v>3149</v>
      </c>
    </row>
    <row r="94" spans="1:2" x14ac:dyDescent="0.2">
      <c r="A94" t="s">
        <v>1214</v>
      </c>
      <c r="B94" t="s">
        <v>1048</v>
      </c>
    </row>
    <row r="95" spans="1:2" x14ac:dyDescent="0.2">
      <c r="A95" t="s">
        <v>2920</v>
      </c>
      <c r="B95" t="s">
        <v>3145</v>
      </c>
    </row>
    <row r="96" spans="1:2" x14ac:dyDescent="0.2">
      <c r="A96" t="s">
        <v>1508</v>
      </c>
      <c r="B96" t="s">
        <v>3145</v>
      </c>
    </row>
    <row r="97" spans="1:2" x14ac:dyDescent="0.2">
      <c r="A97" t="s">
        <v>1772</v>
      </c>
      <c r="B97" t="s">
        <v>3143</v>
      </c>
    </row>
    <row r="98" spans="1:2" x14ac:dyDescent="0.2">
      <c r="A98" t="s">
        <v>1925</v>
      </c>
      <c r="B98" t="s">
        <v>3145</v>
      </c>
    </row>
    <row r="99" spans="1:2" x14ac:dyDescent="0.2">
      <c r="A99" t="s">
        <v>1033</v>
      </c>
      <c r="B99" t="s">
        <v>3141</v>
      </c>
    </row>
    <row r="100" spans="1:2" x14ac:dyDescent="0.2">
      <c r="A100" t="s">
        <v>1058</v>
      </c>
      <c r="B100" t="s">
        <v>3141</v>
      </c>
    </row>
    <row r="101" spans="1:2" x14ac:dyDescent="0.2">
      <c r="A101" t="s">
        <v>2793</v>
      </c>
      <c r="B101" t="s">
        <v>2793</v>
      </c>
    </row>
    <row r="102" spans="1:2" x14ac:dyDescent="0.2">
      <c r="A102" t="s">
        <v>1991</v>
      </c>
      <c r="B102" t="s">
        <v>1032</v>
      </c>
    </row>
    <row r="103" spans="1:2" x14ac:dyDescent="0.2">
      <c r="A103" t="s">
        <v>1054</v>
      </c>
      <c r="B103" t="s">
        <v>3141</v>
      </c>
    </row>
    <row r="104" spans="1:2" x14ac:dyDescent="0.2">
      <c r="A104" t="s">
        <v>1494</v>
      </c>
      <c r="B104" t="s">
        <v>1048</v>
      </c>
    </row>
    <row r="105" spans="1:2" x14ac:dyDescent="0.2">
      <c r="A105" t="s">
        <v>739</v>
      </c>
      <c r="B105" t="s">
        <v>1032</v>
      </c>
    </row>
    <row r="106" spans="1:2" x14ac:dyDescent="0.2">
      <c r="A106" t="s">
        <v>1805</v>
      </c>
      <c r="B106" t="s">
        <v>3141</v>
      </c>
    </row>
    <row r="107" spans="1:2" x14ac:dyDescent="0.2">
      <c r="A107" t="s">
        <v>1234</v>
      </c>
      <c r="B107" t="s">
        <v>3146</v>
      </c>
    </row>
    <row r="108" spans="1:2" x14ac:dyDescent="0.2">
      <c r="A108" t="s">
        <v>1495</v>
      </c>
      <c r="B108" t="s">
        <v>3150</v>
      </c>
    </row>
    <row r="109" spans="1:2" x14ac:dyDescent="0.2">
      <c r="A109" t="s">
        <v>1044</v>
      </c>
      <c r="B109" t="s">
        <v>3141</v>
      </c>
    </row>
    <row r="110" spans="1:2" x14ac:dyDescent="0.2">
      <c r="A110" t="s">
        <v>1057</v>
      </c>
      <c r="B110" t="s">
        <v>1032</v>
      </c>
    </row>
    <row r="111" spans="1:2" x14ac:dyDescent="0.2">
      <c r="A111" t="s">
        <v>1132</v>
      </c>
      <c r="B111" t="s">
        <v>3141</v>
      </c>
    </row>
    <row r="112" spans="1:2" x14ac:dyDescent="0.2">
      <c r="A112" t="s">
        <v>1059</v>
      </c>
      <c r="B112" t="s">
        <v>1032</v>
      </c>
    </row>
    <row r="113" spans="1:2" x14ac:dyDescent="0.2">
      <c r="A113" t="s">
        <v>1060</v>
      </c>
      <c r="B113" t="s">
        <v>1032</v>
      </c>
    </row>
    <row r="114" spans="1:2" x14ac:dyDescent="0.2">
      <c r="A114" t="s">
        <v>740</v>
      </c>
      <c r="B114" t="s">
        <v>1032</v>
      </c>
    </row>
    <row r="115" spans="1:2" x14ac:dyDescent="0.2">
      <c r="A115" t="s">
        <v>3304</v>
      </c>
      <c r="B115" t="s">
        <v>3144</v>
      </c>
    </row>
    <row r="116" spans="1:2" x14ac:dyDescent="0.2">
      <c r="A116" t="s">
        <v>3362</v>
      </c>
      <c r="B116" t="s">
        <v>3145</v>
      </c>
    </row>
    <row r="117" spans="1:2" x14ac:dyDescent="0.2">
      <c r="A117" t="s">
        <v>3385</v>
      </c>
      <c r="B117" t="s">
        <v>3401</v>
      </c>
    </row>
    <row r="118" spans="1:2" x14ac:dyDescent="0.2">
      <c r="A118" t="s">
        <v>3531</v>
      </c>
      <c r="B118" t="s">
        <v>3141</v>
      </c>
    </row>
    <row r="119" spans="1:2" x14ac:dyDescent="0.2">
      <c r="A119" t="s">
        <v>3543</v>
      </c>
      <c r="B119" t="s">
        <v>3145</v>
      </c>
    </row>
    <row r="120" spans="1:2" x14ac:dyDescent="0.2">
      <c r="A120" t="s">
        <v>3575</v>
      </c>
      <c r="B120" t="s">
        <v>1048</v>
      </c>
    </row>
    <row r="121" spans="1:2" x14ac:dyDescent="0.2">
      <c r="A121" t="s">
        <v>3648</v>
      </c>
      <c r="B121" t="s">
        <v>3141</v>
      </c>
    </row>
    <row r="122" spans="1:2" x14ac:dyDescent="0.2">
      <c r="A122" t="s">
        <v>3824</v>
      </c>
      <c r="B122" t="s">
        <v>1048</v>
      </c>
    </row>
    <row r="123" spans="1:2" x14ac:dyDescent="0.2">
      <c r="A123" t="s">
        <v>3825</v>
      </c>
      <c r="B123" t="s">
        <v>1048</v>
      </c>
    </row>
    <row r="124" spans="1:2" x14ac:dyDescent="0.2">
      <c r="A124" t="s">
        <v>3904</v>
      </c>
      <c r="B124" t="s">
        <v>3141</v>
      </c>
    </row>
    <row r="125" spans="1:2" x14ac:dyDescent="0.2">
      <c r="A125" t="s">
        <v>3965</v>
      </c>
      <c r="B125" t="s">
        <v>1048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1"/>
  <sheetViews>
    <sheetView zoomScale="80" zoomScaleNormal="80" workbookViewId="0">
      <selection activeCell="C126" sqref="C126"/>
    </sheetView>
  </sheetViews>
  <sheetFormatPr baseColWidth="10" defaultColWidth="8.83203125" defaultRowHeight="16" x14ac:dyDescent="0.2"/>
  <cols>
    <col min="1" max="1" width="36.6640625" bestFit="1" customWidth="1"/>
    <col min="2" max="2" width="55.33203125" bestFit="1" customWidth="1"/>
  </cols>
  <sheetData>
    <row r="1" spans="1:2" ht="18" x14ac:dyDescent="0.25">
      <c r="A1" s="418" t="s">
        <v>985</v>
      </c>
      <c r="B1" s="418"/>
    </row>
    <row r="2" spans="1:2" x14ac:dyDescent="0.2">
      <c r="A2" s="344" t="s">
        <v>986</v>
      </c>
      <c r="B2" s="344"/>
    </row>
    <row r="3" spans="1:2" x14ac:dyDescent="0.2">
      <c r="A3" s="230" t="s">
        <v>987</v>
      </c>
      <c r="B3" s="345">
        <v>230</v>
      </c>
    </row>
    <row r="4" spans="1:2" x14ac:dyDescent="0.2">
      <c r="A4" s="227" t="s">
        <v>988</v>
      </c>
      <c r="B4" s="346">
        <v>139</v>
      </c>
    </row>
    <row r="5" spans="1:2" x14ac:dyDescent="0.2">
      <c r="A5" s="230" t="s">
        <v>989</v>
      </c>
      <c r="B5" s="345">
        <v>2514</v>
      </c>
    </row>
    <row r="6" spans="1:2" x14ac:dyDescent="0.2">
      <c r="A6" s="227" t="s">
        <v>990</v>
      </c>
      <c r="B6" s="346">
        <v>2391</v>
      </c>
    </row>
    <row r="7" spans="1:2" x14ac:dyDescent="0.2">
      <c r="A7" s="230" t="s">
        <v>291</v>
      </c>
      <c r="B7" s="345">
        <v>123</v>
      </c>
    </row>
    <row r="8" spans="1:2" x14ac:dyDescent="0.2">
      <c r="A8" s="227" t="s">
        <v>991</v>
      </c>
      <c r="B8" s="346">
        <v>10.93</v>
      </c>
    </row>
    <row r="9" spans="1:2" x14ac:dyDescent="0.2">
      <c r="A9" s="230" t="s">
        <v>992</v>
      </c>
      <c r="B9" s="347">
        <v>4.8899999999999999E-2</v>
      </c>
    </row>
    <row r="11" spans="1:2" x14ac:dyDescent="0.2">
      <c r="A11" s="344" t="s">
        <v>993</v>
      </c>
      <c r="B11" s="344"/>
    </row>
    <row r="12" spans="1:2" x14ac:dyDescent="0.2">
      <c r="A12" s="227" t="s">
        <v>994</v>
      </c>
      <c r="B12" s="346">
        <v>8.5500000000000007</v>
      </c>
    </row>
    <row r="13" spans="1:2" x14ac:dyDescent="0.2">
      <c r="A13" s="230" t="s">
        <v>995</v>
      </c>
      <c r="B13" s="345">
        <v>8.5</v>
      </c>
    </row>
    <row r="14" spans="1:2" x14ac:dyDescent="0.2">
      <c r="A14" s="227" t="s">
        <v>996</v>
      </c>
      <c r="B14" s="346" t="s">
        <v>3930</v>
      </c>
    </row>
    <row r="16" spans="1:2" x14ac:dyDescent="0.2">
      <c r="A16" s="344" t="s">
        <v>997</v>
      </c>
      <c r="B16" s="344"/>
    </row>
    <row r="17" spans="1:2" x14ac:dyDescent="0.2">
      <c r="A17" s="230" t="s">
        <v>998</v>
      </c>
      <c r="B17" s="345">
        <v>1.1000000000000001</v>
      </c>
    </row>
    <row r="18" spans="1:2" x14ac:dyDescent="0.2">
      <c r="A18" s="227" t="s">
        <v>999</v>
      </c>
      <c r="B18" s="348">
        <v>0.12909999999999999</v>
      </c>
    </row>
    <row r="19" spans="1:2" x14ac:dyDescent="0.2">
      <c r="A19" s="230" t="s">
        <v>1000</v>
      </c>
      <c r="B19" s="345" t="s">
        <v>2496</v>
      </c>
    </row>
    <row r="20" spans="1:2" x14ac:dyDescent="0.2">
      <c r="A20" s="227" t="s">
        <v>1001</v>
      </c>
      <c r="B20" s="346" t="s">
        <v>1741</v>
      </c>
    </row>
    <row r="22" spans="1:2" x14ac:dyDescent="0.2">
      <c r="A22" s="344" t="s">
        <v>1002</v>
      </c>
      <c r="B22" s="344"/>
    </row>
    <row r="23" spans="1:2" x14ac:dyDescent="0.2">
      <c r="A23" s="230" t="s">
        <v>1003</v>
      </c>
      <c r="B23" s="345" t="s">
        <v>3861</v>
      </c>
    </row>
    <row r="24" spans="1:2" x14ac:dyDescent="0.2">
      <c r="A24" s="227" t="s">
        <v>1004</v>
      </c>
      <c r="B24" s="346" t="s">
        <v>3931</v>
      </c>
    </row>
    <row r="26" spans="1:2" x14ac:dyDescent="0.2">
      <c r="A26" s="344" t="s">
        <v>1005</v>
      </c>
      <c r="B26" s="344"/>
    </row>
    <row r="27" spans="1:2" x14ac:dyDescent="0.2">
      <c r="A27" s="230" t="s">
        <v>1006</v>
      </c>
      <c r="B27" s="345" t="s">
        <v>3932</v>
      </c>
    </row>
    <row r="28" spans="1:2" x14ac:dyDescent="0.2">
      <c r="A28" s="227" t="s">
        <v>1007</v>
      </c>
      <c r="B28" s="346" t="s">
        <v>3933</v>
      </c>
    </row>
    <row r="29" spans="1:2" x14ac:dyDescent="0.2">
      <c r="A29" s="230" t="s">
        <v>1008</v>
      </c>
      <c r="B29" s="345" t="s">
        <v>3934</v>
      </c>
    </row>
    <row r="30" spans="1:2" x14ac:dyDescent="0.2">
      <c r="A30" s="227" t="s">
        <v>1009</v>
      </c>
      <c r="B30" s="346" t="s">
        <v>3935</v>
      </c>
    </row>
    <row r="31" spans="1:2" x14ac:dyDescent="0.2">
      <c r="A31" s="230" t="s">
        <v>1010</v>
      </c>
      <c r="B31" s="345" t="s">
        <v>3936</v>
      </c>
    </row>
    <row r="32" spans="1:2" x14ac:dyDescent="0.2">
      <c r="A32" s="227" t="s">
        <v>1011</v>
      </c>
      <c r="B32" s="346" t="s">
        <v>3937</v>
      </c>
    </row>
    <row r="34" spans="1:2" x14ac:dyDescent="0.2">
      <c r="A34" s="344" t="s">
        <v>1012</v>
      </c>
      <c r="B34" s="344"/>
    </row>
    <row r="35" spans="1:2" x14ac:dyDescent="0.2">
      <c r="A35" s="230" t="s">
        <v>1013</v>
      </c>
      <c r="B35" s="345" t="s">
        <v>1014</v>
      </c>
    </row>
    <row r="36" spans="1:2" x14ac:dyDescent="0.2">
      <c r="A36" s="227" t="s">
        <v>1015</v>
      </c>
      <c r="B36" s="346" t="s">
        <v>2497</v>
      </c>
    </row>
    <row r="37" spans="1:2" x14ac:dyDescent="0.2">
      <c r="A37" s="230" t="s">
        <v>1016</v>
      </c>
      <c r="B37" s="345" t="s">
        <v>2533</v>
      </c>
    </row>
    <row r="38" spans="1:2" x14ac:dyDescent="0.2">
      <c r="A38" s="227" t="s">
        <v>1017</v>
      </c>
      <c r="B38" s="346" t="s">
        <v>3384</v>
      </c>
    </row>
    <row r="40" spans="1:2" x14ac:dyDescent="0.2">
      <c r="A40" s="344" t="s">
        <v>3163</v>
      </c>
      <c r="B40" s="344"/>
    </row>
    <row r="41" spans="1:2" x14ac:dyDescent="0.2">
      <c r="A41" s="230" t="s">
        <v>3164</v>
      </c>
      <c r="B41" s="345" t="s">
        <v>3968</v>
      </c>
    </row>
    <row r="42" spans="1:2" x14ac:dyDescent="0.2">
      <c r="A42" s="227" t="s">
        <v>3165</v>
      </c>
      <c r="B42" s="346">
        <v>124</v>
      </c>
    </row>
    <row r="43" spans="1:2" x14ac:dyDescent="0.2">
      <c r="A43" s="230" t="s">
        <v>1018</v>
      </c>
      <c r="B43" s="345" t="s">
        <v>3800</v>
      </c>
    </row>
    <row r="44" spans="1:2" x14ac:dyDescent="0.2">
      <c r="A44" s="227" t="s">
        <v>1019</v>
      </c>
      <c r="B44" s="346" t="s">
        <v>2017</v>
      </c>
    </row>
    <row r="45" spans="1:2" x14ac:dyDescent="0.2">
      <c r="A45" s="230" t="s">
        <v>1020</v>
      </c>
      <c r="B45" s="345" t="s">
        <v>3397</v>
      </c>
    </row>
    <row r="47" spans="1:2" x14ac:dyDescent="0.2">
      <c r="A47" s="344" t="s">
        <v>3166</v>
      </c>
      <c r="B47" s="344"/>
    </row>
    <row r="48" spans="1:2" x14ac:dyDescent="0.2">
      <c r="A48" s="227" t="s">
        <v>1021</v>
      </c>
      <c r="B48" s="346" t="s">
        <v>3167</v>
      </c>
    </row>
    <row r="49" spans="1:2" x14ac:dyDescent="0.2">
      <c r="A49" s="230" t="s">
        <v>1026</v>
      </c>
      <c r="B49" s="345" t="s">
        <v>3168</v>
      </c>
    </row>
    <row r="50" spans="1:2" x14ac:dyDescent="0.2">
      <c r="A50" s="227" t="s">
        <v>1023</v>
      </c>
      <c r="B50" s="346" t="s">
        <v>3169</v>
      </c>
    </row>
    <row r="51" spans="1:2" x14ac:dyDescent="0.2">
      <c r="A51" s="230" t="s">
        <v>720</v>
      </c>
      <c r="B51" s="345" t="s">
        <v>3170</v>
      </c>
    </row>
    <row r="52" spans="1:2" x14ac:dyDescent="0.2">
      <c r="A52" s="227" t="s">
        <v>1027</v>
      </c>
      <c r="B52" s="346" t="s">
        <v>3171</v>
      </c>
    </row>
    <row r="53" spans="1:2" x14ac:dyDescent="0.2">
      <c r="A53" s="230" t="s">
        <v>1028</v>
      </c>
      <c r="B53" s="345" t="s">
        <v>3171</v>
      </c>
    </row>
    <row r="54" spans="1:2" x14ac:dyDescent="0.2">
      <c r="A54" s="227" t="s">
        <v>2631</v>
      </c>
      <c r="B54" s="346" t="s">
        <v>3172</v>
      </c>
    </row>
    <row r="55" spans="1:2" x14ac:dyDescent="0.2">
      <c r="A55" s="230" t="s">
        <v>2632</v>
      </c>
      <c r="B55" s="345" t="s">
        <v>3172</v>
      </c>
    </row>
    <row r="56" spans="1:2" x14ac:dyDescent="0.2">
      <c r="A56" s="227" t="s">
        <v>1022</v>
      </c>
      <c r="B56" s="346" t="s">
        <v>3412</v>
      </c>
    </row>
    <row r="57" spans="1:2" x14ac:dyDescent="0.2">
      <c r="A57" s="230" t="s">
        <v>1025</v>
      </c>
      <c r="B57" s="345" t="s">
        <v>3718</v>
      </c>
    </row>
    <row r="58" spans="1:2" x14ac:dyDescent="0.2">
      <c r="A58" s="227" t="s">
        <v>1042</v>
      </c>
      <c r="B58" s="346" t="s">
        <v>3801</v>
      </c>
    </row>
    <row r="59" spans="1:2" x14ac:dyDescent="0.2">
      <c r="A59" s="230" t="s">
        <v>1532</v>
      </c>
      <c r="B59" s="345" t="s">
        <v>3173</v>
      </c>
    </row>
    <row r="60" spans="1:2" x14ac:dyDescent="0.2">
      <c r="A60" s="227" t="s">
        <v>1030</v>
      </c>
      <c r="B60" s="346" t="s">
        <v>3174</v>
      </c>
    </row>
    <row r="61" spans="1:2" x14ac:dyDescent="0.2">
      <c r="A61" s="230" t="s">
        <v>2591</v>
      </c>
      <c r="B61" s="345" t="s">
        <v>3175</v>
      </c>
    </row>
    <row r="62" spans="1:2" x14ac:dyDescent="0.2">
      <c r="A62" s="227" t="s">
        <v>2498</v>
      </c>
      <c r="B62" s="346" t="s">
        <v>3176</v>
      </c>
    </row>
    <row r="63" spans="1:2" x14ac:dyDescent="0.2">
      <c r="A63" s="230" t="s">
        <v>1530</v>
      </c>
      <c r="B63" s="345" t="s">
        <v>3741</v>
      </c>
    </row>
    <row r="64" spans="1:2" x14ac:dyDescent="0.2">
      <c r="A64" s="227" t="s">
        <v>2452</v>
      </c>
      <c r="B64" s="346" t="s">
        <v>3506</v>
      </c>
    </row>
    <row r="65" spans="1:2" x14ac:dyDescent="0.2">
      <c r="A65" s="230" t="s">
        <v>1324</v>
      </c>
      <c r="B65" s="345" t="s">
        <v>3177</v>
      </c>
    </row>
    <row r="66" spans="1:2" x14ac:dyDescent="0.2">
      <c r="A66" s="227" t="s">
        <v>1024</v>
      </c>
      <c r="B66" s="346" t="s">
        <v>3969</v>
      </c>
    </row>
    <row r="67" spans="1:2" x14ac:dyDescent="0.2">
      <c r="A67" s="230" t="s">
        <v>3006</v>
      </c>
      <c r="B67" s="345" t="s">
        <v>3178</v>
      </c>
    </row>
    <row r="68" spans="1:2" x14ac:dyDescent="0.2">
      <c r="A68" s="227" t="s">
        <v>1035</v>
      </c>
      <c r="B68" s="346" t="s">
        <v>3179</v>
      </c>
    </row>
    <row r="69" spans="1:2" x14ac:dyDescent="0.2">
      <c r="A69" s="230" t="s">
        <v>1039</v>
      </c>
      <c r="B69" s="345" t="s">
        <v>3180</v>
      </c>
    </row>
    <row r="70" spans="1:2" x14ac:dyDescent="0.2">
      <c r="A70" s="227" t="s">
        <v>1386</v>
      </c>
      <c r="B70" s="346" t="s">
        <v>3182</v>
      </c>
    </row>
    <row r="71" spans="1:2" x14ac:dyDescent="0.2">
      <c r="A71" s="230" t="s">
        <v>1160</v>
      </c>
      <c r="B71" s="345" t="s">
        <v>3181</v>
      </c>
    </row>
    <row r="72" spans="1:2" x14ac:dyDescent="0.2">
      <c r="A72" s="227" t="s">
        <v>1161</v>
      </c>
      <c r="B72" s="346" t="s">
        <v>3181</v>
      </c>
    </row>
    <row r="73" spans="1:2" x14ac:dyDescent="0.2">
      <c r="A73" s="230" t="s">
        <v>3531</v>
      </c>
      <c r="B73" s="345" t="s">
        <v>3540</v>
      </c>
    </row>
    <row r="74" spans="1:2" x14ac:dyDescent="0.2">
      <c r="A74" s="227" t="s">
        <v>3020</v>
      </c>
      <c r="B74" s="346" t="s">
        <v>3541</v>
      </c>
    </row>
    <row r="75" spans="1:2" x14ac:dyDescent="0.2">
      <c r="A75" s="230" t="s">
        <v>1758</v>
      </c>
      <c r="B75" s="345" t="s">
        <v>3819</v>
      </c>
    </row>
    <row r="76" spans="1:2" x14ac:dyDescent="0.2">
      <c r="A76" s="227" t="s">
        <v>3575</v>
      </c>
      <c r="B76" s="346" t="s">
        <v>3820</v>
      </c>
    </row>
    <row r="77" spans="1:2" x14ac:dyDescent="0.2">
      <c r="A77" s="230" t="s">
        <v>2867</v>
      </c>
      <c r="B77" s="345" t="s">
        <v>3183</v>
      </c>
    </row>
    <row r="78" spans="1:2" x14ac:dyDescent="0.2">
      <c r="A78" s="227" t="s">
        <v>1174</v>
      </c>
      <c r="B78" s="346" t="s">
        <v>3404</v>
      </c>
    </row>
    <row r="79" spans="1:2" x14ac:dyDescent="0.2">
      <c r="A79" s="230" t="s">
        <v>3825</v>
      </c>
      <c r="B79" s="345" t="s">
        <v>3184</v>
      </c>
    </row>
    <row r="80" spans="1:2" x14ac:dyDescent="0.2">
      <c r="A80" s="227" t="s">
        <v>3824</v>
      </c>
      <c r="B80" s="346" t="s">
        <v>3184</v>
      </c>
    </row>
    <row r="81" spans="1:2" x14ac:dyDescent="0.2">
      <c r="A81" s="230" t="s">
        <v>1269</v>
      </c>
      <c r="B81" s="345" t="s">
        <v>3184</v>
      </c>
    </row>
    <row r="82" spans="1:2" x14ac:dyDescent="0.2">
      <c r="A82" s="227" t="s">
        <v>734</v>
      </c>
      <c r="B82" s="346" t="s">
        <v>3185</v>
      </c>
    </row>
    <row r="83" spans="1:2" x14ac:dyDescent="0.2">
      <c r="A83" s="230" t="s">
        <v>1698</v>
      </c>
      <c r="B83" s="345" t="s">
        <v>3311</v>
      </c>
    </row>
    <row r="84" spans="1:2" x14ac:dyDescent="0.2">
      <c r="A84" s="227" t="s">
        <v>733</v>
      </c>
      <c r="B84" s="346" t="s">
        <v>3840</v>
      </c>
    </row>
    <row r="85" spans="1:2" x14ac:dyDescent="0.2">
      <c r="A85" s="230" t="s">
        <v>1434</v>
      </c>
      <c r="B85" s="345" t="s">
        <v>3187</v>
      </c>
    </row>
    <row r="86" spans="1:2" x14ac:dyDescent="0.2">
      <c r="A86" s="227" t="s">
        <v>1173</v>
      </c>
      <c r="B86" s="346" t="s">
        <v>3190</v>
      </c>
    </row>
    <row r="87" spans="1:2" x14ac:dyDescent="0.2">
      <c r="A87" s="230" t="s">
        <v>1571</v>
      </c>
      <c r="B87" s="345" t="s">
        <v>3189</v>
      </c>
    </row>
    <row r="88" spans="1:2" x14ac:dyDescent="0.2">
      <c r="A88" s="227" t="s">
        <v>2633</v>
      </c>
      <c r="B88" s="346" t="s">
        <v>3188</v>
      </c>
    </row>
    <row r="89" spans="1:2" x14ac:dyDescent="0.2">
      <c r="A89" s="230" t="s">
        <v>2411</v>
      </c>
      <c r="B89" s="345" t="s">
        <v>3186</v>
      </c>
    </row>
    <row r="90" spans="1:2" x14ac:dyDescent="0.2">
      <c r="A90" s="227" t="s">
        <v>1034</v>
      </c>
      <c r="B90" s="346" t="s">
        <v>3841</v>
      </c>
    </row>
    <row r="91" spans="1:2" x14ac:dyDescent="0.2">
      <c r="A91" s="230" t="s">
        <v>1040</v>
      </c>
      <c r="B91" s="345" t="s">
        <v>3348</v>
      </c>
    </row>
    <row r="92" spans="1:2" x14ac:dyDescent="0.2">
      <c r="A92" s="227" t="s">
        <v>1029</v>
      </c>
      <c r="B92" s="346" t="s">
        <v>3905</v>
      </c>
    </row>
    <row r="93" spans="1:2" x14ac:dyDescent="0.2">
      <c r="A93" s="230" t="s">
        <v>1046</v>
      </c>
      <c r="B93" s="345" t="s">
        <v>3191</v>
      </c>
    </row>
    <row r="94" spans="1:2" x14ac:dyDescent="0.2">
      <c r="A94" s="227" t="s">
        <v>1131</v>
      </c>
      <c r="B94" s="346" t="s">
        <v>3192</v>
      </c>
    </row>
    <row r="95" spans="1:2" x14ac:dyDescent="0.2">
      <c r="A95" s="230" t="s">
        <v>1418</v>
      </c>
      <c r="B95" s="345" t="s">
        <v>3193</v>
      </c>
    </row>
    <row r="96" spans="1:2" x14ac:dyDescent="0.2">
      <c r="A96" s="227" t="s">
        <v>1419</v>
      </c>
      <c r="B96" s="346" t="s">
        <v>3193</v>
      </c>
    </row>
    <row r="97" spans="1:2" x14ac:dyDescent="0.2">
      <c r="A97" s="230" t="s">
        <v>2733</v>
      </c>
      <c r="B97" s="345" t="s">
        <v>3195</v>
      </c>
    </row>
    <row r="98" spans="1:2" x14ac:dyDescent="0.2">
      <c r="A98" s="227" t="s">
        <v>2137</v>
      </c>
      <c r="B98" s="346" t="s">
        <v>3194</v>
      </c>
    </row>
    <row r="99" spans="1:2" x14ac:dyDescent="0.2">
      <c r="A99" s="230" t="s">
        <v>1036</v>
      </c>
      <c r="B99" s="345" t="s">
        <v>3195</v>
      </c>
    </row>
    <row r="100" spans="1:2" x14ac:dyDescent="0.2">
      <c r="A100" s="227" t="s">
        <v>2669</v>
      </c>
      <c r="B100" s="346" t="s">
        <v>3196</v>
      </c>
    </row>
    <row r="101" spans="1:2" x14ac:dyDescent="0.2">
      <c r="A101" s="230" t="s">
        <v>1481</v>
      </c>
      <c r="B101" s="345" t="s">
        <v>3197</v>
      </c>
    </row>
    <row r="102" spans="1:2" x14ac:dyDescent="0.2">
      <c r="A102" s="227" t="s">
        <v>1572</v>
      </c>
      <c r="B102" s="346" t="s">
        <v>3649</v>
      </c>
    </row>
    <row r="103" spans="1:2" x14ac:dyDescent="0.2">
      <c r="A103" s="230" t="s">
        <v>3114</v>
      </c>
      <c r="B103" s="345" t="s">
        <v>3198</v>
      </c>
    </row>
    <row r="104" spans="1:2" x14ac:dyDescent="0.2">
      <c r="A104" s="227" t="s">
        <v>1037</v>
      </c>
      <c r="B104" s="346" t="s">
        <v>3199</v>
      </c>
    </row>
    <row r="105" spans="1:2" x14ac:dyDescent="0.2">
      <c r="A105" s="230" t="s">
        <v>2310</v>
      </c>
      <c r="B105" s="345" t="s">
        <v>3306</v>
      </c>
    </row>
    <row r="106" spans="1:2" x14ac:dyDescent="0.2">
      <c r="A106" s="227" t="s">
        <v>2553</v>
      </c>
      <c r="B106" s="346" t="s">
        <v>3200</v>
      </c>
    </row>
    <row r="107" spans="1:2" x14ac:dyDescent="0.2">
      <c r="A107" s="230" t="s">
        <v>2333</v>
      </c>
      <c r="B107" s="345" t="s">
        <v>3201</v>
      </c>
    </row>
    <row r="108" spans="1:2" x14ac:dyDescent="0.2">
      <c r="A108" s="227" t="s">
        <v>2334</v>
      </c>
      <c r="B108" s="346" t="s">
        <v>3201</v>
      </c>
    </row>
    <row r="109" spans="1:2" x14ac:dyDescent="0.2">
      <c r="A109" s="230" t="s">
        <v>1118</v>
      </c>
      <c r="B109" s="345" t="s">
        <v>3970</v>
      </c>
    </row>
    <row r="110" spans="1:2" x14ac:dyDescent="0.2">
      <c r="A110" s="227" t="s">
        <v>1045</v>
      </c>
      <c r="B110" s="346" t="s">
        <v>3202</v>
      </c>
    </row>
    <row r="111" spans="1:2" x14ac:dyDescent="0.2">
      <c r="A111" s="230" t="s">
        <v>1314</v>
      </c>
      <c r="B111" s="345" t="s">
        <v>3203</v>
      </c>
    </row>
    <row r="112" spans="1:2" x14ac:dyDescent="0.2">
      <c r="A112" s="227" t="s">
        <v>1284</v>
      </c>
      <c r="B112" s="346" t="s">
        <v>3895</v>
      </c>
    </row>
    <row r="113" spans="1:2" x14ac:dyDescent="0.2">
      <c r="A113" s="230" t="s">
        <v>2138</v>
      </c>
      <c r="B113" s="345" t="s">
        <v>3205</v>
      </c>
    </row>
    <row r="114" spans="1:2" x14ac:dyDescent="0.2">
      <c r="A114" s="227" t="s">
        <v>1056</v>
      </c>
      <c r="B114" s="346" t="s">
        <v>3204</v>
      </c>
    </row>
    <row r="115" spans="1:2" x14ac:dyDescent="0.2">
      <c r="A115" s="230" t="s">
        <v>737</v>
      </c>
      <c r="B115" s="345" t="s">
        <v>3206</v>
      </c>
    </row>
    <row r="116" spans="1:2" x14ac:dyDescent="0.2">
      <c r="A116" s="227" t="s">
        <v>732</v>
      </c>
      <c r="B116" s="346" t="s">
        <v>3774</v>
      </c>
    </row>
    <row r="117" spans="1:2" x14ac:dyDescent="0.2">
      <c r="A117" s="230" t="s">
        <v>1957</v>
      </c>
      <c r="B117" s="345" t="s">
        <v>3971</v>
      </c>
    </row>
    <row r="118" spans="1:2" x14ac:dyDescent="0.2">
      <c r="A118" s="227" t="s">
        <v>3648</v>
      </c>
      <c r="B118" s="346" t="s">
        <v>3650</v>
      </c>
    </row>
    <row r="119" spans="1:2" x14ac:dyDescent="0.2">
      <c r="A119" s="230" t="s">
        <v>1326</v>
      </c>
      <c r="B119" s="345" t="s">
        <v>3207</v>
      </c>
    </row>
    <row r="120" spans="1:2" x14ac:dyDescent="0.2">
      <c r="A120" s="227" t="s">
        <v>1038</v>
      </c>
      <c r="B120" s="346" t="s">
        <v>3208</v>
      </c>
    </row>
    <row r="121" spans="1:2" x14ac:dyDescent="0.2">
      <c r="A121" s="230" t="s">
        <v>2685</v>
      </c>
      <c r="B121" s="345" t="s">
        <v>3507</v>
      </c>
    </row>
    <row r="122" spans="1:2" x14ac:dyDescent="0.2">
      <c r="A122" s="227" t="s">
        <v>1053</v>
      </c>
      <c r="B122" s="346" t="s">
        <v>3209</v>
      </c>
    </row>
    <row r="123" spans="1:2" x14ac:dyDescent="0.2">
      <c r="A123" s="230" t="s">
        <v>1031</v>
      </c>
      <c r="B123" s="345" t="s">
        <v>3210</v>
      </c>
    </row>
    <row r="124" spans="1:2" x14ac:dyDescent="0.2">
      <c r="A124" s="227" t="s">
        <v>2961</v>
      </c>
      <c r="B124" s="346" t="s">
        <v>3211</v>
      </c>
    </row>
    <row r="125" spans="1:2" x14ac:dyDescent="0.2">
      <c r="A125" s="230" t="s">
        <v>2008</v>
      </c>
      <c r="B125" s="345" t="s">
        <v>3212</v>
      </c>
    </row>
    <row r="126" spans="1:2" x14ac:dyDescent="0.2">
      <c r="A126" s="227" t="s">
        <v>1041</v>
      </c>
      <c r="B126" s="346" t="s">
        <v>3214</v>
      </c>
    </row>
    <row r="127" spans="1:2" x14ac:dyDescent="0.2">
      <c r="A127" s="230" t="s">
        <v>1047</v>
      </c>
      <c r="B127" s="345" t="s">
        <v>3213</v>
      </c>
    </row>
    <row r="128" spans="1:2" x14ac:dyDescent="0.2">
      <c r="A128" s="227" t="s">
        <v>1388</v>
      </c>
      <c r="B128" s="346" t="s">
        <v>3216</v>
      </c>
    </row>
    <row r="129" spans="1:2" x14ac:dyDescent="0.2">
      <c r="A129" s="230" t="s">
        <v>2397</v>
      </c>
      <c r="B129" s="345" t="s">
        <v>3215</v>
      </c>
    </row>
    <row r="130" spans="1:2" x14ac:dyDescent="0.2">
      <c r="A130" s="227" t="s">
        <v>1043</v>
      </c>
      <c r="B130" s="346" t="s">
        <v>3217</v>
      </c>
    </row>
    <row r="131" spans="1:2" x14ac:dyDescent="0.2">
      <c r="A131" s="230" t="s">
        <v>3304</v>
      </c>
      <c r="B131" s="345" t="s">
        <v>3307</v>
      </c>
    </row>
    <row r="132" spans="1:2" x14ac:dyDescent="0.2">
      <c r="A132" s="227" t="s">
        <v>1048</v>
      </c>
      <c r="B132" s="346" t="s">
        <v>3651</v>
      </c>
    </row>
    <row r="133" spans="1:2" x14ac:dyDescent="0.2">
      <c r="A133" s="230" t="s">
        <v>3362</v>
      </c>
      <c r="B133" s="345" t="s">
        <v>3363</v>
      </c>
    </row>
    <row r="134" spans="1:2" x14ac:dyDescent="0.2">
      <c r="A134" s="227" t="s">
        <v>1582</v>
      </c>
      <c r="B134" s="346" t="s">
        <v>3219</v>
      </c>
    </row>
    <row r="135" spans="1:2" x14ac:dyDescent="0.2">
      <c r="A135" s="230" t="s">
        <v>1049</v>
      </c>
      <c r="B135" s="345" t="s">
        <v>3218</v>
      </c>
    </row>
    <row r="136" spans="1:2" x14ac:dyDescent="0.2">
      <c r="A136" s="227" t="s">
        <v>1050</v>
      </c>
      <c r="B136" s="346" t="s">
        <v>3218</v>
      </c>
    </row>
    <row r="137" spans="1:2" x14ac:dyDescent="0.2">
      <c r="A137" s="230" t="s">
        <v>2587</v>
      </c>
      <c r="B137" s="345" t="s">
        <v>3221</v>
      </c>
    </row>
    <row r="138" spans="1:2" x14ac:dyDescent="0.2">
      <c r="A138" s="227" t="s">
        <v>1051</v>
      </c>
      <c r="B138" s="346" t="s">
        <v>3220</v>
      </c>
    </row>
    <row r="139" spans="1:2" x14ac:dyDescent="0.2">
      <c r="A139" s="230" t="s">
        <v>1032</v>
      </c>
      <c r="B139" s="345" t="s">
        <v>3222</v>
      </c>
    </row>
    <row r="140" spans="1:2" x14ac:dyDescent="0.2">
      <c r="A140" s="227" t="s">
        <v>1052</v>
      </c>
      <c r="B140" s="346" t="s">
        <v>3223</v>
      </c>
    </row>
    <row r="141" spans="1:2" x14ac:dyDescent="0.2">
      <c r="A141" s="230" t="s">
        <v>3904</v>
      </c>
      <c r="B141" s="345" t="s">
        <v>3223</v>
      </c>
    </row>
    <row r="142" spans="1:2" x14ac:dyDescent="0.2">
      <c r="A142" s="227" t="s">
        <v>1058</v>
      </c>
      <c r="B142" s="346" t="s">
        <v>3802</v>
      </c>
    </row>
    <row r="143" spans="1:2" x14ac:dyDescent="0.2">
      <c r="A143" s="230" t="s">
        <v>731</v>
      </c>
      <c r="B143" s="345" t="s">
        <v>3803</v>
      </c>
    </row>
    <row r="144" spans="1:2" x14ac:dyDescent="0.2">
      <c r="A144" s="227" t="s">
        <v>724</v>
      </c>
      <c r="B144" s="346" t="s">
        <v>3224</v>
      </c>
    </row>
    <row r="145" spans="1:2" x14ac:dyDescent="0.2">
      <c r="A145" s="230" t="s">
        <v>1213</v>
      </c>
      <c r="B145" s="345" t="s">
        <v>3225</v>
      </c>
    </row>
    <row r="146" spans="1:2" x14ac:dyDescent="0.2">
      <c r="A146" s="227" t="s">
        <v>1214</v>
      </c>
      <c r="B146" s="346" t="s">
        <v>3225</v>
      </c>
    </row>
    <row r="147" spans="1:2" x14ac:dyDescent="0.2">
      <c r="A147" s="230" t="s">
        <v>2101</v>
      </c>
      <c r="B147" s="345" t="s">
        <v>3862</v>
      </c>
    </row>
    <row r="148" spans="1:2" x14ac:dyDescent="0.2">
      <c r="A148" s="227" t="s">
        <v>2920</v>
      </c>
      <c r="B148" s="346" t="s">
        <v>3226</v>
      </c>
    </row>
    <row r="149" spans="1:2" x14ac:dyDescent="0.2">
      <c r="A149" s="230" t="s">
        <v>1772</v>
      </c>
      <c r="B149" s="345" t="s">
        <v>3227</v>
      </c>
    </row>
    <row r="150" spans="1:2" x14ac:dyDescent="0.2">
      <c r="A150" s="227" t="s">
        <v>1216</v>
      </c>
      <c r="B150" s="346" t="s">
        <v>3576</v>
      </c>
    </row>
    <row r="151" spans="1:2" x14ac:dyDescent="0.2">
      <c r="A151" s="230" t="s">
        <v>1925</v>
      </c>
      <c r="B151" s="345" t="s">
        <v>3228</v>
      </c>
    </row>
    <row r="152" spans="1:2" x14ac:dyDescent="0.2">
      <c r="A152" s="227" t="s">
        <v>1033</v>
      </c>
      <c r="B152" s="346" t="s">
        <v>3229</v>
      </c>
    </row>
    <row r="153" spans="1:2" x14ac:dyDescent="0.2">
      <c r="A153" s="230" t="s">
        <v>2793</v>
      </c>
      <c r="B153" s="345" t="s">
        <v>3230</v>
      </c>
    </row>
    <row r="154" spans="1:2" x14ac:dyDescent="0.2">
      <c r="A154" s="227" t="s">
        <v>1054</v>
      </c>
      <c r="B154" s="346" t="s">
        <v>3232</v>
      </c>
    </row>
    <row r="155" spans="1:2" x14ac:dyDescent="0.2">
      <c r="A155" s="230" t="s">
        <v>1991</v>
      </c>
      <c r="B155" s="345" t="s">
        <v>3231</v>
      </c>
    </row>
    <row r="156" spans="1:2" x14ac:dyDescent="0.2">
      <c r="A156" s="227" t="s">
        <v>1055</v>
      </c>
      <c r="B156" s="346" t="s">
        <v>3672</v>
      </c>
    </row>
    <row r="157" spans="1:2" x14ac:dyDescent="0.2">
      <c r="A157" s="230" t="s">
        <v>3965</v>
      </c>
      <c r="B157" s="345" t="s">
        <v>3972</v>
      </c>
    </row>
    <row r="158" spans="1:2" x14ac:dyDescent="0.2">
      <c r="A158" s="227" t="s">
        <v>1494</v>
      </c>
      <c r="B158" s="346" t="s">
        <v>3233</v>
      </c>
    </row>
    <row r="159" spans="1:2" x14ac:dyDescent="0.2">
      <c r="A159" s="230" t="s">
        <v>1508</v>
      </c>
      <c r="B159" s="345" t="s">
        <v>3577</v>
      </c>
    </row>
    <row r="160" spans="1:2" x14ac:dyDescent="0.2">
      <c r="A160" s="227" t="s">
        <v>3543</v>
      </c>
      <c r="B160" s="346" t="s">
        <v>3544</v>
      </c>
    </row>
    <row r="161" spans="1:2" x14ac:dyDescent="0.2">
      <c r="A161" s="230" t="s">
        <v>739</v>
      </c>
      <c r="B161" s="345" t="s">
        <v>3627</v>
      </c>
    </row>
    <row r="162" spans="1:2" x14ac:dyDescent="0.2">
      <c r="A162" s="227" t="s">
        <v>1805</v>
      </c>
      <c r="B162" s="346" t="s">
        <v>3234</v>
      </c>
    </row>
    <row r="163" spans="1:2" x14ac:dyDescent="0.2">
      <c r="A163" s="230" t="s">
        <v>1234</v>
      </c>
      <c r="B163" s="345" t="s">
        <v>3235</v>
      </c>
    </row>
    <row r="164" spans="1:2" x14ac:dyDescent="0.2">
      <c r="A164" s="227" t="s">
        <v>1495</v>
      </c>
      <c r="B164" s="346" t="s">
        <v>3236</v>
      </c>
    </row>
    <row r="165" spans="1:2" x14ac:dyDescent="0.2">
      <c r="A165" s="230" t="s">
        <v>1044</v>
      </c>
      <c r="B165" s="345" t="s">
        <v>3237</v>
      </c>
    </row>
    <row r="166" spans="1:2" x14ac:dyDescent="0.2">
      <c r="A166" s="227" t="s">
        <v>1057</v>
      </c>
      <c r="B166" s="346" t="s">
        <v>3238</v>
      </c>
    </row>
    <row r="167" spans="1:2" x14ac:dyDescent="0.2">
      <c r="A167" s="230" t="s">
        <v>1132</v>
      </c>
      <c r="B167" s="345" t="s">
        <v>3239</v>
      </c>
    </row>
    <row r="168" spans="1:2" x14ac:dyDescent="0.2">
      <c r="A168" s="227" t="s">
        <v>1059</v>
      </c>
      <c r="B168" s="346" t="s">
        <v>3240</v>
      </c>
    </row>
    <row r="169" spans="1:2" x14ac:dyDescent="0.2">
      <c r="A169" s="230" t="s">
        <v>1060</v>
      </c>
      <c r="B169" s="345" t="s">
        <v>3240</v>
      </c>
    </row>
    <row r="170" spans="1:2" x14ac:dyDescent="0.2">
      <c r="A170" s="227" t="s">
        <v>740</v>
      </c>
      <c r="B170" s="346" t="s">
        <v>3241</v>
      </c>
    </row>
    <row r="171" spans="1:2" x14ac:dyDescent="0.2">
      <c r="A171" s="230" t="s">
        <v>3385</v>
      </c>
      <c r="B171" s="345" t="s">
        <v>3398</v>
      </c>
    </row>
    <row r="173" spans="1:2" x14ac:dyDescent="0.2">
      <c r="A173" s="344" t="s">
        <v>3242</v>
      </c>
      <c r="B173" s="344"/>
    </row>
    <row r="174" spans="1:2" x14ac:dyDescent="0.2">
      <c r="A174" s="227" t="s">
        <v>3243</v>
      </c>
      <c r="B174" s="346" t="s">
        <v>3968</v>
      </c>
    </row>
    <row r="175" spans="1:2" x14ac:dyDescent="0.2">
      <c r="A175" s="230" t="s">
        <v>3244</v>
      </c>
      <c r="B175" s="345">
        <v>15</v>
      </c>
    </row>
    <row r="176" spans="1:2" x14ac:dyDescent="0.2">
      <c r="A176" s="227" t="s">
        <v>1018</v>
      </c>
      <c r="B176" s="346" t="s">
        <v>3973</v>
      </c>
    </row>
    <row r="177" spans="1:2" x14ac:dyDescent="0.2">
      <c r="A177" s="230" t="s">
        <v>1019</v>
      </c>
      <c r="B177" s="345" t="s">
        <v>3245</v>
      </c>
    </row>
    <row r="178" spans="1:2" x14ac:dyDescent="0.2">
      <c r="A178" s="227" t="s">
        <v>1020</v>
      </c>
      <c r="B178" s="346" t="s">
        <v>3405</v>
      </c>
    </row>
    <row r="179" spans="1:2" x14ac:dyDescent="0.2">
      <c r="A179" s="230" t="s">
        <v>3246</v>
      </c>
      <c r="B179" s="345" t="s">
        <v>3974</v>
      </c>
    </row>
    <row r="180" spans="1:2" x14ac:dyDescent="0.2">
      <c r="A180" s="227" t="s">
        <v>3247</v>
      </c>
      <c r="B180" s="346" t="s">
        <v>3406</v>
      </c>
    </row>
    <row r="181" spans="1:2" x14ac:dyDescent="0.2">
      <c r="A181" s="230" t="s">
        <v>3248</v>
      </c>
      <c r="B181" s="345" t="s">
        <v>3938</v>
      </c>
    </row>
    <row r="183" spans="1:2" x14ac:dyDescent="0.2">
      <c r="A183" s="344" t="s">
        <v>3249</v>
      </c>
      <c r="B183" s="344"/>
    </row>
    <row r="184" spans="1:2" x14ac:dyDescent="0.2">
      <c r="A184" s="227" t="s">
        <v>1118</v>
      </c>
      <c r="B184" s="346" t="s">
        <v>3975</v>
      </c>
    </row>
    <row r="185" spans="1:2" x14ac:dyDescent="0.2">
      <c r="A185" s="230" t="s">
        <v>3142</v>
      </c>
      <c r="B185" s="345" t="s">
        <v>3250</v>
      </c>
    </row>
    <row r="186" spans="1:2" x14ac:dyDescent="0.2">
      <c r="A186" s="227" t="s">
        <v>3141</v>
      </c>
      <c r="B186" s="346" t="s">
        <v>3976</v>
      </c>
    </row>
    <row r="187" spans="1:2" x14ac:dyDescent="0.2">
      <c r="A187" s="230" t="s">
        <v>3148</v>
      </c>
      <c r="B187" s="345" t="s">
        <v>3312</v>
      </c>
    </row>
    <row r="188" spans="1:2" x14ac:dyDescent="0.2">
      <c r="A188" s="227" t="s">
        <v>1048</v>
      </c>
      <c r="B188" s="346" t="s">
        <v>3829</v>
      </c>
    </row>
    <row r="189" spans="1:2" x14ac:dyDescent="0.2">
      <c r="A189" s="230" t="s">
        <v>3143</v>
      </c>
      <c r="B189" s="345" t="s">
        <v>3533</v>
      </c>
    </row>
    <row r="190" spans="1:2" x14ac:dyDescent="0.2">
      <c r="A190" s="227" t="s">
        <v>3145</v>
      </c>
      <c r="B190" s="346" t="s">
        <v>3896</v>
      </c>
    </row>
    <row r="191" spans="1:2" x14ac:dyDescent="0.2">
      <c r="A191" s="230" t="s">
        <v>3147</v>
      </c>
      <c r="B191" s="345" t="s">
        <v>3308</v>
      </c>
    </row>
    <row r="192" spans="1:2" x14ac:dyDescent="0.2">
      <c r="A192" s="227" t="s">
        <v>3144</v>
      </c>
      <c r="B192" s="346" t="s">
        <v>3310</v>
      </c>
    </row>
    <row r="193" spans="1:2" x14ac:dyDescent="0.2">
      <c r="A193" s="230" t="s">
        <v>3149</v>
      </c>
      <c r="B193" s="345" t="s">
        <v>3251</v>
      </c>
    </row>
    <row r="194" spans="1:2" x14ac:dyDescent="0.2">
      <c r="A194" s="227" t="s">
        <v>2793</v>
      </c>
      <c r="B194" s="346" t="s">
        <v>3252</v>
      </c>
    </row>
    <row r="195" spans="1:2" x14ac:dyDescent="0.2">
      <c r="A195" s="230" t="s">
        <v>3146</v>
      </c>
      <c r="B195" s="345" t="s">
        <v>3253</v>
      </c>
    </row>
    <row r="196" spans="1:2" x14ac:dyDescent="0.2">
      <c r="A196" s="227" t="s">
        <v>1032</v>
      </c>
      <c r="B196" s="346" t="s">
        <v>3628</v>
      </c>
    </row>
    <row r="197" spans="1:2" x14ac:dyDescent="0.2">
      <c r="A197" s="230" t="s">
        <v>3150</v>
      </c>
      <c r="B197" s="345" t="s">
        <v>3254</v>
      </c>
    </row>
    <row r="198" spans="1:2" x14ac:dyDescent="0.2">
      <c r="A198" s="227" t="s">
        <v>3401</v>
      </c>
      <c r="B198" s="346" t="s">
        <v>3407</v>
      </c>
    </row>
    <row r="200" spans="1:2" x14ac:dyDescent="0.2">
      <c r="A200" s="344" t="s">
        <v>3255</v>
      </c>
      <c r="B200" s="344"/>
    </row>
    <row r="201" spans="1:2" x14ac:dyDescent="0.2">
      <c r="A201" s="230" t="s">
        <v>1118</v>
      </c>
      <c r="B201" s="345" t="s">
        <v>3256</v>
      </c>
    </row>
    <row r="202" spans="1:2" x14ac:dyDescent="0.2">
      <c r="A202" s="227" t="s">
        <v>3142</v>
      </c>
      <c r="B202" s="346" t="s">
        <v>3257</v>
      </c>
    </row>
    <row r="203" spans="1:2" x14ac:dyDescent="0.2">
      <c r="A203" s="230" t="s">
        <v>3141</v>
      </c>
      <c r="B203" s="345" t="s">
        <v>3258</v>
      </c>
    </row>
    <row r="204" spans="1:2" x14ac:dyDescent="0.2">
      <c r="A204" s="227" t="s">
        <v>3148</v>
      </c>
      <c r="B204" s="346" t="s">
        <v>3259</v>
      </c>
    </row>
    <row r="205" spans="1:2" x14ac:dyDescent="0.2">
      <c r="A205" s="230" t="s">
        <v>1048</v>
      </c>
      <c r="B205" s="345" t="s">
        <v>3261</v>
      </c>
    </row>
    <row r="206" spans="1:2" x14ac:dyDescent="0.2">
      <c r="A206" s="227" t="s">
        <v>3143</v>
      </c>
      <c r="B206" s="346" t="s">
        <v>3775</v>
      </c>
    </row>
    <row r="207" spans="1:2" x14ac:dyDescent="0.2">
      <c r="A207" s="230" t="s">
        <v>3145</v>
      </c>
      <c r="B207" s="345" t="s">
        <v>3260</v>
      </c>
    </row>
    <row r="208" spans="1:2" x14ac:dyDescent="0.2">
      <c r="A208" s="227" t="s">
        <v>3147</v>
      </c>
      <c r="B208" s="346" t="s">
        <v>3262</v>
      </c>
    </row>
    <row r="209" spans="1:2" x14ac:dyDescent="0.2">
      <c r="A209" s="230" t="s">
        <v>3144</v>
      </c>
      <c r="B209" s="345" t="s">
        <v>3263</v>
      </c>
    </row>
    <row r="210" spans="1:2" x14ac:dyDescent="0.2">
      <c r="A210" s="227" t="s">
        <v>3149</v>
      </c>
      <c r="B210" s="346" t="s">
        <v>3264</v>
      </c>
    </row>
    <row r="211" spans="1:2" x14ac:dyDescent="0.2">
      <c r="A211" s="230" t="s">
        <v>2793</v>
      </c>
      <c r="B211" s="345" t="s">
        <v>3265</v>
      </c>
    </row>
    <row r="212" spans="1:2" x14ac:dyDescent="0.2">
      <c r="A212" s="227" t="s">
        <v>3146</v>
      </c>
      <c r="B212" s="346" t="s">
        <v>3266</v>
      </c>
    </row>
    <row r="213" spans="1:2" x14ac:dyDescent="0.2">
      <c r="A213" s="230" t="s">
        <v>1032</v>
      </c>
      <c r="B213" s="345" t="s">
        <v>3267</v>
      </c>
    </row>
    <row r="214" spans="1:2" x14ac:dyDescent="0.2">
      <c r="A214" s="227" t="s">
        <v>3150</v>
      </c>
      <c r="B214" s="346" t="s">
        <v>3268</v>
      </c>
    </row>
    <row r="215" spans="1:2" x14ac:dyDescent="0.2">
      <c r="A215" s="230" t="s">
        <v>3401</v>
      </c>
      <c r="B215" s="345" t="s">
        <v>3408</v>
      </c>
    </row>
    <row r="217" spans="1:2" x14ac:dyDescent="0.2">
      <c r="A217" s="344" t="s">
        <v>1868</v>
      </c>
      <c r="B217" s="344"/>
    </row>
    <row r="218" spans="1:2" x14ac:dyDescent="0.2">
      <c r="A218" s="227" t="s">
        <v>1869</v>
      </c>
      <c r="B218" s="346" t="s">
        <v>3968</v>
      </c>
    </row>
    <row r="219" spans="1:2" x14ac:dyDescent="0.2">
      <c r="A219" s="230" t="s">
        <v>1870</v>
      </c>
      <c r="B219" s="345">
        <v>1966</v>
      </c>
    </row>
    <row r="220" spans="1:2" x14ac:dyDescent="0.2">
      <c r="A220" s="227" t="s">
        <v>1871</v>
      </c>
      <c r="B220" s="346">
        <v>2026</v>
      </c>
    </row>
    <row r="221" spans="1:2" x14ac:dyDescent="0.2">
      <c r="A221" s="230" t="s">
        <v>1872</v>
      </c>
      <c r="B221" s="345" t="s">
        <v>3826</v>
      </c>
    </row>
    <row r="222" spans="1:2" x14ac:dyDescent="0.2">
      <c r="A222" s="227" t="s">
        <v>1873</v>
      </c>
      <c r="B222" s="346" t="s">
        <v>3742</v>
      </c>
    </row>
    <row r="224" spans="1:2" x14ac:dyDescent="0.2">
      <c r="A224" s="344" t="s">
        <v>1874</v>
      </c>
      <c r="B224" s="344"/>
    </row>
    <row r="225" spans="1:2" x14ac:dyDescent="0.2">
      <c r="A225" s="230" t="s">
        <v>1875</v>
      </c>
      <c r="B225" s="345" t="s">
        <v>2861</v>
      </c>
    </row>
    <row r="226" spans="1:2" x14ac:dyDescent="0.2">
      <c r="A226" s="227" t="s">
        <v>1876</v>
      </c>
      <c r="B226" s="346" t="s">
        <v>3743</v>
      </c>
    </row>
    <row r="227" spans="1:2" x14ac:dyDescent="0.2">
      <c r="A227" s="230" t="s">
        <v>1877</v>
      </c>
      <c r="B227" s="345" t="s">
        <v>3977</v>
      </c>
    </row>
    <row r="228" spans="1:2" x14ac:dyDescent="0.2">
      <c r="A228" s="227" t="s">
        <v>1878</v>
      </c>
      <c r="B228" s="346" t="s">
        <v>3897</v>
      </c>
    </row>
    <row r="229" spans="1:2" x14ac:dyDescent="0.2">
      <c r="A229" s="230" t="s">
        <v>1879</v>
      </c>
      <c r="B229" s="345" t="s">
        <v>3827</v>
      </c>
    </row>
    <row r="230" spans="1:2" x14ac:dyDescent="0.2">
      <c r="A230" s="227" t="s">
        <v>1880</v>
      </c>
      <c r="B230" s="346" t="s">
        <v>3804</v>
      </c>
    </row>
    <row r="231" spans="1:2" x14ac:dyDescent="0.2">
      <c r="A231" s="230" t="s">
        <v>1881</v>
      </c>
      <c r="B231" s="345" t="s">
        <v>3978</v>
      </c>
    </row>
    <row r="233" spans="1:2" x14ac:dyDescent="0.2">
      <c r="A233" s="344" t="s">
        <v>1882</v>
      </c>
      <c r="B233" s="344"/>
    </row>
    <row r="234" spans="1:2" x14ac:dyDescent="0.2">
      <c r="A234" s="227" t="s">
        <v>1883</v>
      </c>
      <c r="B234" s="346" t="s">
        <v>3968</v>
      </c>
    </row>
    <row r="235" spans="1:2" x14ac:dyDescent="0.2">
      <c r="A235" s="230" t="s">
        <v>1884</v>
      </c>
      <c r="B235" s="345" t="s">
        <v>1816</v>
      </c>
    </row>
    <row r="236" spans="1:2" x14ac:dyDescent="0.2">
      <c r="A236" s="227" t="s">
        <v>1885</v>
      </c>
      <c r="B236" s="346" t="s">
        <v>3652</v>
      </c>
    </row>
    <row r="237" spans="1:2" x14ac:dyDescent="0.2">
      <c r="A237" s="230" t="s">
        <v>1886</v>
      </c>
      <c r="B237" s="345" t="s">
        <v>2904</v>
      </c>
    </row>
    <row r="239" spans="1:2" x14ac:dyDescent="0.2">
      <c r="A239" s="344" t="s">
        <v>1887</v>
      </c>
      <c r="B239" s="344"/>
    </row>
    <row r="240" spans="1:2" x14ac:dyDescent="0.2">
      <c r="A240" s="227" t="s">
        <v>1888</v>
      </c>
      <c r="B240" s="346"/>
    </row>
    <row r="241" spans="1:2" x14ac:dyDescent="0.2">
      <c r="A241" s="230" t="s">
        <v>989</v>
      </c>
      <c r="B241" s="345" t="s">
        <v>3898</v>
      </c>
    </row>
    <row r="242" spans="1:2" x14ac:dyDescent="0.2">
      <c r="A242" s="227" t="s">
        <v>1889</v>
      </c>
      <c r="B242" s="346" t="s">
        <v>3863</v>
      </c>
    </row>
    <row r="243" spans="1:2" x14ac:dyDescent="0.2">
      <c r="A243" s="230" t="s">
        <v>992</v>
      </c>
      <c r="B243" s="345" t="s">
        <v>3939</v>
      </c>
    </row>
    <row r="244" spans="1:2" x14ac:dyDescent="0.2">
      <c r="A244" s="227" t="s">
        <v>998</v>
      </c>
      <c r="B244" s="346" t="s">
        <v>3940</v>
      </c>
    </row>
    <row r="245" spans="1:2" x14ac:dyDescent="0.2">
      <c r="A245" s="230" t="s">
        <v>289</v>
      </c>
      <c r="B245" s="345" t="s">
        <v>3941</v>
      </c>
    </row>
    <row r="246" spans="1:2" x14ac:dyDescent="0.2">
      <c r="A246" s="227" t="s">
        <v>1890</v>
      </c>
      <c r="B246" s="346" t="s">
        <v>3899</v>
      </c>
    </row>
    <row r="247" spans="1:2" x14ac:dyDescent="0.2">
      <c r="A247" s="230" t="s">
        <v>1891</v>
      </c>
      <c r="B247" s="345" t="s">
        <v>3979</v>
      </c>
    </row>
    <row r="249" spans="1:2" x14ac:dyDescent="0.2">
      <c r="A249" s="230" t="s">
        <v>1892</v>
      </c>
      <c r="B249" s="345" t="s">
        <v>3942</v>
      </c>
    </row>
    <row r="250" spans="1:2" x14ac:dyDescent="0.2">
      <c r="A250" s="227" t="s">
        <v>1893</v>
      </c>
      <c r="B250" s="346" t="s">
        <v>3980</v>
      </c>
    </row>
    <row r="252" spans="1:2" x14ac:dyDescent="0.2">
      <c r="A252" s="344" t="s">
        <v>3332</v>
      </c>
      <c r="B252" s="344"/>
    </row>
    <row r="253" spans="1:2" x14ac:dyDescent="0.2">
      <c r="A253" s="230" t="s">
        <v>3943</v>
      </c>
      <c r="B253" s="345" t="s">
        <v>3821</v>
      </c>
    </row>
    <row r="254" spans="1:2" x14ac:dyDescent="0.2">
      <c r="A254" s="227" t="s">
        <v>3944</v>
      </c>
      <c r="B254" s="346" t="s">
        <v>3790</v>
      </c>
    </row>
    <row r="255" spans="1:2" x14ac:dyDescent="0.2">
      <c r="A255" s="230" t="s">
        <v>3945</v>
      </c>
      <c r="B255" s="345" t="s">
        <v>3758</v>
      </c>
    </row>
    <row r="256" spans="1:2" x14ac:dyDescent="0.2">
      <c r="A256" s="227" t="s">
        <v>3946</v>
      </c>
      <c r="B256" s="346" t="s">
        <v>3947</v>
      </c>
    </row>
    <row r="257" spans="1:2" x14ac:dyDescent="0.2">
      <c r="A257" s="230" t="s">
        <v>3948</v>
      </c>
      <c r="B257" s="345" t="s">
        <v>3864</v>
      </c>
    </row>
    <row r="258" spans="1:2" x14ac:dyDescent="0.2">
      <c r="A258" s="227" t="s">
        <v>3949</v>
      </c>
      <c r="B258" s="346" t="s">
        <v>3950</v>
      </c>
    </row>
    <row r="259" spans="1:2" x14ac:dyDescent="0.2">
      <c r="A259" s="230" t="s">
        <v>3951</v>
      </c>
      <c r="B259" s="345" t="s">
        <v>3900</v>
      </c>
    </row>
    <row r="260" spans="1:2" x14ac:dyDescent="0.2">
      <c r="A260" s="227" t="s">
        <v>3952</v>
      </c>
      <c r="B260" s="346" t="s">
        <v>3953</v>
      </c>
    </row>
    <row r="261" spans="1:2" x14ac:dyDescent="0.2">
      <c r="A261" s="230" t="s">
        <v>3954</v>
      </c>
      <c r="B261" s="345" t="s">
        <v>3865</v>
      </c>
    </row>
    <row r="262" spans="1:2" x14ac:dyDescent="0.2">
      <c r="A262" s="227" t="s">
        <v>3955</v>
      </c>
      <c r="B262" s="346" t="s">
        <v>3866</v>
      </c>
    </row>
    <row r="263" spans="1:2" x14ac:dyDescent="0.2">
      <c r="A263" s="230" t="s">
        <v>3867</v>
      </c>
      <c r="B263" s="345" t="s">
        <v>3868</v>
      </c>
    </row>
    <row r="264" spans="1:2" x14ac:dyDescent="0.2">
      <c r="A264" s="227" t="s">
        <v>3869</v>
      </c>
      <c r="B264" s="346" t="s">
        <v>3870</v>
      </c>
    </row>
    <row r="265" spans="1:2" x14ac:dyDescent="0.2">
      <c r="A265" s="230" t="s">
        <v>3871</v>
      </c>
      <c r="B265" s="345" t="s">
        <v>3872</v>
      </c>
    </row>
    <row r="266" spans="1:2" x14ac:dyDescent="0.2">
      <c r="A266" s="227" t="s">
        <v>3873</v>
      </c>
      <c r="B266" s="346" t="s">
        <v>3874</v>
      </c>
    </row>
    <row r="267" spans="1:2" x14ac:dyDescent="0.2">
      <c r="A267" s="230" t="s">
        <v>3733</v>
      </c>
      <c r="B267" s="345" t="s">
        <v>3734</v>
      </c>
    </row>
    <row r="268" spans="1:2" x14ac:dyDescent="0.2">
      <c r="A268" s="227" t="s">
        <v>3735</v>
      </c>
      <c r="B268" s="346" t="s">
        <v>3736</v>
      </c>
    </row>
    <row r="269" spans="1:2" x14ac:dyDescent="0.2">
      <c r="A269" s="230" t="s">
        <v>3737</v>
      </c>
      <c r="B269" s="345" t="s">
        <v>3738</v>
      </c>
    </row>
    <row r="271" spans="1:2" x14ac:dyDescent="0.2">
      <c r="A271" s="344" t="s">
        <v>3337</v>
      </c>
      <c r="B271" s="344"/>
    </row>
    <row r="272" spans="1:2" x14ac:dyDescent="0.2">
      <c r="A272" s="227" t="s">
        <v>3338</v>
      </c>
      <c r="B272" s="346" t="s">
        <v>3842</v>
      </c>
    </row>
    <row r="273" spans="1:2" x14ac:dyDescent="0.2">
      <c r="A273" s="230" t="s">
        <v>3339</v>
      </c>
      <c r="B273" s="345" t="s">
        <v>3956</v>
      </c>
    </row>
    <row r="274" spans="1:2" x14ac:dyDescent="0.2">
      <c r="A274" s="227" t="s">
        <v>3340</v>
      </c>
      <c r="B274" s="346" t="s">
        <v>3875</v>
      </c>
    </row>
    <row r="275" spans="1:2" x14ac:dyDescent="0.2">
      <c r="A275" s="230" t="s">
        <v>3341</v>
      </c>
      <c r="B275" s="345" t="s">
        <v>3957</v>
      </c>
    </row>
    <row r="276" spans="1:2" x14ac:dyDescent="0.2">
      <c r="A276" s="227" t="s">
        <v>3342</v>
      </c>
      <c r="B276" s="346" t="s">
        <v>3958</v>
      </c>
    </row>
    <row r="277" spans="1:2" x14ac:dyDescent="0.2">
      <c r="A277" s="230" t="s">
        <v>3343</v>
      </c>
      <c r="B277" s="345" t="s">
        <v>3822</v>
      </c>
    </row>
    <row r="278" spans="1:2" x14ac:dyDescent="0.2">
      <c r="A278" s="227" t="s">
        <v>3344</v>
      </c>
      <c r="B278" s="346" t="s">
        <v>3901</v>
      </c>
    </row>
    <row r="279" spans="1:2" x14ac:dyDescent="0.2">
      <c r="A279" s="230" t="s">
        <v>3345</v>
      </c>
      <c r="B279" s="345" t="s">
        <v>3776</v>
      </c>
    </row>
    <row r="280" spans="1:2" x14ac:dyDescent="0.2">
      <c r="A280" s="227" t="s">
        <v>3346</v>
      </c>
      <c r="B280" s="346" t="s">
        <v>3876</v>
      </c>
    </row>
    <row r="281" spans="1:2" x14ac:dyDescent="0.2">
      <c r="A281" s="230" t="s">
        <v>3347</v>
      </c>
      <c r="B281" s="345" t="s">
        <v>3877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2026-06-23T13:36:55Z</dcterms:modified>
</cp:coreProperties>
</file>