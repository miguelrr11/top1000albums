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845A5F5-1DE7-463D-9A28-CEF99AC54D5C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Hoja2!$V$3:$V$134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0" i="4" l="1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<sst xmlns="http://schemas.openxmlformats.org/spreadsheetml/2006/main" count="3041" uniqueCount="2353">
  <si>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</si>
  <si>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</si>
  <si>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</si>
  <si>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</si>
  <si>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</si>
  <si>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</si>
  <si>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</si>
  <si>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</si>
  <si>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</si>
  <si>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</si>
  <si>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</si>
  <si>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</si>
  <si>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</si>
  <si>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</si>
  <si>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</si>
  <si>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</si>
  <si>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</si>
  <si>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</si>
  <si>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</si>
  <si>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</si>
  <si>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</si>
  <si>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</si>
  <si>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</si>
  <si>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</si>
  <si>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</si>
  <si>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</si>
  <si>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</si>
  <si>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</si>
  <si>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</si>
  <si>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</si>
  <si>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</si>
  <si>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</si>
  <si>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</si>
  <si>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</si>
  <si>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</si>
  <si>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</si>
  <si>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</si>
  <si>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</si>
  <si>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</si>
  <si>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</si>
  <si>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</si>
  <si>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</si>
  <si>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</si>
  <si>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</si>
  <si>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</si>
  <si>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</si>
  <si>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</si>
  <si>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</si>
  <si>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</si>
  <si>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</si>
  <si>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</si>
  <si>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</si>
  <si>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</si>
  <si>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</si>
  <si>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</si>
  <si>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</si>
  <si>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</si>
  <si>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</si>
  <si>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</si>
  <si>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</si>
  <si>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</si>
  <si>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</si>
  <si>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</si>
  <si>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</si>
  <si>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</si>
  <si>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</si>
  <si>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</si>
  <si>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</si>
  <si>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</si>
  <si>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</si>
  <si>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</si>
  <si>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</si>
  <si>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</si>
  <si>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</si>
  <si>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</si>
  <si>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</si>
  <si>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</si>
  <si>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</si>
  <si>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</si>
  <si>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</si>
  <si>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</si>
  <si>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</si>
  <si>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</si>
  <si>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</si>
  <si>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</si>
  <si>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</si>
  <si>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</si>
  <si>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</si>
  <si>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</si>
  <si>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</si>
  <si>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</si>
  <si>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</si>
  <si>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</si>
  <si>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</si>
  <si>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</si>
  <si>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</si>
  <si>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</si>
  <si>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</si>
  <si>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</si>
  <si>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</si>
  <si>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</si>
  <si>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</si>
  <si>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</si>
  <si>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</si>
  <si>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</si>
  <si>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</si>
  <si>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</si>
  <si>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</si>
  <si>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</si>
  <si>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</si>
  <si>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</si>
  <si>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</si>
  <si>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</si>
  <si>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</si>
  <si>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</si>
  <si>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</si>
  <si>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</si>
  <si>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</si>
  <si>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</si>
  <si>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</si>
  <si>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</si>
  <si>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</si>
  <si>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</si>
  <si>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</si>
  <si>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</si>
  <si>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</si>
  <si>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</si>
  <si>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</si>
  <si>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</si>
  <si>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</si>
  <si>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</si>
  <si>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</si>
  <si>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</si>
  <si>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</si>
  <si>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</si>
  <si>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</si>
  <si>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</si>
  <si>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</si>
  <si>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</si>
  <si>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</si>
  <si>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</si>
  <si>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</si>
  <si>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</si>
  <si>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</si>
  <si>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</si>
  <si>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</si>
  <si>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</si>
  <si>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</si>
  <si>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</si>
  <si>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</si>
  <si>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</si>
  <si>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</si>
  <si>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</si>
  <si>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</si>
  <si>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</si>
  <si>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</si>
  <si>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</si>
  <si>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</si>
  <si>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</si>
  <si>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</si>
  <si>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</si>
  <si>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</si>
  <si>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</si>
  <si>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</si>
  <si>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</si>
  <si>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</si>
  <si>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</si>
  <si>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</si>
  <si>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</si>
  <si>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</si>
  <si>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</si>
  <si>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</si>
  <si>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</si>
  <si>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</si>
  <si>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</si>
  <si>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</si>
  <si>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</si>
  <si>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</si>
  <si>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</si>
  <si>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</si>
  <si>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</si>
  <si>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</si>
  <si>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</si>
  <si>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</si>
  <si>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</si>
  <si>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</si>
  <si>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</si>
  <si>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</si>
  <si>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</si>
  <si>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</si>
  <si>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</si>
  <si>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</si>
  <si>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</si>
  <si>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</si>
  <si>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</si>
  <si>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</si>
  <si>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</si>
  <si>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</si>
  <si>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</si>
  <si>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</si>
  <si>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</si>
  <si>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</si>
  <si>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</si>
  <si>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</si>
  <si>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</si>
  <si>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</si>
  <si>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</si>
  <si>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</si>
  <si>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</si>
  <si>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</si>
  <si>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</si>
  <si>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</si>
  <si>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</si>
  <si>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</si>
  <si>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</si>
  <si>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</si>
  <si>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</si>
  <si>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</si>
  <si>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</si>
  <si>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</si>
  <si>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</si>
  <si>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</si>
  <si>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</si>
  <si>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</si>
  <si>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</si>
  <si>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</si>
  <si>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</si>
  <si>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</si>
  <si>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</si>
  <si>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</si>
  <si>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</si>
  <si>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</si>
  <si>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</si>
  <si>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</si>
  <si>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</si>
  <si>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</si>
  <si>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</si>
  <si>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</si>
  <si>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</si>
  <si>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</si>
  <si>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</si>
  <si>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</si>
  <si>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</si>
  <si>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</si>
  <si>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</si>
  <si>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</si>
  <si>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</si>
  <si>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</si>
  <si>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</si>
  <si>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</si>
  <si>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</si>
  <si>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</si>
  <si>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</si>
  <si>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</si>
  <si>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</si>
  <si>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</si>
  <si>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</si>
  <si>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</si>
  <si>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</si>
  <si>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</si>
  <si>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</si>
  <si>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</si>
  <si>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</si>
  <si>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</si>
  <si>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</si>
  <si>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</si>
  <si>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</si>
  <si>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</si>
  <si>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</si>
  <si>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</si>
  <si>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</si>
  <si>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</si>
  <si>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</si>
  <si>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</si>
  <si>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</si>
  <si>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</si>
  <si>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</si>
  <si>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</si>
  <si>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</si>
  <si>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</si>
  <si>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</si>
  <si>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</si>
  <si>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</si>
  <si>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</si>
  <si>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</si>
  <si>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</si>
  <si>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</si>
  <si>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</si>
  <si>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</si>
  <si>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</si>
  <si>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</si>
  <si>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</si>
  <si>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</si>
  <si>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</si>
  <si>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</si>
  <si>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</si>
  <si>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</si>
  <si>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</si>
  <si>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</si>
  <si>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</si>
  <si>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</si>
  <si>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</si>
  <si>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</si>
  <si>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</si>
  <si>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</si>
  <si>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</si>
  <si>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</si>
  <si>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</si>
  <si>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</si>
  <si>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</si>
  <si>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</si>
  <si>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</si>
  <si>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</si>
  <si>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</si>
  <si>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</si>
  <si>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</si>
  <si>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</si>
  <si>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</si>
  <si>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</si>
  <si>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</si>
  <si>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</si>
  <si>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</si>
  <si>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</si>
  <si>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</si>
  <si>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</si>
  <si>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</si>
  <si>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</si>
  <si>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</si>
  <si>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</si>
  <si>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</si>
  <si>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</si>
  <si>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</si>
  <si>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</si>
  <si>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</si>
  <si>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</si>
  <si>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</si>
  <si>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</si>
  <si>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</si>
  <si>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</si>
  <si>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</si>
  <si>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</si>
  <si>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</si>
  <si>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</si>
  <si>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</si>
  <si>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</si>
  <si>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</si>
  <si>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</si>
  <si>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</si>
  <si>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</si>
  <si>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</si>
  <si>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</si>
  <si>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</si>
  <si>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</si>
  <si>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</si>
  <si>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</si>
  <si>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</si>
  <si>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</si>
  <si>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</si>
  <si>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</si>
  <si>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</si>
  <si>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</si>
  <si>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</si>
  <si>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</si>
  <si>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</si>
  <si>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</si>
  <si>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</si>
  <si>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</si>
  <si>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</si>
  <si>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</si>
  <si>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</si>
  <si>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</si>
  <si>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</si>
  <si>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</si>
  <si>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</si>
  <si>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</si>
  <si>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</si>
  <si>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</si>
  <si>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</si>
  <si>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</si>
  <si>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</si>
  <si>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</si>
  <si>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</si>
  <si>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</si>
  <si>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</si>
  <si>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</si>
  <si>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</si>
  <si>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</si>
  <si>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</si>
  <si>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</si>
  <si>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</si>
  <si>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</si>
  <si>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</si>
  <si>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</si>
  <si>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</si>
  <si>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</si>
  <si>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</si>
  <si>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</si>
  <si>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</si>
  <si>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</si>
  <si>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</si>
  <si>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</si>
  <si>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</si>
  <si>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</si>
  <si>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</si>
  <si>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</si>
  <si>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</si>
  <si>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</si>
  <si>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</si>
  <si>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</si>
  <si>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</si>
  <si>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</si>
  <si>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</si>
  <si>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</si>
  <si>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</si>
  <si>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</si>
  <si>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</si>
  <si>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</si>
  <si>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</si>
  <si>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</si>
  <si>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</si>
  <si>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</si>
  <si>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</si>
  <si>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</si>
  <si>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</si>
  <si>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</si>
  <si>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</si>
  <si>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</si>
  <si>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</si>
  <si>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</si>
  <si>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</si>
  <si>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</si>
  <si>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</si>
  <si>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</si>
  <si>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</si>
  <si>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</si>
  <si>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</si>
  <si>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</si>
  <si>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</si>
  <si>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</si>
  <si>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</si>
  <si>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</si>
  <si>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</si>
  <si>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</si>
  <si>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</si>
  <si>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</si>
  <si>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</si>
  <si>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</si>
  <si>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</si>
  <si>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</si>
  <si>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</si>
  <si>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</si>
  <si>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</si>
  <si>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</si>
  <si>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</si>
  <si>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</si>
  <si>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</si>
  <si>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</si>
  <si>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</si>
  <si>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</si>
  <si>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</si>
  <si>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</si>
  <si>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</si>
  <si>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</si>
  <si>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</si>
  <si>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</si>
  <si>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</si>
  <si>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</si>
  <si>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</si>
  <si>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</si>
  <si>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</si>
  <si>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</si>
  <si>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</si>
  <si>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</si>
  <si>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</si>
  <si>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</si>
  <si>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</si>
  <si>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</si>
  <si>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</si>
  <si>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</si>
  <si>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</si>
  <si>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</si>
  <si>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</si>
  <si>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</si>
  <si>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</si>
  <si>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</si>
  <si>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</si>
  <si>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</si>
  <si>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</si>
  <si>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</si>
  <si>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</si>
  <si>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</si>
  <si>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</si>
  <si>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</si>
  <si>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</si>
  <si>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</si>
  <si>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</si>
  <si>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</si>
  <si>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</si>
  <si>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</si>
  <si>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</si>
  <si>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</si>
  <si>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</si>
  <si>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</si>
  <si>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</si>
  <si>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</si>
  <si>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</si>
  <si>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</si>
  <si>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</si>
  <si>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</si>
  <si>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</si>
  <si>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</si>
  <si>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</si>
  <si>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</si>
  <si>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</si>
  <si>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</si>
  <si>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</si>
  <si>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</si>
  <si>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</si>
  <si>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</si>
  <si>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</si>
  <si>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</si>
  <si>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</si>
  <si>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</si>
  <si>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</si>
  <si>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</si>
  <si>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</si>
  <si>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</si>
  <si>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</si>
  <si>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</si>
  <si>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</si>
  <si>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</si>
  <si>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</si>
  <si>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</si>
  <si>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</si>
  <si>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</si>
  <si>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</si>
  <si>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</si>
  <si>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</si>
  <si>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</si>
  <si>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</si>
  <si>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</si>
  <si>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</si>
  <si>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</si>
  <si>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</si>
  <si>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</si>
  <si>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</si>
  <si>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</si>
  <si>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</si>
  <si>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</si>
  <si>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</si>
  <si>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</si>
  <si>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</si>
  <si>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</si>
  <si>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</si>
  <si>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</si>
  <si>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</si>
  <si>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</si>
  <si>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</si>
  <si>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</si>
  <si>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</si>
  <si>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</si>
  <si>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</si>
  <si>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</si>
  <si>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</si>
  <si>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</si>
  <si>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</si>
  <si>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</si>
  <si>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</si>
  <si>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</si>
  <si>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</si>
  <si>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</si>
  <si>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</si>
  <si>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</si>
  <si>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</si>
  <si>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</si>
  <si>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</si>
  <si>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</si>
  <si>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</si>
  <si>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</si>
  <si>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</si>
  <si>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</si>
  <si>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</si>
  <si>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</si>
  <si>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</si>
  <si>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</si>
  <si>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</si>
  <si>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</si>
  <si>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</si>
  <si>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</si>
  <si>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</si>
  <si>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</si>
  <si>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</si>
  <si>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</si>
  <si>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</si>
  <si>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</si>
  <si>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</si>
  <si>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</si>
  <si>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</si>
  <si>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</si>
  <si>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</si>
  <si>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</si>
  <si>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</si>
  <si>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</si>
  <si>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</si>
  <si>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</si>
  <si>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</si>
  <si>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</si>
  <si>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</si>
  <si>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</si>
  <si>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</si>
  <si>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</si>
  <si>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</si>
  <si>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</si>
  <si>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</si>
  <si>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</si>
  <si>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</si>
  <si>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</si>
  <si>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</si>
  <si>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</si>
  <si>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</si>
  <si>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</si>
  <si>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</si>
  <si>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</si>
  <si>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</si>
  <si>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</si>
  <si>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</si>
  <si>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</si>
  <si>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</si>
  <si>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</si>
  <si>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</si>
  <si>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</si>
  <si>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</si>
  <si>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</si>
  <si>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</si>
  <si>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</si>
  <si>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</si>
  <si>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</si>
  <si>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</si>
  <si>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</si>
  <si>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</si>
  <si>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</si>
  <si>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</si>
  <si>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</si>
  <si>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</si>
  <si>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</si>
  <si>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</si>
  <si>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</si>
  <si>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</si>
  <si>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</si>
  <si>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</si>
  <si>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</si>
  <si>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</si>
  <si>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</si>
  <si>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</si>
  <si>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</si>
  <si>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</si>
  <si>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</si>
  <si>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</si>
  <si>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</si>
  <si>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</si>
  <si>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</si>
  <si>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</si>
  <si>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</si>
  <si>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</si>
  <si>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</si>
  <si>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</si>
  <si>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</si>
  <si>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</si>
  <si>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</si>
  <si>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</si>
  <si>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</si>
  <si>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</si>
  <si>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</si>
  <si>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</si>
  <si>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</si>
  <si>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</si>
  <si>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</si>
  <si>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</si>
  <si>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</si>
  <si>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</si>
  <si>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</si>
  <si>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</si>
  <si>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</si>
  <si>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</si>
  <si>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</si>
  <si>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</si>
  <si>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</si>
  <si>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</si>
  <si>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</si>
  <si>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</si>
  <si>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</si>
  <si>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</si>
  <si>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</si>
  <si>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</si>
  <si>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</si>
  <si>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</si>
  <si>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</si>
  <si>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</si>
  <si>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</si>
  <si>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</si>
  <si>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</si>
  <si>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</si>
  <si>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</si>
  <si>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</si>
  <si>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</si>
  <si>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</si>
  <si>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</si>
  <si>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</si>
  <si>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</si>
  <si>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</si>
  <si>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</si>
  <si>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</si>
  <si>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</si>
  <si>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</si>
  <si>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</si>
  <si>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</si>
  <si>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</si>
  <si>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</si>
  <si>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</si>
  <si>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</si>
  <si>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</si>
  <si>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</si>
  <si>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</si>
  <si>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</si>
  <si>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</si>
  <si>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</si>
  <si>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</si>
  <si>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</si>
  <si>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</si>
  <si>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</si>
  <si>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</si>
  <si>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</si>
  <si>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</si>
  <si>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</si>
  <si>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</si>
  <si>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</si>
  <si>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</si>
  <si>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</si>
  <si>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</si>
  <si>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</si>
  <si>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</si>
  <si>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</si>
  <si>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</si>
  <si>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</si>
  <si>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</si>
  <si>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</si>
  <si>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</si>
  <si>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</si>
  <si>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</si>
  <si>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</si>
  <si>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</si>
  <si>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</si>
  <si>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</si>
  <si>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</si>
  <si>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</si>
  <si>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</si>
  <si>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</si>
  <si>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</si>
  <si>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</si>
  <si>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</si>
  <si>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</si>
  <si>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</si>
  <si>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</si>
  <si>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</si>
  <si>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</si>
  <si>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</si>
  <si>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</si>
  <si>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</si>
  <si>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</si>
  <si>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</si>
  <si>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</si>
  <si>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</si>
  <si>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</si>
  <si>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</si>
  <si>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</si>
  <si>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</si>
  <si>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</si>
  <si>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</si>
  <si>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</si>
  <si>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</si>
  <si>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</si>
  <si>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</si>
  <si>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</si>
  <si>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</si>
  <si>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</si>
  <si>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</si>
  <si>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</si>
  <si>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</si>
  <si>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</si>
  <si>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</si>
  <si>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</si>
  <si>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</si>
  <si>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</si>
  <si>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</si>
  <si>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</si>
  <si>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</si>
  <si>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</si>
  <si>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</si>
  <si>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</si>
  <si>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</si>
  <si>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</si>
  <si>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</si>
  <si>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</si>
  <si>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</si>
  <si>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</si>
  <si>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</si>
  <si>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</si>
  <si>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</si>
  <si>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</si>
  <si>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</si>
  <si>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</si>
  <si>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</si>
  <si>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</si>
  <si>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</si>
  <si>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</si>
  <si>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</si>
  <si>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</si>
  <si>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</si>
  <si>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</si>
  <si>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</si>
  <si>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</si>
  <si>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</si>
  <si>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</si>
  <si>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</si>
  <si>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</si>
  <si>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</si>
  <si>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</si>
  <si>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</si>
  <si>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</si>
  <si>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</si>
  <si>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</si>
  <si>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</si>
  <si>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</si>
  <si>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</si>
  <si>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</si>
  <si>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</si>
  <si>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</si>
  <si>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</si>
  <si>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</si>
  <si>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</si>
  <si>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</si>
  <si>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</si>
  <si>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</si>
  <si>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</si>
  <si>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</si>
  <si>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</si>
  <si>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</si>
  <si>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</si>
  <si>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</si>
  <si>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</si>
  <si>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</si>
  <si>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</si>
  <si>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</si>
  <si>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</si>
  <si>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</si>
  <si>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</si>
  <si>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</si>
  <si>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</si>
  <si>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</si>
  <si>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</si>
  <si>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</si>
  <si>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</si>
  <si>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</si>
  <si>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</si>
  <si>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</si>
  <si>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</si>
  <si>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</si>
  <si>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</si>
  <si>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</si>
  <si>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</si>
  <si>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</si>
  <si>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</si>
  <si>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</si>
  <si>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</si>
  <si>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</si>
  <si>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</si>
  <si>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</si>
  <si>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</si>
  <si>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</si>
  <si>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</si>
  <si>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</si>
  <si>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</si>
  <si>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</si>
  <si>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</si>
  <si>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</si>
  <si>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</si>
  <si>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</si>
  <si>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</si>
  <si>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</si>
  <si>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</si>
  <si>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</si>
  <si>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</si>
  <si>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</si>
  <si>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</si>
  <si>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</si>
  <si>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</si>
  <si>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</si>
  <si>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</si>
  <si>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</si>
  <si>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</si>
  <si>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</si>
  <si>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</si>
  <si>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</si>
  <si>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</si>
  <si>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</si>
  <si>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</si>
  <si>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</si>
  <si>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</si>
  <si>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</si>
  <si>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</si>
  <si>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</si>
  <si>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</si>
  <si>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</si>
  <si>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</si>
  <si>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</si>
  <si>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</si>
  <si>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</si>
  <si>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</si>
  <si>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</si>
  <si>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</si>
  <si>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</si>
  <si>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</si>
  <si>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</si>
  <si>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</si>
  <si>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</si>
  <si>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</si>
  <si>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</si>
  <si>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</si>
  <si>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</si>
  <si>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</si>
  <si>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</si>
  <si>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</si>
  <si>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</si>
  <si>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</si>
  <si>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</si>
  <si>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</si>
  <si>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</si>
  <si>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</si>
  <si>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</si>
  <si>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</si>
  <si>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</si>
  <si>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</si>
  <si>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</si>
  <si>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</si>
  <si>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</si>
  <si>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</si>
  <si>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</si>
  <si>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</si>
  <si>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</si>
  <si>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</si>
  <si>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</si>
  <si>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</si>
  <si>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</si>
  <si>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</si>
  <si>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</si>
  <si>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</si>
  <si>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</si>
  <si>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</si>
  <si>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</si>
  <si>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</si>
  <si>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</si>
  <si>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</si>
  <si>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</si>
  <si>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</si>
  <si>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</si>
  <si>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</si>
  <si>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</si>
  <si>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</si>
  <si>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</si>
  <si>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</si>
  <si>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</si>
  <si>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</si>
  <si>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</si>
  <si>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</si>
  <si>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</si>
  <si>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</si>
  <si>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</si>
  <si>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</si>
  <si>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</si>
  <si>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</si>
  <si>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</si>
  <si>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</si>
  <si>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</si>
  <si>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</si>
  <si>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</si>
  <si>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</si>
  <si>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</si>
  <si>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</si>
  <si>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</si>
  <si>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</si>
  <si>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</si>
  <si>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</si>
  <si>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</si>
  <si>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</si>
  <si>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</si>
  <si>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</si>
  <si>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</si>
  <si>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</si>
  <si>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</si>
  <si>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</si>
  <si>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</si>
  <si>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</si>
  <si>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</si>
  <si>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</si>
  <si>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</si>
  <si>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</si>
  <si>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</si>
  <si>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</si>
  <si>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</si>
  <si>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</si>
  <si>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</si>
  <si>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</si>
  <si>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</si>
  <si>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</si>
  <si>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</si>
  <si>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</si>
  <si>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</si>
  <si>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</si>
  <si>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</si>
  <si>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</si>
  <si>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</si>
  <si>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</si>
  <si>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</si>
  <si>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</si>
  <si>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</si>
  <si>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</si>
  <si>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</si>
  <si>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</si>
  <si>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</si>
  <si>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</si>
  <si>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</si>
  <si>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</si>
  <si>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</si>
  <si>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</si>
  <si>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</si>
  <si>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</si>
  <si>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</si>
  <si>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</si>
  <si>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</si>
  <si>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</si>
  <si>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</si>
  <si>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</si>
  <si>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</si>
  <si>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</si>
  <si>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</si>
  <si>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</si>
  <si>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</si>
  <si>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</si>
  <si>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</si>
  <si>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</si>
  <si>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</si>
  <si>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</si>
  <si>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</si>
  <si>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</si>
  <si>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</si>
  <si>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</si>
  <si>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</si>
  <si>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</si>
  <si>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</si>
  <si>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</si>
  <si>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</si>
  <si>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</si>
  <si>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</si>
  <si>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</si>
  <si>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</si>
  <si>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</si>
  <si>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</si>
  <si>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</si>
  <si>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</si>
  <si>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</si>
  <si>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</si>
  <si>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</si>
  <si>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</si>
  <si>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</si>
  <si>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</si>
  <si>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</si>
  <si>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</si>
  <si>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</si>
  <si>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</si>
  <si>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</si>
  <si>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</si>
  <si>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</si>
  <si>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</si>
  <si>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</si>
  <si>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</si>
  <si>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</si>
  <si>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</si>
  <si>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</si>
  <si>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</si>
  <si>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</si>
  <si>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</si>
  <si>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</si>
  <si>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</si>
  <si>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</si>
  <si>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</si>
  <si>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</si>
  <si>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</si>
  <si>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</si>
  <si>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</si>
  <si>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</si>
  <si>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</si>
  <si>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</si>
  <si>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</si>
  <si>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</si>
  <si>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</si>
  <si>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</si>
  <si>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</si>
  <si>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</si>
  <si>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</si>
  <si>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</si>
  <si>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</si>
  <si>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</si>
  <si>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</si>
  <si>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</si>
  <si>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</si>
  <si>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</si>
  <si>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</si>
  <si>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</si>
  <si>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</si>
  <si>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</si>
  <si>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</si>
  <si>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</si>
  <si>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</si>
  <si>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</si>
  <si>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</si>
  <si>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</si>
  <si>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</si>
  <si>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</si>
  <si>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</si>
  <si>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</si>
  <si>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</si>
  <si>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</si>
  <si>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</si>
  <si>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</si>
  <si>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</si>
  <si>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</si>
  <si>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</si>
  <si>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</si>
  <si>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</si>
  <si>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</si>
  <si>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</si>
  <si>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</si>
  <si>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</si>
  <si>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</si>
  <si>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</si>
  <si>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</si>
  <si>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</si>
  <si>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</si>
  <si>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</si>
  <si>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</si>
  <si>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</si>
  <si>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</si>
  <si>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</si>
  <si>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</si>
  <si>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</si>
  <si>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</si>
  <si>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</si>
  <si>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</si>
  <si>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</si>
  <si>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</si>
  <si>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</si>
  <si>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</si>
  <si>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</si>
  <si>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</si>
  <si>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</si>
  <si>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</si>
  <si>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</si>
  <si>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</si>
  <si>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</si>
  <si>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</si>
  <si>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</si>
  <si>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</si>
  <si>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</si>
  <si>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</si>
  <si>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</si>
  <si>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</si>
  <si>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</si>
  <si>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</si>
  <si>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</si>
  <si>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</si>
  <si>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</si>
  <si>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</si>
  <si>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</si>
  <si>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</si>
  <si>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</si>
  <si>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</si>
  <si>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</si>
  <si>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</si>
  <si>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</si>
  <si>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</si>
  <si>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</si>
  <si>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</si>
  <si>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</si>
  <si>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</si>
  <si>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</si>
  <si>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</si>
  <si>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</si>
  <si>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</si>
  <si>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</si>
  <si>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</si>
  <si>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</si>
  <si>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</si>
  <si>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</si>
  <si>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</si>
  <si>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</si>
  <si>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</si>
  <si>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</si>
  <si>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</si>
  <si>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</si>
  <si>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</si>
  <si>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</si>
  <si>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</si>
  <si>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</si>
  <si>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</si>
  <si>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</si>
  <si>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</si>
  <si>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</si>
  <si>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</si>
  <si>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</si>
  <si>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</si>
  <si>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</si>
  <si>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</si>
  <si>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</si>
  <si>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</si>
  <si>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</si>
  <si>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</si>
  <si>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</si>
  <si>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</si>
  <si>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</si>
  <si>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</si>
  <si>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</si>
  <si>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</si>
  <si>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</si>
  <si>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</si>
  <si>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</si>
  <si>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</si>
  <si>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</si>
  <si>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</si>
  <si>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</si>
  <si>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</si>
  <si>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</si>
  <si>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</si>
  <si>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</si>
  <si>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</si>
  <si>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</si>
  <si>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</si>
  <si>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</si>
  <si>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</si>
  <si>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</si>
  <si>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</si>
  <si>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</si>
  <si>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</si>
  <si>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</si>
  <si>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</si>
  <si>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</si>
  <si>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</si>
  <si>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</si>
  <si>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</si>
  <si>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</si>
  <si>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</si>
  <si>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</si>
  <si>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</si>
  <si>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</si>
  <si>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</si>
  <si>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</si>
  <si>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</si>
  <si>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</si>
  <si>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</si>
  <si>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</si>
  <si>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</si>
  <si>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</si>
  <si>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</si>
  <si>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</si>
  <si>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</si>
  <si>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</si>
  <si>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</si>
  <si>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</si>
  <si>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</si>
  <si>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</si>
  <si>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</si>
  <si>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</si>
  <si>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</si>
  <si>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</si>
  <si>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</si>
  <si>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</si>
  <si>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</si>
  <si>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</si>
  <si>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</si>
  <si>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</si>
  <si>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</si>
  <si>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</si>
  <si>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</si>
  <si>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</si>
  <si>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</si>
  <si>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</si>
  <si>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</si>
  <si>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</si>
  <si>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</si>
  <si>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</si>
  <si>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</si>
  <si>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</si>
  <si>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</si>
  <si>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</si>
  <si>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</si>
  <si>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</si>
  <si>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</si>
  <si>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</si>
  <si>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</si>
  <si>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</si>
  <si>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</si>
  <si>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</si>
  <si>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</si>
  <si>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</si>
  <si>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</si>
  <si>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</si>
  <si>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</si>
  <si>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</si>
  <si>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</si>
  <si>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</si>
  <si>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</si>
  <si>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</si>
  <si>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</si>
  <si>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</si>
  <si>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</si>
  <si>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</si>
  <si>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</si>
  <si>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</si>
  <si>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</si>
  <si>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</si>
  <si>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</si>
  <si>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</si>
  <si>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</si>
  <si>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</si>
  <si>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</si>
  <si>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</si>
  <si>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</si>
  <si>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</si>
  <si>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</si>
  <si>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</si>
  <si>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</si>
  <si>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</si>
  <si>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</si>
  <si>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</si>
  <si>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</si>
  <si>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</si>
  <si>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</si>
  <si>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</si>
  <si>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</si>
  <si>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</si>
  <si>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</si>
  <si>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</si>
  <si>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</si>
  <si>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</si>
  <si>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</si>
  <si>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</si>
  <si>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</si>
  <si>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</si>
  <si>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</si>
  <si>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</si>
  <si>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</si>
  <si>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</si>
  <si>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</si>
  <si>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</si>
  <si>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</si>
  <si>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</si>
  <si>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</si>
  <si>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</si>
  <si>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</si>
  <si>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</si>
  <si>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</si>
  <si>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</si>
  <si>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</si>
  <si>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</si>
  <si>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</si>
  <si>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</si>
  <si>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</si>
  <si>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</si>
  <si>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</si>
  <si>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</si>
  <si>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</si>
  <si>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</si>
  <si>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</si>
  <si>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</si>
  <si>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</si>
  <si>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</si>
  <si>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</si>
  <si>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</si>
  <si>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</si>
  <si>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</si>
  <si>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</si>
  <si>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</si>
  <si>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</si>
  <si>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</si>
  <si>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</si>
  <si>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</si>
  <si>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</si>
  <si>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</si>
  <si>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</si>
  <si>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</si>
  <si>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</si>
  <si>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</si>
  <si>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</si>
  <si>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</si>
  <si>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</si>
  <si>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</si>
  <si>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</si>
  <si>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</si>
  <si>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</si>
  <si>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</si>
  <si>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</si>
  <si>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</si>
  <si>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</si>
  <si>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</si>
  <si>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</si>
  <si>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</si>
  <si>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</si>
  <si>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</si>
  <si>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</si>
  <si>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</si>
  <si>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</si>
  <si>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</si>
  <si>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</si>
  <si>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</si>
  <si>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</si>
  <si>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</si>
  <si>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</si>
  <si>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</si>
  <si>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</si>
  <si>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</si>
  <si>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</si>
  <si>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</si>
  <si>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</si>
  <si>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</si>
  <si>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</si>
  <si>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</si>
  <si>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</si>
  <si>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</si>
  <si>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</si>
  <si>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</si>
  <si>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</si>
  <si>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</si>
  <si>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</si>
  <si>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</si>
  <si>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</si>
  <si>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</si>
  <si>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</si>
  <si>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</si>
  <si>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</si>
  <si>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</si>
  <si>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</si>
  <si>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</si>
  <si>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</si>
  <si>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</si>
  <si>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</si>
  <si>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</si>
  <si>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</si>
  <si>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</si>
  <si>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</si>
  <si>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</si>
  <si>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</si>
  <si>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</si>
  <si>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</si>
  <si>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</si>
  <si>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</si>
  <si>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</si>
  <si>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</si>
  <si>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</si>
  <si>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</si>
  <si>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</si>
  <si>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</si>
  <si>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</si>
  <si>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</si>
  <si>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</si>
  <si>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</si>
  <si>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</si>
  <si>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</si>
  <si>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</si>
  <si>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</si>
  <si>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</si>
  <si>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</si>
  <si>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</si>
  <si>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</si>
  <si>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</si>
  <si>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</si>
  <si>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</si>
  <si>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</si>
  <si>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</si>
  <si>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</si>
  <si>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</si>
  <si>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</si>
  <si>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</si>
  <si>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</si>
  <si>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</si>
  <si>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</si>
  <si>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</si>
  <si>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</si>
  <si>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</si>
  <si>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</si>
  <si>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</si>
  <si>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</si>
  <si>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</si>
  <si>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</si>
  <si>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</si>
  <si>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</si>
  <si>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</si>
  <si>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</si>
  <si>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</si>
  <si>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</si>
  <si>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</si>
  <si>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</si>
  <si>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</si>
  <si>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</si>
  <si>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</si>
  <si>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</si>
  <si>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</si>
  <si>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</si>
  <si>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</si>
  <si>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</si>
  <si>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</si>
  <si>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</si>
  <si>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</si>
  <si>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</si>
  <si>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</si>
  <si>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</si>
  <si>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</si>
  <si>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</si>
  <si>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</si>
  <si>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</si>
  <si>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</si>
  <si>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</si>
  <si>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</si>
  <si>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</si>
  <si>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</si>
  <si>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</si>
  <si>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</si>
  <si>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</si>
  <si>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</si>
  <si>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</si>
  <si>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</si>
  <si>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</si>
  <si>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</si>
  <si>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</si>
  <si>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</si>
  <si>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</si>
  <si>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</si>
  <si>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</si>
  <si>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</si>
  <si>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</si>
  <si>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</si>
  <si>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</si>
  <si>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</si>
  <si>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</si>
  <si>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</si>
  <si>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</si>
  <si>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</si>
  <si>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</si>
  <si>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</si>
  <si>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</si>
  <si>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</si>
  <si>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</si>
  <si>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</si>
  <si>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</si>
  <si>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</si>
  <si>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</si>
  <si>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</si>
  <si>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</si>
  <si>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</si>
  <si>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</si>
  <si>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</si>
  <si>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</si>
  <si>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</si>
  <si>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</si>
  <si>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</si>
  <si>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</si>
  <si>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</si>
  <si>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</si>
  <si>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</si>
  <si>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</si>
  <si>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</si>
  <si>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</si>
  <si>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</si>
  <si>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</si>
  <si>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</si>
  <si>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</si>
  <si>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</si>
  <si>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</si>
  <si>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</si>
  <si>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</si>
  <si>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</si>
  <si>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</si>
  <si>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</si>
  <si>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</si>
  <si>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</si>
  <si>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</si>
  <si>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</si>
  <si>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</si>
  <si>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</si>
  <si>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</si>
  <si>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</si>
  <si>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</si>
  <si>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</si>
  <si>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</si>
  <si>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</si>
  <si>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</si>
  <si>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</si>
  <si>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</si>
  <si>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</si>
  <si>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</si>
  <si>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</si>
  <si>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</si>
  <si>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</si>
  <si>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</si>
  <si>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</si>
  <si>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</si>
  <si>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</si>
  <si>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</si>
  <si>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</si>
  <si>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</si>
  <si>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</si>
  <si>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</si>
  <si>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</si>
  <si>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</si>
  <si>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</si>
  <si>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</si>
  <si>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</si>
  <si>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</si>
  <si>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</si>
  <si>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</si>
  <si>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</si>
  <si>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</si>
  <si>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</si>
  <si>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</si>
  <si>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</si>
  <si>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</si>
  <si>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</si>
  <si>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</si>
  <si>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</si>
  <si>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</si>
  <si>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</si>
  <si>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</si>
  <si>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</si>
  <si>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</si>
  <si>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</si>
  <si>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</si>
  <si>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</si>
  <si>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</si>
  <si>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</si>
  <si>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</si>
  <si>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</si>
  <si>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</si>
  <si>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</si>
  <si>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</si>
  <si>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</si>
  <si>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</si>
  <si>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</si>
  <si>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</si>
  <si>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</si>
  <si>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</si>
  <si>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</si>
  <si>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</si>
  <si>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</si>
  <si>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</si>
  <si>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</si>
  <si>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</si>
  <si>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</si>
  <si>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</si>
  <si>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</si>
  <si>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</si>
  <si>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</si>
  <si>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</si>
  <si>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</si>
  <si>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</si>
  <si>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</si>
  <si>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</si>
  <si>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</si>
  <si>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</si>
  <si>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</si>
  <si>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</si>
  <si>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</si>
  <si>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</si>
  <si>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</si>
  <si>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</si>
  <si>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</si>
  <si>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</si>
  <si>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</si>
  <si>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</si>
  <si>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</si>
  <si>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</si>
  <si>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</si>
  <si>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</si>
  <si>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</si>
  <si>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</si>
  <si>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</si>
  <si>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</si>
  <si>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</si>
  <si>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</si>
  <si>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</si>
  <si>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</si>
  <si>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</si>
  <si>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</si>
  <si>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</si>
  <si>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</si>
  <si>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</si>
  <si>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</si>
  <si>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</si>
  <si>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</si>
  <si>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</si>
  <si>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</si>
  <si>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</si>
  <si>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</si>
  <si>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</si>
  <si>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</si>
  <si>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</si>
  <si>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</si>
  <si>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</si>
  <si>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</si>
  <si>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</si>
  <si>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</si>
  <si>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</si>
  <si>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</si>
  <si>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</si>
  <si>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</si>
  <si>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</si>
  <si>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</si>
  <si>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</si>
  <si>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</si>
  <si>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</si>
  <si>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</si>
  <si>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</si>
  <si>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</si>
  <si>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</si>
  <si>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</si>
  <si>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</si>
  <si>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</si>
  <si>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</si>
  <si>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</si>
  <si>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</si>
  <si>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</si>
  <si>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</si>
  <si>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</si>
  <si>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</si>
  <si>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</si>
  <si>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</si>
  <si>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</si>
  <si>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</si>
  <si>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</si>
  <si>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</si>
  <si>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</si>
  <si>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</si>
  <si>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</si>
  <si>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</si>
  <si>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</si>
  <si>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</si>
  <si>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</si>
  <si>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</si>
  <si>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</si>
  <si>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</si>
  <si>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</si>
  <si>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</si>
  <si>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</si>
  <si>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</si>
  <si>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</si>
  <si>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</si>
  <si>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</si>
  <si>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</si>
  <si>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</si>
  <si>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</si>
  <si>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</si>
  <si>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</si>
  <si>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</si>
  <si>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</si>
  <si>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</si>
  <si>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</si>
  <si>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</si>
  <si>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</si>
  <si>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</si>
  <si>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</si>
  <si>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</si>
  <si>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</si>
  <si>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</si>
  <si>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</si>
  <si>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</si>
  <si>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</si>
  <si>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</si>
  <si>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</si>
  <si>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</si>
  <si>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</si>
  <si>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</si>
  <si>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</si>
  <si>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</si>
  <si>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</si>
  <si>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</si>
  <si>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</si>
  <si>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</si>
  <si>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</si>
  <si>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</si>
  <si>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</si>
  <si>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</si>
  <si>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</si>
  <si>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</si>
  <si>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</si>
  <si>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</si>
  <si>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</si>
  <si>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</si>
  <si>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</si>
  <si>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</si>
  <si>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</si>
  <si>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</si>
  <si>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</si>
  <si>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</si>
  <si>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</si>
  <si>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</si>
  <si>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</si>
  <si>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</si>
  <si>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</si>
  <si>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</si>
  <si>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</si>
  <si>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</si>
  <si>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</si>
  <si>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</si>
  <si>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</si>
  <si>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</si>
  <si>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</si>
  <si>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</si>
  <si>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</si>
  <si>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</si>
  <si>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</si>
  <si>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</si>
  <si>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</si>
  <si>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</si>
  <si>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</si>
  <si>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</si>
  <si>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</si>
  <si>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</si>
  <si>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</si>
  <si>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</si>
  <si>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</si>
  <si>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</si>
  <si>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</si>
  <si>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</si>
  <si>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</si>
  <si>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</si>
  <si>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</si>
  <si>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</si>
  <si>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</si>
  <si>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</si>
  <si>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</si>
  <si>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</si>
  <si>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</si>
  <si>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</si>
  <si>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</si>
  <si>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</si>
  <si>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</si>
  <si>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</si>
  <si>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</si>
  <si>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</si>
  <si>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</si>
  <si>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</si>
  <si>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</si>
  <si>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</si>
  <si>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</si>
  <si>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</si>
  <si>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</si>
  <si>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</si>
  <si>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</si>
  <si>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</si>
  <si>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</si>
  <si>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</si>
  <si>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</si>
  <si>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</si>
  <si>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</si>
  <si>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</si>
  <si>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</si>
  <si>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</si>
  <si>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</si>
  <si>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</si>
  <si>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</si>
  <si>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</si>
  <si>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</si>
  <si>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</si>
  <si>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</si>
  <si>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</si>
  <si>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</si>
  <si>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</si>
  <si>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</si>
  <si>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</si>
  <si>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</si>
  <si>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</si>
  <si>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</si>
  <si>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</si>
  <si>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</si>
  <si>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</si>
  <si>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</si>
  <si>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</si>
  <si>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</si>
  <si>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</si>
  <si>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</si>
  <si>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</si>
  <si>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</si>
  <si>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</si>
  <si>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</si>
  <si>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</si>
  <si>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</si>
  <si>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</si>
  <si>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</si>
  <si>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</si>
  <si>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</si>
  <si>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</si>
  <si>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</si>
  <si>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</si>
  <si>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</si>
  <si>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</si>
  <si>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</si>
  <si>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</si>
  <si>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</si>
  <si>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</si>
  <si>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</si>
  <si>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</si>
  <si>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</si>
  <si>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</si>
  <si>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</si>
  <si>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</si>
  <si>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</si>
  <si>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</si>
  <si>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</si>
  <si>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</si>
  <si>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</si>
  <si>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</si>
  <si>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</si>
  <si>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</si>
  <si>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</si>
  <si>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</si>
  <si>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</si>
  <si>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</si>
  <si>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</si>
  <si>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</si>
  <si>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</si>
  <si>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</si>
  <si>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</si>
  <si>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</si>
  <si>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</si>
  <si>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</si>
  <si>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</si>
  <si>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</si>
  <si>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</si>
  <si>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</si>
  <si>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</si>
  <si>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</si>
  <si>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</si>
  <si>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</si>
  <si>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</si>
  <si>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</si>
  <si>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</si>
  <si>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</si>
  <si>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</si>
  <si>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</si>
  <si>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</si>
  <si>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</si>
  <si>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</si>
  <si>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</si>
  <si>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</si>
  <si>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</si>
  <si>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</si>
  <si>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</si>
  <si>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</si>
  <si>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</si>
  <si>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</si>
  <si>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</si>
  <si>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</si>
  <si>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</si>
  <si>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</si>
  <si>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</si>
  <si>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</si>
  <si>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</si>
  <si>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</si>
  <si>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</si>
  <si>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</si>
  <si>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</si>
  <si>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</si>
  <si>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</si>
  <si>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</si>
  <si>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</si>
  <si>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</si>
  <si>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</si>
  <si>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</si>
  <si>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</si>
  <si>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</si>
  <si>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</si>
  <si>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</si>
  <si>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</si>
  <si>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</si>
  <si>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</si>
  <si>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</si>
  <si>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</si>
  <si>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</si>
  <si>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</si>
  <si>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</si>
  <si>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</si>
  <si>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</si>
  <si>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</si>
  <si>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</si>
  <si>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</si>
  <si>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</si>
  <si>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</si>
  <si>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</si>
  <si>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</si>
  <si>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</si>
  <si>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</si>
  <si>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</si>
  <si>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</si>
  <si>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</si>
  <si>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</si>
  <si>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</si>
  <si>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</si>
  <si>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</si>
  <si>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</si>
  <si>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</si>
  <si>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</si>
  <si>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</si>
  <si>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</si>
  <si>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</si>
  <si>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</si>
  <si>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</si>
  <si>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</si>
  <si>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</si>
  <si>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</si>
  <si>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</si>
  <si>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</si>
  <si>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</si>
  <si>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</si>
  <si>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</si>
  <si>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</si>
  <si>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</si>
  <si>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</si>
  <si>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</si>
  <si>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</si>
  <si>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</si>
  <si>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</si>
  <si>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</si>
  <si>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</si>
  <si>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</si>
  <si>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</si>
  <si>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</si>
  <si>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</si>
  <si>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</si>
  <si>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</si>
  <si>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</si>
  <si>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</si>
  <si>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</si>
  <si>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</si>
  <si>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</si>
  <si>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</si>
  <si>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</si>
  <si>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</si>
  <si>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</si>
  <si>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</si>
  <si>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</si>
  <si>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</si>
  <si>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</si>
  <si>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</si>
  <si>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</si>
  <si>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</si>
  <si>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</si>
  <si>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</si>
  <si>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</si>
  <si>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</si>
  <si>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</si>
  <si>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</si>
  <si>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</si>
  <si>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</si>
  <si>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</si>
  <si>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</si>
  <si>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</si>
  <si>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</si>
  <si>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</si>
  <si>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</si>
  <si>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</si>
  <si>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</si>
  <si>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</si>
  <si>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</si>
  <si>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</si>
  <si>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</si>
  <si>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</si>
  <si>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</si>
  <si>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</si>
  <si>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</si>
  <si>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</si>
  <si>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</si>
  <si>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</si>
  <si>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</si>
  <si>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</si>
  <si>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</si>
  <si>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</si>
  <si>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</si>
  <si>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</si>
  <si>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</si>
  <si>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</si>
  <si>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</si>
  <si>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</si>
  <si>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</si>
  <si>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</si>
  <si>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</si>
  <si>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</si>
  <si>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</si>
  <si>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</si>
  <si>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</si>
  <si>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</si>
  <si>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</si>
  <si>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</si>
  <si>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</si>
  <si>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</si>
  <si>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</si>
  <si>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</si>
  <si>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</si>
  <si>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</si>
  <si>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</si>
  <si>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</si>
  <si>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</si>
  <si>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</si>
  <si>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</si>
  <si>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</si>
  <si>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</si>
  <si>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</si>
  <si>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</si>
  <si>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</si>
  <si>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</si>
  <si>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</si>
  <si>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</si>
  <si>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</si>
  <si>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</si>
  <si>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</si>
  <si>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</si>
  <si>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</si>
  <si>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</si>
  <si>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</si>
  <si>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</si>
  <si>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</si>
  <si>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</si>
  <si>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</si>
  <si>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</si>
  <si>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</si>
  <si>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</si>
  <si>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</si>
  <si>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</si>
  <si>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</si>
  <si>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</si>
  <si>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</si>
  <si>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</si>
  <si>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</si>
  <si>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</si>
  <si>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</si>
  <si>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</si>
  <si>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</si>
  <si>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</si>
  <si>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</si>
  <si>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</si>
  <si>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</si>
  <si>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</si>
  <si>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</si>
  <si>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</si>
  <si>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</si>
  <si>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</si>
  <si>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</si>
  <si>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</si>
  <si>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</si>
  <si>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</si>
  <si>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</si>
  <si>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</si>
  <si>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</si>
  <si>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</si>
  <si>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</si>
  <si>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</si>
  <si>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</si>
  <si>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</si>
  <si>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</si>
  <si>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</si>
  <si>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</si>
  <si>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</si>
  <si>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</si>
  <si>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</si>
  <si>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Fecha de review</t>
  </si>
  <si>
    <t>1982 - 1988</t>
  </si>
  <si>
    <t>4 (8.85)</t>
  </si>
  <si>
    <t>9 álbumes · media 8.97</t>
  </si>
  <si>
    <t>r=0.018 · ≈ nula</t>
  </si>
  <si>
    <t>Duración   (r=0.018)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</si>
  <si>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</si>
  <si>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</si>
  <si>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</si>
  <si>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</si>
  <si>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</si>
  <si>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</si>
  <si>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</si>
  <si>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</si>
  <si>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</si>
  <si>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</si>
  <si>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</si>
  <si>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</si>
  <si>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</si>
  <si>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</si>
  <si>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</si>
  <si>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</si>
  <si>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</si>
  <si>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</si>
  <si>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</si>
  <si>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</si>
  <si>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</si>
  <si>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</si>
  <si>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</si>
  <si>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</si>
  <si>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</si>
  <si>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</si>
  <si>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</si>
  <si>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</si>
  <si>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</si>
  <si>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</si>
  <si>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</si>
  <si>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</si>
  <si>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</si>
  <si>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</si>
  <si>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</si>
  <si>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</si>
  <si>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</si>
  <si>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</si>
  <si>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</si>
  <si>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</si>
  <si>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</si>
  <si>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</si>
  <si>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</si>
  <si>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</si>
  <si>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</si>
  <si>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</si>
  <si>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</si>
  <si>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</si>
  <si>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</si>
  <si>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</si>
  <si>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</si>
  <si>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</si>
  <si>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</si>
  <si>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</si>
  <si>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</si>
  <si>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</si>
  <si>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</si>
  <si>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</si>
  <si>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</si>
  <si>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</si>
  <si>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</si>
  <si>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</si>
  <si>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</si>
  <si>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</si>
  <si>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</si>
  <si>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</si>
  <si>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</si>
  <si>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</si>
  <si>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</si>
  <si>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</si>
  <si>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</si>
  <si>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</si>
  <si>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</si>
  <si>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</si>
  <si>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</si>
  <si>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</si>
  <si>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</si>
  <si>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</si>
  <si>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</si>
  <si>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</si>
  <si>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</si>
  <si>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</si>
  <si>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</si>
  <si>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</si>
  <si>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</si>
  <si>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</si>
  <si>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</si>
  <si>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</si>
  <si>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</si>
  <si>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</si>
  <si>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</si>
  <si>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</si>
  <si>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</si>
  <si>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</si>
  <si>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</si>
  <si>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</si>
  <si>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</si>
  <si>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</si>
  <si>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</si>
  <si>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</si>
  <si>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</si>
  <si>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 (8.69)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</si>
  <si>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</si>
  <si>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</si>
  <si>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</si>
  <si>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</si>
  <si>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</si>
  <si>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</si>
  <si>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</si>
  <si>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</si>
  <si>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</si>
  <si>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</si>
  <si>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</si>
  <si>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</si>
  <si>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</si>
  <si>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</si>
  <si>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</si>
  <si>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</si>
  <si>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</si>
  <si>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-0.78 ← sesgo alto</t>
  </si>
  <si>
    <t>neo Psychedelia</t>
  </si>
  <si>
    <t>1 (8.62)</t>
  </si>
  <si>
    <t>synthpop</t>
  </si>
  <si>
    <t>26 álbumes · media 8.31</t>
  </si>
  <si>
    <t>r=-0.175         · ≈ nula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</si>
  <si>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</si>
  <si>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</si>
  <si>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</si>
  <si>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</si>
  <si>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</si>
  <si>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</si>
  <si>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</si>
  <si>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</si>
  <si>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</si>
  <si>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</si>
  <si>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</si>
  <si>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</si>
  <si>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</si>
  <si>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</si>
  <si>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</si>
  <si>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</si>
  <si>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</si>
  <si>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</si>
  <si>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</si>
  <si>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8 (×308)</t>
  </si>
  <si>
    <t>4 ← colas pesadas</t>
  </si>
  <si>
    <t>8   (0.56%)</t>
  </si>
  <si>
    <t>24   (1.69%)</t>
  </si>
  <si>
    <t>198   (13.94%)</t>
  </si>
  <si>
    <t>603   (42.46%)</t>
  </si>
  <si>
    <t>338  (23.8%)</t>
  </si>
  <si>
    <t>249(17.54%)</t>
  </si>
  <si>
    <t>135 de 136</t>
  </si>
  <si>
    <t>5 (8.71)</t>
  </si>
  <si>
    <t>12 (8.69)</t>
  </si>
  <si>
    <t>2000s (35)</t>
  </si>
  <si>
    <t>29 álbumes · media 8.67</t>
  </si>
  <si>
    <t>35 álbumes · media 8.69</t>
  </si>
  <si>
    <t>21 álbumes · media 8.62</t>
  </si>
  <si>
    <t>r=-0.16   · ≈ nula</t>
  </si>
  <si>
    <t>r=0.152 · ≈ nula</t>
  </si>
  <si>
    <t>r=0.148 · ≈ nula</t>
  </si>
  <si>
    <t>r=0.589      · ↑ moderada</t>
  </si>
  <si>
    <t>r=-0.269 · ↓ débil</t>
  </si>
  <si>
    <t>Notas ≥10 (r=0.589)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</si>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</sst>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</fonts>
  <fills count="20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8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</cellXfs>
  <cellStyles count="1">
    <cellStyle name="Normal" xfId="0" builtinId="0"/>
  </cellStyles>
  <dxfs count="968"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0F3F55"/>
      <color rgb="FFEA0000"/>
      <color rgb="FF00CC99"/>
      <color rgb="FFFF0066"/>
      <color rgb="FFC00000"/>
      <color rgb="FFFFFFE7"/>
      <color rgb="FFFD5E1F"/>
      <color rgb="FFFD698C"/>
      <color rgb="FFFF6699"/>
      <color rgb="FF0000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G1" zoomScale="90" zoomScaleNormal="90" workbookViewId="0">
      <pane ySplit="1" topLeftCell="A71" activePane="bottomLeft" state="frozen"/>
      <selection pane="bottomLeft" activeCell="N84" sqref="N8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02" t="s">
        <v>1353</v>
      </c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302"/>
      <c r="AE1" s="302"/>
      <c r="AH1" s="302" t="s">
        <v>1043</v>
      </c>
      <c r="AI1" s="302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1195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2065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1988</v>
      </c>
      <c r="AD2" s="48" t="s">
        <v>1989</v>
      </c>
      <c r="AE2" s="48" t="s">
        <v>2180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1940</v>
      </c>
      <c r="AE3" s="296" t="s">
        <v>2243</v>
      </c>
      <c r="AH3" s="65" t="s">
        <v>1045</v>
      </c>
      <c r="AI3" s="131">
        <v>136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1941</v>
      </c>
      <c r="AE4" s="297" t="s">
        <v>2254</v>
      </c>
      <c r="AH4" s="49" t="s">
        <v>1046</v>
      </c>
      <c r="AI4" s="132">
        <v>88</v>
      </c>
      <c r="AK4" s="40"/>
      <c r="AL4" s="39">
        <v>10</v>
      </c>
      <c r="AM4" s="1" t="s">
        <v>1810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1942</v>
      </c>
      <c r="AE5" s="296" t="s">
        <v>2222</v>
      </c>
      <c r="AH5" s="65" t="s">
        <v>1047</v>
      </c>
      <c r="AI5" s="131">
        <v>1485</v>
      </c>
      <c r="AK5" s="44"/>
      <c r="AL5" s="39" t="s">
        <v>242</v>
      </c>
      <c r="AM5" s="1" t="s">
        <v>1811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1943</v>
      </c>
      <c r="AE6" s="297" t="s">
        <v>2205</v>
      </c>
      <c r="AH6" s="49" t="s">
        <v>1048</v>
      </c>
      <c r="AI6" s="132">
        <v>1420</v>
      </c>
      <c r="AK6" s="43"/>
      <c r="AL6" s="39" t="s">
        <v>243</v>
      </c>
      <c r="AM6" s="1" t="s">
        <v>1812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1816</v>
      </c>
      <c r="AC7" s="66">
        <v>2026</v>
      </c>
      <c r="AD7" s="66" t="s">
        <v>1940</v>
      </c>
      <c r="AE7" s="296" t="s">
        <v>2239</v>
      </c>
      <c r="AH7" s="65" t="s">
        <v>333</v>
      </c>
      <c r="AI7" s="131">
        <v>65</v>
      </c>
      <c r="AK7" s="41"/>
      <c r="AL7" s="39" t="s">
        <v>244</v>
      </c>
      <c r="AM7" s="1" t="s">
        <v>1813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1943</v>
      </c>
      <c r="AE8" s="297" t="s">
        <v>2252</v>
      </c>
      <c r="AH8" s="49" t="s">
        <v>1049</v>
      </c>
      <c r="AI8" s="132">
        <v>10.92</v>
      </c>
      <c r="AK8" s="47"/>
      <c r="AL8" s="39" t="s">
        <v>322</v>
      </c>
      <c r="AM8" s="1" t="s">
        <v>1814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1944</v>
      </c>
      <c r="AE9" s="296" t="s">
        <v>2219</v>
      </c>
      <c r="AH9" s="65" t="s">
        <v>1050</v>
      </c>
      <c r="AI9" s="161">
        <v>4.3799999999999999E-2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1945</v>
      </c>
      <c r="AE10" s="297" t="s">
        <v>2236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1946</v>
      </c>
      <c r="AE11" s="296" t="s">
        <v>2236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1261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1274</v>
      </c>
      <c r="AC12" s="67">
        <v>2019</v>
      </c>
      <c r="AD12" s="67" t="s">
        <v>1947</v>
      </c>
      <c r="AE12" s="297" t="s">
        <v>2218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1948</v>
      </c>
      <c r="AE13" s="296" t="s">
        <v>2233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1943</v>
      </c>
      <c r="AE14" s="297" t="s">
        <v>2251</v>
      </c>
      <c r="AH14" s="49" t="s">
        <v>1054</v>
      </c>
      <c r="AI14" s="132" t="s">
        <v>2330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1198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1949</v>
      </c>
      <c r="AE15" s="296" t="s">
        <v>2252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2088</v>
      </c>
      <c r="T16" s="67" t="s">
        <v>2081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2090</v>
      </c>
      <c r="AC16" s="67">
        <v>1970</v>
      </c>
      <c r="AD16" s="67" t="s">
        <v>1948</v>
      </c>
      <c r="AE16" s="297" t="s">
        <v>2190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1196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1950</v>
      </c>
      <c r="AE17" s="296" t="s">
        <v>2252</v>
      </c>
      <c r="AH17" s="65" t="s">
        <v>1056</v>
      </c>
      <c r="AI17" s="131">
        <v>1.05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1951</v>
      </c>
      <c r="AE18" s="297" t="s">
        <v>2247</v>
      </c>
      <c r="AH18" s="49" t="s">
        <v>1057</v>
      </c>
      <c r="AI18" s="133">
        <v>0.1222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1952</v>
      </c>
      <c r="AE19" s="296" t="s">
        <v>2223</v>
      </c>
      <c r="AH19" s="65" t="s">
        <v>1058</v>
      </c>
      <c r="AI19" s="131" t="s">
        <v>1831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1953</v>
      </c>
      <c r="AE20" s="297" t="s">
        <v>2252</v>
      </c>
      <c r="AH20" s="49" t="s">
        <v>1059</v>
      </c>
      <c r="AI20" s="132" t="s">
        <v>1867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1941</v>
      </c>
      <c r="AE21" s="296" t="s">
        <v>2253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1943</v>
      </c>
      <c r="AE22" s="297" t="s">
        <v>2253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1954</v>
      </c>
      <c r="AE23" s="296" t="s">
        <v>2245</v>
      </c>
      <c r="AH23" s="65" t="s">
        <v>1061</v>
      </c>
      <c r="AI23" s="131" t="s">
        <v>2305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1951</v>
      </c>
      <c r="AE24" s="297" t="s">
        <v>2237</v>
      </c>
      <c r="AH24" s="49" t="s">
        <v>1062</v>
      </c>
      <c r="AI24" s="132" t="s">
        <v>2331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1940</v>
      </c>
      <c r="AE25" s="296" t="s">
        <v>2229</v>
      </c>
      <c r="AK25" t="s">
        <v>1815</v>
      </c>
    </row>
    <row r="26" spans="1:37" ht="16.05" customHeight="1" thickBot="1">
      <c r="A26" s="140" t="s">
        <v>1197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1955</v>
      </c>
      <c r="AE26" s="297" t="s">
        <v>2253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1956</v>
      </c>
      <c r="AE27" s="296" t="s">
        <v>2251</v>
      </c>
      <c r="AH27" s="65" t="s">
        <v>1064</v>
      </c>
      <c r="AI27" s="131" t="s">
        <v>2332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1903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1142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1957</v>
      </c>
      <c r="AE28" s="297" t="s">
        <v>2221</v>
      </c>
      <c r="AH28" s="49" t="s">
        <v>1065</v>
      </c>
      <c r="AI28" s="132" t="s">
        <v>2333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1958</v>
      </c>
      <c r="AE29" s="296" t="s">
        <v>2240</v>
      </c>
      <c r="AH29" s="65" t="s">
        <v>1066</v>
      </c>
      <c r="AI29" s="131" t="s">
        <v>2334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1959</v>
      </c>
      <c r="AE30" s="297" t="s">
        <v>2225</v>
      </c>
      <c r="AH30" s="49" t="s">
        <v>1067</v>
      </c>
      <c r="AI30" s="132" t="s">
        <v>2335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0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785</v>
      </c>
      <c r="AC31" s="66">
        <v>1995</v>
      </c>
      <c r="AD31" s="66" t="s">
        <v>1960</v>
      </c>
      <c r="AE31" s="296" t="s">
        <v>2246</v>
      </c>
      <c r="AH31" s="65" t="s">
        <v>1068</v>
      </c>
      <c r="AI31" s="131" t="s">
        <v>2336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1576</v>
      </c>
      <c r="T32" s="67" t="s">
        <v>1577</v>
      </c>
      <c r="U32" s="67">
        <v>8.67</v>
      </c>
      <c r="V32" s="211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1578</v>
      </c>
      <c r="AC32" s="67">
        <v>2017</v>
      </c>
      <c r="AD32" s="67" t="s">
        <v>1949</v>
      </c>
      <c r="AE32" s="297" t="s">
        <v>2206</v>
      </c>
      <c r="AH32" s="49" t="s">
        <v>1069</v>
      </c>
      <c r="AI32" s="132" t="s">
        <v>2337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1845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1961</v>
      </c>
      <c r="AE33" s="296" t="s">
        <v>2195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353</v>
      </c>
      <c r="T34" s="67" t="s">
        <v>1643</v>
      </c>
      <c r="U34" s="67">
        <v>8.94</v>
      </c>
      <c r="V34" s="212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1660</v>
      </c>
      <c r="AC34" s="67">
        <v>2000</v>
      </c>
      <c r="AD34" s="67" t="s">
        <v>1948</v>
      </c>
      <c r="AE34" s="297" t="s">
        <v>2204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354</v>
      </c>
      <c r="T35" s="66" t="s">
        <v>1882</v>
      </c>
      <c r="U35" s="66">
        <v>8.9600000000000009</v>
      </c>
      <c r="V35" s="274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1883</v>
      </c>
      <c r="AC35" s="66">
        <v>2003</v>
      </c>
      <c r="AD35" s="66" t="s">
        <v>1962</v>
      </c>
      <c r="AE35" s="296" t="s">
        <v>2193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1354</v>
      </c>
      <c r="T36" s="67" t="s">
        <v>1345</v>
      </c>
      <c r="U36" s="67">
        <v>8.9499999999999993</v>
      </c>
      <c r="V36" s="282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1358</v>
      </c>
      <c r="AC36" s="67">
        <v>2025</v>
      </c>
      <c r="AD36" s="67" t="s">
        <v>1966</v>
      </c>
      <c r="AE36" s="297" t="s">
        <v>2216</v>
      </c>
      <c r="AH36" s="49" t="s">
        <v>1073</v>
      </c>
      <c r="AI36" s="132" t="s">
        <v>1832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1194</v>
      </c>
      <c r="T37" s="66" t="s">
        <v>2144</v>
      </c>
      <c r="U37" s="66">
        <v>8.7200000000000006</v>
      </c>
      <c r="V37" s="282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1578</v>
      </c>
      <c r="AC37" s="66">
        <v>2013</v>
      </c>
      <c r="AD37" s="66" t="s">
        <v>2147</v>
      </c>
      <c r="AE37" s="296" t="s">
        <v>2188</v>
      </c>
      <c r="AH37" s="65" t="s">
        <v>1074</v>
      </c>
      <c r="AI37" s="131" t="s">
        <v>2051</v>
      </c>
      <c r="AK37" t="s">
        <v>1273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1194</v>
      </c>
      <c r="T38" s="67" t="s">
        <v>1575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1578</v>
      </c>
      <c r="AC38" s="67">
        <v>2011</v>
      </c>
      <c r="AD38" s="67" t="s">
        <v>1963</v>
      </c>
      <c r="AE38" s="297" t="s">
        <v>2220</v>
      </c>
      <c r="AH38" s="49" t="s">
        <v>1075</v>
      </c>
      <c r="AI38" s="132" t="s">
        <v>1833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728</v>
      </c>
      <c r="T39" s="66" t="s">
        <v>1449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1450</v>
      </c>
      <c r="AC39" s="66">
        <v>2005</v>
      </c>
      <c r="AD39" s="66" t="s">
        <v>1954</v>
      </c>
      <c r="AE39" s="296" t="s">
        <v>2212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1394</v>
      </c>
      <c r="T40" s="67" t="s">
        <v>1395</v>
      </c>
      <c r="U40" s="67">
        <v>8.82</v>
      </c>
      <c r="V40" s="213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1396</v>
      </c>
      <c r="AC40" s="67">
        <v>2015</v>
      </c>
      <c r="AD40" s="67" t="s">
        <v>1964</v>
      </c>
      <c r="AE40" s="297" t="s">
        <v>2214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1513</v>
      </c>
      <c r="T41" s="66" t="s">
        <v>1514</v>
      </c>
      <c r="U41" s="66">
        <v>8.93</v>
      </c>
      <c r="V41" s="213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1517</v>
      </c>
      <c r="AC41" s="66">
        <v>2000</v>
      </c>
      <c r="AD41" s="66" t="s">
        <v>1960</v>
      </c>
      <c r="AE41" s="296" t="s">
        <v>2208</v>
      </c>
      <c r="AH41" s="65" t="s">
        <v>1077</v>
      </c>
      <c r="AI41" s="131" t="s">
        <v>2338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1617</v>
      </c>
      <c r="T42" s="67" t="s">
        <v>1618</v>
      </c>
      <c r="U42" s="67">
        <v>8.9</v>
      </c>
      <c r="V42" s="213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1619</v>
      </c>
      <c r="AC42" s="67">
        <v>1974</v>
      </c>
      <c r="AD42" s="67" t="s">
        <v>1949</v>
      </c>
      <c r="AE42" s="297" t="s">
        <v>2205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1771</v>
      </c>
      <c r="T43" s="66" t="s">
        <v>1772</v>
      </c>
      <c r="U43" s="66">
        <v>8.91</v>
      </c>
      <c r="V43" s="213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1108</v>
      </c>
      <c r="AC43" s="66">
        <v>1994</v>
      </c>
      <c r="AD43" s="66" t="s">
        <v>1965</v>
      </c>
      <c r="AE43" s="296" t="s">
        <v>2197</v>
      </c>
      <c r="AH43" s="65" t="s">
        <v>1079</v>
      </c>
      <c r="AI43" s="131" t="s">
        <v>2063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4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770</v>
      </c>
      <c r="AC44" s="67">
        <v>2020</v>
      </c>
      <c r="AD44" s="67" t="s">
        <v>1966</v>
      </c>
      <c r="AE44" s="297" t="s">
        <v>2253</v>
      </c>
      <c r="AH44" s="49" t="s">
        <v>1080</v>
      </c>
      <c r="AI44" s="132" t="s">
        <v>2178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2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1226</v>
      </c>
      <c r="AC45" s="66">
        <v>1978</v>
      </c>
      <c r="AD45" s="66" t="s">
        <v>1948</v>
      </c>
      <c r="AE45" s="296" t="s">
        <v>2219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353</v>
      </c>
      <c r="T46" s="67" t="s">
        <v>1004</v>
      </c>
      <c r="U46" s="67">
        <v>8.73</v>
      </c>
      <c r="V46" s="173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1010</v>
      </c>
      <c r="AC46" s="67">
        <v>2002</v>
      </c>
      <c r="AD46" s="67" t="s">
        <v>1950</v>
      </c>
      <c r="AE46" s="297" t="s">
        <v>2224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5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771</v>
      </c>
      <c r="AC47" s="66">
        <v>1985</v>
      </c>
      <c r="AD47" s="66" t="s">
        <v>1950</v>
      </c>
      <c r="AE47" s="296" t="s">
        <v>2253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1546</v>
      </c>
      <c r="T48" s="67" t="s">
        <v>1547</v>
      </c>
      <c r="U48" s="67">
        <v>8.82</v>
      </c>
      <c r="V48" s="215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788</v>
      </c>
      <c r="AC48" s="67">
        <v>2005</v>
      </c>
      <c r="AD48" s="67" t="s">
        <v>1959</v>
      </c>
      <c r="AE48" s="297" t="s">
        <v>2207</v>
      </c>
      <c r="AH48" s="49" t="s">
        <v>1084</v>
      </c>
      <c r="AI48" s="132" t="s">
        <v>2179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1405</v>
      </c>
      <c r="T49" s="66" t="s">
        <v>1398</v>
      </c>
      <c r="U49" s="66">
        <v>8.86</v>
      </c>
      <c r="V49" s="215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1407</v>
      </c>
      <c r="AC49" s="66">
        <v>1971</v>
      </c>
      <c r="AD49" s="66" t="s">
        <v>1967</v>
      </c>
      <c r="AE49" s="296" t="s">
        <v>2213</v>
      </c>
      <c r="AH49" s="65" t="s">
        <v>1090</v>
      </c>
      <c r="AI49" s="131" t="s">
        <v>1150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1721</v>
      </c>
      <c r="T50" s="67" t="s">
        <v>2172</v>
      </c>
      <c r="U50" s="67">
        <v>8.81</v>
      </c>
      <c r="V50" s="215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1376</v>
      </c>
      <c r="AC50" s="67">
        <v>1988</v>
      </c>
      <c r="AD50" s="67" t="s">
        <v>1942</v>
      </c>
      <c r="AE50" s="297" t="s">
        <v>2187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595</v>
      </c>
      <c r="T51" s="66" t="s">
        <v>596</v>
      </c>
      <c r="U51" s="66">
        <v>8.7799999999999994</v>
      </c>
      <c r="V51" s="174">
        <v>8.7899999999999991</v>
      </c>
      <c r="W51" s="66">
        <v>8.5</v>
      </c>
      <c r="X51" s="66">
        <v>0.97</v>
      </c>
      <c r="Y51" s="66">
        <v>2</v>
      </c>
      <c r="Z51" s="66">
        <v>9</v>
      </c>
      <c r="AA51" s="66">
        <v>0</v>
      </c>
      <c r="AB51" s="49" t="s">
        <v>831</v>
      </c>
      <c r="AC51" s="66">
        <v>1983</v>
      </c>
      <c r="AD51" s="66" t="s">
        <v>1951</v>
      </c>
      <c r="AE51" s="296" t="s">
        <v>2243</v>
      </c>
      <c r="AH51" s="65" t="s">
        <v>1089</v>
      </c>
      <c r="AI51" s="131" t="s">
        <v>2009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345</v>
      </c>
      <c r="T52" s="67" t="s">
        <v>638</v>
      </c>
      <c r="U52" s="67">
        <v>8.77</v>
      </c>
      <c r="V52" s="174">
        <v>8.7899999999999991</v>
      </c>
      <c r="W52" s="67">
        <v>8.5</v>
      </c>
      <c r="X52" s="67">
        <v>0.99</v>
      </c>
      <c r="Y52" s="67">
        <v>3</v>
      </c>
      <c r="Z52" s="67">
        <v>13</v>
      </c>
      <c r="AA52" s="67">
        <v>0</v>
      </c>
      <c r="AB52" s="65" t="s">
        <v>769</v>
      </c>
      <c r="AC52" s="67">
        <v>2013</v>
      </c>
      <c r="AD52" s="67" t="s">
        <v>1968</v>
      </c>
      <c r="AE52" s="297" t="s">
        <v>2241</v>
      </c>
      <c r="AH52" s="49" t="s">
        <v>1112</v>
      </c>
      <c r="AI52" s="132" t="s">
        <v>1817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828</v>
      </c>
      <c r="T53" s="66" t="s">
        <v>829</v>
      </c>
      <c r="U53" s="66">
        <v>8.82</v>
      </c>
      <c r="V53" s="174">
        <v>8.7899999999999991</v>
      </c>
      <c r="W53" s="66">
        <v>9</v>
      </c>
      <c r="X53" s="66">
        <v>0.86</v>
      </c>
      <c r="Y53" s="66">
        <v>3</v>
      </c>
      <c r="Z53" s="66">
        <v>13</v>
      </c>
      <c r="AA53" s="66">
        <v>2</v>
      </c>
      <c r="AB53" s="49" t="s">
        <v>830</v>
      </c>
      <c r="AC53" s="66">
        <v>2010</v>
      </c>
      <c r="AD53" s="66" t="s">
        <v>1969</v>
      </c>
      <c r="AE53" s="296" t="s">
        <v>2231</v>
      </c>
      <c r="AH53" s="65" t="s">
        <v>1091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1299</v>
      </c>
      <c r="T54" s="67" t="s">
        <v>1300</v>
      </c>
      <c r="U54" s="67">
        <v>8.67</v>
      </c>
      <c r="V54" s="174">
        <v>8.7899999999999991</v>
      </c>
      <c r="W54" s="67">
        <v>9</v>
      </c>
      <c r="X54" s="67">
        <v>1.08</v>
      </c>
      <c r="Y54" s="67">
        <v>2</v>
      </c>
      <c r="Z54" s="67">
        <v>9</v>
      </c>
      <c r="AA54" s="67">
        <v>0</v>
      </c>
      <c r="AB54" s="65" t="s">
        <v>1304</v>
      </c>
      <c r="AC54" s="67">
        <v>2008</v>
      </c>
      <c r="AD54" s="67" t="s">
        <v>1970</v>
      </c>
      <c r="AE54" s="297" t="s">
        <v>2218</v>
      </c>
      <c r="AH54" s="49" t="s">
        <v>1093</v>
      </c>
      <c r="AI54" s="132" t="s">
        <v>1092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1698</v>
      </c>
      <c r="T55" s="66" t="s">
        <v>1697</v>
      </c>
      <c r="U55" s="66">
        <v>8.85</v>
      </c>
      <c r="V55" s="216">
        <v>8.7799999999999994</v>
      </c>
      <c r="W55" s="66">
        <v>8.75</v>
      </c>
      <c r="X55" s="66">
        <v>0.55000000000000004</v>
      </c>
      <c r="Y55" s="66">
        <v>1</v>
      </c>
      <c r="Z55" s="66">
        <v>10</v>
      </c>
      <c r="AA55" s="66">
        <v>0</v>
      </c>
      <c r="AB55" s="49" t="s">
        <v>1699</v>
      </c>
      <c r="AC55" s="66">
        <v>2014</v>
      </c>
      <c r="AD55" s="66" t="s">
        <v>1971</v>
      </c>
      <c r="AE55" s="296" t="s">
        <v>2201</v>
      </c>
      <c r="AH55" s="65" t="s">
        <v>1085</v>
      </c>
      <c r="AI55" s="131" t="s">
        <v>1885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339</v>
      </c>
      <c r="T56" s="67" t="s">
        <v>1415</v>
      </c>
      <c r="U56" s="67">
        <v>8.83</v>
      </c>
      <c r="V56" s="175">
        <v>8.77</v>
      </c>
      <c r="W56" s="67">
        <v>8.75</v>
      </c>
      <c r="X56" s="67">
        <v>0.62</v>
      </c>
      <c r="Y56" s="67">
        <v>1</v>
      </c>
      <c r="Z56" s="67">
        <v>6</v>
      </c>
      <c r="AA56" s="67">
        <v>0</v>
      </c>
      <c r="AB56" s="65" t="s">
        <v>1418</v>
      </c>
      <c r="AC56" s="67">
        <v>2023</v>
      </c>
      <c r="AD56" s="67" t="s">
        <v>1972</v>
      </c>
      <c r="AE56" s="297" t="s">
        <v>2213</v>
      </c>
      <c r="AH56" s="49" t="s">
        <v>1088</v>
      </c>
      <c r="AI56" s="132" t="s">
        <v>2176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2113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1804</v>
      </c>
      <c r="T57" s="66" t="s">
        <v>1805</v>
      </c>
      <c r="U57" s="66">
        <v>8.83</v>
      </c>
      <c r="V57" s="175">
        <v>8.77</v>
      </c>
      <c r="W57" s="66">
        <v>8.75</v>
      </c>
      <c r="X57" s="66">
        <v>0.62</v>
      </c>
      <c r="Y57" s="66">
        <v>1</v>
      </c>
      <c r="Z57" s="66">
        <v>6</v>
      </c>
      <c r="AA57" s="66">
        <v>0</v>
      </c>
      <c r="AB57" s="49" t="s">
        <v>1809</v>
      </c>
      <c r="AC57" s="66">
        <v>1991</v>
      </c>
      <c r="AD57" s="66" t="s">
        <v>1972</v>
      </c>
      <c r="AE57" s="296" t="s">
        <v>2196</v>
      </c>
      <c r="AH57" s="65" t="s">
        <v>771</v>
      </c>
      <c r="AI57" s="131" t="s">
        <v>1151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354</v>
      </c>
      <c r="T58" s="67" t="s">
        <v>1199</v>
      </c>
      <c r="U58" s="67">
        <v>8.73</v>
      </c>
      <c r="V58" s="126">
        <v>8.76</v>
      </c>
      <c r="W58" s="67">
        <v>8.5</v>
      </c>
      <c r="X58" s="67">
        <v>0.87</v>
      </c>
      <c r="Y58" s="67">
        <v>2</v>
      </c>
      <c r="Z58" s="67">
        <v>13</v>
      </c>
      <c r="AA58" s="67">
        <v>0</v>
      </c>
      <c r="AB58" s="65" t="s">
        <v>1201</v>
      </c>
      <c r="AC58" s="67">
        <v>2009</v>
      </c>
      <c r="AD58" s="67" t="s">
        <v>1973</v>
      </c>
      <c r="AE58" s="297" t="s">
        <v>2253</v>
      </c>
      <c r="AH58" s="49" t="s">
        <v>2111</v>
      </c>
      <c r="AI58" s="132" t="s">
        <v>2166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350</v>
      </c>
      <c r="T59" s="66" t="s">
        <v>276</v>
      </c>
      <c r="U59" s="66">
        <v>8.7799999999999994</v>
      </c>
      <c r="V59" s="126">
        <v>8.76</v>
      </c>
      <c r="W59" s="66">
        <v>9</v>
      </c>
      <c r="X59" s="66">
        <v>0.79</v>
      </c>
      <c r="Y59" s="66">
        <v>2</v>
      </c>
      <c r="Z59" s="66">
        <v>10</v>
      </c>
      <c r="AA59" s="66">
        <v>1</v>
      </c>
      <c r="AB59" s="49" t="s">
        <v>772</v>
      </c>
      <c r="AC59" s="66">
        <v>1994</v>
      </c>
      <c r="AD59" s="66" t="s">
        <v>1972</v>
      </c>
      <c r="AE59" s="296" t="s">
        <v>2251</v>
      </c>
      <c r="AH59" s="65" t="s">
        <v>1886</v>
      </c>
      <c r="AI59" s="131" t="s">
        <v>1887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849</v>
      </c>
      <c r="T60" s="67" t="s">
        <v>844</v>
      </c>
      <c r="U60" s="67">
        <v>8.7100000000000009</v>
      </c>
      <c r="V60" s="126">
        <v>8.76</v>
      </c>
      <c r="W60" s="67">
        <v>8.5</v>
      </c>
      <c r="X60" s="67">
        <v>0.75</v>
      </c>
      <c r="Y60" s="67">
        <v>2</v>
      </c>
      <c r="Z60" s="67">
        <v>14</v>
      </c>
      <c r="AA60" s="67">
        <v>0</v>
      </c>
      <c r="AB60" s="65" t="s">
        <v>850</v>
      </c>
      <c r="AC60" s="67">
        <v>2005</v>
      </c>
      <c r="AD60" s="67" t="s">
        <v>1974</v>
      </c>
      <c r="AE60" s="297" t="s">
        <v>2230</v>
      </c>
      <c r="AH60" s="49" t="s">
        <v>1632</v>
      </c>
      <c r="AI60" s="132" t="s">
        <v>1633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1502</v>
      </c>
      <c r="T61" s="66" t="s">
        <v>1503</v>
      </c>
      <c r="U61" s="66">
        <v>8.73</v>
      </c>
      <c r="V61" s="126">
        <v>8.76</v>
      </c>
      <c r="W61" s="66">
        <v>8.5</v>
      </c>
      <c r="X61" s="66">
        <v>0.75</v>
      </c>
      <c r="Y61" s="66">
        <v>1</v>
      </c>
      <c r="Z61" s="66">
        <v>13</v>
      </c>
      <c r="AA61" s="66">
        <v>0</v>
      </c>
      <c r="AB61" s="49" t="s">
        <v>1504</v>
      </c>
      <c r="AC61" s="66">
        <v>1992</v>
      </c>
      <c r="AD61" s="66" t="s">
        <v>1968</v>
      </c>
      <c r="AE61" s="296" t="s">
        <v>2209</v>
      </c>
      <c r="AH61" s="65" t="s">
        <v>1095</v>
      </c>
      <c r="AI61" s="131" t="s">
        <v>1096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335</v>
      </c>
      <c r="T62" s="67" t="s">
        <v>568</v>
      </c>
      <c r="U62" s="67">
        <v>8.77</v>
      </c>
      <c r="V62" s="217">
        <v>8.75</v>
      </c>
      <c r="W62" s="67">
        <v>9</v>
      </c>
      <c r="X62" s="67">
        <v>0.72</v>
      </c>
      <c r="Y62" s="67">
        <v>1</v>
      </c>
      <c r="Z62" s="67">
        <v>11</v>
      </c>
      <c r="AA62" s="67">
        <v>0</v>
      </c>
      <c r="AB62" s="65" t="s">
        <v>764</v>
      </c>
      <c r="AC62" s="67">
        <v>2016</v>
      </c>
      <c r="AD62" s="67" t="s">
        <v>1970</v>
      </c>
      <c r="AE62" s="297" t="s">
        <v>2244</v>
      </c>
      <c r="AH62" s="49" t="s">
        <v>1416</v>
      </c>
      <c r="AI62" s="132" t="s">
        <v>1417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728</v>
      </c>
      <c r="T63" s="66" t="s">
        <v>724</v>
      </c>
      <c r="U63" s="66">
        <v>8.67</v>
      </c>
      <c r="V63" s="217">
        <v>8.75</v>
      </c>
      <c r="W63" s="66">
        <v>8</v>
      </c>
      <c r="X63" s="66">
        <v>1.04</v>
      </c>
      <c r="Y63" s="66">
        <v>4</v>
      </c>
      <c r="Z63" s="66">
        <v>16</v>
      </c>
      <c r="AA63" s="66">
        <v>1</v>
      </c>
      <c r="AB63" s="49" t="s">
        <v>789</v>
      </c>
      <c r="AC63" s="66">
        <v>2010</v>
      </c>
      <c r="AD63" s="66" t="s">
        <v>1975</v>
      </c>
      <c r="AE63" s="296" t="s">
        <v>2237</v>
      </c>
      <c r="AH63" s="65" t="s">
        <v>1376</v>
      </c>
      <c r="AI63" s="131" t="s">
        <v>2182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750</v>
      </c>
      <c r="T64" s="67" t="s">
        <v>751</v>
      </c>
      <c r="U64" s="67">
        <v>8.86</v>
      </c>
      <c r="V64" s="217">
        <v>8.75</v>
      </c>
      <c r="W64" s="67">
        <v>8.5</v>
      </c>
      <c r="X64" s="67">
        <v>0.77</v>
      </c>
      <c r="Y64" s="67">
        <v>3</v>
      </c>
      <c r="Z64" s="67">
        <v>11</v>
      </c>
      <c r="AA64" s="67">
        <v>0</v>
      </c>
      <c r="AB64" s="65" t="s">
        <v>851</v>
      </c>
      <c r="AC64" s="67">
        <v>2002</v>
      </c>
      <c r="AD64" s="67" t="s">
        <v>1965</v>
      </c>
      <c r="AE64" s="297" t="s">
        <v>2234</v>
      </c>
      <c r="AH64" s="49" t="s">
        <v>1102</v>
      </c>
      <c r="AI64" s="132" t="s">
        <v>1673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342</v>
      </c>
      <c r="T65" s="66" t="s">
        <v>909</v>
      </c>
      <c r="U65" s="66">
        <v>8.7100000000000009</v>
      </c>
      <c r="V65" s="176">
        <v>8.73</v>
      </c>
      <c r="W65" s="66">
        <v>8.5</v>
      </c>
      <c r="X65" s="66">
        <v>0.96</v>
      </c>
      <c r="Y65" s="66">
        <v>1</v>
      </c>
      <c r="Z65" s="66">
        <v>7</v>
      </c>
      <c r="AA65" s="66">
        <v>0</v>
      </c>
      <c r="AB65" s="49" t="s">
        <v>788</v>
      </c>
      <c r="AC65" s="66">
        <v>1999</v>
      </c>
      <c r="AD65" s="66" t="s">
        <v>1976</v>
      </c>
      <c r="AE65" s="296" t="s">
        <v>2228</v>
      </c>
      <c r="AH65" s="65" t="s">
        <v>787</v>
      </c>
      <c r="AI65" s="131" t="s">
        <v>1152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405</v>
      </c>
      <c r="T66" s="67" t="s">
        <v>399</v>
      </c>
      <c r="U66" s="67">
        <v>8.6999999999999993</v>
      </c>
      <c r="V66" s="142">
        <v>8.7200000000000006</v>
      </c>
      <c r="W66" s="67">
        <v>8.5</v>
      </c>
      <c r="X66" s="67">
        <v>1.08</v>
      </c>
      <c r="Y66" s="67">
        <v>2</v>
      </c>
      <c r="Z66" s="67">
        <v>10</v>
      </c>
      <c r="AA66" s="67">
        <v>0</v>
      </c>
      <c r="AB66" s="65" t="s">
        <v>773</v>
      </c>
      <c r="AC66" s="67">
        <v>1990</v>
      </c>
      <c r="AD66" s="67" t="s">
        <v>1977</v>
      </c>
      <c r="AE66" s="297" t="s">
        <v>2249</v>
      </c>
      <c r="AH66" s="49" t="s">
        <v>1243</v>
      </c>
      <c r="AI66" s="132" t="s">
        <v>1244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1461</v>
      </c>
      <c r="T67" s="66" t="s">
        <v>1462</v>
      </c>
      <c r="U67" s="66">
        <v>8.83</v>
      </c>
      <c r="V67" s="142">
        <v>8.7200000000000006</v>
      </c>
      <c r="W67" s="66">
        <v>8.5</v>
      </c>
      <c r="X67" s="66">
        <v>0.57999999999999996</v>
      </c>
      <c r="Y67" s="66">
        <v>1</v>
      </c>
      <c r="Z67" s="66">
        <v>9</v>
      </c>
      <c r="AA67" s="66">
        <v>0</v>
      </c>
      <c r="AB67" s="49" t="s">
        <v>1465</v>
      </c>
      <c r="AC67" s="66">
        <v>2002</v>
      </c>
      <c r="AD67" s="66" t="s">
        <v>1969</v>
      </c>
      <c r="AE67" s="296" t="s">
        <v>2211</v>
      </c>
      <c r="AH67" s="65" t="s">
        <v>1245</v>
      </c>
      <c r="AI67" s="131" t="s">
        <v>1244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418</v>
      </c>
      <c r="T68" s="67" t="s">
        <v>416</v>
      </c>
      <c r="U68" s="67">
        <v>8.67</v>
      </c>
      <c r="V68" s="137">
        <v>8.7100000000000009</v>
      </c>
      <c r="W68" s="67">
        <v>8.5</v>
      </c>
      <c r="X68" s="67">
        <v>0.85</v>
      </c>
      <c r="Y68" s="67">
        <v>2</v>
      </c>
      <c r="Z68" s="67">
        <v>12</v>
      </c>
      <c r="AA68" s="67">
        <v>0</v>
      </c>
      <c r="AB68" s="65" t="s">
        <v>831</v>
      </c>
      <c r="AC68" s="67">
        <v>1989</v>
      </c>
      <c r="AD68" s="67" t="s">
        <v>1978</v>
      </c>
      <c r="AE68" s="297" t="s">
        <v>2249</v>
      </c>
      <c r="AH68" s="49" t="s">
        <v>1420</v>
      </c>
      <c r="AI68" s="132" t="s">
        <v>1244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1528</v>
      </c>
      <c r="T69" s="66" t="s">
        <v>1529</v>
      </c>
      <c r="U69" s="66">
        <v>8.75</v>
      </c>
      <c r="V69" s="143">
        <v>8.6999999999999993</v>
      </c>
      <c r="W69" s="66">
        <v>8.75</v>
      </c>
      <c r="X69" s="66">
        <v>0.75</v>
      </c>
      <c r="Y69" s="66">
        <v>2</v>
      </c>
      <c r="Z69" s="66">
        <v>10</v>
      </c>
      <c r="AA69" s="66">
        <v>0</v>
      </c>
      <c r="AB69" s="49" t="s">
        <v>1530</v>
      </c>
      <c r="AC69" s="66">
        <v>1998</v>
      </c>
      <c r="AD69" s="66" t="s">
        <v>1979</v>
      </c>
      <c r="AE69" s="296" t="s">
        <v>2207</v>
      </c>
      <c r="AH69" s="65" t="s">
        <v>1818</v>
      </c>
      <c r="AI69" s="131" t="s">
        <v>1244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1721</v>
      </c>
      <c r="T70" s="67" t="s">
        <v>1717</v>
      </c>
      <c r="U70" s="67">
        <v>8.81</v>
      </c>
      <c r="V70" s="143">
        <v>8.6999999999999993</v>
      </c>
      <c r="W70" s="67">
        <v>8.5</v>
      </c>
      <c r="X70" s="67">
        <v>0.83</v>
      </c>
      <c r="Y70" s="67">
        <v>2</v>
      </c>
      <c r="Z70" s="67">
        <v>8</v>
      </c>
      <c r="AA70" s="67">
        <v>0</v>
      </c>
      <c r="AB70" s="65" t="s">
        <v>1376</v>
      </c>
      <c r="AC70" s="67">
        <v>1982</v>
      </c>
      <c r="AD70" s="67" t="s">
        <v>1956</v>
      </c>
      <c r="AE70" s="297" t="s">
        <v>2200</v>
      </c>
      <c r="AH70" s="49" t="s">
        <v>1482</v>
      </c>
      <c r="AI70" s="132" t="s">
        <v>1244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1481</v>
      </c>
      <c r="T71" s="66" t="s">
        <v>1486</v>
      </c>
      <c r="U71" s="66">
        <v>8.8000000000000007</v>
      </c>
      <c r="V71" s="193">
        <v>8.68</v>
      </c>
      <c r="W71" s="66">
        <v>8.5</v>
      </c>
      <c r="X71" s="66">
        <v>0.7</v>
      </c>
      <c r="Y71" s="66">
        <v>2</v>
      </c>
      <c r="Z71" s="66">
        <v>15</v>
      </c>
      <c r="AA71" s="66">
        <v>0</v>
      </c>
      <c r="AB71" s="49" t="s">
        <v>1483</v>
      </c>
      <c r="AC71" s="66">
        <v>2012</v>
      </c>
      <c r="AD71" s="66" t="s">
        <v>1955</v>
      </c>
      <c r="AE71" s="296" t="s">
        <v>2210</v>
      </c>
      <c r="AH71" s="65" t="s">
        <v>1406</v>
      </c>
      <c r="AI71" s="131" t="s">
        <v>1098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1355</v>
      </c>
      <c r="T72" s="67" t="s">
        <v>1356</v>
      </c>
      <c r="U72" s="67">
        <v>8.77</v>
      </c>
      <c r="V72" s="197">
        <v>8.65</v>
      </c>
      <c r="W72" s="67">
        <v>8.5</v>
      </c>
      <c r="X72" s="67">
        <v>0.75</v>
      </c>
      <c r="Y72" s="67">
        <v>2</v>
      </c>
      <c r="Z72" s="67">
        <v>14</v>
      </c>
      <c r="AA72" s="67">
        <v>1</v>
      </c>
      <c r="AB72" s="65" t="s">
        <v>1359</v>
      </c>
      <c r="AC72" s="67">
        <v>2002</v>
      </c>
      <c r="AD72" s="67" t="s">
        <v>1957</v>
      </c>
      <c r="AE72" s="297" t="s">
        <v>2216</v>
      </c>
      <c r="AH72" s="49" t="s">
        <v>1099</v>
      </c>
      <c r="AI72" s="132" t="s">
        <v>1098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343</v>
      </c>
      <c r="T73" s="66" t="s">
        <v>343</v>
      </c>
      <c r="U73" s="66">
        <v>8.4600000000000009</v>
      </c>
      <c r="V73" s="197">
        <v>8.65</v>
      </c>
      <c r="W73" s="66">
        <v>8.5</v>
      </c>
      <c r="X73" s="66">
        <v>1.33</v>
      </c>
      <c r="Y73" s="66">
        <v>3</v>
      </c>
      <c r="Z73" s="66">
        <v>12</v>
      </c>
      <c r="AA73" s="66">
        <v>0</v>
      </c>
      <c r="AB73" s="49" t="s">
        <v>1376</v>
      </c>
      <c r="AC73" s="66">
        <v>2021</v>
      </c>
      <c r="AD73" s="66" t="s">
        <v>1976</v>
      </c>
      <c r="AE73" s="296" t="s">
        <v>2215</v>
      </c>
      <c r="AH73" s="65" t="s">
        <v>1260</v>
      </c>
      <c r="AI73" s="131" t="s">
        <v>1723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1671</v>
      </c>
      <c r="T74" s="67" t="s">
        <v>1667</v>
      </c>
      <c r="U74" s="67">
        <v>8.75</v>
      </c>
      <c r="V74" s="197">
        <v>8.65</v>
      </c>
      <c r="W74" s="67">
        <v>8.5</v>
      </c>
      <c r="X74" s="67">
        <v>0.56000000000000005</v>
      </c>
      <c r="Y74" s="67">
        <v>1</v>
      </c>
      <c r="Z74" s="67">
        <v>9</v>
      </c>
      <c r="AA74" s="67">
        <v>1</v>
      </c>
      <c r="AB74" s="65" t="s">
        <v>1674</v>
      </c>
      <c r="AC74" s="67">
        <v>2000</v>
      </c>
      <c r="AD74" s="67" t="s">
        <v>1944</v>
      </c>
      <c r="AE74" s="297" t="s">
        <v>2203</v>
      </c>
      <c r="AH74" s="49" t="s">
        <v>1108</v>
      </c>
      <c r="AI74" s="132" t="s">
        <v>1774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1256</v>
      </c>
      <c r="T75" s="66" t="s">
        <v>1250</v>
      </c>
      <c r="U75" s="66">
        <v>8.75</v>
      </c>
      <c r="V75" s="218">
        <v>8.6300000000000008</v>
      </c>
      <c r="W75" s="66">
        <v>8.5</v>
      </c>
      <c r="X75" s="66">
        <v>0.8</v>
      </c>
      <c r="Y75" s="66">
        <v>1</v>
      </c>
      <c r="Z75" s="66">
        <v>7</v>
      </c>
      <c r="AA75" s="66">
        <v>1</v>
      </c>
      <c r="AB75" s="49" t="s">
        <v>1257</v>
      </c>
      <c r="AC75" s="66">
        <v>2013</v>
      </c>
      <c r="AD75" s="66" t="s">
        <v>1958</v>
      </c>
      <c r="AE75" s="296" t="s">
        <v>2219</v>
      </c>
      <c r="AH75" s="65" t="s">
        <v>1115</v>
      </c>
      <c r="AI75" s="131" t="s">
        <v>1487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1631</v>
      </c>
      <c r="T76" s="67" t="s">
        <v>1624</v>
      </c>
      <c r="U76" s="67">
        <v>8.75</v>
      </c>
      <c r="V76" s="218">
        <v>8.6300000000000008</v>
      </c>
      <c r="W76" s="67">
        <v>8.5</v>
      </c>
      <c r="X76" s="67">
        <v>0.87</v>
      </c>
      <c r="Y76" s="67">
        <v>2</v>
      </c>
      <c r="Z76" s="67">
        <v>10</v>
      </c>
      <c r="AA76" s="67">
        <v>0</v>
      </c>
      <c r="AB76" s="65" t="s">
        <v>1634</v>
      </c>
      <c r="AC76" s="67">
        <v>1979</v>
      </c>
      <c r="AD76" s="67" t="s">
        <v>1961</v>
      </c>
      <c r="AE76" s="297" t="s">
        <v>2205</v>
      </c>
      <c r="AH76" s="49" t="s">
        <v>1105</v>
      </c>
      <c r="AI76" s="132" t="s">
        <v>1487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1167</v>
      </c>
      <c r="T77" s="66" t="s">
        <v>1732</v>
      </c>
      <c r="U77" s="66">
        <v>8.57</v>
      </c>
      <c r="V77" s="218">
        <v>8.6300000000000008</v>
      </c>
      <c r="W77" s="66">
        <v>8.5</v>
      </c>
      <c r="X77" s="66">
        <v>0.78</v>
      </c>
      <c r="Y77" s="66">
        <v>3</v>
      </c>
      <c r="Z77" s="66">
        <v>28</v>
      </c>
      <c r="AA77" s="66">
        <v>1</v>
      </c>
      <c r="AB77" s="49" t="s">
        <v>1759</v>
      </c>
      <c r="AC77" s="66">
        <v>1995</v>
      </c>
      <c r="AD77" s="66" t="s">
        <v>1971</v>
      </c>
      <c r="AE77" s="296" t="s">
        <v>2198</v>
      </c>
      <c r="AH77" s="65" t="s">
        <v>1360</v>
      </c>
      <c r="AI77" s="131" t="s">
        <v>1361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610</v>
      </c>
      <c r="T78" s="67" t="s">
        <v>611</v>
      </c>
      <c r="U78" s="67">
        <v>8.73</v>
      </c>
      <c r="V78" s="191">
        <v>8.6199999999999992</v>
      </c>
      <c r="W78" s="67">
        <v>8.5</v>
      </c>
      <c r="X78" s="67">
        <v>0.89</v>
      </c>
      <c r="Y78" s="67">
        <v>3</v>
      </c>
      <c r="Z78" s="67">
        <v>13</v>
      </c>
      <c r="AA78" s="67">
        <v>2</v>
      </c>
      <c r="AB78" s="65" t="s">
        <v>832</v>
      </c>
      <c r="AC78" s="67">
        <v>2015</v>
      </c>
      <c r="AD78" s="67" t="s">
        <v>1954</v>
      </c>
      <c r="AE78" s="297" t="s">
        <v>2242</v>
      </c>
      <c r="AH78" s="49" t="s">
        <v>1100</v>
      </c>
      <c r="AI78" s="132" t="s">
        <v>2010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1461</v>
      </c>
      <c r="T79" s="66" t="s">
        <v>1709</v>
      </c>
      <c r="U79" s="66">
        <v>8.7100000000000009</v>
      </c>
      <c r="V79" s="191">
        <v>8.6199999999999992</v>
      </c>
      <c r="W79" s="66">
        <v>8.5</v>
      </c>
      <c r="X79" s="66">
        <v>0.65</v>
      </c>
      <c r="Y79" s="66">
        <v>1</v>
      </c>
      <c r="Z79" s="66">
        <v>8</v>
      </c>
      <c r="AA79" s="66">
        <v>1</v>
      </c>
      <c r="AB79" s="49" t="s">
        <v>1710</v>
      </c>
      <c r="AC79" s="66">
        <v>2006</v>
      </c>
      <c r="AD79" s="66" t="s">
        <v>1980</v>
      </c>
      <c r="AE79" s="296" t="s">
        <v>2200</v>
      </c>
      <c r="AH79" s="65" t="s">
        <v>1531</v>
      </c>
      <c r="AI79" s="131" t="s">
        <v>1259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2059</v>
      </c>
      <c r="T80" s="67" t="s">
        <v>2060</v>
      </c>
      <c r="U80" s="67">
        <v>8.67</v>
      </c>
      <c r="V80" s="286">
        <v>8.61</v>
      </c>
      <c r="W80" s="67">
        <v>8.75</v>
      </c>
      <c r="X80" s="67">
        <v>0.62</v>
      </c>
      <c r="Y80" s="67">
        <v>0</v>
      </c>
      <c r="Z80" s="67">
        <v>6</v>
      </c>
      <c r="AA80" s="67">
        <v>0</v>
      </c>
      <c r="AB80" s="65" t="s">
        <v>1088</v>
      </c>
      <c r="AC80" s="67">
        <v>2013</v>
      </c>
      <c r="AD80" s="67" t="s">
        <v>1950</v>
      </c>
      <c r="AE80" s="297" t="s">
        <v>2190</v>
      </c>
      <c r="AH80" s="49" t="s">
        <v>1675</v>
      </c>
      <c r="AI80" s="132" t="s">
        <v>1259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943</v>
      </c>
      <c r="T81" s="66" t="s">
        <v>924</v>
      </c>
      <c r="U81" s="66">
        <v>8.5500000000000007</v>
      </c>
      <c r="V81" s="219">
        <v>8.6</v>
      </c>
      <c r="W81" s="66">
        <v>8.5</v>
      </c>
      <c r="X81" s="66">
        <v>0.96</v>
      </c>
      <c r="Y81" s="66">
        <v>3</v>
      </c>
      <c r="Z81" s="66">
        <v>19</v>
      </c>
      <c r="AA81" s="66">
        <v>0</v>
      </c>
      <c r="AB81" s="49" t="s">
        <v>944</v>
      </c>
      <c r="AC81" s="66">
        <v>1979</v>
      </c>
      <c r="AD81" s="66" t="s">
        <v>1957</v>
      </c>
      <c r="AE81" s="296" t="s">
        <v>2227</v>
      </c>
      <c r="AH81" s="65" t="s">
        <v>1676</v>
      </c>
      <c r="AI81" s="131" t="s">
        <v>1259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351</v>
      </c>
      <c r="T82" s="67" t="s">
        <v>245</v>
      </c>
      <c r="U82" s="67">
        <v>8.68</v>
      </c>
      <c r="V82" s="178">
        <v>8.58</v>
      </c>
      <c r="W82" s="67">
        <v>8.5</v>
      </c>
      <c r="X82" s="67">
        <v>0.81</v>
      </c>
      <c r="Y82" s="67">
        <v>2</v>
      </c>
      <c r="Z82" s="67">
        <v>11</v>
      </c>
      <c r="AA82" s="67">
        <v>0</v>
      </c>
      <c r="AB82" s="65" t="s">
        <v>774</v>
      </c>
      <c r="AC82" s="67">
        <v>1998</v>
      </c>
      <c r="AD82" s="67" t="s">
        <v>1974</v>
      </c>
      <c r="AE82" s="297" t="s">
        <v>2253</v>
      </c>
      <c r="AH82" s="49" t="s">
        <v>1258</v>
      </c>
      <c r="AI82" s="132" t="s">
        <v>1259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738</v>
      </c>
      <c r="T83" s="66" t="s">
        <v>739</v>
      </c>
      <c r="U83" s="66">
        <v>8.67</v>
      </c>
      <c r="V83" s="178">
        <v>8.58</v>
      </c>
      <c r="W83" s="66">
        <v>8.5</v>
      </c>
      <c r="X83" s="66">
        <v>0.62</v>
      </c>
      <c r="Y83" s="66">
        <v>1</v>
      </c>
      <c r="Z83" s="66">
        <v>9</v>
      </c>
      <c r="AA83" s="66">
        <v>0</v>
      </c>
      <c r="AB83" s="49" t="s">
        <v>790</v>
      </c>
      <c r="AC83" s="66">
        <v>1992</v>
      </c>
      <c r="AD83" s="66" t="s">
        <v>1966</v>
      </c>
      <c r="AE83" s="296" t="s">
        <v>2235</v>
      </c>
      <c r="AH83" s="65" t="s">
        <v>1635</v>
      </c>
      <c r="AI83" s="131" t="s">
        <v>1259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2266</v>
      </c>
      <c r="T84" s="67" t="s">
        <v>2267</v>
      </c>
      <c r="U84" s="67">
        <v>8.69</v>
      </c>
      <c r="V84" s="178">
        <v>8.58</v>
      </c>
      <c r="W84" s="67">
        <v>8.5</v>
      </c>
      <c r="X84" s="67">
        <v>0.56000000000000005</v>
      </c>
      <c r="Y84" s="67">
        <v>0</v>
      </c>
      <c r="Z84" s="67">
        <v>8</v>
      </c>
      <c r="AA84" s="67">
        <v>0</v>
      </c>
      <c r="AB84" s="65" t="s">
        <v>2268</v>
      </c>
      <c r="AC84" s="67">
        <v>1996</v>
      </c>
      <c r="AD84" s="67" t="s">
        <v>1956</v>
      </c>
      <c r="AE84" s="297" t="s">
        <v>2186</v>
      </c>
      <c r="AH84" s="49" t="s">
        <v>1101</v>
      </c>
      <c r="AI84" s="132" t="s">
        <v>1868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352</v>
      </c>
      <c r="T85" s="66" t="s">
        <v>161</v>
      </c>
      <c r="U85" s="66">
        <v>8.67</v>
      </c>
      <c r="V85" s="220">
        <v>8.57</v>
      </c>
      <c r="W85" s="66">
        <v>8.5</v>
      </c>
      <c r="X85" s="66">
        <v>0.77</v>
      </c>
      <c r="Y85" s="66">
        <v>2</v>
      </c>
      <c r="Z85" s="66">
        <v>12</v>
      </c>
      <c r="AA85" s="66">
        <v>0</v>
      </c>
      <c r="AB85" s="49" t="s">
        <v>775</v>
      </c>
      <c r="AC85" s="66">
        <v>1977</v>
      </c>
      <c r="AD85" s="66" t="s">
        <v>1972</v>
      </c>
      <c r="AE85" s="296" t="s">
        <v>2186</v>
      </c>
      <c r="AH85" s="65" t="s">
        <v>786</v>
      </c>
      <c r="AI85" s="131" t="s">
        <v>2064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490</v>
      </c>
      <c r="T86" s="67" t="s">
        <v>491</v>
      </c>
      <c r="U86" s="67">
        <v>8.67</v>
      </c>
      <c r="V86" s="220">
        <v>8.57</v>
      </c>
      <c r="W86" s="67">
        <v>8.5</v>
      </c>
      <c r="X86" s="67">
        <v>0.92</v>
      </c>
      <c r="Y86" s="67">
        <v>3</v>
      </c>
      <c r="Z86" s="67">
        <v>12</v>
      </c>
      <c r="AA86" s="67">
        <v>0</v>
      </c>
      <c r="AB86" s="65" t="s">
        <v>767</v>
      </c>
      <c r="AC86" s="67">
        <v>2002</v>
      </c>
      <c r="AD86" s="67" t="s">
        <v>1969</v>
      </c>
      <c r="AE86" s="297" t="s">
        <v>2246</v>
      </c>
      <c r="AH86" s="49" t="s">
        <v>1213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780</v>
      </c>
      <c r="T87" s="66" t="s">
        <v>781</v>
      </c>
      <c r="U87" s="66">
        <v>8.67</v>
      </c>
      <c r="V87" s="220">
        <v>8.57</v>
      </c>
      <c r="W87" s="66">
        <v>8.5</v>
      </c>
      <c r="X87" s="66">
        <v>0.75</v>
      </c>
      <c r="Y87" s="66">
        <v>1</v>
      </c>
      <c r="Z87" s="66">
        <v>6</v>
      </c>
      <c r="AA87" s="66">
        <v>0</v>
      </c>
      <c r="AB87" s="49" t="s">
        <v>783</v>
      </c>
      <c r="AC87" s="66">
        <v>2024</v>
      </c>
      <c r="AD87" s="66" t="s">
        <v>1979</v>
      </c>
      <c r="AE87" s="296" t="s">
        <v>2233</v>
      </c>
      <c r="AH87" s="65" t="s">
        <v>1515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353</v>
      </c>
      <c r="T88" s="67" t="s">
        <v>160</v>
      </c>
      <c r="U88" s="67">
        <v>8.65</v>
      </c>
      <c r="V88" s="127">
        <v>8.56</v>
      </c>
      <c r="W88" s="67">
        <v>8.5</v>
      </c>
      <c r="X88" s="67">
        <v>0.72</v>
      </c>
      <c r="Y88" s="67">
        <v>2</v>
      </c>
      <c r="Z88" s="67">
        <v>13</v>
      </c>
      <c r="AA88" s="67">
        <v>0</v>
      </c>
      <c r="AB88" s="65" t="s">
        <v>794</v>
      </c>
      <c r="AC88" s="67">
        <v>2005</v>
      </c>
      <c r="AD88" s="67" t="s">
        <v>1976</v>
      </c>
      <c r="AE88" s="297" t="s">
        <v>2248</v>
      </c>
      <c r="AH88" s="49" t="s">
        <v>1516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335</v>
      </c>
      <c r="T89" s="66" t="s">
        <v>867</v>
      </c>
      <c r="U89" s="66">
        <v>8.5</v>
      </c>
      <c r="V89" s="127">
        <v>8.56</v>
      </c>
      <c r="W89" s="66">
        <v>8.5</v>
      </c>
      <c r="X89" s="66">
        <v>0.96</v>
      </c>
      <c r="Y89" s="66">
        <v>2</v>
      </c>
      <c r="Z89" s="66">
        <v>14</v>
      </c>
      <c r="AA89" s="66">
        <v>1</v>
      </c>
      <c r="AB89" s="49" t="s">
        <v>764</v>
      </c>
      <c r="AC89" s="66">
        <v>2003</v>
      </c>
      <c r="AD89" s="66" t="s">
        <v>1975</v>
      </c>
      <c r="AE89" s="296" t="s">
        <v>2230</v>
      </c>
      <c r="AH89" s="65" t="s">
        <v>1104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968</v>
      </c>
      <c r="T90" s="67" t="s">
        <v>966</v>
      </c>
      <c r="U90" s="67">
        <v>8.67</v>
      </c>
      <c r="V90" s="127">
        <v>8.56</v>
      </c>
      <c r="W90" s="67">
        <v>8.5</v>
      </c>
      <c r="X90" s="67">
        <v>0.71</v>
      </c>
      <c r="Y90" s="67">
        <v>1</v>
      </c>
      <c r="Z90" s="67">
        <v>10</v>
      </c>
      <c r="AA90" s="67">
        <v>1</v>
      </c>
      <c r="AB90" s="65" t="s">
        <v>969</v>
      </c>
      <c r="AC90" s="67">
        <v>1999</v>
      </c>
      <c r="AD90" s="67" t="s">
        <v>1981</v>
      </c>
      <c r="AE90" s="297" t="s">
        <v>2226</v>
      </c>
      <c r="AH90" s="49" t="s">
        <v>1109</v>
      </c>
      <c r="AI90" s="132" t="s">
        <v>1532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338</v>
      </c>
      <c r="T91" s="66" t="s">
        <v>2158</v>
      </c>
      <c r="U91" s="66">
        <v>8.6</v>
      </c>
      <c r="V91" s="294">
        <v>8.5399999999999991</v>
      </c>
      <c r="W91" s="66">
        <v>8</v>
      </c>
      <c r="X91" s="66">
        <v>1.02</v>
      </c>
      <c r="Y91" s="66">
        <v>2</v>
      </c>
      <c r="Z91" s="66">
        <v>10</v>
      </c>
      <c r="AA91" s="66">
        <v>0</v>
      </c>
      <c r="AB91" s="49" t="s">
        <v>2163</v>
      </c>
      <c r="AC91" s="66">
        <v>1970</v>
      </c>
      <c r="AD91" s="66" t="s">
        <v>1979</v>
      </c>
      <c r="AE91" s="296" t="s">
        <v>2188</v>
      </c>
      <c r="AH91" s="65" t="s">
        <v>1094</v>
      </c>
      <c r="AI91" s="131" t="s">
        <v>2339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2285</v>
      </c>
      <c r="T92" s="67" t="s">
        <v>2286</v>
      </c>
      <c r="U92" s="67">
        <v>8.6199999999999992</v>
      </c>
      <c r="V92" s="294">
        <v>8.5399999999999991</v>
      </c>
      <c r="W92" s="67">
        <v>8.5</v>
      </c>
      <c r="X92" s="67">
        <v>0.56000000000000005</v>
      </c>
      <c r="Y92" s="67">
        <v>1</v>
      </c>
      <c r="Z92" s="67">
        <v>15</v>
      </c>
      <c r="AA92" s="67">
        <v>2</v>
      </c>
      <c r="AB92" s="65" t="s">
        <v>2288</v>
      </c>
      <c r="AC92" s="67">
        <v>2024</v>
      </c>
      <c r="AD92" s="67" t="s">
        <v>1946</v>
      </c>
      <c r="AE92" s="297" t="s">
        <v>2289</v>
      </c>
      <c r="AH92" s="49" t="s">
        <v>1107</v>
      </c>
      <c r="AI92" s="132" t="s">
        <v>1106</v>
      </c>
    </row>
    <row r="93" spans="1:35" ht="16.05" customHeight="1" thickBot="1">
      <c r="A93" s="110" t="s">
        <v>906</v>
      </c>
      <c r="B93" s="13">
        <f>ROUND(SUM(B94:B101)/COUNT(B94:B101), 2)</f>
        <v>8.5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1899</v>
      </c>
      <c r="T93" s="66" t="s">
        <v>1900</v>
      </c>
      <c r="U93" s="66">
        <v>8.6</v>
      </c>
      <c r="V93" s="276">
        <v>8.52</v>
      </c>
      <c r="W93" s="66">
        <v>8.5</v>
      </c>
      <c r="X93" s="66">
        <v>0.66</v>
      </c>
      <c r="Y93" s="66">
        <v>1</v>
      </c>
      <c r="Z93" s="66">
        <v>10</v>
      </c>
      <c r="AA93" s="66">
        <v>0</v>
      </c>
      <c r="AB93" s="49" t="s">
        <v>1901</v>
      </c>
      <c r="AC93" s="66">
        <v>2024</v>
      </c>
      <c r="AD93" s="66" t="s">
        <v>1979</v>
      </c>
      <c r="AE93" s="296" t="s">
        <v>2193</v>
      </c>
      <c r="AH93" s="65" t="s">
        <v>1200</v>
      </c>
      <c r="AI93" s="131" t="s">
        <v>2161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1658</v>
      </c>
      <c r="T94" s="67" t="s">
        <v>1659</v>
      </c>
      <c r="U94" s="67">
        <v>8.6</v>
      </c>
      <c r="V94" s="221">
        <v>8.5</v>
      </c>
      <c r="W94" s="67">
        <v>8.5</v>
      </c>
      <c r="X94" s="67">
        <v>0.83</v>
      </c>
      <c r="Y94" s="67">
        <v>1</v>
      </c>
      <c r="Z94" s="67">
        <v>10</v>
      </c>
      <c r="AA94" s="67">
        <v>0</v>
      </c>
      <c r="AB94" s="65" t="s">
        <v>773</v>
      </c>
      <c r="AC94" s="67">
        <v>1993</v>
      </c>
      <c r="AD94" s="67" t="s">
        <v>1956</v>
      </c>
      <c r="AE94" s="297" t="s">
        <v>2204</v>
      </c>
      <c r="AH94" s="49" t="s">
        <v>1579</v>
      </c>
      <c r="AI94" s="132" t="s">
        <v>2161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2303</v>
      </c>
      <c r="T95" s="66" t="s">
        <v>2304</v>
      </c>
      <c r="U95" s="66">
        <v>8.58</v>
      </c>
      <c r="V95" s="221">
        <v>8.5</v>
      </c>
      <c r="W95" s="66">
        <v>8.5</v>
      </c>
      <c r="X95" s="66">
        <v>0.67</v>
      </c>
      <c r="Y95" s="66">
        <v>1</v>
      </c>
      <c r="Z95" s="66">
        <v>12</v>
      </c>
      <c r="AA95" s="66">
        <v>0</v>
      </c>
      <c r="AB95" s="49" t="s">
        <v>2311</v>
      </c>
      <c r="AC95" s="66">
        <v>1992</v>
      </c>
      <c r="AD95" s="66" t="s">
        <v>1975</v>
      </c>
      <c r="AE95" s="296" t="s">
        <v>2289</v>
      </c>
      <c r="AH95" s="65" t="s">
        <v>785</v>
      </c>
      <c r="AI95" s="131" t="s">
        <v>2340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1034</v>
      </c>
      <c r="T96" s="67" t="s">
        <v>1035</v>
      </c>
      <c r="U96" s="67">
        <v>8.5500000000000007</v>
      </c>
      <c r="V96" s="222">
        <v>8.4700000000000006</v>
      </c>
      <c r="W96" s="67">
        <v>8.5</v>
      </c>
      <c r="X96" s="67">
        <v>0.69</v>
      </c>
      <c r="Y96" s="67">
        <v>1</v>
      </c>
      <c r="Z96" s="67">
        <v>12</v>
      </c>
      <c r="AA96" s="67">
        <v>1</v>
      </c>
      <c r="AB96" s="65" t="s">
        <v>786</v>
      </c>
      <c r="AC96" s="67">
        <v>1999</v>
      </c>
      <c r="AD96" s="67" t="s">
        <v>1945</v>
      </c>
      <c r="AE96" s="297" t="s">
        <v>2222</v>
      </c>
      <c r="AH96" s="49" t="s">
        <v>2268</v>
      </c>
      <c r="AI96" s="132" t="s">
        <v>2287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342</v>
      </c>
      <c r="T97" s="66" t="s">
        <v>2050</v>
      </c>
      <c r="U97" s="66">
        <v>8.5</v>
      </c>
      <c r="V97" s="284">
        <v>8.4600000000000009</v>
      </c>
      <c r="W97" s="66">
        <v>8.5</v>
      </c>
      <c r="X97" s="66">
        <v>0.35</v>
      </c>
      <c r="Y97" s="66">
        <v>0</v>
      </c>
      <c r="Z97" s="66">
        <v>8</v>
      </c>
      <c r="AA97" s="66">
        <v>0</v>
      </c>
      <c r="AB97" s="49" t="s">
        <v>786</v>
      </c>
      <c r="AC97" s="66">
        <v>2024</v>
      </c>
      <c r="AD97" s="66" t="s">
        <v>1987</v>
      </c>
      <c r="AE97" s="296" t="s">
        <v>2191</v>
      </c>
      <c r="AH97" s="65" t="s">
        <v>1116</v>
      </c>
      <c r="AI97" s="131" t="s">
        <v>1836</v>
      </c>
    </row>
    <row r="98" spans="1:35" ht="16.05" customHeight="1" thickBot="1">
      <c r="A98" s="5" t="s">
        <v>518</v>
      </c>
      <c r="B98" s="257">
        <v>8.5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7" t="s">
        <v>2352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1241</v>
      </c>
      <c r="T98" s="67" t="s">
        <v>1242</v>
      </c>
      <c r="U98" s="67">
        <v>8.5299999999999994</v>
      </c>
      <c r="V98" s="246">
        <v>8.4499999999999993</v>
      </c>
      <c r="W98" s="67">
        <v>8.5</v>
      </c>
      <c r="X98" s="67">
        <v>0.96</v>
      </c>
      <c r="Y98" s="67">
        <v>3</v>
      </c>
      <c r="Z98" s="67">
        <v>15</v>
      </c>
      <c r="AA98" s="67">
        <v>0</v>
      </c>
      <c r="AB98" s="65" t="s">
        <v>1246</v>
      </c>
      <c r="AC98" s="67">
        <v>2024</v>
      </c>
      <c r="AD98" s="67" t="s">
        <v>1948</v>
      </c>
      <c r="AE98" s="297" t="s">
        <v>2219</v>
      </c>
      <c r="AH98" s="49" t="s">
        <v>1305</v>
      </c>
      <c r="AI98" s="132" t="s">
        <v>1111</v>
      </c>
    </row>
    <row r="99" spans="1:35" ht="16.05" customHeight="1" thickBot="1">
      <c r="A99" s="5" t="s">
        <v>519</v>
      </c>
      <c r="B99" s="257">
        <v>7.5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1795</v>
      </c>
      <c r="T99" s="66" t="s">
        <v>1796</v>
      </c>
      <c r="U99" s="66">
        <v>8.5</v>
      </c>
      <c r="V99" s="246">
        <v>8.4499999999999993</v>
      </c>
      <c r="W99" s="66">
        <v>8.5</v>
      </c>
      <c r="X99" s="66">
        <v>0.41</v>
      </c>
      <c r="Y99" s="66">
        <v>0</v>
      </c>
      <c r="Z99" s="66">
        <v>9</v>
      </c>
      <c r="AA99" s="66">
        <v>0</v>
      </c>
      <c r="AB99" s="49" t="s">
        <v>1246</v>
      </c>
      <c r="AC99" s="66">
        <v>2026</v>
      </c>
      <c r="AD99" s="66" t="s">
        <v>1982</v>
      </c>
      <c r="AE99" s="296" t="s">
        <v>2197</v>
      </c>
      <c r="AH99" s="65" t="s">
        <v>790</v>
      </c>
      <c r="AI99" s="131" t="s">
        <v>1111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543</v>
      </c>
      <c r="T100" s="67" t="s">
        <v>544</v>
      </c>
      <c r="U100" s="67">
        <v>8.5</v>
      </c>
      <c r="V100" s="223">
        <v>8.43</v>
      </c>
      <c r="W100" s="67">
        <v>8.5</v>
      </c>
      <c r="X100" s="67">
        <v>0.59</v>
      </c>
      <c r="Y100" s="67">
        <v>0</v>
      </c>
      <c r="Z100" s="67">
        <v>17</v>
      </c>
      <c r="AA100" s="67">
        <v>4</v>
      </c>
      <c r="AB100" s="65" t="s">
        <v>795</v>
      </c>
      <c r="AC100" s="67">
        <v>2016</v>
      </c>
      <c r="AD100" s="67" t="s">
        <v>1980</v>
      </c>
      <c r="AE100" s="297" t="s">
        <v>2244</v>
      </c>
      <c r="AH100" s="49" t="s">
        <v>1113</v>
      </c>
      <c r="AI100" s="132" t="s">
        <v>1111</v>
      </c>
    </row>
    <row r="101" spans="1:35" ht="16.05" customHeight="1" thickBot="1">
      <c r="A101" s="8" t="s">
        <v>521</v>
      </c>
      <c r="B101" s="258">
        <v>7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342</v>
      </c>
      <c r="T101" s="66" t="s">
        <v>522</v>
      </c>
      <c r="U101" s="66">
        <v>8.5</v>
      </c>
      <c r="V101" s="224">
        <v>8.41</v>
      </c>
      <c r="W101" s="66">
        <v>8.5</v>
      </c>
      <c r="X101" s="66">
        <v>0.94</v>
      </c>
      <c r="Y101" s="66">
        <v>1</v>
      </c>
      <c r="Z101" s="66">
        <v>8</v>
      </c>
      <c r="AA101" s="66">
        <v>0</v>
      </c>
      <c r="AB101" s="49" t="s">
        <v>788</v>
      </c>
      <c r="AC101" s="66">
        <v>2003</v>
      </c>
      <c r="AD101" s="66" t="s">
        <v>1979</v>
      </c>
      <c r="AE101" s="296" t="s">
        <v>2245</v>
      </c>
      <c r="AH101" s="65" t="s">
        <v>2306</v>
      </c>
      <c r="AI101" s="131" t="s">
        <v>2307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2327</v>
      </c>
      <c r="T102" s="67" t="s">
        <v>2328</v>
      </c>
      <c r="U102" s="67">
        <v>8.5399999999999991</v>
      </c>
      <c r="V102" s="224">
        <v>8.41</v>
      </c>
      <c r="W102" s="67">
        <v>8.25</v>
      </c>
      <c r="X102" s="67">
        <v>0.81</v>
      </c>
      <c r="Y102" s="67">
        <v>2</v>
      </c>
      <c r="Z102" s="67">
        <v>14</v>
      </c>
      <c r="AA102" s="67">
        <v>0</v>
      </c>
      <c r="AB102" s="65" t="s">
        <v>2351</v>
      </c>
      <c r="AC102" s="67"/>
      <c r="AD102" s="67"/>
      <c r="AE102" s="297" t="s">
        <v>2254</v>
      </c>
      <c r="AH102" s="49" t="s">
        <v>2308</v>
      </c>
      <c r="AI102" s="132" t="s">
        <v>2307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381</v>
      </c>
      <c r="T103" s="66" t="s">
        <v>382</v>
      </c>
      <c r="U103" s="66">
        <v>8.4600000000000009</v>
      </c>
      <c r="V103" s="225">
        <v>8.39</v>
      </c>
      <c r="W103" s="66">
        <v>8.5</v>
      </c>
      <c r="X103" s="66">
        <v>0.84</v>
      </c>
      <c r="Y103" s="66">
        <v>2</v>
      </c>
      <c r="Z103" s="66">
        <v>13</v>
      </c>
      <c r="AA103" s="66">
        <v>0</v>
      </c>
      <c r="AB103" s="49" t="s">
        <v>792</v>
      </c>
      <c r="AC103" s="66">
        <v>2018</v>
      </c>
      <c r="AD103" s="66" t="s">
        <v>1963</v>
      </c>
      <c r="AE103" s="296" t="s">
        <v>2250</v>
      </c>
      <c r="AH103" s="65" t="s">
        <v>1117</v>
      </c>
      <c r="AI103" s="131" t="s">
        <v>1904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1288</v>
      </c>
      <c r="T104" s="67" t="s">
        <v>1278</v>
      </c>
      <c r="U104" s="67">
        <v>8.4499999999999993</v>
      </c>
      <c r="V104" s="180">
        <v>8.3800000000000008</v>
      </c>
      <c r="W104" s="67">
        <v>8.5</v>
      </c>
      <c r="X104" s="67">
        <v>0.78</v>
      </c>
      <c r="Y104" s="67">
        <v>1</v>
      </c>
      <c r="Z104" s="67">
        <v>11</v>
      </c>
      <c r="AA104" s="67">
        <v>0</v>
      </c>
      <c r="AB104" s="65" t="s">
        <v>1289</v>
      </c>
      <c r="AC104" s="67">
        <v>2024</v>
      </c>
      <c r="AD104" s="67" t="s">
        <v>1982</v>
      </c>
      <c r="AE104" s="297" t="s">
        <v>2218</v>
      </c>
      <c r="AH104" s="49" t="s">
        <v>2167</v>
      </c>
      <c r="AI104" s="132" t="s">
        <v>1902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2076</v>
      </c>
      <c r="T105" s="66" t="s">
        <v>2077</v>
      </c>
      <c r="U105" s="66">
        <v>8.43</v>
      </c>
      <c r="V105" s="180">
        <v>8.3800000000000008</v>
      </c>
      <c r="W105" s="66">
        <v>8.5</v>
      </c>
      <c r="X105" s="66">
        <v>0.49</v>
      </c>
      <c r="Y105" s="66">
        <v>0</v>
      </c>
      <c r="Z105" s="66">
        <v>8</v>
      </c>
      <c r="AA105" s="66">
        <v>1</v>
      </c>
      <c r="AB105" s="49" t="s">
        <v>2078</v>
      </c>
      <c r="AC105" s="66">
        <v>2026</v>
      </c>
      <c r="AD105" s="66" t="s">
        <v>1974</v>
      </c>
      <c r="AE105" s="296" t="s">
        <v>2190</v>
      </c>
      <c r="AH105" s="65" t="s">
        <v>1901</v>
      </c>
      <c r="AI105" s="131" t="s">
        <v>1902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1683</v>
      </c>
      <c r="T106" s="67" t="s">
        <v>1684</v>
      </c>
      <c r="U106" s="67">
        <v>8.4</v>
      </c>
      <c r="V106" s="226">
        <v>8.3699999999999992</v>
      </c>
      <c r="W106" s="67">
        <v>8.5</v>
      </c>
      <c r="X106" s="67">
        <v>0.37</v>
      </c>
      <c r="Y106" s="67">
        <v>0</v>
      </c>
      <c r="Z106" s="67">
        <v>5</v>
      </c>
      <c r="AA106" s="67">
        <v>0</v>
      </c>
      <c r="AB106" s="65" t="s">
        <v>1685</v>
      </c>
      <c r="AC106" s="67">
        <v>2026</v>
      </c>
      <c r="AD106" s="67" t="s">
        <v>1954</v>
      </c>
      <c r="AE106" s="297" t="s">
        <v>2202</v>
      </c>
      <c r="AH106" s="49" t="s">
        <v>1118</v>
      </c>
      <c r="AI106" s="132" t="s">
        <v>1119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357</v>
      </c>
      <c r="T107" s="66" t="s">
        <v>358</v>
      </c>
      <c r="U107" s="66">
        <v>8.42</v>
      </c>
      <c r="V107" s="181">
        <v>8.34</v>
      </c>
      <c r="W107" s="66">
        <v>8.5</v>
      </c>
      <c r="X107" s="66">
        <v>0.91</v>
      </c>
      <c r="Y107" s="66">
        <v>1</v>
      </c>
      <c r="Z107" s="66">
        <v>13</v>
      </c>
      <c r="AA107" s="66">
        <v>1</v>
      </c>
      <c r="AB107" s="49" t="s">
        <v>777</v>
      </c>
      <c r="AC107" s="66">
        <v>2000</v>
      </c>
      <c r="AD107" s="66" t="s">
        <v>1977</v>
      </c>
      <c r="AE107" s="296" t="s">
        <v>2253</v>
      </c>
      <c r="AH107" s="65" t="s">
        <v>1484</v>
      </c>
      <c r="AI107" s="131" t="s">
        <v>2145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1546</v>
      </c>
      <c r="T108" s="67" t="s">
        <v>1602</v>
      </c>
      <c r="U108" s="67">
        <v>8.44</v>
      </c>
      <c r="V108" s="181">
        <v>8.34</v>
      </c>
      <c r="W108" s="67">
        <v>8.5</v>
      </c>
      <c r="X108" s="67">
        <v>1.28</v>
      </c>
      <c r="Y108" s="67">
        <v>2</v>
      </c>
      <c r="Z108" s="67">
        <v>10</v>
      </c>
      <c r="AA108" s="67">
        <v>1</v>
      </c>
      <c r="AB108" s="65" t="s">
        <v>1607</v>
      </c>
      <c r="AC108" s="67">
        <v>2016</v>
      </c>
      <c r="AD108" s="67" t="s">
        <v>1979</v>
      </c>
      <c r="AE108" s="297" t="s">
        <v>2205</v>
      </c>
      <c r="AH108" s="49" t="s">
        <v>1114</v>
      </c>
      <c r="AI108" s="132" t="s">
        <v>1464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2110</v>
      </c>
      <c r="T109" s="66" t="s">
        <v>2096</v>
      </c>
      <c r="U109" s="66">
        <v>8.3800000000000008</v>
      </c>
      <c r="V109" s="291">
        <v>8.33</v>
      </c>
      <c r="W109" s="66">
        <v>8.5</v>
      </c>
      <c r="X109" s="66">
        <v>0.78</v>
      </c>
      <c r="Y109" s="66">
        <v>2</v>
      </c>
      <c r="Z109" s="66">
        <v>19</v>
      </c>
      <c r="AA109" s="66">
        <v>2</v>
      </c>
      <c r="AB109" s="49" t="s">
        <v>2112</v>
      </c>
      <c r="AC109" s="66">
        <v>1994</v>
      </c>
      <c r="AD109" s="66" t="s">
        <v>1941</v>
      </c>
      <c r="AE109" s="296" t="s">
        <v>2189</v>
      </c>
      <c r="AH109" s="65" t="s">
        <v>1120</v>
      </c>
      <c r="AI109" s="131" t="s">
        <v>1905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1167</v>
      </c>
      <c r="T110" s="67" t="s">
        <v>1168</v>
      </c>
      <c r="U110" s="67">
        <v>8.4600000000000009</v>
      </c>
      <c r="V110" s="227">
        <v>8.27</v>
      </c>
      <c r="W110" s="67">
        <v>8</v>
      </c>
      <c r="X110" s="67">
        <v>1.1299999999999999</v>
      </c>
      <c r="Y110" s="67">
        <v>3</v>
      </c>
      <c r="Z110" s="67">
        <v>13</v>
      </c>
      <c r="AA110" s="67">
        <v>1</v>
      </c>
      <c r="AB110" s="65" t="s">
        <v>1169</v>
      </c>
      <c r="AC110" s="67">
        <v>1993</v>
      </c>
      <c r="AD110" s="67" t="s">
        <v>1976</v>
      </c>
      <c r="AE110" s="297" t="s">
        <v>2220</v>
      </c>
      <c r="AH110" s="49" t="s">
        <v>1110</v>
      </c>
      <c r="AI110" s="132" t="s">
        <v>1807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342</v>
      </c>
      <c r="T111" s="66" t="s">
        <v>1866</v>
      </c>
      <c r="U111" s="66">
        <v>8.2899999999999991</v>
      </c>
      <c r="V111" s="227">
        <v>8.27</v>
      </c>
      <c r="W111" s="66">
        <v>8.5</v>
      </c>
      <c r="X111" s="66">
        <v>0.45</v>
      </c>
      <c r="Y111" s="66">
        <v>0</v>
      </c>
      <c r="Z111" s="66">
        <v>9</v>
      </c>
      <c r="AA111" s="66">
        <v>2</v>
      </c>
      <c r="AB111" s="49" t="s">
        <v>788</v>
      </c>
      <c r="AC111" s="66">
        <v>1998</v>
      </c>
      <c r="AD111" s="66" t="s">
        <v>1976</v>
      </c>
      <c r="AE111" s="296" t="s">
        <v>2194</v>
      </c>
      <c r="AH111" s="65" t="s">
        <v>1097</v>
      </c>
      <c r="AI111" s="131" t="s">
        <v>1122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355</v>
      </c>
      <c r="T112" s="67" t="s">
        <v>162</v>
      </c>
      <c r="U112" s="67">
        <v>8.3800000000000008</v>
      </c>
      <c r="V112" s="228">
        <v>8.25</v>
      </c>
      <c r="W112" s="67">
        <v>8.25</v>
      </c>
      <c r="X112" s="67">
        <v>1.06</v>
      </c>
      <c r="Y112" s="67">
        <v>2</v>
      </c>
      <c r="Z112" s="67">
        <v>12</v>
      </c>
      <c r="AA112" s="67">
        <v>0</v>
      </c>
      <c r="AB112" s="65" t="s">
        <v>833</v>
      </c>
      <c r="AC112" s="67">
        <v>1992</v>
      </c>
      <c r="AD112" s="67" t="s">
        <v>1973</v>
      </c>
      <c r="AE112" s="297" t="s">
        <v>2186</v>
      </c>
      <c r="AH112" s="49" t="s">
        <v>1121</v>
      </c>
      <c r="AI112" s="132" t="s">
        <v>1122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342</v>
      </c>
      <c r="T113" s="66" t="s">
        <v>1730</v>
      </c>
      <c r="U113" s="66">
        <v>8.4</v>
      </c>
      <c r="V113" s="228">
        <v>8.25</v>
      </c>
      <c r="W113" s="66">
        <v>8</v>
      </c>
      <c r="X113" s="66">
        <v>0.86</v>
      </c>
      <c r="Y113" s="66">
        <v>1</v>
      </c>
      <c r="Z113" s="66">
        <v>5</v>
      </c>
      <c r="AA113" s="66">
        <v>0</v>
      </c>
      <c r="AB113" s="49" t="s">
        <v>786</v>
      </c>
      <c r="AC113" s="66">
        <v>1996</v>
      </c>
      <c r="AD113" s="66" t="s">
        <v>1968</v>
      </c>
      <c r="AE113" s="296" t="s">
        <v>2199</v>
      </c>
      <c r="AH113" s="65" t="s">
        <v>1123</v>
      </c>
      <c r="AI113" s="131" t="s">
        <v>1122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334</v>
      </c>
      <c r="T114" s="67" t="s">
        <v>318</v>
      </c>
      <c r="U114" s="67">
        <v>8.35</v>
      </c>
      <c r="V114" s="229">
        <v>8.2200000000000006</v>
      </c>
      <c r="W114" s="67">
        <v>8.25</v>
      </c>
      <c r="X114" s="67">
        <v>1.32</v>
      </c>
      <c r="Y114" s="67">
        <v>3</v>
      </c>
      <c r="Z114" s="67">
        <v>10</v>
      </c>
      <c r="AA114" s="67">
        <v>0</v>
      </c>
      <c r="AB114" s="65" t="s">
        <v>784</v>
      </c>
      <c r="AC114" s="67">
        <v>1993</v>
      </c>
      <c r="AD114" s="67" t="s">
        <v>1969</v>
      </c>
      <c r="AE114" s="297" t="s">
        <v>2250</v>
      </c>
      <c r="AH114" s="49" t="s">
        <v>1686</v>
      </c>
      <c r="AI114" s="132" t="s">
        <v>1122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356</v>
      </c>
      <c r="T115" s="66" t="s">
        <v>311</v>
      </c>
      <c r="U115" s="66">
        <v>8.35</v>
      </c>
      <c r="V115" s="230">
        <v>8.1999999999999993</v>
      </c>
      <c r="W115" s="66">
        <v>8</v>
      </c>
      <c r="X115" s="66">
        <v>0.78</v>
      </c>
      <c r="Y115" s="66">
        <v>1</v>
      </c>
      <c r="Z115" s="66">
        <v>10</v>
      </c>
      <c r="AA115" s="66">
        <v>0</v>
      </c>
      <c r="AB115" s="49" t="s">
        <v>835</v>
      </c>
      <c r="AC115" s="66">
        <v>1979</v>
      </c>
      <c r="AD115" s="66" t="s">
        <v>1972</v>
      </c>
      <c r="AE115" s="296" t="s">
        <v>2250</v>
      </c>
      <c r="AH115" s="65" t="s">
        <v>1124</v>
      </c>
      <c r="AI115" s="131" t="s">
        <v>1125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361</v>
      </c>
      <c r="T116" s="67" t="s">
        <v>362</v>
      </c>
      <c r="U116" s="67">
        <v>8.33</v>
      </c>
      <c r="V116" s="182">
        <v>8.17</v>
      </c>
      <c r="W116" s="67">
        <v>8</v>
      </c>
      <c r="X116" s="67">
        <v>0.94</v>
      </c>
      <c r="Y116" s="67">
        <v>1</v>
      </c>
      <c r="Z116" s="67">
        <v>9</v>
      </c>
      <c r="AA116" s="67">
        <v>0</v>
      </c>
      <c r="AB116" s="65" t="s">
        <v>772</v>
      </c>
      <c r="AC116" s="67">
        <v>1993</v>
      </c>
      <c r="AD116" s="67" t="s">
        <v>1967</v>
      </c>
      <c r="AE116" s="297" t="s">
        <v>2251</v>
      </c>
      <c r="AH116" s="49" t="s">
        <v>1126</v>
      </c>
      <c r="AI116" s="132" t="s">
        <v>1127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583</v>
      </c>
      <c r="T117" s="66" t="s">
        <v>584</v>
      </c>
      <c r="U117" s="66">
        <v>8.31</v>
      </c>
      <c r="V117" s="182">
        <v>8.16</v>
      </c>
      <c r="W117" s="66">
        <v>8</v>
      </c>
      <c r="X117" s="66">
        <v>0.89</v>
      </c>
      <c r="Y117" s="66">
        <v>2</v>
      </c>
      <c r="Z117" s="66">
        <v>14</v>
      </c>
      <c r="AA117" s="66">
        <v>1</v>
      </c>
      <c r="AB117" s="49" t="s">
        <v>776</v>
      </c>
      <c r="AC117" s="66">
        <v>2016</v>
      </c>
      <c r="AD117" s="66" t="s">
        <v>1963</v>
      </c>
      <c r="AE117" s="296" t="s">
        <v>2243</v>
      </c>
      <c r="AH117" s="65" t="s">
        <v>776</v>
      </c>
      <c r="AI117" s="131" t="s">
        <v>1808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813</v>
      </c>
      <c r="T118" s="67" t="s">
        <v>814</v>
      </c>
      <c r="U118" s="67">
        <v>8.33</v>
      </c>
      <c r="V118" s="182">
        <v>8.16</v>
      </c>
      <c r="W118" s="67">
        <v>8</v>
      </c>
      <c r="X118" s="67">
        <v>1.1599999999999999</v>
      </c>
      <c r="Y118" s="67">
        <v>3</v>
      </c>
      <c r="Z118" s="67">
        <v>15</v>
      </c>
      <c r="AA118" s="67">
        <v>0</v>
      </c>
      <c r="AB118" s="65" t="s">
        <v>834</v>
      </c>
      <c r="AC118" s="67">
        <v>2003</v>
      </c>
      <c r="AD118" s="67" t="s">
        <v>1983</v>
      </c>
      <c r="AE118" s="297" t="s">
        <v>2232</v>
      </c>
      <c r="AH118" s="49" t="s">
        <v>1301</v>
      </c>
      <c r="AI118" s="132" t="s">
        <v>1302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1854</v>
      </c>
      <c r="T119" s="66" t="s">
        <v>1854</v>
      </c>
      <c r="U119" s="66">
        <v>8.2899999999999991</v>
      </c>
      <c r="V119" s="182">
        <v>8.16</v>
      </c>
      <c r="W119" s="66">
        <v>8</v>
      </c>
      <c r="X119" s="66">
        <v>0.52</v>
      </c>
      <c r="Y119" s="66">
        <v>0</v>
      </c>
      <c r="Z119" s="66">
        <v>7</v>
      </c>
      <c r="AA119" s="66">
        <v>0</v>
      </c>
      <c r="AB119" s="49" t="s">
        <v>1855</v>
      </c>
      <c r="AC119" s="66">
        <v>2018</v>
      </c>
      <c r="AD119" s="66" t="s">
        <v>1984</v>
      </c>
      <c r="AE119" s="296" t="s">
        <v>2195</v>
      </c>
      <c r="AH119" s="65" t="s">
        <v>1303</v>
      </c>
      <c r="AI119" s="131" t="s">
        <v>1302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335</v>
      </c>
      <c r="T120" s="67" t="s">
        <v>623</v>
      </c>
      <c r="U120" s="67">
        <v>8.0500000000000007</v>
      </c>
      <c r="V120" s="170">
        <v>8.11</v>
      </c>
      <c r="W120" s="67">
        <v>8.25</v>
      </c>
      <c r="X120" s="67">
        <v>1.19</v>
      </c>
      <c r="Y120" s="67">
        <v>1</v>
      </c>
      <c r="Z120" s="67">
        <v>11</v>
      </c>
      <c r="AA120" s="67">
        <v>1</v>
      </c>
      <c r="AB120" s="65" t="s">
        <v>764</v>
      </c>
      <c r="AC120" s="67">
        <v>2001</v>
      </c>
      <c r="AD120" s="67" t="s">
        <v>1979</v>
      </c>
      <c r="AE120" s="297" t="s">
        <v>2242</v>
      </c>
      <c r="AH120" s="49" t="s">
        <v>1609</v>
      </c>
      <c r="AI120" s="132" t="s">
        <v>1610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475</v>
      </c>
      <c r="T121" s="66" t="s">
        <v>476</v>
      </c>
      <c r="U121" s="66">
        <v>8.18</v>
      </c>
      <c r="V121" s="231">
        <v>8.06</v>
      </c>
      <c r="W121" s="66">
        <v>8</v>
      </c>
      <c r="X121" s="66">
        <v>0.89</v>
      </c>
      <c r="Y121" s="66">
        <v>2</v>
      </c>
      <c r="Z121" s="66">
        <v>19</v>
      </c>
      <c r="AA121" s="66">
        <v>0</v>
      </c>
      <c r="AB121" s="49" t="s">
        <v>791</v>
      </c>
      <c r="AC121" s="66">
        <v>2023</v>
      </c>
      <c r="AD121" s="66" t="s">
        <v>1962</v>
      </c>
      <c r="AE121" s="296" t="s">
        <v>2246</v>
      </c>
      <c r="AH121" s="65" t="s">
        <v>2078</v>
      </c>
      <c r="AI121" s="131" t="s">
        <v>2089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347</v>
      </c>
      <c r="T122" s="67" t="s">
        <v>1907</v>
      </c>
      <c r="U122" s="67">
        <v>8.18</v>
      </c>
      <c r="V122" s="231">
        <v>8.06</v>
      </c>
      <c r="W122" s="67">
        <v>8</v>
      </c>
      <c r="X122" s="67">
        <v>0.86</v>
      </c>
      <c r="Y122" s="67">
        <v>1</v>
      </c>
      <c r="Z122" s="67">
        <v>11</v>
      </c>
      <c r="AA122" s="67">
        <v>0</v>
      </c>
      <c r="AB122" s="65" t="s">
        <v>1917</v>
      </c>
      <c r="AC122" s="67">
        <v>2001</v>
      </c>
      <c r="AD122" s="67" t="s">
        <v>1940</v>
      </c>
      <c r="AE122" s="297" t="s">
        <v>2192</v>
      </c>
      <c r="AH122" s="49" t="s">
        <v>1131</v>
      </c>
      <c r="AI122" s="132" t="s">
        <v>1306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728</v>
      </c>
      <c r="T123" s="66" t="s">
        <v>1307</v>
      </c>
      <c r="U123" s="66">
        <v>8.11</v>
      </c>
      <c r="V123" s="183">
        <v>8</v>
      </c>
      <c r="W123" s="66">
        <v>8</v>
      </c>
      <c r="X123" s="66">
        <v>0.71</v>
      </c>
      <c r="Y123" s="66">
        <v>0</v>
      </c>
      <c r="Z123" s="66">
        <v>15</v>
      </c>
      <c r="AA123" s="66">
        <v>1</v>
      </c>
      <c r="AB123" s="49" t="s">
        <v>1323</v>
      </c>
      <c r="AC123" s="66">
        <v>2026</v>
      </c>
      <c r="AD123" s="66" t="s">
        <v>1959</v>
      </c>
      <c r="AE123" s="296" t="s">
        <v>2217</v>
      </c>
      <c r="AH123" s="65" t="s">
        <v>1132</v>
      </c>
      <c r="AI123" s="131" t="s">
        <v>1306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394</v>
      </c>
      <c r="T124" s="67" t="s">
        <v>387</v>
      </c>
      <c r="U124" s="67">
        <v>8</v>
      </c>
      <c r="V124" s="232">
        <v>7.98</v>
      </c>
      <c r="W124" s="67">
        <v>8.25</v>
      </c>
      <c r="X124" s="67">
        <v>0.56000000000000005</v>
      </c>
      <c r="Y124" s="67">
        <v>0</v>
      </c>
      <c r="Z124" s="67">
        <v>9</v>
      </c>
      <c r="AA124" s="67">
        <v>1</v>
      </c>
      <c r="AB124" s="65" t="s">
        <v>767</v>
      </c>
      <c r="AC124" s="67">
        <v>2005</v>
      </c>
      <c r="AD124" s="67" t="s">
        <v>1974</v>
      </c>
      <c r="AE124" s="297" t="s">
        <v>2250</v>
      </c>
      <c r="AH124" s="49" t="s">
        <v>2146</v>
      </c>
      <c r="AI124" s="132" t="s">
        <v>1129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1255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345</v>
      </c>
      <c r="T125" s="66" t="s">
        <v>702</v>
      </c>
      <c r="U125" s="66">
        <v>8.07</v>
      </c>
      <c r="V125" s="184">
        <v>7.95</v>
      </c>
      <c r="W125" s="66">
        <v>8</v>
      </c>
      <c r="X125" s="66">
        <v>1.07</v>
      </c>
      <c r="Y125" s="66">
        <v>2</v>
      </c>
      <c r="Z125" s="66">
        <v>16</v>
      </c>
      <c r="AA125" s="66">
        <v>2</v>
      </c>
      <c r="AB125" s="49" t="s">
        <v>769</v>
      </c>
      <c r="AC125" s="66">
        <v>1997</v>
      </c>
      <c r="AD125" s="66" t="s">
        <v>1968</v>
      </c>
      <c r="AE125" s="296" t="s">
        <v>2238</v>
      </c>
      <c r="AH125" s="65" t="s">
        <v>1128</v>
      </c>
      <c r="AI125" s="131" t="s">
        <v>1129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1431</v>
      </c>
      <c r="T126" s="67" t="s">
        <v>1432</v>
      </c>
      <c r="U126" s="67">
        <v>8.0500000000000007</v>
      </c>
      <c r="V126" s="184">
        <v>7.95</v>
      </c>
      <c r="W126" s="67">
        <v>8</v>
      </c>
      <c r="X126" s="67">
        <v>0.72</v>
      </c>
      <c r="Y126" s="67">
        <v>0</v>
      </c>
      <c r="Z126" s="67">
        <v>10</v>
      </c>
      <c r="AA126" s="67">
        <v>0</v>
      </c>
      <c r="AB126" s="65" t="s">
        <v>763</v>
      </c>
      <c r="AC126" s="67">
        <v>2026</v>
      </c>
      <c r="AD126" s="67" t="s">
        <v>1974</v>
      </c>
      <c r="AE126" s="297" t="s">
        <v>2212</v>
      </c>
      <c r="AH126" s="49" t="s">
        <v>1130</v>
      </c>
      <c r="AI126" s="132" t="s">
        <v>1129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342</v>
      </c>
      <c r="T127" s="66" t="s">
        <v>1784</v>
      </c>
      <c r="U127" s="66">
        <v>8.06</v>
      </c>
      <c r="V127" s="184">
        <v>7.95</v>
      </c>
      <c r="W127" s="66">
        <v>8</v>
      </c>
      <c r="X127" s="66">
        <v>0.81</v>
      </c>
      <c r="Y127" s="66">
        <v>0</v>
      </c>
      <c r="Z127" s="66">
        <v>8</v>
      </c>
      <c r="AA127" s="66">
        <v>0</v>
      </c>
      <c r="AB127" s="49" t="s">
        <v>1088</v>
      </c>
      <c r="AC127" s="66">
        <v>2014</v>
      </c>
      <c r="AD127" s="66" t="s">
        <v>1983</v>
      </c>
      <c r="AE127" s="296" t="s">
        <v>2197</v>
      </c>
      <c r="AH127" s="65" t="s">
        <v>1135</v>
      </c>
      <c r="AI127" s="131" t="s">
        <v>1700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345</v>
      </c>
      <c r="T128" s="67" t="s">
        <v>1580</v>
      </c>
      <c r="U128" s="67">
        <v>8</v>
      </c>
      <c r="V128" s="233">
        <v>7.79</v>
      </c>
      <c r="W128" s="67">
        <v>7.5</v>
      </c>
      <c r="X128" s="67">
        <v>0.88</v>
      </c>
      <c r="Y128" s="67">
        <v>0</v>
      </c>
      <c r="Z128" s="67">
        <v>10</v>
      </c>
      <c r="AA128" s="67">
        <v>1</v>
      </c>
      <c r="AB128" s="65" t="s">
        <v>1591</v>
      </c>
      <c r="AC128" s="67">
        <v>2005</v>
      </c>
      <c r="AD128" s="67" t="s">
        <v>1966</v>
      </c>
      <c r="AE128" s="297" t="s">
        <v>2206</v>
      </c>
      <c r="AH128" s="49" t="s">
        <v>792</v>
      </c>
      <c r="AI128" s="132" t="s">
        <v>1133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335</v>
      </c>
      <c r="T129" s="66" t="s">
        <v>954</v>
      </c>
      <c r="U129" s="66">
        <v>7.88</v>
      </c>
      <c r="V129" s="234">
        <v>7.74</v>
      </c>
      <c r="W129" s="66">
        <v>7.75</v>
      </c>
      <c r="X129" s="66">
        <v>0.86</v>
      </c>
      <c r="Y129" s="66">
        <v>0</v>
      </c>
      <c r="Z129" s="66">
        <v>8</v>
      </c>
      <c r="AA129" s="66">
        <v>0</v>
      </c>
      <c r="AB129" s="49" t="s">
        <v>955</v>
      </c>
      <c r="AC129" s="66">
        <v>2011</v>
      </c>
      <c r="AD129" s="66" t="s">
        <v>1977</v>
      </c>
      <c r="AE129" s="296" t="s">
        <v>2227</v>
      </c>
      <c r="AH129" s="65" t="s">
        <v>784</v>
      </c>
      <c r="AI129" s="131" t="s">
        <v>1837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657</v>
      </c>
      <c r="T130" s="67" t="s">
        <v>658</v>
      </c>
      <c r="U130" s="67">
        <v>7.72</v>
      </c>
      <c r="V130" s="235">
        <v>7.7</v>
      </c>
      <c r="W130" s="67">
        <v>8</v>
      </c>
      <c r="X130" s="67">
        <v>0.57999999999999996</v>
      </c>
      <c r="Y130" s="67">
        <v>0</v>
      </c>
      <c r="Z130" s="67">
        <v>18</v>
      </c>
      <c r="AA130" s="67">
        <v>0</v>
      </c>
      <c r="AB130" s="65" t="s">
        <v>792</v>
      </c>
      <c r="AC130" s="67">
        <v>2026</v>
      </c>
      <c r="AD130" s="67" t="s">
        <v>1965</v>
      </c>
      <c r="AE130" s="297" t="s">
        <v>2240</v>
      </c>
      <c r="AH130" s="49" t="s">
        <v>1938</v>
      </c>
      <c r="AI130" s="132" t="s">
        <v>1939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505</v>
      </c>
      <c r="T131" s="66" t="s">
        <v>506</v>
      </c>
      <c r="U131" s="66">
        <v>7.67</v>
      </c>
      <c r="V131" s="236">
        <v>7.66</v>
      </c>
      <c r="W131" s="66">
        <v>8</v>
      </c>
      <c r="X131" s="66">
        <v>0.59</v>
      </c>
      <c r="Y131" s="66">
        <v>0</v>
      </c>
      <c r="Z131" s="66">
        <v>12</v>
      </c>
      <c r="AA131" s="66">
        <v>0</v>
      </c>
      <c r="AB131" s="49" t="s">
        <v>778</v>
      </c>
      <c r="AC131" s="66">
        <v>2021</v>
      </c>
      <c r="AD131" s="66" t="s">
        <v>1980</v>
      </c>
      <c r="AE131" s="296" t="s">
        <v>2245</v>
      </c>
      <c r="AH131" s="65" t="s">
        <v>1324</v>
      </c>
      <c r="AI131" s="131" t="s">
        <v>1325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346</v>
      </c>
      <c r="T132" s="67" t="s">
        <v>346</v>
      </c>
      <c r="U132" s="67">
        <v>7.77</v>
      </c>
      <c r="V132" s="237">
        <v>7.64</v>
      </c>
      <c r="W132" s="67">
        <v>7.5</v>
      </c>
      <c r="X132" s="67">
        <v>0.62</v>
      </c>
      <c r="Y132" s="67">
        <v>0</v>
      </c>
      <c r="Z132" s="67">
        <v>11</v>
      </c>
      <c r="AA132" s="67">
        <v>0</v>
      </c>
      <c r="AB132" s="65" t="s">
        <v>787</v>
      </c>
      <c r="AC132" s="67">
        <v>2026</v>
      </c>
      <c r="AD132" s="67" t="s">
        <v>1951</v>
      </c>
      <c r="AE132" s="297" t="s">
        <v>2247</v>
      </c>
      <c r="AH132" s="49" t="s">
        <v>1593</v>
      </c>
      <c r="AI132" s="132" t="s">
        <v>1594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1211</v>
      </c>
      <c r="T133" s="66" t="s">
        <v>1212</v>
      </c>
      <c r="U133" s="66">
        <v>7.71</v>
      </c>
      <c r="V133" s="185">
        <v>7.61</v>
      </c>
      <c r="W133" s="66">
        <v>7.5</v>
      </c>
      <c r="X133" s="66">
        <v>0.45</v>
      </c>
      <c r="Y133" s="66">
        <v>0</v>
      </c>
      <c r="Z133" s="66">
        <v>8</v>
      </c>
      <c r="AA133" s="66">
        <v>1</v>
      </c>
      <c r="AB133" s="49" t="s">
        <v>1214</v>
      </c>
      <c r="AC133" s="66">
        <v>2020</v>
      </c>
      <c r="AD133" s="66" t="s">
        <v>1985</v>
      </c>
      <c r="AE133" s="296" t="s">
        <v>2219</v>
      </c>
      <c r="AH133" s="65" t="s">
        <v>1595</v>
      </c>
      <c r="AI133" s="131" t="s">
        <v>1594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335</v>
      </c>
      <c r="T134" s="67" t="s">
        <v>993</v>
      </c>
      <c r="U134" s="67">
        <v>7.5</v>
      </c>
      <c r="V134" s="238">
        <v>7.4</v>
      </c>
      <c r="W134" s="67">
        <v>7.5</v>
      </c>
      <c r="X134" s="67">
        <v>0.76</v>
      </c>
      <c r="Y134" s="67">
        <v>0</v>
      </c>
      <c r="Z134" s="67">
        <v>12</v>
      </c>
      <c r="AA134" s="67">
        <v>0</v>
      </c>
      <c r="AB134" s="65" t="s">
        <v>785</v>
      </c>
      <c r="AC134" s="67">
        <v>1993</v>
      </c>
      <c r="AD134" s="67" t="s">
        <v>1943</v>
      </c>
      <c r="AE134" s="297" t="s">
        <v>2225</v>
      </c>
      <c r="AH134" s="49" t="s">
        <v>1134</v>
      </c>
      <c r="AI134" s="132" t="s">
        <v>2011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828</v>
      </c>
      <c r="T135" s="66" t="s">
        <v>1926</v>
      </c>
      <c r="U135" s="66">
        <v>7.31</v>
      </c>
      <c r="V135" s="280">
        <v>7.2</v>
      </c>
      <c r="W135" s="66">
        <v>7.25</v>
      </c>
      <c r="X135" s="66">
        <v>0.73</v>
      </c>
      <c r="Y135" s="66">
        <v>0</v>
      </c>
      <c r="Z135" s="66">
        <v>18</v>
      </c>
      <c r="AA135" s="66">
        <v>0</v>
      </c>
      <c r="AB135" s="49" t="s">
        <v>1134</v>
      </c>
      <c r="AC135" s="66">
        <v>2026</v>
      </c>
      <c r="AD135" s="66" t="s">
        <v>1943</v>
      </c>
      <c r="AE135" s="296" t="s">
        <v>2192</v>
      </c>
      <c r="AH135" s="65" t="s">
        <v>1214</v>
      </c>
      <c r="AI135" s="131" t="s">
        <v>1225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1834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427</v>
      </c>
      <c r="T136" s="67" t="s">
        <v>428</v>
      </c>
      <c r="U136" s="67">
        <v>7.29</v>
      </c>
      <c r="V136" s="239">
        <v>7.16</v>
      </c>
      <c r="W136" s="67">
        <v>7</v>
      </c>
      <c r="X136" s="67">
        <v>0.52</v>
      </c>
      <c r="Y136" s="67">
        <v>0</v>
      </c>
      <c r="Z136" s="67">
        <v>7</v>
      </c>
      <c r="AA136" s="67">
        <v>0</v>
      </c>
      <c r="AB136" s="65" t="s">
        <v>793</v>
      </c>
      <c r="AC136" s="67">
        <v>2021</v>
      </c>
      <c r="AD136" s="67" t="s">
        <v>1986</v>
      </c>
      <c r="AE136" s="297" t="s">
        <v>2248</v>
      </c>
      <c r="AH136" s="49" t="s">
        <v>1136</v>
      </c>
      <c r="AI136" s="132" t="s">
        <v>1137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678</v>
      </c>
      <c r="T137" s="66" t="s">
        <v>679</v>
      </c>
      <c r="U137" s="66">
        <v>7.06</v>
      </c>
      <c r="V137" s="240">
        <v>6.99</v>
      </c>
      <c r="W137" s="66">
        <v>7</v>
      </c>
      <c r="X137" s="66">
        <v>0.44</v>
      </c>
      <c r="Y137" s="66">
        <v>0</v>
      </c>
      <c r="Z137" s="66">
        <v>10</v>
      </c>
      <c r="AA137" s="66">
        <v>1</v>
      </c>
      <c r="AB137" s="49" t="s">
        <v>786</v>
      </c>
      <c r="AC137" s="66">
        <v>2026</v>
      </c>
      <c r="AD137" s="66" t="s">
        <v>1987</v>
      </c>
      <c r="AE137" s="296" t="s">
        <v>2239</v>
      </c>
      <c r="AH137" s="65" t="s">
        <v>1138</v>
      </c>
      <c r="AI137" s="131" t="s">
        <v>1137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343</v>
      </c>
      <c r="T138" s="67" t="s">
        <v>1821</v>
      </c>
      <c r="U138" s="67">
        <v>3.68</v>
      </c>
      <c r="V138" s="251">
        <v>3.37</v>
      </c>
      <c r="W138" s="67">
        <v>3</v>
      </c>
      <c r="X138" s="67">
        <v>1.37</v>
      </c>
      <c r="Y138" s="67">
        <v>0</v>
      </c>
      <c r="Z138" s="67">
        <v>11</v>
      </c>
      <c r="AA138" s="67">
        <v>0</v>
      </c>
      <c r="AB138" s="65" t="s">
        <v>784</v>
      </c>
      <c r="AC138" s="67">
        <v>2003</v>
      </c>
      <c r="AD138" s="67" t="s">
        <v>1944</v>
      </c>
      <c r="AE138" s="297" t="s">
        <v>2196</v>
      </c>
      <c r="AH138" s="49" t="s">
        <v>793</v>
      </c>
      <c r="AI138" s="132" t="s">
        <v>1139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V139"/>
      <c r="W139"/>
      <c r="X139"/>
      <c r="Y139"/>
      <c r="Z139"/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302" t="s">
        <v>1357</v>
      </c>
      <c r="S140" s="302"/>
      <c r="T140" s="302"/>
      <c r="U140" s="302"/>
      <c r="V140" s="302"/>
      <c r="W140" s="302"/>
      <c r="X140" s="302"/>
      <c r="Y140" s="302"/>
      <c r="Z140" s="302"/>
      <c r="AA140" s="302"/>
      <c r="AB140" s="302"/>
      <c r="AC140" s="302"/>
      <c r="AD140" s="302"/>
      <c r="AE140" s="302"/>
      <c r="AH140" s="130" t="s">
        <v>2012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48" t="s">
        <v>360</v>
      </c>
      <c r="S141" s="48" t="s">
        <v>327</v>
      </c>
      <c r="T141" s="48" t="s">
        <v>525</v>
      </c>
      <c r="U141" s="48" t="s">
        <v>329</v>
      </c>
      <c r="V141" s="48" t="s">
        <v>2065</v>
      </c>
      <c r="W141" s="48" t="s">
        <v>523</v>
      </c>
      <c r="X141" s="48" t="s">
        <v>330</v>
      </c>
      <c r="Y141" s="48" t="s">
        <v>331</v>
      </c>
      <c r="Z141" s="48" t="s">
        <v>332</v>
      </c>
      <c r="AA141" s="48" t="s">
        <v>333</v>
      </c>
      <c r="AB141" s="48" t="s">
        <v>922</v>
      </c>
      <c r="AC141" s="48" t="s">
        <v>1988</v>
      </c>
      <c r="AD141" s="48" t="s">
        <v>1989</v>
      </c>
      <c r="AE141" s="48" t="s">
        <v>2180</v>
      </c>
      <c r="AH141" s="65" t="s">
        <v>2013</v>
      </c>
      <c r="AI141" s="131" t="s">
        <v>2338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7">
        <v>1</v>
      </c>
      <c r="S142" s="49" t="s">
        <v>340</v>
      </c>
      <c r="T142" s="66">
        <v>4</v>
      </c>
      <c r="U142" s="66">
        <v>9.48</v>
      </c>
      <c r="V142" s="201">
        <v>9.73</v>
      </c>
      <c r="W142" s="66">
        <v>9.56</v>
      </c>
      <c r="X142" s="66">
        <v>0.76</v>
      </c>
      <c r="Y142" s="66">
        <v>13</v>
      </c>
      <c r="Z142" s="66">
        <v>26</v>
      </c>
      <c r="AA142" s="66">
        <v>1</v>
      </c>
      <c r="AB142" s="49" t="s">
        <v>1042</v>
      </c>
      <c r="AC142" s="66" t="s">
        <v>1990</v>
      </c>
      <c r="AD142" s="66" t="s">
        <v>1979</v>
      </c>
      <c r="AE142" s="296" t="s">
        <v>2255</v>
      </c>
      <c r="AH142" s="49" t="s">
        <v>2014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8">
        <v>2</v>
      </c>
      <c r="S143" s="65" t="s">
        <v>334</v>
      </c>
      <c r="T143" s="67">
        <v>5</v>
      </c>
      <c r="U143" s="67">
        <v>9.36</v>
      </c>
      <c r="V143" s="241">
        <v>9.68</v>
      </c>
      <c r="W143" s="67">
        <v>9.65</v>
      </c>
      <c r="X143" s="67">
        <v>0.91</v>
      </c>
      <c r="Y143" s="67">
        <v>22</v>
      </c>
      <c r="Z143" s="67">
        <v>58</v>
      </c>
      <c r="AA143" s="67">
        <v>14</v>
      </c>
      <c r="AB143" s="65" t="s">
        <v>1275</v>
      </c>
      <c r="AC143" s="67" t="s">
        <v>1991</v>
      </c>
      <c r="AD143" s="67" t="s">
        <v>1941</v>
      </c>
      <c r="AE143" s="297" t="s">
        <v>2255</v>
      </c>
      <c r="AH143" s="65" t="s">
        <v>2015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9">
        <v>3</v>
      </c>
      <c r="S144" s="49" t="s">
        <v>339</v>
      </c>
      <c r="T144" s="66">
        <v>3</v>
      </c>
      <c r="U144" s="66">
        <v>9.18</v>
      </c>
      <c r="V144" s="242">
        <v>9.1999999999999993</v>
      </c>
      <c r="W144" s="66">
        <v>8.92</v>
      </c>
      <c r="X144" s="66">
        <v>0.74</v>
      </c>
      <c r="Y144" s="66">
        <v>5</v>
      </c>
      <c r="Z144" s="66">
        <v>16</v>
      </c>
      <c r="AA144" s="66">
        <v>0</v>
      </c>
      <c r="AB144" s="49" t="s">
        <v>1419</v>
      </c>
      <c r="AC144" s="66" t="s">
        <v>1992</v>
      </c>
      <c r="AD144" s="66" t="s">
        <v>1960</v>
      </c>
      <c r="AE144" s="296" t="s">
        <v>2255</v>
      </c>
      <c r="AH144" s="49" t="s">
        <v>2016</v>
      </c>
      <c r="AI144" s="132" t="s">
        <v>2341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4</v>
      </c>
      <c r="S145" s="65" t="s">
        <v>338</v>
      </c>
      <c r="T145" s="67">
        <v>2</v>
      </c>
      <c r="U145" s="67">
        <v>8.99</v>
      </c>
      <c r="V145" s="210">
        <v>9.0399999999999991</v>
      </c>
      <c r="W145" s="67">
        <v>8.75</v>
      </c>
      <c r="X145" s="67">
        <v>0.9</v>
      </c>
      <c r="Y145" s="67">
        <v>5</v>
      </c>
      <c r="Z145" s="67">
        <v>18</v>
      </c>
      <c r="AA145" s="67">
        <v>0</v>
      </c>
      <c r="AB145" s="65" t="s">
        <v>2164</v>
      </c>
      <c r="AC145" s="67" t="s">
        <v>2165</v>
      </c>
      <c r="AD145" s="67" t="s">
        <v>1979</v>
      </c>
      <c r="AE145" s="297" t="s">
        <v>2255</v>
      </c>
      <c r="AH145" s="65" t="s">
        <v>2017</v>
      </c>
      <c r="AI145" s="131" t="s">
        <v>2018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5</v>
      </c>
      <c r="S146" s="49" t="s">
        <v>490</v>
      </c>
      <c r="T146" s="66">
        <v>3</v>
      </c>
      <c r="U146" s="66">
        <v>8.93</v>
      </c>
      <c r="V146" s="212">
        <v>8.9499999999999993</v>
      </c>
      <c r="W146" s="66">
        <v>8.83</v>
      </c>
      <c r="X146" s="66">
        <v>0.82</v>
      </c>
      <c r="Y146" s="66">
        <v>6</v>
      </c>
      <c r="Z146" s="66">
        <v>27</v>
      </c>
      <c r="AA146" s="66">
        <v>0</v>
      </c>
      <c r="AB146" s="49" t="s">
        <v>767</v>
      </c>
      <c r="AC146" s="66" t="s">
        <v>1993</v>
      </c>
      <c r="AD146" s="66" t="s">
        <v>1958</v>
      </c>
      <c r="AE146" s="296" t="s">
        <v>2255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6</v>
      </c>
      <c r="S147" s="65" t="s">
        <v>1194</v>
      </c>
      <c r="T147" s="67">
        <v>2</v>
      </c>
      <c r="U147" s="67">
        <v>8.7200000000000006</v>
      </c>
      <c r="V147" s="282">
        <v>8.9</v>
      </c>
      <c r="W147" s="67">
        <v>8.5</v>
      </c>
      <c r="X147" s="67">
        <v>0.94</v>
      </c>
      <c r="Y147" s="67">
        <v>10</v>
      </c>
      <c r="Z147" s="67">
        <v>54</v>
      </c>
      <c r="AA147" s="67">
        <v>2</v>
      </c>
      <c r="AB147" s="65" t="s">
        <v>1578</v>
      </c>
      <c r="AC147" s="67" t="s">
        <v>2159</v>
      </c>
      <c r="AD147" s="67" t="s">
        <v>2160</v>
      </c>
      <c r="AE147" s="297" t="s">
        <v>2255</v>
      </c>
      <c r="AH147" s="130" t="s">
        <v>2019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7</v>
      </c>
      <c r="S148" s="49" t="s">
        <v>349</v>
      </c>
      <c r="T148" s="66">
        <v>2</v>
      </c>
      <c r="U148" s="66">
        <v>8.83</v>
      </c>
      <c r="V148" s="173">
        <v>8.85</v>
      </c>
      <c r="W148" s="66">
        <v>8.5</v>
      </c>
      <c r="X148" s="66">
        <v>0.88</v>
      </c>
      <c r="Y148" s="66">
        <v>4</v>
      </c>
      <c r="Z148" s="66">
        <v>18</v>
      </c>
      <c r="AA148" s="66">
        <v>0</v>
      </c>
      <c r="AB148" s="49" t="s">
        <v>2066</v>
      </c>
      <c r="AC148" s="66" t="s">
        <v>1995</v>
      </c>
      <c r="AD148" s="66" t="s">
        <v>1960</v>
      </c>
      <c r="AE148" s="296" t="s">
        <v>2255</v>
      </c>
      <c r="AH148" s="49" t="s">
        <v>2020</v>
      </c>
      <c r="AI148" s="132" t="s">
        <v>2021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8</v>
      </c>
      <c r="S149" s="65" t="s">
        <v>354</v>
      </c>
      <c r="T149" s="67">
        <v>2</v>
      </c>
      <c r="U149" s="67">
        <v>8.85</v>
      </c>
      <c r="V149" s="215">
        <v>8.84</v>
      </c>
      <c r="W149" s="67">
        <v>8.75</v>
      </c>
      <c r="X149" s="67">
        <v>0.73</v>
      </c>
      <c r="Y149" s="67">
        <v>4</v>
      </c>
      <c r="Z149" s="67">
        <v>25</v>
      </c>
      <c r="AA149" s="67">
        <v>0</v>
      </c>
      <c r="AB149" s="65" t="s">
        <v>1884</v>
      </c>
      <c r="AC149" s="67" t="s">
        <v>1994</v>
      </c>
      <c r="AD149" s="67" t="s">
        <v>1957</v>
      </c>
      <c r="AE149" s="297" t="s">
        <v>2255</v>
      </c>
      <c r="AH149" s="65" t="s">
        <v>2022</v>
      </c>
      <c r="AI149" s="131" t="s">
        <v>2177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9</v>
      </c>
      <c r="S150" s="49" t="s">
        <v>335</v>
      </c>
      <c r="T150" s="66">
        <v>9</v>
      </c>
      <c r="U150" s="66">
        <v>8.67</v>
      </c>
      <c r="V150" s="174">
        <v>8.7899999999999991</v>
      </c>
      <c r="W150" s="66">
        <v>8.69</v>
      </c>
      <c r="X150" s="66">
        <v>0.86</v>
      </c>
      <c r="Y150" s="66">
        <v>20</v>
      </c>
      <c r="Z150" s="66">
        <v>101</v>
      </c>
      <c r="AA150" s="66">
        <v>4</v>
      </c>
      <c r="AB150" s="49" t="s">
        <v>956</v>
      </c>
      <c r="AC150" s="66" t="s">
        <v>1998</v>
      </c>
      <c r="AD150" s="66" t="s">
        <v>1951</v>
      </c>
      <c r="AE150" s="296" t="s">
        <v>2255</v>
      </c>
      <c r="AH150" s="49" t="s">
        <v>2023</v>
      </c>
      <c r="AI150" s="132" t="s">
        <v>2183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10</v>
      </c>
      <c r="S151" s="65" t="s">
        <v>353</v>
      </c>
      <c r="T151" s="67">
        <v>3</v>
      </c>
      <c r="U151" s="67">
        <v>8.77</v>
      </c>
      <c r="V151" s="174">
        <v>8.7899999999999991</v>
      </c>
      <c r="W151" s="67">
        <v>8.67</v>
      </c>
      <c r="X151" s="67">
        <v>0.81</v>
      </c>
      <c r="Y151" s="67">
        <v>6</v>
      </c>
      <c r="Z151" s="67">
        <v>34</v>
      </c>
      <c r="AA151" s="67">
        <v>1</v>
      </c>
      <c r="AB151" s="65" t="s">
        <v>1672</v>
      </c>
      <c r="AC151" s="67" t="s">
        <v>1996</v>
      </c>
      <c r="AD151" s="67" t="s">
        <v>1970</v>
      </c>
      <c r="AE151" s="297" t="s">
        <v>2255</v>
      </c>
      <c r="AH151" s="65" t="s">
        <v>2024</v>
      </c>
      <c r="AI151" s="131" t="s">
        <v>2342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11</v>
      </c>
      <c r="S152" s="49" t="s">
        <v>1721</v>
      </c>
      <c r="T152" s="66">
        <v>2</v>
      </c>
      <c r="U152" s="66">
        <v>8.81</v>
      </c>
      <c r="V152" s="175">
        <v>8.77</v>
      </c>
      <c r="W152" s="66">
        <v>8.5</v>
      </c>
      <c r="X152" s="66">
        <v>0.81</v>
      </c>
      <c r="Y152" s="66">
        <v>3</v>
      </c>
      <c r="Z152" s="66">
        <v>16</v>
      </c>
      <c r="AA152" s="66">
        <v>0</v>
      </c>
      <c r="AB152" s="49" t="s">
        <v>1376</v>
      </c>
      <c r="AC152" s="66" t="s">
        <v>2181</v>
      </c>
      <c r="AD152" s="66" t="s">
        <v>1943</v>
      </c>
      <c r="AE152" s="296" t="s">
        <v>2255</v>
      </c>
      <c r="AH152" s="49" t="s">
        <v>2025</v>
      </c>
      <c r="AI152" s="132" t="s">
        <v>2343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12</v>
      </c>
      <c r="S153" s="65" t="s">
        <v>1461</v>
      </c>
      <c r="T153" s="67">
        <v>2</v>
      </c>
      <c r="U153" s="67">
        <v>8.77</v>
      </c>
      <c r="V153" s="177">
        <v>8.67</v>
      </c>
      <c r="W153" s="67">
        <v>8.5</v>
      </c>
      <c r="X153" s="67">
        <v>0.62</v>
      </c>
      <c r="Y153" s="67">
        <v>2</v>
      </c>
      <c r="Z153" s="67">
        <v>17</v>
      </c>
      <c r="AA153" s="67">
        <v>1</v>
      </c>
      <c r="AB153" s="65" t="s">
        <v>1722</v>
      </c>
      <c r="AC153" s="67" t="s">
        <v>2329</v>
      </c>
      <c r="AD153" s="67" t="s">
        <v>1997</v>
      </c>
      <c r="AE153" s="297" t="s">
        <v>2255</v>
      </c>
      <c r="AH153" s="65" t="s">
        <v>2026</v>
      </c>
      <c r="AI153" s="131" t="s">
        <v>2344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13</v>
      </c>
      <c r="S154" s="49" t="s">
        <v>1546</v>
      </c>
      <c r="T154" s="66">
        <v>2</v>
      </c>
      <c r="U154" s="66">
        <v>8.6300000000000008</v>
      </c>
      <c r="V154" s="243">
        <v>8.59</v>
      </c>
      <c r="W154" s="66">
        <v>8.5</v>
      </c>
      <c r="X154" s="66">
        <v>1.05</v>
      </c>
      <c r="Y154" s="66">
        <v>4</v>
      </c>
      <c r="Z154" s="66">
        <v>22</v>
      </c>
      <c r="AA154" s="66">
        <v>2</v>
      </c>
      <c r="AB154" s="49" t="s">
        <v>1608</v>
      </c>
      <c r="AC154" s="66" t="s">
        <v>1999</v>
      </c>
      <c r="AD154" s="66" t="s">
        <v>1983</v>
      </c>
      <c r="AE154" s="296" t="s">
        <v>2255</v>
      </c>
      <c r="AH154" s="49" t="s">
        <v>2027</v>
      </c>
      <c r="AI154" s="132" t="s">
        <v>2309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14</v>
      </c>
      <c r="S155" s="65" t="s">
        <v>342</v>
      </c>
      <c r="T155" s="67">
        <v>8</v>
      </c>
      <c r="U155" s="67">
        <v>8.58</v>
      </c>
      <c r="V155" s="179">
        <v>8.5500000000000007</v>
      </c>
      <c r="W155" s="67">
        <v>8.4700000000000006</v>
      </c>
      <c r="X155" s="67">
        <v>0.76</v>
      </c>
      <c r="Y155" s="67">
        <v>7</v>
      </c>
      <c r="Z155" s="67">
        <v>60</v>
      </c>
      <c r="AA155" s="67">
        <v>2</v>
      </c>
      <c r="AB155" s="65" t="s">
        <v>2061</v>
      </c>
      <c r="AC155" s="67" t="s">
        <v>2062</v>
      </c>
      <c r="AD155" s="67" t="s">
        <v>1955</v>
      </c>
      <c r="AE155" s="297" t="s">
        <v>2255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15</v>
      </c>
      <c r="S156" s="49" t="s">
        <v>728</v>
      </c>
      <c r="T156" s="66">
        <v>3</v>
      </c>
      <c r="U156" s="66">
        <v>8.5500000000000007</v>
      </c>
      <c r="V156" s="179">
        <v>8.5500000000000007</v>
      </c>
      <c r="W156" s="66">
        <v>8.17</v>
      </c>
      <c r="X156" s="66">
        <v>0.83</v>
      </c>
      <c r="Y156" s="66">
        <v>6</v>
      </c>
      <c r="Z156" s="66">
        <v>46</v>
      </c>
      <c r="AA156" s="66">
        <v>4</v>
      </c>
      <c r="AB156" s="49" t="s">
        <v>1463</v>
      </c>
      <c r="AC156" s="66" t="s">
        <v>2000</v>
      </c>
      <c r="AD156" s="66" t="s">
        <v>1963</v>
      </c>
      <c r="AE156" s="296" t="s">
        <v>2255</v>
      </c>
      <c r="AH156" s="130" t="s">
        <v>2028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16</v>
      </c>
      <c r="S157" s="65" t="s">
        <v>347</v>
      </c>
      <c r="T157" s="67">
        <v>2</v>
      </c>
      <c r="U157" s="67">
        <v>8.5399999999999991</v>
      </c>
      <c r="V157" s="222">
        <v>8.4700000000000006</v>
      </c>
      <c r="W157" s="67">
        <v>8.5</v>
      </c>
      <c r="X157" s="67">
        <v>0.78</v>
      </c>
      <c r="Y157" s="67">
        <v>3</v>
      </c>
      <c r="Z157" s="67">
        <v>20</v>
      </c>
      <c r="AA157" s="67">
        <v>0</v>
      </c>
      <c r="AB157" s="65" t="s">
        <v>1937</v>
      </c>
      <c r="AC157" s="67" t="s">
        <v>2001</v>
      </c>
      <c r="AD157" s="67" t="s">
        <v>1956</v>
      </c>
      <c r="AE157" s="297" t="s">
        <v>2255</v>
      </c>
      <c r="AH157" s="65" t="s">
        <v>2029</v>
      </c>
      <c r="AI157" s="131" t="s">
        <v>2338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17</v>
      </c>
      <c r="S158" s="49" t="s">
        <v>1167</v>
      </c>
      <c r="T158" s="66">
        <v>2</v>
      </c>
      <c r="U158" s="66">
        <v>8.52</v>
      </c>
      <c r="V158" s="246">
        <v>8.4499999999999993</v>
      </c>
      <c r="W158" s="66">
        <v>8.25</v>
      </c>
      <c r="X158" s="66">
        <v>0.96</v>
      </c>
      <c r="Y158" s="66">
        <v>6</v>
      </c>
      <c r="Z158" s="66">
        <v>41</v>
      </c>
      <c r="AA158" s="66">
        <v>2</v>
      </c>
      <c r="AB158" s="49" t="s">
        <v>1773</v>
      </c>
      <c r="AC158" s="66" t="s">
        <v>2002</v>
      </c>
      <c r="AD158" s="66" t="s">
        <v>2003</v>
      </c>
      <c r="AE158" s="296" t="s">
        <v>2255</v>
      </c>
      <c r="AH158" s="49" t="s">
        <v>2030</v>
      </c>
      <c r="AI158" s="132" t="s">
        <v>1983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18</v>
      </c>
      <c r="S159" s="65" t="s">
        <v>345</v>
      </c>
      <c r="T159" s="67">
        <v>4</v>
      </c>
      <c r="U159" s="67">
        <v>8.4600000000000009</v>
      </c>
      <c r="V159" s="277">
        <v>8.4</v>
      </c>
      <c r="W159" s="67">
        <v>8.25</v>
      </c>
      <c r="X159" s="67">
        <v>0.95</v>
      </c>
      <c r="Y159" s="67">
        <v>8</v>
      </c>
      <c r="Z159" s="67">
        <v>53</v>
      </c>
      <c r="AA159" s="67">
        <v>4</v>
      </c>
      <c r="AB159" s="65" t="s">
        <v>1592</v>
      </c>
      <c r="AC159" s="67" t="s">
        <v>2004</v>
      </c>
      <c r="AD159" s="67" t="s">
        <v>1997</v>
      </c>
      <c r="AE159" s="297" t="s">
        <v>2255</v>
      </c>
      <c r="AH159" s="65" t="s">
        <v>2031</v>
      </c>
      <c r="AI159" s="131" t="s">
        <v>2162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19</v>
      </c>
      <c r="S160" s="49" t="s">
        <v>346</v>
      </c>
      <c r="T160" s="66">
        <v>2</v>
      </c>
      <c r="U160" s="66">
        <v>8.39</v>
      </c>
      <c r="V160" s="226">
        <v>8.3699999999999992</v>
      </c>
      <c r="W160" s="66">
        <v>8.25</v>
      </c>
      <c r="X160" s="66">
        <v>0.72</v>
      </c>
      <c r="Y160" s="66">
        <v>2</v>
      </c>
      <c r="Z160" s="66">
        <v>20</v>
      </c>
      <c r="AA160" s="66">
        <v>0</v>
      </c>
      <c r="AB160" s="49" t="s">
        <v>787</v>
      </c>
      <c r="AC160" s="66" t="s">
        <v>2005</v>
      </c>
      <c r="AD160" s="66" t="s">
        <v>1942</v>
      </c>
      <c r="AE160" s="296" t="s">
        <v>2255</v>
      </c>
      <c r="AH160" s="49" t="s">
        <v>2032</v>
      </c>
      <c r="AI160" s="132" t="s">
        <v>2033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20</v>
      </c>
      <c r="S161" s="65" t="s">
        <v>828</v>
      </c>
      <c r="T161" s="67">
        <v>2</v>
      </c>
      <c r="U161" s="67">
        <v>8.07</v>
      </c>
      <c r="V161" s="281">
        <v>7.99</v>
      </c>
      <c r="W161" s="67">
        <v>8.1300000000000008</v>
      </c>
      <c r="X161" s="67">
        <v>0.8</v>
      </c>
      <c r="Y161" s="67">
        <v>3</v>
      </c>
      <c r="Z161" s="67">
        <v>31</v>
      </c>
      <c r="AA161" s="67">
        <v>2</v>
      </c>
      <c r="AB161" s="65" t="s">
        <v>2006</v>
      </c>
      <c r="AC161" s="67" t="s">
        <v>2007</v>
      </c>
      <c r="AD161" s="67" t="s">
        <v>1983</v>
      </c>
      <c r="AE161" s="297" t="s">
        <v>2255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21</v>
      </c>
      <c r="S162" s="49" t="s">
        <v>343</v>
      </c>
      <c r="T162" s="66">
        <v>5</v>
      </c>
      <c r="U162" s="66">
        <v>7.9</v>
      </c>
      <c r="V162" s="252">
        <v>7.94</v>
      </c>
      <c r="W162" s="66">
        <v>7.75</v>
      </c>
      <c r="X162" s="66">
        <v>1.07</v>
      </c>
      <c r="Y162" s="66">
        <v>11</v>
      </c>
      <c r="Z162" s="66">
        <v>48</v>
      </c>
      <c r="AA162" s="66">
        <v>0</v>
      </c>
      <c r="AB162" s="49" t="s">
        <v>1835</v>
      </c>
      <c r="AC162" s="66" t="s">
        <v>2008</v>
      </c>
      <c r="AD162" s="66" t="s">
        <v>1955</v>
      </c>
      <c r="AE162" s="296" t="s">
        <v>2255</v>
      </c>
      <c r="AH162" s="130" t="s">
        <v>2034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V163"/>
      <c r="W163"/>
      <c r="X163"/>
      <c r="Y163"/>
      <c r="Z163"/>
      <c r="AH163" s="65" t="s">
        <v>2035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302" t="s">
        <v>1806</v>
      </c>
      <c r="S164" s="302"/>
      <c r="T164" s="302"/>
      <c r="U164" s="302"/>
      <c r="V164" s="302"/>
      <c r="W164"/>
      <c r="X164"/>
      <c r="Y164"/>
      <c r="Z164"/>
      <c r="AH164" s="49" t="s">
        <v>1047</v>
      </c>
      <c r="AI164" s="132" t="s">
        <v>2345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48" t="s">
        <v>360</v>
      </c>
      <c r="S165" s="48" t="s">
        <v>327</v>
      </c>
      <c r="T165" s="48" t="s">
        <v>328</v>
      </c>
      <c r="U165" s="48" t="s">
        <v>329</v>
      </c>
      <c r="V165" s="48" t="s">
        <v>1014</v>
      </c>
      <c r="W165"/>
      <c r="X165"/>
      <c r="Y165"/>
      <c r="Z165"/>
      <c r="AH165" s="65" t="s">
        <v>2036</v>
      </c>
      <c r="AI165" s="131" t="s">
        <v>2346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7">
        <v>1</v>
      </c>
      <c r="S166" s="49" t="s">
        <v>1008</v>
      </c>
      <c r="T166" s="49" t="s">
        <v>1006</v>
      </c>
      <c r="U166" s="66">
        <v>10.5</v>
      </c>
      <c r="V166" s="121">
        <v>10.85</v>
      </c>
      <c r="W166"/>
      <c r="X166"/>
      <c r="Y166"/>
      <c r="Z166"/>
      <c r="AH166" s="49" t="s">
        <v>1050</v>
      </c>
      <c r="AI166" s="132" t="s">
        <v>2347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8">
        <v>2</v>
      </c>
      <c r="S167" s="65" t="s">
        <v>334</v>
      </c>
      <c r="T167" s="65" t="s">
        <v>7</v>
      </c>
      <c r="U167" s="67">
        <v>9.89</v>
      </c>
      <c r="V167" s="121">
        <v>10.52</v>
      </c>
      <c r="W167"/>
      <c r="X167"/>
      <c r="Y167"/>
      <c r="Z167"/>
      <c r="AH167" s="65" t="s">
        <v>1056</v>
      </c>
      <c r="AI167" s="131" t="s">
        <v>2310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9">
        <v>3</v>
      </c>
      <c r="S168" s="49" t="s">
        <v>340</v>
      </c>
      <c r="T168" s="49" t="s">
        <v>1039</v>
      </c>
      <c r="U168" s="66">
        <v>10</v>
      </c>
      <c r="V168" s="121">
        <v>10.39</v>
      </c>
      <c r="W168"/>
      <c r="X168"/>
      <c r="Y168"/>
      <c r="Z168"/>
      <c r="AH168" s="49" t="s">
        <v>331</v>
      </c>
      <c r="AI168" s="132" t="s">
        <v>2348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4</v>
      </c>
      <c r="S169" s="65" t="s">
        <v>335</v>
      </c>
      <c r="T169" s="65" t="s">
        <v>336</v>
      </c>
      <c r="U169" s="67">
        <v>9.6999999999999993</v>
      </c>
      <c r="V169" s="121">
        <v>10.37</v>
      </c>
      <c r="W169"/>
      <c r="X169"/>
      <c r="Y169"/>
      <c r="Z169"/>
      <c r="AH169" s="65" t="s">
        <v>2037</v>
      </c>
      <c r="AI169" s="131" t="s">
        <v>2349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5</v>
      </c>
      <c r="S170" s="49" t="s">
        <v>684</v>
      </c>
      <c r="T170" s="49" t="s">
        <v>685</v>
      </c>
      <c r="U170" s="66">
        <v>9.8800000000000008</v>
      </c>
      <c r="V170" s="121">
        <v>10.220000000000001</v>
      </c>
      <c r="W170"/>
      <c r="X170"/>
      <c r="Y170"/>
      <c r="Z170"/>
      <c r="AH170" s="49" t="s">
        <v>2038</v>
      </c>
      <c r="AI170" s="132" t="s">
        <v>2184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6</v>
      </c>
      <c r="S171" s="65" t="s">
        <v>338</v>
      </c>
      <c r="T171" s="65" t="s">
        <v>274</v>
      </c>
      <c r="U171" s="67">
        <v>9.3800000000000008</v>
      </c>
      <c r="V171" s="203">
        <v>9.5299999999999994</v>
      </c>
      <c r="W171"/>
      <c r="X171"/>
      <c r="Y171"/>
      <c r="Z171"/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7</v>
      </c>
      <c r="S172" s="49" t="s">
        <v>339</v>
      </c>
      <c r="T172" s="49" t="s">
        <v>1198</v>
      </c>
      <c r="U172" s="66">
        <v>9.4</v>
      </c>
      <c r="V172" s="171">
        <v>9.4600000000000009</v>
      </c>
      <c r="W172"/>
      <c r="X172"/>
      <c r="Y172"/>
      <c r="Z172"/>
      <c r="AH172" s="49" t="s">
        <v>2039</v>
      </c>
      <c r="AI172" s="132" t="s">
        <v>2350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8</v>
      </c>
      <c r="S173" s="65" t="s">
        <v>2088</v>
      </c>
      <c r="T173" s="65" t="s">
        <v>2081</v>
      </c>
      <c r="U173" s="67">
        <v>9.31</v>
      </c>
      <c r="V173" s="289">
        <v>9.43</v>
      </c>
      <c r="W173"/>
      <c r="X173"/>
      <c r="Y173"/>
      <c r="Z173"/>
      <c r="AH173" s="65" t="s">
        <v>2040</v>
      </c>
      <c r="AI173" s="131" t="s">
        <v>2185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9</v>
      </c>
      <c r="S174" s="49" t="s">
        <v>343</v>
      </c>
      <c r="T174" s="49" t="s">
        <v>56</v>
      </c>
      <c r="U174" s="66">
        <v>9.25</v>
      </c>
      <c r="V174" s="204">
        <v>9.3699999999999992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10</v>
      </c>
      <c r="S175" s="65" t="s">
        <v>344</v>
      </c>
      <c r="T175" s="65" t="s">
        <v>188</v>
      </c>
      <c r="U175" s="67">
        <v>9.2100000000000009</v>
      </c>
      <c r="V175" s="206">
        <v>9.34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11</v>
      </c>
      <c r="S176" s="49" t="s">
        <v>342</v>
      </c>
      <c r="T176" s="49" t="s">
        <v>132</v>
      </c>
      <c r="U176" s="66">
        <v>9.2100000000000009</v>
      </c>
      <c r="V176" s="207">
        <v>9.2799999999999994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1272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12</v>
      </c>
      <c r="S177" s="65" t="s">
        <v>454</v>
      </c>
      <c r="T177" s="65" t="s">
        <v>36</v>
      </c>
      <c r="U177" s="67">
        <v>9.15</v>
      </c>
      <c r="V177" s="125">
        <v>9.23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13</v>
      </c>
      <c r="S178" s="49" t="s">
        <v>490</v>
      </c>
      <c r="T178" s="49" t="s">
        <v>508</v>
      </c>
      <c r="U178" s="66">
        <v>9.17</v>
      </c>
      <c r="V178" s="125">
        <v>9.23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14</v>
      </c>
      <c r="S179" s="65" t="s">
        <v>920</v>
      </c>
      <c r="T179" s="65" t="s">
        <v>911</v>
      </c>
      <c r="U179" s="67">
        <v>9.06</v>
      </c>
      <c r="V179" s="135">
        <v>9.1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15</v>
      </c>
      <c r="S180" s="49" t="s">
        <v>345</v>
      </c>
      <c r="T180" s="49" t="s">
        <v>159</v>
      </c>
      <c r="U180" s="66">
        <v>9</v>
      </c>
      <c r="V180" s="135">
        <v>9.09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16</v>
      </c>
      <c r="S181" s="65" t="s">
        <v>346</v>
      </c>
      <c r="T181" s="65" t="s">
        <v>264</v>
      </c>
      <c r="U181" s="67">
        <v>9</v>
      </c>
      <c r="V181" s="135">
        <v>9.09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17</v>
      </c>
      <c r="S182" s="49" t="s">
        <v>353</v>
      </c>
      <c r="T182" s="49" t="s">
        <v>1643</v>
      </c>
      <c r="U182" s="66">
        <v>8.94</v>
      </c>
      <c r="V182" s="212">
        <v>8.9499999999999993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18</v>
      </c>
      <c r="S183" s="65" t="s">
        <v>354</v>
      </c>
      <c r="T183" s="65" t="s">
        <v>1882</v>
      </c>
      <c r="U183" s="67">
        <v>8.9600000000000009</v>
      </c>
      <c r="V183" s="274">
        <v>8.93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19</v>
      </c>
      <c r="S184" s="49" t="s">
        <v>1354</v>
      </c>
      <c r="T184" s="49" t="s">
        <v>1345</v>
      </c>
      <c r="U184" s="66">
        <v>8.9499999999999993</v>
      </c>
      <c r="V184" s="282">
        <v>8.91</v>
      </c>
      <c r="W184"/>
      <c r="X184"/>
      <c r="Y184"/>
      <c r="Z184"/>
    </row>
    <row r="185" spans="1:26" ht="16.05" customHeight="1" thickBot="1">
      <c r="A185" s="134" t="s">
        <v>1140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1548</v>
      </c>
      <c r="N185" s="13">
        <f>ROUND(SUM(N186:N209)/COUNT(N186:N209), 2)</f>
        <v>8.7200000000000006</v>
      </c>
      <c r="O185" s="19"/>
      <c r="R185" s="56">
        <v>20</v>
      </c>
      <c r="S185" s="65" t="s">
        <v>728</v>
      </c>
      <c r="T185" s="65" t="s">
        <v>1449</v>
      </c>
      <c r="U185" s="67">
        <v>8.8800000000000008</v>
      </c>
      <c r="V185" s="50">
        <v>8.89</v>
      </c>
      <c r="W185"/>
      <c r="X185"/>
      <c r="Y185"/>
      <c r="Z185"/>
    </row>
    <row r="186" spans="1:26" ht="16.05" customHeight="1" thickBot="1">
      <c r="A186" s="12" t="s">
        <v>1141</v>
      </c>
      <c r="B186" s="256">
        <v>9.5</v>
      </c>
      <c r="C186" s="38"/>
      <c r="D186" s="136" t="s">
        <v>1153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1170</v>
      </c>
      <c r="N186" s="256">
        <v>8</v>
      </c>
      <c r="O186" s="19"/>
      <c r="V186"/>
      <c r="W186"/>
      <c r="X186"/>
      <c r="Y186"/>
      <c r="Z186"/>
    </row>
    <row r="187" spans="1:26" ht="16.05" customHeight="1" thickBot="1">
      <c r="A187" s="5" t="s">
        <v>1142</v>
      </c>
      <c r="B187" s="257">
        <v>9</v>
      </c>
      <c r="C187" s="3"/>
      <c r="D187" s="12" t="s">
        <v>1154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1171</v>
      </c>
      <c r="N187" s="257">
        <v>8.5</v>
      </c>
      <c r="O187" s="19"/>
      <c r="V187"/>
      <c r="W187"/>
      <c r="X187"/>
      <c r="Y187"/>
      <c r="Z187"/>
    </row>
    <row r="188" spans="1:26" ht="16.05" customHeight="1" thickBot="1">
      <c r="A188" s="5" t="s">
        <v>1143</v>
      </c>
      <c r="B188" s="257">
        <v>10</v>
      </c>
      <c r="C188" s="3"/>
      <c r="D188" s="5" t="s">
        <v>1155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1172</v>
      </c>
      <c r="N188" s="257">
        <v>10</v>
      </c>
      <c r="O188" s="19"/>
      <c r="V188"/>
      <c r="W188"/>
      <c r="X188"/>
      <c r="Y188"/>
      <c r="Z188"/>
    </row>
    <row r="189" spans="1:26" ht="16.05" customHeight="1" thickBot="1">
      <c r="A189" s="5" t="s">
        <v>1144</v>
      </c>
      <c r="B189" s="257">
        <v>10.5</v>
      </c>
      <c r="C189" s="3"/>
      <c r="D189" s="5" t="s">
        <v>1156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1202</v>
      </c>
      <c r="K189" s="13">
        <f>ROUND(SUM(K190:K197)/COUNT(K190:K197), 2)</f>
        <v>7.71</v>
      </c>
      <c r="L189" s="3"/>
      <c r="M189" s="5" t="s">
        <v>1173</v>
      </c>
      <c r="N189" s="257"/>
      <c r="O189" s="19"/>
      <c r="V189"/>
      <c r="W189"/>
      <c r="X189"/>
      <c r="Y189"/>
      <c r="Z189"/>
    </row>
    <row r="190" spans="1:26" ht="16.05" customHeight="1" thickBot="1">
      <c r="A190" s="5" t="s">
        <v>1145</v>
      </c>
      <c r="B190" s="257">
        <v>8</v>
      </c>
      <c r="C190" s="3"/>
      <c r="D190" s="5" t="s">
        <v>1157</v>
      </c>
      <c r="E190" s="257">
        <v>7.5</v>
      </c>
      <c r="F190" s="3"/>
      <c r="G190" s="18"/>
      <c r="H190" s="18"/>
      <c r="I190" s="3"/>
      <c r="J190" s="12" t="s">
        <v>1203</v>
      </c>
      <c r="K190" s="256"/>
      <c r="L190" s="3"/>
      <c r="M190" s="5" t="s">
        <v>1174</v>
      </c>
      <c r="N190" s="257">
        <v>10.5</v>
      </c>
      <c r="O190" s="19"/>
      <c r="V190"/>
      <c r="W190"/>
      <c r="X190"/>
      <c r="Y190"/>
      <c r="Z190"/>
    </row>
    <row r="191" spans="1:26" ht="16.05" customHeight="1" thickBot="1">
      <c r="A191" s="5" t="s">
        <v>1146</v>
      </c>
      <c r="B191" s="257">
        <v>8.5</v>
      </c>
      <c r="C191" s="3"/>
      <c r="D191" s="5" t="s">
        <v>1158</v>
      </c>
      <c r="E191" s="257">
        <v>7</v>
      </c>
      <c r="F191" s="19"/>
      <c r="G191" s="144" t="s">
        <v>1215</v>
      </c>
      <c r="H191" s="13">
        <f>ROUND(SUM(H192:H200)/COUNT(H192:H200), 2)</f>
        <v>8.83</v>
      </c>
      <c r="I191" s="3"/>
      <c r="J191" s="5" t="s">
        <v>1204</v>
      </c>
      <c r="K191" s="257">
        <v>7</v>
      </c>
      <c r="L191" s="3"/>
      <c r="M191" s="5" t="s">
        <v>1175</v>
      </c>
      <c r="N191" s="257">
        <v>10</v>
      </c>
      <c r="O191" s="19"/>
      <c r="V191"/>
      <c r="W191"/>
      <c r="X191"/>
      <c r="Y191"/>
      <c r="Z191"/>
    </row>
    <row r="192" spans="1:26" ht="16.05" customHeight="1">
      <c r="A192" s="5" t="s">
        <v>1147</v>
      </c>
      <c r="B192" s="257">
        <v>8</v>
      </c>
      <c r="C192" s="3"/>
      <c r="D192" s="5" t="s">
        <v>1159</v>
      </c>
      <c r="E192" s="257">
        <v>9.5</v>
      </c>
      <c r="F192" s="3"/>
      <c r="G192" s="12" t="s">
        <v>1216</v>
      </c>
      <c r="H192" s="256">
        <v>9</v>
      </c>
      <c r="I192" s="3"/>
      <c r="J192" s="5" t="s">
        <v>1205</v>
      </c>
      <c r="K192" s="257">
        <v>7.5</v>
      </c>
      <c r="L192" s="3"/>
      <c r="M192" s="5" t="s">
        <v>1176</v>
      </c>
      <c r="N192" s="257">
        <v>9</v>
      </c>
      <c r="O192" s="19"/>
      <c r="V192"/>
      <c r="W192"/>
      <c r="X192"/>
      <c r="Y192"/>
      <c r="Z192"/>
    </row>
    <row r="193" spans="1:26" ht="16.05" customHeight="1">
      <c r="A193" s="5" t="s">
        <v>1148</v>
      </c>
      <c r="B193" s="257">
        <v>9.5</v>
      </c>
      <c r="C193" s="3"/>
      <c r="D193" s="5" t="s">
        <v>1160</v>
      </c>
      <c r="E193" s="257">
        <v>8</v>
      </c>
      <c r="F193" s="3"/>
      <c r="G193" s="5" t="s">
        <v>1217</v>
      </c>
      <c r="H193" s="257">
        <v>8.5</v>
      </c>
      <c r="I193" s="3"/>
      <c r="J193" s="5" t="s">
        <v>1206</v>
      </c>
      <c r="K193" s="257">
        <v>8</v>
      </c>
      <c r="L193" s="3"/>
      <c r="M193" s="5" t="s">
        <v>1177</v>
      </c>
      <c r="N193" s="257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1149</v>
      </c>
      <c r="B194" s="258">
        <v>8</v>
      </c>
      <c r="C194" s="3"/>
      <c r="D194" s="5" t="s">
        <v>1161</v>
      </c>
      <c r="E194" s="257">
        <v>7.5</v>
      </c>
      <c r="F194" s="3"/>
      <c r="G194" s="5" t="s">
        <v>1218</v>
      </c>
      <c r="H194" s="257">
        <v>8.5</v>
      </c>
      <c r="I194" s="3"/>
      <c r="J194" s="5" t="s">
        <v>1207</v>
      </c>
      <c r="K194" s="257">
        <v>7.5</v>
      </c>
      <c r="L194" s="3"/>
      <c r="M194" s="5" t="s">
        <v>1178</v>
      </c>
      <c r="N194" s="257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1162</v>
      </c>
      <c r="E195" s="257">
        <v>10</v>
      </c>
      <c r="F195" s="3"/>
      <c r="G195" s="5" t="s">
        <v>1219</v>
      </c>
      <c r="H195" s="257">
        <v>10</v>
      </c>
      <c r="I195" s="3"/>
      <c r="J195" s="5" t="s">
        <v>1208</v>
      </c>
      <c r="K195" s="257">
        <v>8.5</v>
      </c>
      <c r="L195" s="3"/>
      <c r="M195" s="5" t="s">
        <v>1179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1240</v>
      </c>
      <c r="B196" s="13">
        <f>ROUND(SUM(B197:B211)/COUNT(B197:B211), 2)</f>
        <v>8.5299999999999994</v>
      </c>
      <c r="C196" s="3"/>
      <c r="D196" s="5" t="s">
        <v>1163</v>
      </c>
      <c r="E196" s="257">
        <v>8</v>
      </c>
      <c r="F196" s="3"/>
      <c r="G196" s="5" t="s">
        <v>1220</v>
      </c>
      <c r="H196" s="257">
        <v>8</v>
      </c>
      <c r="I196" s="3"/>
      <c r="J196" s="5" t="s">
        <v>1209</v>
      </c>
      <c r="K196" s="257">
        <v>8</v>
      </c>
      <c r="L196" s="3"/>
      <c r="M196" s="5" t="s">
        <v>1180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1164</v>
      </c>
      <c r="E197" s="257">
        <v>7</v>
      </c>
      <c r="F197" s="3"/>
      <c r="G197" s="5" t="s">
        <v>1221</v>
      </c>
      <c r="H197" s="257">
        <v>10.5</v>
      </c>
      <c r="I197" s="3"/>
      <c r="J197" s="8" t="s">
        <v>1210</v>
      </c>
      <c r="K197" s="258">
        <v>7.5</v>
      </c>
      <c r="L197" s="3"/>
      <c r="M197" s="5" t="s">
        <v>1181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1227</v>
      </c>
      <c r="B198" s="257">
        <v>8.5</v>
      </c>
      <c r="C198" s="3"/>
      <c r="D198" s="5" t="s">
        <v>1165</v>
      </c>
      <c r="E198" s="257"/>
      <c r="F198" s="3"/>
      <c r="G198" s="5" t="s">
        <v>1222</v>
      </c>
      <c r="H198" s="257">
        <v>8</v>
      </c>
      <c r="I198" s="3"/>
      <c r="J198" s="18"/>
      <c r="K198" s="18"/>
      <c r="L198" s="3"/>
      <c r="M198" s="5" t="s">
        <v>1182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1228</v>
      </c>
      <c r="B199" s="257">
        <v>8.5</v>
      </c>
      <c r="C199" s="3"/>
      <c r="D199" s="8" t="s">
        <v>1166</v>
      </c>
      <c r="E199" s="258">
        <v>10</v>
      </c>
      <c r="F199" s="3"/>
      <c r="G199" s="5" t="s">
        <v>1223</v>
      </c>
      <c r="H199" s="257">
        <v>8.5</v>
      </c>
      <c r="I199" s="19"/>
      <c r="J199" s="145" t="s">
        <v>1247</v>
      </c>
      <c r="K199" s="13">
        <f>ROUND(SUM(K200:K206)/COUNT(K200:K206), 2)</f>
        <v>8.75</v>
      </c>
      <c r="L199" s="3"/>
      <c r="M199" s="5" t="s">
        <v>1183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1229</v>
      </c>
      <c r="B200" s="257">
        <v>7.5</v>
      </c>
      <c r="C200" s="3"/>
      <c r="D200" s="16"/>
      <c r="E200" s="18"/>
      <c r="F200" s="3"/>
      <c r="G200" s="8" t="s">
        <v>1224</v>
      </c>
      <c r="H200" s="258">
        <v>8.5</v>
      </c>
      <c r="I200" s="3"/>
      <c r="J200" s="12" t="s">
        <v>1248</v>
      </c>
      <c r="K200" s="256">
        <v>10</v>
      </c>
      <c r="L200" s="3"/>
      <c r="M200" s="5" t="s">
        <v>1184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1230</v>
      </c>
      <c r="B201" s="257">
        <v>8</v>
      </c>
      <c r="C201" s="19"/>
      <c r="D201" s="147" t="s">
        <v>1271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1249</v>
      </c>
      <c r="K201" s="257">
        <v>8</v>
      </c>
      <c r="L201" s="3"/>
      <c r="M201" s="5" t="s">
        <v>1185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1231</v>
      </c>
      <c r="B202" s="257">
        <v>10</v>
      </c>
      <c r="C202" s="19"/>
      <c r="D202" s="12" t="s">
        <v>1261</v>
      </c>
      <c r="E202" s="256">
        <v>9</v>
      </c>
      <c r="F202" s="19"/>
      <c r="G202" s="149" t="s">
        <v>1276</v>
      </c>
      <c r="H202" s="13">
        <f>ROUND(SUM(H203:H213)/COUNT(H203:H213), 2)</f>
        <v>8.4499999999999993</v>
      </c>
      <c r="I202" s="3"/>
      <c r="J202" s="5" t="s">
        <v>1250</v>
      </c>
      <c r="K202" s="257">
        <v>9.5</v>
      </c>
      <c r="L202" s="3"/>
      <c r="M202" s="5" t="s">
        <v>1186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1232</v>
      </c>
      <c r="B203" s="257">
        <v>8</v>
      </c>
      <c r="C203" s="19"/>
      <c r="D203" s="5" t="s">
        <v>1262</v>
      </c>
      <c r="E203" s="257">
        <v>10.5</v>
      </c>
      <c r="F203" s="3"/>
      <c r="G203" s="12" t="s">
        <v>1277</v>
      </c>
      <c r="H203" s="256">
        <v>8.5</v>
      </c>
      <c r="I203" s="3"/>
      <c r="J203" s="5" t="s">
        <v>1251</v>
      </c>
      <c r="K203" s="257">
        <v>8</v>
      </c>
      <c r="L203" s="3"/>
      <c r="M203" s="5" t="s">
        <v>1187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1233</v>
      </c>
      <c r="B204" s="257">
        <v>8.5</v>
      </c>
      <c r="C204" s="19"/>
      <c r="D204" s="5" t="s">
        <v>1263</v>
      </c>
      <c r="E204" s="257"/>
      <c r="F204" s="3"/>
      <c r="G204" s="5" t="s">
        <v>1278</v>
      </c>
      <c r="H204" s="257">
        <v>8.5</v>
      </c>
      <c r="I204" s="3"/>
      <c r="J204" s="5" t="s">
        <v>1252</v>
      </c>
      <c r="K204" s="257">
        <v>9</v>
      </c>
      <c r="L204" s="3"/>
      <c r="M204" s="5" t="s">
        <v>1188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1234</v>
      </c>
      <c r="B205" s="257">
        <v>7.5</v>
      </c>
      <c r="C205" s="19"/>
      <c r="D205" s="5" t="s">
        <v>1264</v>
      </c>
      <c r="E205" s="257">
        <v>10</v>
      </c>
      <c r="F205" s="3"/>
      <c r="G205" s="5" t="s">
        <v>1279</v>
      </c>
      <c r="H205" s="257">
        <v>9</v>
      </c>
      <c r="I205" s="3"/>
      <c r="J205" s="5" t="s">
        <v>1253</v>
      </c>
      <c r="K205" s="257"/>
      <c r="L205" s="3"/>
      <c r="M205" s="5" t="s">
        <v>1189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1235</v>
      </c>
      <c r="B206" s="257">
        <v>8.5</v>
      </c>
      <c r="C206" s="19"/>
      <c r="D206" s="5" t="s">
        <v>1265</v>
      </c>
      <c r="E206" s="257"/>
      <c r="F206" s="3"/>
      <c r="G206" s="5" t="s">
        <v>1280</v>
      </c>
      <c r="H206" s="257">
        <v>10</v>
      </c>
      <c r="I206" s="3"/>
      <c r="J206" s="8" t="s">
        <v>1254</v>
      </c>
      <c r="K206" s="258">
        <v>8</v>
      </c>
      <c r="L206" s="3"/>
      <c r="M206" s="5" t="s">
        <v>1190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1236</v>
      </c>
      <c r="B207" s="257">
        <v>10</v>
      </c>
      <c r="C207" s="19"/>
      <c r="D207" s="5" t="s">
        <v>1266</v>
      </c>
      <c r="E207" s="257">
        <v>10</v>
      </c>
      <c r="F207" s="3"/>
      <c r="G207" s="5" t="s">
        <v>1281</v>
      </c>
      <c r="H207" s="257">
        <v>9</v>
      </c>
      <c r="I207" s="3"/>
      <c r="J207" s="18"/>
      <c r="K207" s="18"/>
      <c r="L207" s="3"/>
      <c r="M207" s="5" t="s">
        <v>1191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1237</v>
      </c>
      <c r="B208" s="257">
        <v>9</v>
      </c>
      <c r="C208" s="19"/>
      <c r="D208" s="5" t="s">
        <v>1267</v>
      </c>
      <c r="E208" s="257">
        <v>7.5</v>
      </c>
      <c r="F208" s="3"/>
      <c r="G208" s="5" t="s">
        <v>1282</v>
      </c>
      <c r="H208" s="257">
        <v>8.5</v>
      </c>
      <c r="I208" s="19"/>
      <c r="J208" s="154" t="s">
        <v>1362</v>
      </c>
      <c r="K208" s="13">
        <f>ROUND(SUM(K209:K217)/COUNT(K209:K217), 2)</f>
        <v>8.67</v>
      </c>
      <c r="L208" s="3"/>
      <c r="M208" s="5" t="s">
        <v>1192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1238</v>
      </c>
      <c r="B209" s="257">
        <v>8.5</v>
      </c>
      <c r="C209" s="19"/>
      <c r="D209" s="5" t="s">
        <v>1268</v>
      </c>
      <c r="E209" s="257">
        <v>8</v>
      </c>
      <c r="F209" s="3"/>
      <c r="G209" s="5" t="s">
        <v>1283</v>
      </c>
      <c r="H209" s="257">
        <v>9</v>
      </c>
      <c r="I209" s="3"/>
      <c r="J209" s="12" t="s">
        <v>1290</v>
      </c>
      <c r="K209" s="256">
        <v>9</v>
      </c>
      <c r="L209" s="3"/>
      <c r="M209" s="8" t="s">
        <v>1193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1239</v>
      </c>
      <c r="B210" s="257">
        <v>6.5</v>
      </c>
      <c r="C210" s="19"/>
      <c r="D210" s="5" t="s">
        <v>1269</v>
      </c>
      <c r="E210" s="257">
        <v>10.5</v>
      </c>
      <c r="F210" s="3"/>
      <c r="G210" s="5" t="s">
        <v>1284</v>
      </c>
      <c r="H210" s="257">
        <v>8</v>
      </c>
      <c r="I210" s="3"/>
      <c r="J210" s="5" t="s">
        <v>1291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1270</v>
      </c>
      <c r="E211" s="258"/>
      <c r="F211" s="3"/>
      <c r="G211" s="5" t="s">
        <v>1285</v>
      </c>
      <c r="H211" s="257">
        <v>7.5</v>
      </c>
      <c r="I211" s="3"/>
      <c r="J211" s="5" t="s">
        <v>1292</v>
      </c>
      <c r="K211" s="257">
        <v>10.5</v>
      </c>
      <c r="L211" s="19"/>
      <c r="M211" s="151" t="s">
        <v>1322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1286</v>
      </c>
      <c r="H212" s="257">
        <v>8</v>
      </c>
      <c r="I212" s="3"/>
      <c r="J212" s="5" t="s">
        <v>1293</v>
      </c>
      <c r="K212" s="257">
        <v>7.5</v>
      </c>
      <c r="L212" s="3"/>
      <c r="M212" s="12" t="s">
        <v>1307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1341</v>
      </c>
      <c r="B213" s="13">
        <f>ROUND(SUM(B214:B224)/COUNT(B214:B224), 2)</f>
        <v>8.9499999999999993</v>
      </c>
      <c r="C213" s="3"/>
      <c r="D213" s="152" t="s">
        <v>1326</v>
      </c>
      <c r="E213" s="13">
        <f>ROUND(SUM(E214:E227)/COUNT(E214:E227), 2)</f>
        <v>8.77</v>
      </c>
      <c r="F213" s="3"/>
      <c r="G213" s="8" t="s">
        <v>1287</v>
      </c>
      <c r="H213" s="258">
        <v>7</v>
      </c>
      <c r="I213" s="3"/>
      <c r="J213" s="5" t="s">
        <v>1294</v>
      </c>
      <c r="K213" s="257">
        <v>9</v>
      </c>
      <c r="L213" s="3"/>
      <c r="M213" s="5" t="s">
        <v>1308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1342</v>
      </c>
      <c r="B214" s="256">
        <v>8.5</v>
      </c>
      <c r="C214" s="3"/>
      <c r="D214" s="12" t="s">
        <v>1327</v>
      </c>
      <c r="E214" s="256">
        <v>9</v>
      </c>
      <c r="F214" s="3"/>
      <c r="G214" s="18"/>
      <c r="H214" s="18"/>
      <c r="I214" s="3"/>
      <c r="J214" s="5" t="s">
        <v>1295</v>
      </c>
      <c r="K214" s="257">
        <v>7</v>
      </c>
      <c r="L214" s="3"/>
      <c r="M214" s="5" t="s">
        <v>1309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1343</v>
      </c>
      <c r="B215" s="257">
        <v>10</v>
      </c>
      <c r="C215" s="3"/>
      <c r="D215" s="5" t="s">
        <v>1328</v>
      </c>
      <c r="E215" s="257">
        <v>10</v>
      </c>
      <c r="F215" s="19"/>
      <c r="G215" s="159" t="s">
        <v>1363</v>
      </c>
      <c r="H215" s="13">
        <f>ROUND(SUM(H216:H227)/COUNT(H216:H227), 2)</f>
        <v>8.4600000000000009</v>
      </c>
      <c r="I215" s="3"/>
      <c r="J215" s="5" t="s">
        <v>1296</v>
      </c>
      <c r="K215" s="257">
        <v>8</v>
      </c>
      <c r="L215" s="3"/>
      <c r="M215" s="5" t="s">
        <v>1310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1344</v>
      </c>
      <c r="B216" s="257">
        <v>9.5</v>
      </c>
      <c r="C216" s="3"/>
      <c r="D216" s="5" t="s">
        <v>1329</v>
      </c>
      <c r="E216" s="257">
        <v>9.5</v>
      </c>
      <c r="F216" s="3"/>
      <c r="G216" s="12" t="s">
        <v>1364</v>
      </c>
      <c r="H216" s="256">
        <v>10</v>
      </c>
      <c r="I216" s="3"/>
      <c r="J216" s="5" t="s">
        <v>1297</v>
      </c>
      <c r="K216" s="257">
        <v>9</v>
      </c>
      <c r="L216" s="3"/>
      <c r="M216" s="5" t="s">
        <v>1311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1345</v>
      </c>
      <c r="B217" s="257">
        <v>9</v>
      </c>
      <c r="C217" s="3"/>
      <c r="D217" s="5" t="s">
        <v>1330</v>
      </c>
      <c r="E217" s="257">
        <v>10</v>
      </c>
      <c r="F217" s="3"/>
      <c r="G217" s="5" t="s">
        <v>1365</v>
      </c>
      <c r="H217" s="257">
        <v>9</v>
      </c>
      <c r="I217" s="3"/>
      <c r="J217" s="8" t="s">
        <v>1298</v>
      </c>
      <c r="K217" s="258">
        <v>10</v>
      </c>
      <c r="L217" s="3"/>
      <c r="M217" s="5" t="s">
        <v>1312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1346</v>
      </c>
      <c r="B218" s="257">
        <v>9</v>
      </c>
      <c r="C218" s="3"/>
      <c r="D218" s="5" t="s">
        <v>1331</v>
      </c>
      <c r="E218" s="257">
        <v>8.5</v>
      </c>
      <c r="F218" s="3"/>
      <c r="G218" s="5" t="s">
        <v>1366</v>
      </c>
      <c r="H218" s="257">
        <v>8.5</v>
      </c>
      <c r="I218" s="3"/>
      <c r="J218" s="18"/>
      <c r="K218" s="18"/>
      <c r="L218" s="3"/>
      <c r="M218" s="5" t="s">
        <v>1313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1347</v>
      </c>
      <c r="B219" s="257">
        <v>8.5</v>
      </c>
      <c r="C219" s="3"/>
      <c r="D219" s="5" t="s">
        <v>1332</v>
      </c>
      <c r="E219" s="257"/>
      <c r="F219" s="3"/>
      <c r="G219" s="5" t="s">
        <v>1367</v>
      </c>
      <c r="H219" s="257">
        <v>10.5</v>
      </c>
      <c r="I219" s="19"/>
      <c r="J219" s="155" t="s">
        <v>1377</v>
      </c>
      <c r="K219" s="13">
        <f>ROUND(SUM(K220:K235)/COUNT(K220:K235), 2)</f>
        <v>8.82</v>
      </c>
      <c r="L219" s="3"/>
      <c r="M219" s="5" t="s">
        <v>1314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1348</v>
      </c>
      <c r="B220" s="257">
        <v>8</v>
      </c>
      <c r="C220" s="3"/>
      <c r="D220" s="5" t="s">
        <v>1333</v>
      </c>
      <c r="E220" s="257">
        <v>8</v>
      </c>
      <c r="F220" s="3"/>
      <c r="G220" s="5" t="s">
        <v>1368</v>
      </c>
      <c r="H220" s="257">
        <v>8.5</v>
      </c>
      <c r="I220" s="3"/>
      <c r="J220" s="12" t="s">
        <v>1378</v>
      </c>
      <c r="K220" s="256">
        <v>10</v>
      </c>
      <c r="L220" s="3"/>
      <c r="M220" s="5" t="s">
        <v>1315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1349</v>
      </c>
      <c r="B221" s="257">
        <v>9.5</v>
      </c>
      <c r="C221" s="3"/>
      <c r="D221" s="5" t="s">
        <v>1334</v>
      </c>
      <c r="E221" s="257">
        <v>9.5</v>
      </c>
      <c r="F221" s="3"/>
      <c r="G221" s="5" t="s">
        <v>1369</v>
      </c>
      <c r="H221" s="257">
        <v>9</v>
      </c>
      <c r="I221" s="3"/>
      <c r="J221" s="5" t="s">
        <v>1379</v>
      </c>
      <c r="K221" s="257"/>
      <c r="L221" s="3"/>
      <c r="M221" s="5" t="s">
        <v>1316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1350</v>
      </c>
      <c r="B222" s="257">
        <v>9</v>
      </c>
      <c r="C222" s="3"/>
      <c r="D222" s="5" t="s">
        <v>1335</v>
      </c>
      <c r="E222" s="257">
        <v>8</v>
      </c>
      <c r="F222" s="3"/>
      <c r="G222" s="5" t="s">
        <v>1370</v>
      </c>
      <c r="H222" s="257">
        <v>7.5</v>
      </c>
      <c r="I222" s="3"/>
      <c r="J222" s="5" t="s">
        <v>1380</v>
      </c>
      <c r="K222" s="257">
        <v>10.5</v>
      </c>
      <c r="L222" s="3"/>
      <c r="M222" s="5" t="s">
        <v>1317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1351</v>
      </c>
      <c r="B223" s="257">
        <v>9</v>
      </c>
      <c r="C223" s="3"/>
      <c r="D223" s="5" t="s">
        <v>1336</v>
      </c>
      <c r="E223" s="257">
        <v>8</v>
      </c>
      <c r="F223" s="3"/>
      <c r="G223" s="5" t="s">
        <v>1371</v>
      </c>
      <c r="H223" s="257">
        <v>10.5</v>
      </c>
      <c r="I223" s="3"/>
      <c r="J223" s="5" t="s">
        <v>1381</v>
      </c>
      <c r="K223" s="257">
        <v>8.5</v>
      </c>
      <c r="L223" s="3"/>
      <c r="M223" s="5" t="s">
        <v>1318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1352</v>
      </c>
      <c r="B224" s="258">
        <v>8.5</v>
      </c>
      <c r="C224" s="3"/>
      <c r="D224" s="5" t="s">
        <v>1337</v>
      </c>
      <c r="E224" s="257">
        <v>8</v>
      </c>
      <c r="F224" s="3"/>
      <c r="G224" s="5" t="s">
        <v>1372</v>
      </c>
      <c r="H224" s="257">
        <v>7</v>
      </c>
      <c r="I224" s="3"/>
      <c r="J224" s="5" t="s">
        <v>1382</v>
      </c>
      <c r="K224" s="257">
        <v>9</v>
      </c>
      <c r="L224" s="3"/>
      <c r="M224" s="5" t="s">
        <v>1319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1338</v>
      </c>
      <c r="E225" s="257">
        <v>8</v>
      </c>
      <c r="F225" s="3"/>
      <c r="G225" s="5" t="s">
        <v>1373</v>
      </c>
      <c r="H225" s="257">
        <v>7.5</v>
      </c>
      <c r="I225" s="3"/>
      <c r="J225" s="5" t="s">
        <v>1383</v>
      </c>
      <c r="K225" s="257">
        <v>8</v>
      </c>
      <c r="L225" s="3"/>
      <c r="M225" s="5" t="s">
        <v>1320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1397</v>
      </c>
      <c r="B226" s="13">
        <f>ROUND(SUM(B227:B233)/COUNT(B227:B233), 2)</f>
        <v>8.86</v>
      </c>
      <c r="C226" s="38"/>
      <c r="D226" s="4" t="s">
        <v>1339</v>
      </c>
      <c r="E226" s="257">
        <v>8.5</v>
      </c>
      <c r="F226" s="3"/>
      <c r="G226" s="5" t="s">
        <v>1374</v>
      </c>
      <c r="H226" s="257">
        <v>6.5</v>
      </c>
      <c r="I226" s="3"/>
      <c r="J226" s="5" t="s">
        <v>1384</v>
      </c>
      <c r="K226" s="257">
        <v>9.5</v>
      </c>
      <c r="L226" s="3"/>
      <c r="M226" s="8" t="s">
        <v>1321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1398</v>
      </c>
      <c r="B227" s="256">
        <v>10</v>
      </c>
      <c r="C227" s="3"/>
      <c r="D227" s="8" t="s">
        <v>1340</v>
      </c>
      <c r="E227" s="258">
        <v>9</v>
      </c>
      <c r="F227" s="3"/>
      <c r="G227" s="8" t="s">
        <v>1375</v>
      </c>
      <c r="H227" s="258">
        <v>7</v>
      </c>
      <c r="I227" s="3"/>
      <c r="J227" s="5" t="s">
        <v>1385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1399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1386</v>
      </c>
      <c r="K228" s="257">
        <v>8</v>
      </c>
      <c r="L228" s="19"/>
      <c r="M228" s="158" t="s">
        <v>1433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1400</v>
      </c>
      <c r="B229" s="257">
        <v>9</v>
      </c>
      <c r="C229" s="3"/>
      <c r="D229" s="156" t="s">
        <v>1408</v>
      </c>
      <c r="E229" s="13">
        <f>ROUND(SUM(E230:E235)/COUNT(E230:E235), 2)</f>
        <v>8.83</v>
      </c>
      <c r="F229" s="19"/>
      <c r="G229" s="157" t="s">
        <v>1434</v>
      </c>
      <c r="H229" s="13">
        <f>ROUND(SUM(H230:H244)/COUNT(H230:H244), 2)</f>
        <v>8.8800000000000008</v>
      </c>
      <c r="I229" s="3"/>
      <c r="J229" s="5" t="s">
        <v>1387</v>
      </c>
      <c r="K229" s="257">
        <v>8</v>
      </c>
      <c r="L229" s="3"/>
      <c r="M229" s="12" t="s">
        <v>1421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1401</v>
      </c>
      <c r="B230" s="257">
        <v>8</v>
      </c>
      <c r="C230" s="3"/>
      <c r="D230" s="12" t="s">
        <v>1409</v>
      </c>
      <c r="E230" s="256">
        <v>8.5</v>
      </c>
      <c r="F230" s="3"/>
      <c r="G230" s="12" t="s">
        <v>1435</v>
      </c>
      <c r="H230" s="256"/>
      <c r="I230" s="3"/>
      <c r="J230" s="5" t="s">
        <v>1388</v>
      </c>
      <c r="K230" s="257">
        <v>10</v>
      </c>
      <c r="L230" s="3"/>
      <c r="M230" s="5" t="s">
        <v>1422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1402</v>
      </c>
      <c r="B231" s="257">
        <v>9</v>
      </c>
      <c r="C231" s="3"/>
      <c r="D231" s="5" t="s">
        <v>1410</v>
      </c>
      <c r="E231" s="257">
        <v>8.5</v>
      </c>
      <c r="F231" s="3"/>
      <c r="G231" s="5" t="s">
        <v>1436</v>
      </c>
      <c r="H231" s="257">
        <v>8.5</v>
      </c>
      <c r="I231" s="3"/>
      <c r="J231" s="5" t="s">
        <v>1389</v>
      </c>
      <c r="K231" s="257">
        <v>7.5</v>
      </c>
      <c r="L231" s="3"/>
      <c r="M231" s="5" t="s">
        <v>1423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1403</v>
      </c>
      <c r="B232" s="257">
        <v>8.5</v>
      </c>
      <c r="C232" s="3"/>
      <c r="D232" s="5" t="s">
        <v>1411</v>
      </c>
      <c r="E232" s="257">
        <v>8</v>
      </c>
      <c r="F232" s="3"/>
      <c r="G232" s="5" t="s">
        <v>1437</v>
      </c>
      <c r="H232" s="257">
        <v>9.5</v>
      </c>
      <c r="I232" s="3"/>
      <c r="J232" s="5" t="s">
        <v>1390</v>
      </c>
      <c r="K232" s="257">
        <v>9.5</v>
      </c>
      <c r="L232" s="3"/>
      <c r="M232" s="5" t="s">
        <v>1424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1404</v>
      </c>
      <c r="B233" s="258">
        <v>8</v>
      </c>
      <c r="C233" s="3"/>
      <c r="D233" s="5" t="s">
        <v>1412</v>
      </c>
      <c r="E233" s="257">
        <v>9</v>
      </c>
      <c r="F233" s="3"/>
      <c r="G233" s="5" t="s">
        <v>1438</v>
      </c>
      <c r="H233" s="257">
        <v>8.5</v>
      </c>
      <c r="I233" s="3"/>
      <c r="J233" s="5" t="s">
        <v>1391</v>
      </c>
      <c r="K233" s="257">
        <v>8</v>
      </c>
      <c r="L233" s="3"/>
      <c r="M233" s="5" t="s">
        <v>1425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1413</v>
      </c>
      <c r="E234" s="257">
        <v>9</v>
      </c>
      <c r="F234" s="3"/>
      <c r="G234" s="5" t="s">
        <v>1439</v>
      </c>
      <c r="H234" s="257">
        <v>10</v>
      </c>
      <c r="I234" s="3"/>
      <c r="J234" s="5" t="s">
        <v>1392</v>
      </c>
      <c r="K234" s="257">
        <v>9</v>
      </c>
      <c r="L234" s="3"/>
      <c r="M234" s="5" t="s">
        <v>1426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1451</v>
      </c>
      <c r="B235" s="13">
        <f>ROUND(SUM(B236:B244)/COUNT(B236:B244), 2)</f>
        <v>8.83</v>
      </c>
      <c r="C235" s="3"/>
      <c r="D235" s="8" t="s">
        <v>1414</v>
      </c>
      <c r="E235" s="258">
        <v>10</v>
      </c>
      <c r="F235" s="3"/>
      <c r="G235" s="5" t="s">
        <v>1440</v>
      </c>
      <c r="H235" s="259">
        <v>10.5</v>
      </c>
      <c r="I235" s="3"/>
      <c r="J235" s="8" t="s">
        <v>1393</v>
      </c>
      <c r="K235" s="258">
        <v>8</v>
      </c>
      <c r="L235" s="3"/>
      <c r="M235" s="5" t="s">
        <v>1427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1452</v>
      </c>
      <c r="B236" s="256">
        <v>9</v>
      </c>
      <c r="C236" s="3"/>
      <c r="D236" s="18"/>
      <c r="E236" s="18"/>
      <c r="F236" s="3"/>
      <c r="G236" s="5" t="s">
        <v>1441</v>
      </c>
      <c r="H236" s="257">
        <v>9</v>
      </c>
      <c r="I236" s="3"/>
      <c r="J236" s="18"/>
      <c r="K236" s="18"/>
      <c r="L236" s="3"/>
      <c r="M236" s="5" t="s">
        <v>1428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1453</v>
      </c>
      <c r="B237" s="257">
        <v>10</v>
      </c>
      <c r="C237" s="3"/>
      <c r="D237" s="162" t="s">
        <v>1485</v>
      </c>
      <c r="E237" s="2">
        <f>ROUND(SUM(E238:E252)/COUNT(E238:E252), 2)</f>
        <v>8.8000000000000007</v>
      </c>
      <c r="F237" s="3"/>
      <c r="G237" s="5" t="s">
        <v>1442</v>
      </c>
      <c r="H237" s="257">
        <v>8.5</v>
      </c>
      <c r="I237" s="19"/>
      <c r="J237" s="164" t="s">
        <v>1488</v>
      </c>
      <c r="K237" s="13">
        <f>ROUND(SUM(K238:K250)/COUNT(K238:K250), 2)</f>
        <v>8.73</v>
      </c>
      <c r="L237" s="3"/>
      <c r="M237" s="5" t="s">
        <v>1429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1454</v>
      </c>
      <c r="B238" s="257">
        <v>8.5</v>
      </c>
      <c r="C238" s="3"/>
      <c r="D238" s="12" t="s">
        <v>1466</v>
      </c>
      <c r="E238" s="256">
        <v>8</v>
      </c>
      <c r="F238" s="3"/>
      <c r="G238" s="5" t="s">
        <v>1443</v>
      </c>
      <c r="H238" s="257">
        <v>8.5</v>
      </c>
      <c r="I238" s="3"/>
      <c r="J238" s="12" t="s">
        <v>1501</v>
      </c>
      <c r="K238" s="256">
        <v>10.5</v>
      </c>
      <c r="L238" s="3"/>
      <c r="M238" s="8" t="s">
        <v>1430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1455</v>
      </c>
      <c r="B239" s="257">
        <v>8.5</v>
      </c>
      <c r="C239" s="3"/>
      <c r="D239" s="5" t="s">
        <v>1467</v>
      </c>
      <c r="E239" s="257">
        <v>8.5</v>
      </c>
      <c r="F239" s="3"/>
      <c r="G239" s="5" t="s">
        <v>1444</v>
      </c>
      <c r="H239" s="257">
        <v>8</v>
      </c>
      <c r="I239" s="3"/>
      <c r="J239" s="5" t="s">
        <v>1489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1456</v>
      </c>
      <c r="B240" s="257">
        <v>9.5</v>
      </c>
      <c r="C240" s="3"/>
      <c r="D240" s="5" t="s">
        <v>1468</v>
      </c>
      <c r="E240" s="257">
        <v>9.5</v>
      </c>
      <c r="F240" s="3"/>
      <c r="G240" s="5" t="s">
        <v>1445</v>
      </c>
      <c r="H240" s="257"/>
      <c r="I240" s="3"/>
      <c r="J240" s="5" t="s">
        <v>1490</v>
      </c>
      <c r="K240" s="257">
        <v>9</v>
      </c>
      <c r="L240" s="3"/>
      <c r="M240" s="266" t="s">
        <v>1505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1457</v>
      </c>
      <c r="B241" s="257">
        <v>8</v>
      </c>
      <c r="C241" s="3"/>
      <c r="D241" s="5" t="s">
        <v>1469</v>
      </c>
      <c r="E241" s="257">
        <v>10</v>
      </c>
      <c r="F241" s="3"/>
      <c r="G241" s="5" t="s">
        <v>1446</v>
      </c>
      <c r="H241" s="257">
        <v>9.5</v>
      </c>
      <c r="I241" s="3"/>
      <c r="J241" s="5" t="s">
        <v>1491</v>
      </c>
      <c r="K241" s="257">
        <v>9.5</v>
      </c>
      <c r="L241" s="3"/>
      <c r="M241" s="12" t="s">
        <v>1506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1458</v>
      </c>
      <c r="B242" s="257">
        <v>8.5</v>
      </c>
      <c r="C242" s="3"/>
      <c r="D242" s="5" t="s">
        <v>1470</v>
      </c>
      <c r="E242" s="257">
        <v>8.5</v>
      </c>
      <c r="F242" s="3"/>
      <c r="G242" s="5" t="s">
        <v>1447</v>
      </c>
      <c r="H242" s="257">
        <v>8</v>
      </c>
      <c r="I242" s="3"/>
      <c r="J242" s="5" t="s">
        <v>1492</v>
      </c>
      <c r="K242" s="257">
        <v>9</v>
      </c>
      <c r="L242" s="3"/>
      <c r="M242" s="5" t="s">
        <v>1507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1459</v>
      </c>
      <c r="B243" s="257">
        <v>9</v>
      </c>
      <c r="C243" s="3"/>
      <c r="D243" s="5" t="s">
        <v>1471</v>
      </c>
      <c r="E243" s="257">
        <v>9.5</v>
      </c>
      <c r="F243" s="3"/>
      <c r="G243" s="5" t="s">
        <v>1448</v>
      </c>
      <c r="H243" s="257">
        <v>8.5</v>
      </c>
      <c r="I243" s="3"/>
      <c r="J243" s="5" t="s">
        <v>1493</v>
      </c>
      <c r="K243" s="257">
        <v>8</v>
      </c>
      <c r="L243" s="3"/>
      <c r="M243" s="5" t="s">
        <v>1508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1460</v>
      </c>
      <c r="B244" s="258">
        <v>8.5</v>
      </c>
      <c r="C244" s="3"/>
      <c r="D244" s="5" t="s">
        <v>1472</v>
      </c>
      <c r="E244" s="257">
        <v>9.5</v>
      </c>
      <c r="F244" s="3"/>
      <c r="G244" s="8" t="s">
        <v>1449</v>
      </c>
      <c r="H244" s="258">
        <v>8.5</v>
      </c>
      <c r="I244" s="3"/>
      <c r="J244" s="5" t="s">
        <v>1494</v>
      </c>
      <c r="K244" s="257">
        <v>9</v>
      </c>
      <c r="L244" s="3"/>
      <c r="M244" s="5" t="s">
        <v>1509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1473</v>
      </c>
      <c r="E245" s="257">
        <v>8</v>
      </c>
      <c r="F245" s="3"/>
      <c r="G245" s="18"/>
      <c r="H245" s="18"/>
      <c r="I245" s="3"/>
      <c r="J245" s="5" t="s">
        <v>1495</v>
      </c>
      <c r="K245" s="257">
        <v>8.5</v>
      </c>
      <c r="L245" s="3"/>
      <c r="M245" s="5" t="s">
        <v>1510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1545</v>
      </c>
      <c r="B246" s="13">
        <f>ROUND(SUM(B247:B258)/COUNT(B247:B258), 2)</f>
        <v>8.82</v>
      </c>
      <c r="C246" s="3"/>
      <c r="D246" s="5" t="s">
        <v>1474</v>
      </c>
      <c r="E246" s="257">
        <v>8</v>
      </c>
      <c r="F246" s="3"/>
      <c r="G246" s="165" t="s">
        <v>1527</v>
      </c>
      <c r="H246" s="2">
        <f>ROUND(SUM(H247:H256)/COUNT(H247:H256), 2)</f>
        <v>8.75</v>
      </c>
      <c r="I246" s="3"/>
      <c r="J246" s="5" t="s">
        <v>1496</v>
      </c>
      <c r="K246" s="257">
        <v>8</v>
      </c>
      <c r="L246" s="3"/>
      <c r="M246" s="5" t="s">
        <v>1511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1533</v>
      </c>
      <c r="B247" s="256">
        <v>9.5</v>
      </c>
      <c r="C247" s="3"/>
      <c r="D247" s="5" t="s">
        <v>1475</v>
      </c>
      <c r="E247" s="257">
        <v>8.5</v>
      </c>
      <c r="F247" s="3"/>
      <c r="G247" s="5" t="s">
        <v>1518</v>
      </c>
      <c r="H247" s="257">
        <v>10</v>
      </c>
      <c r="I247" s="3"/>
      <c r="J247" s="5" t="s">
        <v>1497</v>
      </c>
      <c r="K247" s="257">
        <v>8</v>
      </c>
      <c r="L247" s="3"/>
      <c r="M247" s="8" t="s">
        <v>1512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1534</v>
      </c>
      <c r="B248" s="257">
        <v>8.5</v>
      </c>
      <c r="C248" s="3"/>
      <c r="D248" s="5" t="s">
        <v>1476</v>
      </c>
      <c r="E248" s="257">
        <v>10</v>
      </c>
      <c r="F248" s="3"/>
      <c r="G248" s="5" t="s">
        <v>1519</v>
      </c>
      <c r="H248" s="257">
        <v>9</v>
      </c>
      <c r="I248" s="3"/>
      <c r="J248" s="5" t="s">
        <v>1498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1535</v>
      </c>
      <c r="B249" s="257">
        <v>8.5</v>
      </c>
      <c r="C249" s="3"/>
      <c r="D249" s="5" t="s">
        <v>1477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1499</v>
      </c>
      <c r="K249" s="257">
        <v>8.5</v>
      </c>
      <c r="L249" s="3"/>
      <c r="M249" s="267" t="s">
        <v>1550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1536</v>
      </c>
      <c r="B250" s="257"/>
      <c r="C250" s="3"/>
      <c r="D250" s="5" t="s">
        <v>1478</v>
      </c>
      <c r="E250" s="257">
        <v>9</v>
      </c>
      <c r="F250" s="3"/>
      <c r="G250" s="5" t="s">
        <v>1520</v>
      </c>
      <c r="H250" s="257">
        <v>9</v>
      </c>
      <c r="I250" s="3"/>
      <c r="J250" s="8" t="s">
        <v>1500</v>
      </c>
      <c r="K250" s="258">
        <v>8</v>
      </c>
      <c r="L250" s="3"/>
      <c r="M250" s="12" t="s">
        <v>1549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1537</v>
      </c>
      <c r="B251" s="257">
        <v>8</v>
      </c>
      <c r="C251" s="3"/>
      <c r="D251" s="5" t="s">
        <v>1479</v>
      </c>
      <c r="E251" s="257">
        <v>8.5</v>
      </c>
      <c r="F251" s="3"/>
      <c r="G251" s="5" t="s">
        <v>1521</v>
      </c>
      <c r="H251" s="257">
        <v>8.5</v>
      </c>
      <c r="I251" s="3"/>
      <c r="J251" s="3"/>
      <c r="K251" s="3"/>
      <c r="L251" s="3"/>
      <c r="M251" s="5" t="s">
        <v>1551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1538</v>
      </c>
      <c r="B252" s="257">
        <v>10</v>
      </c>
      <c r="C252" s="3"/>
      <c r="D252" s="8" t="s">
        <v>1480</v>
      </c>
      <c r="E252" s="258">
        <v>8</v>
      </c>
      <c r="F252" s="3"/>
      <c r="G252" s="5" t="s">
        <v>1522</v>
      </c>
      <c r="H252" s="257">
        <v>8</v>
      </c>
      <c r="I252" s="3"/>
      <c r="J252" s="168" t="s">
        <v>1590</v>
      </c>
      <c r="K252" s="2">
        <f>ROUND(SUM(K253:K262)/COUNT(K253:K262), 2)</f>
        <v>8</v>
      </c>
      <c r="L252" s="3"/>
      <c r="M252" s="5" t="s">
        <v>1552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1539</v>
      </c>
      <c r="B253" s="257">
        <v>10.5</v>
      </c>
      <c r="C253" s="3"/>
      <c r="D253" s="3"/>
      <c r="E253" s="3"/>
      <c r="F253" s="3"/>
      <c r="G253" s="5" t="s">
        <v>1523</v>
      </c>
      <c r="H253" s="257">
        <v>9</v>
      </c>
      <c r="I253" s="3"/>
      <c r="J253" s="12" t="s">
        <v>1580</v>
      </c>
      <c r="K253" s="256">
        <v>8.5</v>
      </c>
      <c r="L253" s="3"/>
      <c r="M253" s="5" t="s">
        <v>1553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1540</v>
      </c>
      <c r="B254" s="257">
        <v>9</v>
      </c>
      <c r="C254" s="3"/>
      <c r="D254" s="169" t="s">
        <v>1596</v>
      </c>
      <c r="E254" s="2">
        <f>ROUND(SUM(E255:E264)/COUNT(E255:E264), 2)</f>
        <v>8.44</v>
      </c>
      <c r="F254" s="3"/>
      <c r="G254" s="5" t="s">
        <v>1524</v>
      </c>
      <c r="H254" s="257">
        <v>8</v>
      </c>
      <c r="I254" s="3"/>
      <c r="J254" s="5" t="s">
        <v>1581</v>
      </c>
      <c r="K254" s="257">
        <v>7.5</v>
      </c>
      <c r="L254" s="3"/>
      <c r="M254" s="5" t="s">
        <v>1554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1541</v>
      </c>
      <c r="B255" s="257">
        <v>8</v>
      </c>
      <c r="C255" s="3"/>
      <c r="D255" s="12" t="s">
        <v>1597</v>
      </c>
      <c r="E255" s="256">
        <v>8.5</v>
      </c>
      <c r="F255" s="3"/>
      <c r="G255" s="5" t="s">
        <v>1525</v>
      </c>
      <c r="H255" s="257">
        <v>8</v>
      </c>
      <c r="I255" s="3"/>
      <c r="J255" s="5" t="s">
        <v>1582</v>
      </c>
      <c r="K255" s="257">
        <v>9.5</v>
      </c>
      <c r="L255" s="3"/>
      <c r="M255" s="5" t="s">
        <v>1555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1542</v>
      </c>
      <c r="B256" s="257">
        <v>8</v>
      </c>
      <c r="C256" s="3"/>
      <c r="D256" s="5" t="s">
        <v>1598</v>
      </c>
      <c r="E256" s="257">
        <v>10</v>
      </c>
      <c r="F256" s="3"/>
      <c r="G256" s="8" t="s">
        <v>1526</v>
      </c>
      <c r="H256" s="258">
        <v>8</v>
      </c>
      <c r="I256" s="3"/>
      <c r="J256" s="5" t="s">
        <v>1583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1543</v>
      </c>
      <c r="B257" s="257">
        <v>8.5</v>
      </c>
      <c r="C257" s="3"/>
      <c r="D257" s="5" t="s">
        <v>1599</v>
      </c>
      <c r="E257" s="257">
        <v>9.5</v>
      </c>
      <c r="F257" s="3"/>
      <c r="G257" s="3"/>
      <c r="H257" s="3"/>
      <c r="I257" s="3"/>
      <c r="J257" s="5" t="s">
        <v>1584</v>
      </c>
      <c r="K257" s="257">
        <v>9</v>
      </c>
      <c r="L257" s="3"/>
      <c r="M257" s="5" t="s">
        <v>1556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1544</v>
      </c>
      <c r="B258" s="258">
        <v>8.5</v>
      </c>
      <c r="C258" s="3"/>
      <c r="D258" s="5" t="s">
        <v>1600</v>
      </c>
      <c r="E258" s="257">
        <v>10</v>
      </c>
      <c r="F258" s="3"/>
      <c r="G258" s="186" t="s">
        <v>1611</v>
      </c>
      <c r="H258" s="13">
        <f>ROUND(SUM(H259:H263)/COUNT(H259:H263), 2)</f>
        <v>8.9</v>
      </c>
      <c r="I258" s="3"/>
      <c r="J258" s="5" t="s">
        <v>1585</v>
      </c>
      <c r="K258" s="257">
        <v>6.5</v>
      </c>
      <c r="L258" s="3"/>
      <c r="M258" s="5" t="s">
        <v>1557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1601</v>
      </c>
      <c r="E259" s="257"/>
      <c r="F259" s="3"/>
      <c r="G259" s="12" t="s">
        <v>1612</v>
      </c>
      <c r="H259" s="256">
        <v>9</v>
      </c>
      <c r="I259" s="3"/>
      <c r="J259" s="5" t="s">
        <v>1586</v>
      </c>
      <c r="K259" s="257"/>
      <c r="L259" s="3"/>
      <c r="M259" s="5" t="s">
        <v>1558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1620</v>
      </c>
      <c r="B260" s="2">
        <f>ROUND(SUM(B261:B270)/COUNT(B261:B270), 2)</f>
        <v>8.75</v>
      </c>
      <c r="C260" s="3"/>
      <c r="D260" s="5" t="s">
        <v>1602</v>
      </c>
      <c r="E260" s="257">
        <v>8</v>
      </c>
      <c r="F260" s="3"/>
      <c r="G260" s="5" t="s">
        <v>1613</v>
      </c>
      <c r="H260" s="257">
        <v>8.5</v>
      </c>
      <c r="I260" s="3"/>
      <c r="J260" s="5" t="s">
        <v>1587</v>
      </c>
      <c r="K260" s="257">
        <v>7.5</v>
      </c>
      <c r="L260" s="3"/>
      <c r="M260" s="5" t="s">
        <v>1559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1621</v>
      </c>
      <c r="B261" s="257">
        <v>8</v>
      </c>
      <c r="C261" s="3"/>
      <c r="D261" s="5" t="s">
        <v>1603</v>
      </c>
      <c r="E261" s="257">
        <v>9</v>
      </c>
      <c r="F261" s="3"/>
      <c r="G261" s="5" t="s">
        <v>1614</v>
      </c>
      <c r="H261" s="257">
        <v>9</v>
      </c>
      <c r="I261" s="3"/>
      <c r="J261" s="5" t="s">
        <v>1588</v>
      </c>
      <c r="K261" s="257">
        <v>8.5</v>
      </c>
      <c r="L261" s="3"/>
      <c r="M261" s="5" t="s">
        <v>1560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1622</v>
      </c>
      <c r="B262" s="257">
        <v>9.5</v>
      </c>
      <c r="C262" s="3"/>
      <c r="D262" s="5" t="s">
        <v>1604</v>
      </c>
      <c r="E262" s="257">
        <v>8</v>
      </c>
      <c r="F262" s="3"/>
      <c r="G262" s="5" t="s">
        <v>1615</v>
      </c>
      <c r="H262" s="257">
        <v>8</v>
      </c>
      <c r="I262" s="3"/>
      <c r="J262" s="8" t="s">
        <v>1589</v>
      </c>
      <c r="K262" s="258">
        <v>7.5</v>
      </c>
      <c r="L262" s="3"/>
      <c r="M262" s="5" t="s">
        <v>1561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1623</v>
      </c>
      <c r="B263" s="257">
        <v>10</v>
      </c>
      <c r="C263" s="3"/>
      <c r="D263" s="5" t="s">
        <v>1605</v>
      </c>
      <c r="E263" s="257">
        <v>7</v>
      </c>
      <c r="F263" s="3"/>
      <c r="G263" s="8" t="s">
        <v>1616</v>
      </c>
      <c r="H263" s="258">
        <v>10</v>
      </c>
      <c r="I263" s="3"/>
      <c r="J263" s="3"/>
      <c r="K263" s="3"/>
      <c r="L263" s="3"/>
      <c r="M263" s="5" t="s">
        <v>1562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1624</v>
      </c>
      <c r="B264" s="257">
        <v>9.5</v>
      </c>
      <c r="C264" s="3"/>
      <c r="D264" s="8" t="s">
        <v>1606</v>
      </c>
      <c r="E264" s="258">
        <v>6</v>
      </c>
      <c r="F264" s="3"/>
      <c r="G264" s="3"/>
      <c r="H264" s="3"/>
      <c r="I264" s="3"/>
      <c r="J264" s="188" t="s">
        <v>1636</v>
      </c>
      <c r="K264" s="2">
        <f>ROUND(SUM(K265:K274)/COUNT(K265:K274), 2)</f>
        <v>8.94</v>
      </c>
      <c r="L264" s="3"/>
      <c r="M264" s="5" t="s">
        <v>1563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1625</v>
      </c>
      <c r="B265" s="257">
        <v>8</v>
      </c>
      <c r="C265" s="3"/>
      <c r="D265" s="3"/>
      <c r="E265" s="3"/>
      <c r="F265" s="3"/>
      <c r="G265" s="190" t="s">
        <v>1670</v>
      </c>
      <c r="H265" s="13">
        <f>ROUND(SUM(H266:H274)/COUNT(H266:H274), 2)</f>
        <v>8.75</v>
      </c>
      <c r="I265" s="3"/>
      <c r="J265" s="12" t="s">
        <v>1637</v>
      </c>
      <c r="K265" s="256">
        <v>8</v>
      </c>
      <c r="L265" s="3"/>
      <c r="M265" s="5" t="s">
        <v>1564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1626</v>
      </c>
      <c r="B266" s="257">
        <v>8.5</v>
      </c>
      <c r="C266" s="3"/>
      <c r="D266" s="189" t="s">
        <v>1647</v>
      </c>
      <c r="E266" s="13">
        <f>ROUND(SUM(E267:E276)/COUNT(E267:E276), 2)</f>
        <v>8.6</v>
      </c>
      <c r="F266" s="3"/>
      <c r="G266" s="12" t="s">
        <v>1661</v>
      </c>
      <c r="H266" s="256">
        <v>8.5</v>
      </c>
      <c r="I266" s="3"/>
      <c r="J266" s="5" t="s">
        <v>1638</v>
      </c>
      <c r="K266" s="257">
        <v>8.5</v>
      </c>
      <c r="L266" s="3"/>
      <c r="M266" s="5" t="s">
        <v>1565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1627</v>
      </c>
      <c r="B267" s="257">
        <v>8.5</v>
      </c>
      <c r="C267" s="3"/>
      <c r="D267" s="12" t="s">
        <v>1648</v>
      </c>
      <c r="E267" s="256">
        <v>9.5</v>
      </c>
      <c r="F267" s="3"/>
      <c r="G267" s="5" t="s">
        <v>1662</v>
      </c>
      <c r="H267" s="257">
        <v>10</v>
      </c>
      <c r="I267" s="3"/>
      <c r="J267" s="5" t="s">
        <v>1639</v>
      </c>
      <c r="K267" s="257">
        <v>8.5</v>
      </c>
      <c r="L267" s="3"/>
      <c r="M267" s="5" t="s">
        <v>1566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1628</v>
      </c>
      <c r="B268" s="257">
        <v>8</v>
      </c>
      <c r="C268" s="3"/>
      <c r="D268" s="5" t="s">
        <v>1649</v>
      </c>
      <c r="E268" s="257">
        <v>8.5</v>
      </c>
      <c r="F268" s="3"/>
      <c r="G268" s="5" t="s">
        <v>1669</v>
      </c>
      <c r="H268" s="257">
        <v>9</v>
      </c>
      <c r="I268" s="3"/>
      <c r="J268" s="5" t="s">
        <v>1640</v>
      </c>
      <c r="K268" s="257">
        <v>9</v>
      </c>
      <c r="L268" s="3"/>
      <c r="M268" s="5" t="s">
        <v>1567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1629</v>
      </c>
      <c r="B269" s="257">
        <v>7.5</v>
      </c>
      <c r="C269" s="3"/>
      <c r="D269" s="5" t="s">
        <v>1650</v>
      </c>
      <c r="E269" s="257">
        <v>8.5</v>
      </c>
      <c r="F269" s="3"/>
      <c r="G269" s="5" t="s">
        <v>1663</v>
      </c>
      <c r="H269" s="257">
        <v>8.5</v>
      </c>
      <c r="I269" s="3"/>
      <c r="J269" s="5" t="s">
        <v>1641</v>
      </c>
      <c r="K269" s="257">
        <v>10</v>
      </c>
      <c r="L269" s="3"/>
      <c r="M269" s="5" t="s">
        <v>1568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1630</v>
      </c>
      <c r="B270" s="258">
        <v>10</v>
      </c>
      <c r="C270" s="3"/>
      <c r="D270" s="5" t="s">
        <v>1651</v>
      </c>
      <c r="E270" s="257">
        <v>8</v>
      </c>
      <c r="F270" s="3"/>
      <c r="G270" s="5" t="s">
        <v>1664</v>
      </c>
      <c r="H270" s="257">
        <v>8.5</v>
      </c>
      <c r="I270" s="3"/>
      <c r="J270" s="5" t="s">
        <v>1642</v>
      </c>
      <c r="K270" s="257">
        <v>10.5</v>
      </c>
      <c r="L270" s="3"/>
      <c r="M270" s="5" t="s">
        <v>1569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1652</v>
      </c>
      <c r="E271" s="257">
        <v>7.5</v>
      </c>
      <c r="F271" s="3"/>
      <c r="G271" s="5" t="s">
        <v>1665</v>
      </c>
      <c r="H271" s="257"/>
      <c r="I271" s="3"/>
      <c r="J271" s="5" t="s">
        <v>1643</v>
      </c>
      <c r="K271" s="257"/>
      <c r="L271" s="3"/>
      <c r="M271" s="5" t="s">
        <v>1570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1677</v>
      </c>
      <c r="B272" s="13">
        <f>ROUND(SUM(B273:B277)/COUNT(B273:B277), 2)</f>
        <v>8.4</v>
      </c>
      <c r="C272" s="3"/>
      <c r="D272" s="5" t="s">
        <v>1653</v>
      </c>
      <c r="E272" s="257">
        <v>9.5</v>
      </c>
      <c r="F272" s="3"/>
      <c r="G272" s="5" t="s">
        <v>1666</v>
      </c>
      <c r="H272" s="257">
        <v>8.5</v>
      </c>
      <c r="I272" s="3"/>
      <c r="J272" s="5" t="s">
        <v>1644</v>
      </c>
      <c r="K272" s="257">
        <v>9</v>
      </c>
      <c r="L272" s="3"/>
      <c r="M272" s="5" t="s">
        <v>1571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1678</v>
      </c>
      <c r="B273" s="257">
        <v>8.5</v>
      </c>
      <c r="C273" s="3"/>
      <c r="D273" s="5" t="s">
        <v>1654</v>
      </c>
      <c r="E273" s="257">
        <v>10</v>
      </c>
      <c r="F273" s="3"/>
      <c r="G273" s="5" t="s">
        <v>1667</v>
      </c>
      <c r="H273" s="257">
        <v>9</v>
      </c>
      <c r="I273" s="3"/>
      <c r="J273" s="5" t="s">
        <v>1645</v>
      </c>
      <c r="K273" s="257">
        <v>8.5</v>
      </c>
      <c r="L273" s="3"/>
      <c r="M273" s="5" t="s">
        <v>1572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1679</v>
      </c>
      <c r="B274" s="257">
        <v>9</v>
      </c>
      <c r="C274" s="3"/>
      <c r="D274" s="5" t="s">
        <v>1655</v>
      </c>
      <c r="E274" s="257">
        <v>8</v>
      </c>
      <c r="F274" s="3"/>
      <c r="G274" s="8" t="s">
        <v>1668</v>
      </c>
      <c r="H274" s="258">
        <v>8</v>
      </c>
      <c r="I274" s="3"/>
      <c r="J274" s="8" t="s">
        <v>1646</v>
      </c>
      <c r="K274" s="258">
        <v>8.5</v>
      </c>
      <c r="L274" s="3"/>
      <c r="M274" s="5" t="s">
        <v>1573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1680</v>
      </c>
      <c r="B275" s="257">
        <v>8.5</v>
      </c>
      <c r="C275" s="3"/>
      <c r="D275" s="5" t="s">
        <v>1656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1574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1681</v>
      </c>
      <c r="B276" s="257">
        <v>8</v>
      </c>
      <c r="C276" s="3"/>
      <c r="D276" s="8" t="s">
        <v>1657</v>
      </c>
      <c r="E276" s="258">
        <v>9</v>
      </c>
      <c r="F276" s="3"/>
      <c r="G276" s="194" t="s">
        <v>1687</v>
      </c>
      <c r="H276" s="2">
        <f>ROUND(SUM(H277:H286)/COUNT(H277:H286), 2)</f>
        <v>8.85</v>
      </c>
      <c r="I276" s="3"/>
      <c r="J276" s="195" t="s">
        <v>1711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1682</v>
      </c>
      <c r="B277" s="258">
        <v>8</v>
      </c>
      <c r="C277" s="3"/>
      <c r="D277" s="3"/>
      <c r="E277" s="3"/>
      <c r="F277" s="3"/>
      <c r="G277" s="12" t="s">
        <v>1688</v>
      </c>
      <c r="H277" s="256">
        <v>9.5</v>
      </c>
      <c r="I277" s="3"/>
      <c r="J277" s="12" t="s">
        <v>1701</v>
      </c>
      <c r="K277" s="256">
        <v>8.5</v>
      </c>
      <c r="L277" s="3"/>
      <c r="M277" s="244" t="s">
        <v>1724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1712</v>
      </c>
      <c r="E278" s="13">
        <f>ROUND(SUM(E279:E286)/COUNT(E279:E286), 2)</f>
        <v>8.81</v>
      </c>
      <c r="F278" s="3"/>
      <c r="G278" s="5" t="s">
        <v>1689</v>
      </c>
      <c r="H278" s="257">
        <v>9</v>
      </c>
      <c r="I278" s="3"/>
      <c r="J278" s="5" t="s">
        <v>1702</v>
      </c>
      <c r="K278" s="257">
        <v>9</v>
      </c>
      <c r="L278" s="3"/>
      <c r="M278" s="5" t="s">
        <v>1725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1731</v>
      </c>
      <c r="B279" s="13">
        <f>ROUND(SUM(B280:B307)/COUNT(B280:B307), 2)</f>
        <v>8.57</v>
      </c>
      <c r="C279" s="3"/>
      <c r="D279" s="12" t="s">
        <v>1713</v>
      </c>
      <c r="E279" s="256">
        <v>8</v>
      </c>
      <c r="F279" s="3"/>
      <c r="G279" s="5" t="s">
        <v>1690</v>
      </c>
      <c r="H279" s="257">
        <v>10</v>
      </c>
      <c r="I279" s="3"/>
      <c r="J279" s="5" t="s">
        <v>1703</v>
      </c>
      <c r="K279" s="257"/>
      <c r="L279" s="3"/>
      <c r="M279" s="5" t="s">
        <v>1726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1732</v>
      </c>
      <c r="B280" s="256"/>
      <c r="C280" s="3"/>
      <c r="D280" s="5" t="s">
        <v>1714</v>
      </c>
      <c r="E280" s="257">
        <v>8.5</v>
      </c>
      <c r="F280" s="3"/>
      <c r="G280" s="5" t="s">
        <v>1691</v>
      </c>
      <c r="H280" s="257">
        <v>8.5</v>
      </c>
      <c r="I280" s="3"/>
      <c r="J280" s="5" t="s">
        <v>1704</v>
      </c>
      <c r="K280" s="257">
        <v>8.5</v>
      </c>
      <c r="L280" s="3"/>
      <c r="M280" s="5" t="s">
        <v>1727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1733</v>
      </c>
      <c r="B281" s="257">
        <v>10</v>
      </c>
      <c r="C281" s="3"/>
      <c r="D281" s="5" t="s">
        <v>1715</v>
      </c>
      <c r="E281" s="257">
        <v>8</v>
      </c>
      <c r="F281" s="3"/>
      <c r="G281" s="5" t="s">
        <v>1692</v>
      </c>
      <c r="H281" s="257">
        <v>8</v>
      </c>
      <c r="I281" s="3"/>
      <c r="J281" s="5" t="s">
        <v>1705</v>
      </c>
      <c r="K281" s="257">
        <v>10</v>
      </c>
      <c r="L281" s="3"/>
      <c r="M281" s="5" t="s">
        <v>1728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1734</v>
      </c>
      <c r="B282" s="257">
        <v>8</v>
      </c>
      <c r="C282" s="3"/>
      <c r="D282" s="5" t="s">
        <v>1716</v>
      </c>
      <c r="E282" s="257">
        <v>8.5</v>
      </c>
      <c r="F282" s="3"/>
      <c r="G282" s="5" t="s">
        <v>1693</v>
      </c>
      <c r="H282" s="257">
        <v>8.5</v>
      </c>
      <c r="I282" s="3"/>
      <c r="J282" s="5" t="s">
        <v>1706</v>
      </c>
      <c r="K282" s="257">
        <v>8</v>
      </c>
      <c r="L282" s="3"/>
      <c r="M282" s="8" t="s">
        <v>1729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1735</v>
      </c>
      <c r="B283" s="257">
        <v>9.5</v>
      </c>
      <c r="C283" s="3"/>
      <c r="D283" s="5" t="s">
        <v>1717</v>
      </c>
      <c r="E283" s="257">
        <v>10</v>
      </c>
      <c r="F283" s="3"/>
      <c r="G283" s="5" t="s">
        <v>1694</v>
      </c>
      <c r="H283" s="257">
        <v>8.5</v>
      </c>
      <c r="I283" s="3"/>
      <c r="J283" s="5" t="s">
        <v>1707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1736</v>
      </c>
      <c r="B284" s="257">
        <v>8</v>
      </c>
      <c r="C284" s="3"/>
      <c r="D284" s="5" t="s">
        <v>1718</v>
      </c>
      <c r="E284" s="257">
        <v>9.5</v>
      </c>
      <c r="F284" s="3"/>
      <c r="G284" s="5" t="s">
        <v>1695</v>
      </c>
      <c r="H284" s="257">
        <v>9</v>
      </c>
      <c r="I284" s="3"/>
      <c r="J284" s="8" t="s">
        <v>1708</v>
      </c>
      <c r="K284" s="258">
        <v>8</v>
      </c>
      <c r="L284" s="3"/>
      <c r="M284" s="255" t="s">
        <v>1760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1737</v>
      </c>
      <c r="B285" s="257">
        <v>10</v>
      </c>
      <c r="C285" s="3"/>
      <c r="D285" s="5" t="s">
        <v>1719</v>
      </c>
      <c r="E285" s="257">
        <v>8</v>
      </c>
      <c r="F285" s="3"/>
      <c r="G285" s="5" t="s">
        <v>1696</v>
      </c>
      <c r="H285" s="257">
        <v>8.5</v>
      </c>
      <c r="I285" s="3"/>
      <c r="J285" s="3"/>
      <c r="K285" s="3"/>
      <c r="L285" s="3"/>
      <c r="M285" s="12" t="s">
        <v>1761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1738</v>
      </c>
      <c r="B286" s="257">
        <v>9</v>
      </c>
      <c r="C286" s="3"/>
      <c r="D286" s="8" t="s">
        <v>1720</v>
      </c>
      <c r="E286" s="258">
        <v>10</v>
      </c>
      <c r="F286" s="3"/>
      <c r="G286" s="8" t="s">
        <v>1697</v>
      </c>
      <c r="H286" s="258">
        <v>9</v>
      </c>
      <c r="I286" s="3"/>
      <c r="J286" s="248" t="s">
        <v>1783</v>
      </c>
      <c r="K286" s="2">
        <f>ROUND(SUM(K287:K294)/COUNT(K287:K294), 2)</f>
        <v>8.06</v>
      </c>
      <c r="L286" s="3"/>
      <c r="M286" s="5" t="s">
        <v>1762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1739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1775</v>
      </c>
      <c r="K287" s="257">
        <v>9</v>
      </c>
      <c r="L287" s="3"/>
      <c r="M287" s="5" t="s">
        <v>1763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1740</v>
      </c>
      <c r="B288" s="257">
        <v>7.5</v>
      </c>
      <c r="C288" s="3"/>
      <c r="D288" s="249" t="s">
        <v>1785</v>
      </c>
      <c r="E288" s="13">
        <f>ROUND(SUM(E289:E297)/COUNT(E289:E297), 2)</f>
        <v>8.5</v>
      </c>
      <c r="F288" s="3"/>
      <c r="G288" s="254" t="s">
        <v>1797</v>
      </c>
      <c r="H288" s="13">
        <f>ROUND(SUM(H289:H294)/COUNT(H289:H294), 2)</f>
        <v>8.83</v>
      </c>
      <c r="I288" s="3"/>
      <c r="J288" s="5" t="s">
        <v>1776</v>
      </c>
      <c r="K288" s="257">
        <v>9</v>
      </c>
      <c r="L288" s="3"/>
      <c r="M288" s="5" t="s">
        <v>1764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1741</v>
      </c>
      <c r="B289" s="257">
        <v>8.5</v>
      </c>
      <c r="C289" s="3"/>
      <c r="D289" s="12" t="s">
        <v>1786</v>
      </c>
      <c r="E289" s="256">
        <v>8</v>
      </c>
      <c r="F289" s="3"/>
      <c r="G289" s="12" t="s">
        <v>1798</v>
      </c>
      <c r="H289" s="256">
        <v>9</v>
      </c>
      <c r="I289" s="3"/>
      <c r="J289" s="5" t="s">
        <v>1777</v>
      </c>
      <c r="K289" s="257">
        <v>8</v>
      </c>
      <c r="L289" s="3"/>
      <c r="M289" s="5" t="s">
        <v>1765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1742</v>
      </c>
      <c r="B290" s="257">
        <v>8.5</v>
      </c>
      <c r="C290" s="3"/>
      <c r="D290" s="5" t="s">
        <v>1787</v>
      </c>
      <c r="E290" s="257">
        <v>9</v>
      </c>
      <c r="F290" s="3"/>
      <c r="G290" s="5" t="s">
        <v>1799</v>
      </c>
      <c r="H290" s="257">
        <v>8.5</v>
      </c>
      <c r="I290" s="3"/>
      <c r="J290" s="5" t="s">
        <v>1778</v>
      </c>
      <c r="K290" s="257">
        <v>7</v>
      </c>
      <c r="L290" s="3"/>
      <c r="M290" s="5" t="s">
        <v>1766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1743</v>
      </c>
      <c r="B291" s="257">
        <v>8</v>
      </c>
      <c r="C291" s="3"/>
      <c r="D291" s="5" t="s">
        <v>1788</v>
      </c>
      <c r="E291" s="257">
        <v>8.5</v>
      </c>
      <c r="F291" s="3"/>
      <c r="G291" s="5" t="s">
        <v>1800</v>
      </c>
      <c r="H291" s="257">
        <v>8</v>
      </c>
      <c r="I291" s="3"/>
      <c r="J291" s="5" t="s">
        <v>1779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1744</v>
      </c>
      <c r="B292" s="257">
        <v>9</v>
      </c>
      <c r="C292" s="3"/>
      <c r="D292" s="5" t="s">
        <v>1789</v>
      </c>
      <c r="E292" s="257">
        <v>8.5</v>
      </c>
      <c r="F292" s="3"/>
      <c r="G292" s="5" t="s">
        <v>1801</v>
      </c>
      <c r="H292" s="257">
        <v>9</v>
      </c>
      <c r="I292" s="3"/>
      <c r="J292" s="5" t="s">
        <v>1780</v>
      </c>
      <c r="K292" s="257">
        <v>8</v>
      </c>
      <c r="L292" s="3"/>
      <c r="M292" s="5" t="s">
        <v>1767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1745</v>
      </c>
      <c r="B293" s="257">
        <v>8.5</v>
      </c>
      <c r="C293" s="3"/>
      <c r="D293" s="5" t="s">
        <v>1790</v>
      </c>
      <c r="E293" s="257">
        <v>9</v>
      </c>
      <c r="F293" s="3"/>
      <c r="G293" s="5" t="s">
        <v>1802</v>
      </c>
      <c r="H293" s="257">
        <v>8.5</v>
      </c>
      <c r="I293" s="3"/>
      <c r="J293" s="5" t="s">
        <v>1781</v>
      </c>
      <c r="K293" s="257">
        <v>7</v>
      </c>
      <c r="L293" s="3"/>
      <c r="M293" s="5" t="s">
        <v>1768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1746</v>
      </c>
      <c r="B294" s="257">
        <v>8</v>
      </c>
      <c r="C294" s="3"/>
      <c r="D294" s="5" t="s">
        <v>1791</v>
      </c>
      <c r="E294" s="257">
        <v>8</v>
      </c>
      <c r="F294" s="3"/>
      <c r="G294" s="8" t="s">
        <v>1803</v>
      </c>
      <c r="H294" s="258">
        <v>10</v>
      </c>
      <c r="I294" s="3"/>
      <c r="J294" s="8" t="s">
        <v>1782</v>
      </c>
      <c r="K294" s="258">
        <v>9</v>
      </c>
      <c r="L294" s="3"/>
      <c r="M294" s="5" t="s">
        <v>1769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1747</v>
      </c>
      <c r="B295" s="257">
        <v>8</v>
      </c>
      <c r="C295" s="3"/>
      <c r="D295" s="5" t="s">
        <v>1792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1770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1748</v>
      </c>
      <c r="B296" s="257">
        <v>9</v>
      </c>
      <c r="C296" s="3"/>
      <c r="D296" s="5" t="s">
        <v>1793</v>
      </c>
      <c r="E296" s="257">
        <v>8.5</v>
      </c>
      <c r="F296" s="3"/>
      <c r="G296" s="250" t="s">
        <v>1819</v>
      </c>
      <c r="H296" s="13">
        <f>ROUND(SUM(H297:H307)/COUNT(H297:H307), 2)</f>
        <v>3.68</v>
      </c>
      <c r="I296" s="3"/>
      <c r="J296" s="269" t="s">
        <v>1838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1749</v>
      </c>
      <c r="B297" s="257">
        <v>8</v>
      </c>
      <c r="C297" s="3"/>
      <c r="D297" s="8" t="s">
        <v>1794</v>
      </c>
      <c r="E297" s="258">
        <v>8</v>
      </c>
      <c r="F297" s="3"/>
      <c r="G297" s="12" t="s">
        <v>1820</v>
      </c>
      <c r="H297" s="256">
        <v>6.5</v>
      </c>
      <c r="I297" s="3"/>
      <c r="J297" s="12" t="s">
        <v>1839</v>
      </c>
      <c r="K297" s="256">
        <v>9</v>
      </c>
      <c r="L297" s="3"/>
      <c r="M297" s="271" t="s">
        <v>1853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1821</v>
      </c>
      <c r="H298" s="257">
        <v>5</v>
      </c>
      <c r="I298" s="3"/>
      <c r="J298" s="5" t="s">
        <v>1840</v>
      </c>
      <c r="K298" s="257">
        <v>8.5</v>
      </c>
      <c r="L298" s="3"/>
      <c r="M298" s="12" t="s">
        <v>1846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1750</v>
      </c>
      <c r="B299" s="257">
        <v>7</v>
      </c>
      <c r="C299" s="3"/>
      <c r="D299" s="272" t="s">
        <v>1856</v>
      </c>
      <c r="E299" s="13">
        <f>ROUND(SUM(E300:E309)/COUNT(E300:E309), 2)</f>
        <v>8.2899999999999991</v>
      </c>
      <c r="F299" s="3"/>
      <c r="G299" s="5" t="s">
        <v>1822</v>
      </c>
      <c r="H299" s="257">
        <v>5.5</v>
      </c>
      <c r="I299" s="3"/>
      <c r="J299" s="5" t="s">
        <v>1841</v>
      </c>
      <c r="K299" s="257">
        <v>9</v>
      </c>
      <c r="L299" s="3"/>
      <c r="M299" s="5" t="s">
        <v>1847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1751</v>
      </c>
      <c r="B300" s="257">
        <v>8.5</v>
      </c>
      <c r="C300" s="3"/>
      <c r="D300" s="12" t="s">
        <v>1857</v>
      </c>
      <c r="E300" s="256"/>
      <c r="F300" s="3"/>
      <c r="G300" s="5" t="s">
        <v>1823</v>
      </c>
      <c r="H300" s="257">
        <v>4</v>
      </c>
      <c r="I300" s="3"/>
      <c r="J300" s="5" t="s">
        <v>1842</v>
      </c>
      <c r="K300" s="257">
        <v>8.5</v>
      </c>
      <c r="L300" s="3"/>
      <c r="M300" s="5" t="s">
        <v>1848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1752</v>
      </c>
      <c r="B301" s="257">
        <v>8.5</v>
      </c>
      <c r="C301" s="3"/>
      <c r="D301" s="5" t="s">
        <v>1858</v>
      </c>
      <c r="E301" s="257">
        <v>8.5</v>
      </c>
      <c r="F301" s="3"/>
      <c r="G301" s="5" t="s">
        <v>1824</v>
      </c>
      <c r="H301" s="257">
        <v>3</v>
      </c>
      <c r="I301" s="3"/>
      <c r="J301" s="5" t="s">
        <v>1843</v>
      </c>
      <c r="K301" s="257">
        <v>8</v>
      </c>
      <c r="L301" s="3"/>
      <c r="M301" s="5" t="s">
        <v>1849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1753</v>
      </c>
      <c r="B302" s="257">
        <v>7.5</v>
      </c>
      <c r="C302" s="3"/>
      <c r="D302" s="5" t="s">
        <v>1859</v>
      </c>
      <c r="E302" s="257">
        <v>9</v>
      </c>
      <c r="F302" s="3"/>
      <c r="G302" s="5" t="s">
        <v>1825</v>
      </c>
      <c r="H302" s="257">
        <v>3</v>
      </c>
      <c r="I302" s="3"/>
      <c r="J302" s="8" t="s">
        <v>1844</v>
      </c>
      <c r="K302" s="258">
        <v>10.5</v>
      </c>
      <c r="L302" s="3"/>
      <c r="M302" s="5" t="s">
        <v>1850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1754</v>
      </c>
      <c r="B303" s="257">
        <v>8.5</v>
      </c>
      <c r="C303" s="3"/>
      <c r="D303" s="5" t="s">
        <v>1860</v>
      </c>
      <c r="E303" s="257"/>
      <c r="F303" s="3"/>
      <c r="G303" s="5" t="s">
        <v>1826</v>
      </c>
      <c r="H303" s="257">
        <v>3</v>
      </c>
      <c r="I303" s="3"/>
      <c r="J303" s="3"/>
      <c r="K303" s="3"/>
      <c r="L303" s="3"/>
      <c r="M303" s="5" t="s">
        <v>1851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1755</v>
      </c>
      <c r="B304" s="257">
        <v>9</v>
      </c>
      <c r="C304" s="3"/>
      <c r="D304" s="5" t="s">
        <v>1861</v>
      </c>
      <c r="E304" s="257">
        <v>7.5</v>
      </c>
      <c r="F304" s="3"/>
      <c r="G304" s="5" t="s">
        <v>1827</v>
      </c>
      <c r="H304" s="257">
        <v>3.5</v>
      </c>
      <c r="I304" s="3"/>
      <c r="J304" s="273" t="s">
        <v>1881</v>
      </c>
      <c r="K304" s="13">
        <f>ROUND(SUM(K305:K316)/COUNT(K305:K316), 2)</f>
        <v>8.9600000000000009</v>
      </c>
      <c r="L304" s="3"/>
      <c r="M304" s="8" t="s">
        <v>1852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1756</v>
      </c>
      <c r="B305" s="257">
        <v>8.5</v>
      </c>
      <c r="C305" s="3"/>
      <c r="D305" s="5" t="s">
        <v>1862</v>
      </c>
      <c r="E305" s="257">
        <v>8.5</v>
      </c>
      <c r="F305" s="3"/>
      <c r="G305" s="5" t="s">
        <v>1828</v>
      </c>
      <c r="H305" s="257">
        <v>3</v>
      </c>
      <c r="I305" s="3"/>
      <c r="J305" s="12" t="s">
        <v>1869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1757</v>
      </c>
      <c r="B306" s="257">
        <v>9</v>
      </c>
      <c r="C306" s="3"/>
      <c r="D306" s="5" t="s">
        <v>1863</v>
      </c>
      <c r="E306" s="257">
        <v>8</v>
      </c>
      <c r="F306" s="3"/>
      <c r="G306" s="5" t="s">
        <v>1829</v>
      </c>
      <c r="H306" s="257">
        <v>2</v>
      </c>
      <c r="I306" s="3"/>
      <c r="J306" s="5" t="s">
        <v>1870</v>
      </c>
      <c r="K306" s="257">
        <v>10</v>
      </c>
      <c r="L306" s="3"/>
      <c r="M306" s="275" t="s">
        <v>1888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1758</v>
      </c>
      <c r="B307" s="258">
        <v>8.5</v>
      </c>
      <c r="C307" s="3"/>
      <c r="D307" s="5" t="s">
        <v>1864</v>
      </c>
      <c r="E307" s="257">
        <v>8</v>
      </c>
      <c r="F307" s="3"/>
      <c r="G307" s="8" t="s">
        <v>1830</v>
      </c>
      <c r="H307" s="258">
        <v>2</v>
      </c>
      <c r="I307" s="3"/>
      <c r="J307" s="5" t="s">
        <v>1871</v>
      </c>
      <c r="K307" s="257">
        <v>9</v>
      </c>
      <c r="L307" s="3"/>
      <c r="M307" s="12" t="s">
        <v>1889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1865</v>
      </c>
      <c r="E308" s="258">
        <v>8.5</v>
      </c>
      <c r="F308" s="3"/>
      <c r="G308" s="3"/>
      <c r="H308" s="3"/>
      <c r="I308" s="3"/>
      <c r="J308" s="5" t="s">
        <v>1872</v>
      </c>
      <c r="K308" s="257">
        <v>9</v>
      </c>
      <c r="L308" s="3"/>
      <c r="M308" s="5" t="s">
        <v>1890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1906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1936</v>
      </c>
      <c r="H309" s="13">
        <f>ROUND(SUM(H310:H327)/COUNT(H310:H327), 2)</f>
        <v>7.31</v>
      </c>
      <c r="I309" s="3"/>
      <c r="J309" s="5" t="s">
        <v>1873</v>
      </c>
      <c r="K309" s="257">
        <v>9</v>
      </c>
      <c r="L309" s="3"/>
      <c r="M309" s="5" t="s">
        <v>1891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1907</v>
      </c>
      <c r="B310" s="256">
        <v>7.5</v>
      </c>
      <c r="C310" s="3"/>
      <c r="D310" s="283" t="s">
        <v>2041</v>
      </c>
      <c r="E310" s="13">
        <f>ROUND(SUM(E311:E318)/COUNT(E311:E318), 2)</f>
        <v>8.5</v>
      </c>
      <c r="F310" s="3"/>
      <c r="G310" s="12" t="s">
        <v>1918</v>
      </c>
      <c r="H310" s="256">
        <v>8.5</v>
      </c>
      <c r="I310" s="3"/>
      <c r="J310" s="5" t="s">
        <v>1874</v>
      </c>
      <c r="K310" s="257">
        <v>10</v>
      </c>
      <c r="L310" s="3"/>
      <c r="M310" s="5" t="s">
        <v>1892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1908</v>
      </c>
      <c r="B311" s="257">
        <v>8.5</v>
      </c>
      <c r="C311" s="3"/>
      <c r="D311" s="12" t="s">
        <v>2042</v>
      </c>
      <c r="E311" s="256">
        <v>8.5</v>
      </c>
      <c r="F311" s="3"/>
      <c r="G311" s="5" t="s">
        <v>1919</v>
      </c>
      <c r="H311" s="257">
        <v>7.5</v>
      </c>
      <c r="I311" s="3"/>
      <c r="J311" s="5" t="s">
        <v>1875</v>
      </c>
      <c r="K311" s="257">
        <v>8</v>
      </c>
      <c r="L311" s="3"/>
      <c r="M311" s="5" t="s">
        <v>1893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1160</v>
      </c>
      <c r="B312" s="257">
        <v>8</v>
      </c>
      <c r="C312" s="3"/>
      <c r="D312" s="5" t="s">
        <v>2043</v>
      </c>
      <c r="E312" s="257">
        <v>8.5</v>
      </c>
      <c r="F312" s="3"/>
      <c r="G312" s="5" t="s">
        <v>1920</v>
      </c>
      <c r="H312" s="257">
        <v>8.5</v>
      </c>
      <c r="I312" s="3"/>
      <c r="J312" s="5" t="s">
        <v>1876</v>
      </c>
      <c r="K312" s="257">
        <v>8.5</v>
      </c>
      <c r="L312" s="3"/>
      <c r="M312" s="5" t="s">
        <v>1894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1909</v>
      </c>
      <c r="B313" s="257">
        <v>8</v>
      </c>
      <c r="C313" s="3"/>
      <c r="D313" s="5" t="s">
        <v>2044</v>
      </c>
      <c r="E313" s="257">
        <v>9</v>
      </c>
      <c r="F313" s="3"/>
      <c r="G313" s="5" t="s">
        <v>1921</v>
      </c>
      <c r="H313" s="257">
        <v>8.5</v>
      </c>
      <c r="I313" s="3"/>
      <c r="J313" s="5" t="s">
        <v>1877</v>
      </c>
      <c r="K313" s="257">
        <v>8.5</v>
      </c>
      <c r="L313" s="3"/>
      <c r="M313" s="5" t="s">
        <v>1895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1910</v>
      </c>
      <c r="B314" s="257">
        <v>9.5</v>
      </c>
      <c r="C314" s="3"/>
      <c r="D314" s="5" t="s">
        <v>2045</v>
      </c>
      <c r="E314" s="257">
        <v>9</v>
      </c>
      <c r="F314" s="3"/>
      <c r="G314" s="5" t="s">
        <v>1922</v>
      </c>
      <c r="H314" s="257">
        <v>7.5</v>
      </c>
      <c r="I314" s="3"/>
      <c r="J314" s="5" t="s">
        <v>1878</v>
      </c>
      <c r="K314" s="257">
        <v>9</v>
      </c>
      <c r="L314" s="3"/>
      <c r="M314" s="5" t="s">
        <v>1896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1911</v>
      </c>
      <c r="B315" s="257">
        <v>7</v>
      </c>
      <c r="C315" s="3"/>
      <c r="D315" s="5" t="s">
        <v>2046</v>
      </c>
      <c r="E315" s="257">
        <v>8</v>
      </c>
      <c r="F315" s="3"/>
      <c r="G315" s="5" t="s">
        <v>1923</v>
      </c>
      <c r="H315" s="257">
        <v>7</v>
      </c>
      <c r="I315" s="3"/>
      <c r="J315" s="5" t="s">
        <v>1879</v>
      </c>
      <c r="K315" s="257">
        <v>9.5</v>
      </c>
      <c r="L315" s="3"/>
      <c r="M315" s="5" t="s">
        <v>1897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1912</v>
      </c>
      <c r="B316" s="257">
        <v>10</v>
      </c>
      <c r="C316" s="3"/>
      <c r="D316" s="5" t="s">
        <v>2047</v>
      </c>
      <c r="E316" s="257">
        <v>8</v>
      </c>
      <c r="F316" s="3"/>
      <c r="G316" s="5" t="s">
        <v>1924</v>
      </c>
      <c r="H316" s="257">
        <v>7</v>
      </c>
      <c r="I316" s="3"/>
      <c r="J316" s="8" t="s">
        <v>1880</v>
      </c>
      <c r="K316" s="258">
        <v>8.5</v>
      </c>
      <c r="L316" s="3"/>
      <c r="M316" s="8" t="s">
        <v>1898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1913</v>
      </c>
      <c r="B317" s="257">
        <v>8.5</v>
      </c>
      <c r="C317" s="3"/>
      <c r="D317" s="5" t="s">
        <v>2048</v>
      </c>
      <c r="E317" s="257">
        <v>8.5</v>
      </c>
      <c r="F317" s="3"/>
      <c r="G317" s="5" t="s">
        <v>1925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1914</v>
      </c>
      <c r="B318" s="257">
        <v>7.5</v>
      </c>
      <c r="C318" s="3"/>
      <c r="D318" s="8" t="s">
        <v>2049</v>
      </c>
      <c r="E318" s="258">
        <v>8.5</v>
      </c>
      <c r="F318" s="3"/>
      <c r="G318" s="5" t="s">
        <v>1926</v>
      </c>
      <c r="H318" s="257">
        <v>7</v>
      </c>
      <c r="I318" s="3"/>
      <c r="J318" s="287" t="s">
        <v>2067</v>
      </c>
      <c r="K318" s="13">
        <f>ROUND(SUM(K319:K326)/COUNT(K319:K326), 2)</f>
        <v>8.43</v>
      </c>
      <c r="L318" s="3"/>
      <c r="M318" s="288" t="s">
        <v>2079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1915</v>
      </c>
      <c r="B319" s="257">
        <v>7.5</v>
      </c>
      <c r="C319" s="3"/>
      <c r="D319" s="3"/>
      <c r="E319" s="3"/>
      <c r="F319" s="3"/>
      <c r="G319" s="5" t="s">
        <v>1927</v>
      </c>
      <c r="H319" s="257">
        <v>7</v>
      </c>
      <c r="I319" s="3"/>
      <c r="J319" s="12" t="s">
        <v>2068</v>
      </c>
      <c r="K319" s="256"/>
      <c r="L319" s="3"/>
      <c r="M319" s="12" t="s">
        <v>2080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1916</v>
      </c>
      <c r="B320" s="258">
        <v>8</v>
      </c>
      <c r="C320" s="3"/>
      <c r="D320" s="285" t="s">
        <v>2052</v>
      </c>
      <c r="E320" s="13">
        <f>ROUND(SUM(E321:E326)/COUNT(E321:E326), 2)</f>
        <v>8.67</v>
      </c>
      <c r="F320" s="3"/>
      <c r="G320" s="5" t="s">
        <v>1928</v>
      </c>
      <c r="H320" s="257">
        <v>7.5</v>
      </c>
      <c r="I320" s="3"/>
      <c r="J320" s="5" t="s">
        <v>2069</v>
      </c>
      <c r="K320" s="257">
        <v>8.5</v>
      </c>
      <c r="L320" s="3"/>
      <c r="M320" s="5" t="s">
        <v>2081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2053</v>
      </c>
      <c r="E321" s="256">
        <v>8.5</v>
      </c>
      <c r="F321" s="3"/>
      <c r="G321" s="5" t="s">
        <v>1929</v>
      </c>
      <c r="H321" s="257">
        <v>6</v>
      </c>
      <c r="I321" s="3"/>
      <c r="J321" s="5" t="s">
        <v>2070</v>
      </c>
      <c r="K321" s="257">
        <v>9</v>
      </c>
      <c r="L321" s="3"/>
      <c r="M321" s="5" t="s">
        <v>2082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2091</v>
      </c>
      <c r="B322" s="13">
        <f>ROUND(SUM(B323:B341)/COUNT(B323:B341), 2)</f>
        <v>8.3800000000000008</v>
      </c>
      <c r="C322" s="3"/>
      <c r="D322" s="5" t="s">
        <v>2054</v>
      </c>
      <c r="E322" s="257">
        <v>9</v>
      </c>
      <c r="F322" s="3"/>
      <c r="G322" s="5" t="s">
        <v>1930</v>
      </c>
      <c r="H322" s="257">
        <v>7</v>
      </c>
      <c r="I322" s="3"/>
      <c r="J322" s="5" t="s">
        <v>2071</v>
      </c>
      <c r="K322" s="257">
        <v>8.5</v>
      </c>
      <c r="L322" s="3"/>
      <c r="M322" s="5" t="s">
        <v>2083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1435</v>
      </c>
      <c r="B323" s="256"/>
      <c r="C323" s="3"/>
      <c r="D323" s="5" t="s">
        <v>2055</v>
      </c>
      <c r="E323" s="257">
        <v>8.5</v>
      </c>
      <c r="F323" s="3"/>
      <c r="G323" s="5" t="s">
        <v>1931</v>
      </c>
      <c r="H323" s="257">
        <v>8</v>
      </c>
      <c r="I323" s="3"/>
      <c r="J323" s="5" t="s">
        <v>2072</v>
      </c>
      <c r="K323" s="257">
        <v>8.5</v>
      </c>
      <c r="L323" s="3"/>
      <c r="M323" s="5" t="s">
        <v>2084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2092</v>
      </c>
      <c r="B324" s="257">
        <v>8</v>
      </c>
      <c r="C324" s="3"/>
      <c r="D324" s="5" t="s">
        <v>2056</v>
      </c>
      <c r="E324" s="257">
        <v>7.5</v>
      </c>
      <c r="F324" s="3"/>
      <c r="G324" s="5" t="s">
        <v>1932</v>
      </c>
      <c r="H324" s="257">
        <v>7.5</v>
      </c>
      <c r="I324" s="3"/>
      <c r="J324" s="5" t="s">
        <v>2073</v>
      </c>
      <c r="K324" s="257">
        <v>7.5</v>
      </c>
      <c r="L324" s="3"/>
      <c r="M324" s="5" t="s">
        <v>2085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2093</v>
      </c>
      <c r="B325" s="257">
        <v>8</v>
      </c>
      <c r="C325" s="3"/>
      <c r="D325" s="5" t="s">
        <v>2057</v>
      </c>
      <c r="E325" s="257">
        <v>9</v>
      </c>
      <c r="F325" s="3"/>
      <c r="G325" s="5" t="s">
        <v>1933</v>
      </c>
      <c r="H325" s="257">
        <v>7</v>
      </c>
      <c r="I325" s="3"/>
      <c r="J325" s="5" t="s">
        <v>2074</v>
      </c>
      <c r="K325" s="257">
        <v>8</v>
      </c>
      <c r="L325" s="3"/>
      <c r="M325" s="5" t="s">
        <v>2086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2094</v>
      </c>
      <c r="B326" s="257">
        <v>8.5</v>
      </c>
      <c r="C326" s="3"/>
      <c r="D326" s="8" t="s">
        <v>2058</v>
      </c>
      <c r="E326" s="258">
        <v>9.5</v>
      </c>
      <c r="F326" s="3"/>
      <c r="G326" s="5" t="s">
        <v>1934</v>
      </c>
      <c r="H326" s="257">
        <v>6</v>
      </c>
      <c r="I326" s="3"/>
      <c r="J326" s="8" t="s">
        <v>2075</v>
      </c>
      <c r="K326" s="258">
        <v>9</v>
      </c>
      <c r="L326" s="3"/>
      <c r="M326" s="8" t="s">
        <v>2087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2095</v>
      </c>
      <c r="B327" s="257">
        <v>8</v>
      </c>
      <c r="C327" s="3"/>
      <c r="D327" s="3"/>
      <c r="E327" s="3"/>
      <c r="F327" s="3"/>
      <c r="G327" s="8" t="s">
        <v>1935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2096</v>
      </c>
      <c r="B328" s="257">
        <v>9</v>
      </c>
      <c r="C328" s="3"/>
      <c r="D328" s="293" t="s">
        <v>2114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2257</v>
      </c>
      <c r="K328" s="13">
        <f>ROUND(SUM(K329:K338)/COUNT(K329:K338), 2)</f>
        <v>8.6</v>
      </c>
      <c r="L328" s="3"/>
      <c r="M328" s="295" t="s">
        <v>2168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2097</v>
      </c>
      <c r="B329" s="257">
        <v>8.5</v>
      </c>
      <c r="C329" s="3"/>
      <c r="D329" s="12" t="s">
        <v>2115</v>
      </c>
      <c r="E329" s="256">
        <v>8.5</v>
      </c>
      <c r="F329" s="3"/>
      <c r="G329" s="299" t="s">
        <v>2256</v>
      </c>
      <c r="H329" s="13">
        <f>ROUND(SUM(H330:H337)/COUNT(H330:H337), 2)</f>
        <v>8.69</v>
      </c>
      <c r="I329" s="3"/>
      <c r="J329" s="12" t="s">
        <v>2148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2098</v>
      </c>
      <c r="B330" s="257"/>
      <c r="C330" s="3"/>
      <c r="D330" s="5" t="s">
        <v>2116</v>
      </c>
      <c r="E330" s="257">
        <v>10.5</v>
      </c>
      <c r="F330" s="3"/>
      <c r="G330" s="12" t="s">
        <v>2258</v>
      </c>
      <c r="H330" s="256">
        <v>9.5</v>
      </c>
      <c r="I330" s="3"/>
      <c r="J330" s="5" t="s">
        <v>2149</v>
      </c>
      <c r="K330" s="257">
        <v>8</v>
      </c>
      <c r="L330" s="3"/>
      <c r="M330" s="5" t="s">
        <v>2169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2099</v>
      </c>
      <c r="B331" s="257">
        <v>8.5</v>
      </c>
      <c r="C331" s="3"/>
      <c r="D331" s="5" t="s">
        <v>2117</v>
      </c>
      <c r="E331" s="257">
        <v>9.5</v>
      </c>
      <c r="F331" s="3"/>
      <c r="G331" s="5" t="s">
        <v>2259</v>
      </c>
      <c r="H331" s="257">
        <v>8.5</v>
      </c>
      <c r="I331" s="3"/>
      <c r="J331" s="5" t="s">
        <v>2150</v>
      </c>
      <c r="K331" s="257">
        <v>7.5</v>
      </c>
      <c r="L331" s="3"/>
      <c r="M331" s="5" t="s">
        <v>2170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2100</v>
      </c>
      <c r="B332" s="257">
        <v>10</v>
      </c>
      <c r="C332" s="3"/>
      <c r="D332" s="5" t="s">
        <v>2118</v>
      </c>
      <c r="E332" s="257">
        <v>9</v>
      </c>
      <c r="F332" s="3"/>
      <c r="G332" s="5" t="s">
        <v>2260</v>
      </c>
      <c r="H332" s="257">
        <v>8.5</v>
      </c>
      <c r="I332" s="3"/>
      <c r="J332" s="5" t="s">
        <v>2151</v>
      </c>
      <c r="K332" s="257">
        <v>9.5</v>
      </c>
      <c r="L332" s="3"/>
      <c r="M332" s="5" t="s">
        <v>2171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2101</v>
      </c>
      <c r="B333" s="257">
        <v>8.5</v>
      </c>
      <c r="C333" s="3"/>
      <c r="D333" s="5" t="s">
        <v>2119</v>
      </c>
      <c r="E333" s="257">
        <v>8.5</v>
      </c>
      <c r="F333" s="3"/>
      <c r="G333" s="5" t="s">
        <v>2261</v>
      </c>
      <c r="H333" s="257">
        <v>8</v>
      </c>
      <c r="I333" s="3"/>
      <c r="J333" s="5" t="s">
        <v>2152</v>
      </c>
      <c r="K333" s="257">
        <v>7.5</v>
      </c>
      <c r="L333" s="3"/>
      <c r="M333" s="5" t="s">
        <v>2172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2102</v>
      </c>
      <c r="B334" s="257">
        <v>7.5</v>
      </c>
      <c r="C334" s="3"/>
      <c r="D334" s="5" t="s">
        <v>2120</v>
      </c>
      <c r="E334" s="257">
        <v>9</v>
      </c>
      <c r="F334" s="3"/>
      <c r="G334" s="5" t="s">
        <v>2262</v>
      </c>
      <c r="H334" s="257">
        <v>9</v>
      </c>
      <c r="I334" s="3"/>
      <c r="J334" s="5" t="s">
        <v>2153</v>
      </c>
      <c r="K334" s="257">
        <v>8</v>
      </c>
      <c r="L334" s="3"/>
      <c r="M334" s="5" t="s">
        <v>2173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2103</v>
      </c>
      <c r="B335" s="257">
        <v>10</v>
      </c>
      <c r="C335" s="3"/>
      <c r="D335" s="5" t="s">
        <v>2121</v>
      </c>
      <c r="E335" s="257">
        <v>8.5</v>
      </c>
      <c r="F335" s="3"/>
      <c r="G335" s="5" t="s">
        <v>2263</v>
      </c>
      <c r="H335" s="257">
        <v>8.5</v>
      </c>
      <c r="I335" s="3"/>
      <c r="J335" s="5" t="s">
        <v>2154</v>
      </c>
      <c r="K335" s="257">
        <v>10</v>
      </c>
      <c r="L335" s="3"/>
      <c r="M335" s="5" t="s">
        <v>2174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2104</v>
      </c>
      <c r="B336" s="257">
        <v>8</v>
      </c>
      <c r="C336" s="3"/>
      <c r="D336" s="5" t="s">
        <v>2122</v>
      </c>
      <c r="E336" s="257">
        <v>8.5</v>
      </c>
      <c r="F336" s="3"/>
      <c r="G336" s="5" t="s">
        <v>2264</v>
      </c>
      <c r="H336" s="257">
        <v>9.5</v>
      </c>
      <c r="I336" s="3"/>
      <c r="J336" s="5" t="s">
        <v>2155</v>
      </c>
      <c r="K336" s="257">
        <v>9</v>
      </c>
      <c r="L336" s="3"/>
      <c r="M336" s="8" t="s">
        <v>2175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2105</v>
      </c>
      <c r="B337" s="257">
        <v>7</v>
      </c>
      <c r="C337" s="3"/>
      <c r="D337" s="5" t="s">
        <v>2123</v>
      </c>
      <c r="E337" s="257">
        <v>10</v>
      </c>
      <c r="F337" s="3"/>
      <c r="G337" s="8" t="s">
        <v>2265</v>
      </c>
      <c r="H337" s="258">
        <v>8</v>
      </c>
      <c r="I337" s="3"/>
      <c r="J337" s="5" t="s">
        <v>2156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2106</v>
      </c>
      <c r="B338" s="257">
        <v>8</v>
      </c>
      <c r="C338" s="3"/>
      <c r="D338" s="5" t="s">
        <v>2124</v>
      </c>
      <c r="E338" s="257">
        <v>8.5</v>
      </c>
      <c r="F338" s="3"/>
      <c r="G338" s="3"/>
      <c r="H338" s="3"/>
      <c r="I338" s="3"/>
      <c r="J338" s="8" t="s">
        <v>2157</v>
      </c>
      <c r="K338" s="258">
        <v>8</v>
      </c>
      <c r="L338" s="3"/>
      <c r="M338" s="300" t="s">
        <v>2269</v>
      </c>
      <c r="N338" s="13">
        <f>ROUND(SUM(N339:N353)/COUNT(N339:N353), 2)</f>
        <v>8.6199999999999992</v>
      </c>
      <c r="O338" s="3"/>
      <c r="V338"/>
      <c r="W338"/>
      <c r="X338"/>
      <c r="Y338"/>
      <c r="Z338"/>
    </row>
    <row r="339" spans="1:26" ht="16.05" customHeight="1" thickBot="1">
      <c r="A339" s="5" t="s">
        <v>2107</v>
      </c>
      <c r="B339" s="257">
        <v>9</v>
      </c>
      <c r="C339" s="3"/>
      <c r="D339" s="5" t="s">
        <v>2125</v>
      </c>
      <c r="E339" s="257">
        <v>8.5</v>
      </c>
      <c r="F339" s="3"/>
      <c r="G339" s="301" t="s">
        <v>2290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2270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2108</v>
      </c>
      <c r="B340" s="257">
        <v>8.5</v>
      </c>
      <c r="C340" s="3"/>
      <c r="D340" s="5" t="s">
        <v>2126</v>
      </c>
      <c r="E340" s="257">
        <v>7.5</v>
      </c>
      <c r="F340" s="3"/>
      <c r="G340" s="12" t="s">
        <v>2291</v>
      </c>
      <c r="H340" s="256">
        <v>8</v>
      </c>
      <c r="I340" s="3"/>
      <c r="J340" s="306" t="s">
        <v>2326</v>
      </c>
      <c r="K340" s="13">
        <f>ROUND(SUM(K341:K354)/COUNT(K341:K354), 2)</f>
        <v>8.5399999999999991</v>
      </c>
      <c r="L340" s="3"/>
      <c r="M340" s="5" t="s">
        <v>2271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2109</v>
      </c>
      <c r="B341" s="258">
        <v>7.5</v>
      </c>
      <c r="C341" s="3"/>
      <c r="D341" s="5" t="s">
        <v>2127</v>
      </c>
      <c r="E341" s="257">
        <v>10.5</v>
      </c>
      <c r="F341" s="3"/>
      <c r="G341" s="5" t="s">
        <v>2292</v>
      </c>
      <c r="H341" s="257">
        <v>9</v>
      </c>
      <c r="I341" s="3"/>
      <c r="J341" s="303" t="s">
        <v>2312</v>
      </c>
      <c r="K341" s="256">
        <v>8.5</v>
      </c>
      <c r="L341" s="3"/>
      <c r="M341" s="5" t="s">
        <v>2272</v>
      </c>
      <c r="N341" s="257"/>
      <c r="O341" s="3"/>
      <c r="V341"/>
      <c r="W341"/>
      <c r="X341"/>
      <c r="Y341"/>
      <c r="Z341"/>
    </row>
    <row r="342" spans="1:26" ht="16.05" customHeight="1">
      <c r="A342" s="3"/>
      <c r="B342" s="3"/>
      <c r="C342" s="3"/>
      <c r="D342" s="5" t="s">
        <v>2128</v>
      </c>
      <c r="E342" s="257">
        <v>8</v>
      </c>
      <c r="F342" s="3"/>
      <c r="G342" s="5" t="s">
        <v>2293</v>
      </c>
      <c r="H342" s="257">
        <v>9.5</v>
      </c>
      <c r="I342" s="3"/>
      <c r="J342" s="304" t="s">
        <v>2313</v>
      </c>
      <c r="K342" s="257">
        <v>9</v>
      </c>
      <c r="L342" s="3"/>
      <c r="M342" s="5" t="s">
        <v>2273</v>
      </c>
      <c r="N342" s="257">
        <v>8.5</v>
      </c>
      <c r="O342" s="3"/>
      <c r="V342"/>
      <c r="W342"/>
      <c r="X342"/>
      <c r="Y342"/>
      <c r="Z342"/>
    </row>
    <row r="343" spans="1:26" ht="16.05" customHeight="1">
      <c r="C343" s="3"/>
      <c r="D343" s="5" t="s">
        <v>2129</v>
      </c>
      <c r="E343" s="257">
        <v>7.5</v>
      </c>
      <c r="F343" s="3"/>
      <c r="G343" s="5" t="s">
        <v>2294</v>
      </c>
      <c r="H343" s="257">
        <v>8.5</v>
      </c>
      <c r="I343" s="3"/>
      <c r="J343" s="304" t="s">
        <v>2314</v>
      </c>
      <c r="K343" s="257">
        <v>8</v>
      </c>
      <c r="L343" s="3"/>
      <c r="M343" s="5" t="s">
        <v>2274</v>
      </c>
      <c r="N343" s="257">
        <v>8</v>
      </c>
      <c r="O343" s="3"/>
      <c r="V343"/>
      <c r="W343"/>
      <c r="X343"/>
      <c r="Y343"/>
      <c r="Z343"/>
    </row>
    <row r="344" spans="1:26" ht="16.05" customHeight="1">
      <c r="C344" s="3"/>
      <c r="D344" s="5" t="s">
        <v>2130</v>
      </c>
      <c r="E344" s="257">
        <v>10</v>
      </c>
      <c r="F344" s="3"/>
      <c r="G344" s="5" t="s">
        <v>2295</v>
      </c>
      <c r="H344" s="257">
        <v>9</v>
      </c>
      <c r="I344" s="3"/>
      <c r="J344" s="304" t="s">
        <v>2315</v>
      </c>
      <c r="K344" s="257">
        <v>8.5</v>
      </c>
      <c r="L344" s="3"/>
      <c r="M344" s="5" t="s">
        <v>2275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C345" s="3"/>
      <c r="D345" s="5" t="s">
        <v>2131</v>
      </c>
      <c r="E345" s="257">
        <v>9.5</v>
      </c>
      <c r="F345" s="3"/>
      <c r="G345" s="5" t="s">
        <v>2296</v>
      </c>
      <c r="H345" s="257">
        <v>10</v>
      </c>
      <c r="I345" s="3"/>
      <c r="J345" s="304" t="s">
        <v>2316</v>
      </c>
      <c r="K345" s="257">
        <v>9</v>
      </c>
      <c r="L345" s="3"/>
      <c r="M345" s="5" t="s">
        <v>2276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C346" s="3"/>
      <c r="D346" s="5" t="s">
        <v>2132</v>
      </c>
      <c r="E346" s="257">
        <v>10</v>
      </c>
      <c r="F346" s="3"/>
      <c r="G346" s="5" t="s">
        <v>2297</v>
      </c>
      <c r="H346" s="257">
        <v>8.5</v>
      </c>
      <c r="I346" s="3"/>
      <c r="J346" s="304" t="s">
        <v>2317</v>
      </c>
      <c r="K346" s="257">
        <v>8</v>
      </c>
      <c r="L346" s="3"/>
      <c r="M346" s="5" t="s">
        <v>2277</v>
      </c>
      <c r="N346" s="257">
        <v>9</v>
      </c>
      <c r="O346" s="3"/>
      <c r="V346"/>
      <c r="W346"/>
      <c r="X346"/>
      <c r="Y346"/>
      <c r="Z346"/>
    </row>
    <row r="347" spans="1:26" ht="16.05" customHeight="1">
      <c r="C347" s="3"/>
      <c r="D347" s="5" t="s">
        <v>2133</v>
      </c>
      <c r="E347" s="257">
        <v>8</v>
      </c>
      <c r="F347" s="3"/>
      <c r="G347" s="5" t="s">
        <v>2298</v>
      </c>
      <c r="H347" s="257">
        <v>8.5</v>
      </c>
      <c r="I347" s="3"/>
      <c r="J347" s="304" t="s">
        <v>2318</v>
      </c>
      <c r="K347" s="257">
        <v>8</v>
      </c>
      <c r="L347" s="3"/>
      <c r="M347" s="5" t="s">
        <v>2278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C348" s="3"/>
      <c r="D348" s="5" t="s">
        <v>2134</v>
      </c>
      <c r="E348" s="257">
        <v>8.5</v>
      </c>
      <c r="F348" s="3"/>
      <c r="G348" s="5" t="s">
        <v>2299</v>
      </c>
      <c r="H348" s="257">
        <v>8</v>
      </c>
      <c r="I348" s="3"/>
      <c r="J348" s="304" t="s">
        <v>2319</v>
      </c>
      <c r="K348" s="257">
        <v>7.5</v>
      </c>
      <c r="L348" s="3"/>
      <c r="M348" s="5" t="s">
        <v>2279</v>
      </c>
      <c r="N348" s="257">
        <v>8</v>
      </c>
      <c r="O348" s="3"/>
      <c r="V348"/>
      <c r="W348"/>
      <c r="X348"/>
      <c r="Y348"/>
      <c r="Z348"/>
    </row>
    <row r="349" spans="1:26" ht="16.05" customHeight="1">
      <c r="C349" s="3"/>
      <c r="D349" s="5" t="s">
        <v>2135</v>
      </c>
      <c r="E349" s="257">
        <v>8</v>
      </c>
      <c r="F349" s="3"/>
      <c r="G349" s="5" t="s">
        <v>2300</v>
      </c>
      <c r="H349" s="257">
        <v>8</v>
      </c>
      <c r="I349" s="3"/>
      <c r="J349" s="304" t="s">
        <v>2320</v>
      </c>
      <c r="K349" s="257">
        <v>9.5</v>
      </c>
      <c r="L349" s="3"/>
      <c r="M349" s="5" t="s">
        <v>2280</v>
      </c>
      <c r="N349" s="257"/>
      <c r="O349" s="3"/>
      <c r="V349"/>
      <c r="W349"/>
      <c r="X349"/>
      <c r="Y349"/>
      <c r="Z349"/>
    </row>
    <row r="350" spans="1:26" ht="16.05" customHeight="1">
      <c r="C350" s="3"/>
      <c r="D350" s="5" t="s">
        <v>2136</v>
      </c>
      <c r="E350" s="257">
        <v>7.5</v>
      </c>
      <c r="F350" s="3"/>
      <c r="G350" s="5" t="s">
        <v>2301</v>
      </c>
      <c r="H350" s="257">
        <v>8.5</v>
      </c>
      <c r="I350" s="3"/>
      <c r="J350" s="304" t="s">
        <v>2321</v>
      </c>
      <c r="K350" s="257">
        <v>8</v>
      </c>
      <c r="L350" s="3"/>
      <c r="M350" s="5" t="s">
        <v>2281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C351" s="3"/>
      <c r="D351" s="5" t="s">
        <v>2137</v>
      </c>
      <c r="E351" s="257">
        <v>9</v>
      </c>
      <c r="F351" s="3"/>
      <c r="G351" s="8" t="s">
        <v>2302</v>
      </c>
      <c r="H351" s="258">
        <v>7.5</v>
      </c>
      <c r="I351" s="3"/>
      <c r="J351" s="304" t="s">
        <v>2322</v>
      </c>
      <c r="K351" s="257">
        <v>10</v>
      </c>
      <c r="L351" s="3"/>
      <c r="M351" s="5" t="s">
        <v>2282</v>
      </c>
      <c r="N351" s="257">
        <v>10</v>
      </c>
      <c r="O351" s="3"/>
      <c r="V351"/>
      <c r="W351"/>
      <c r="X351"/>
      <c r="Y351"/>
      <c r="Z351"/>
    </row>
    <row r="352" spans="1:26" ht="16.05" customHeight="1">
      <c r="C352" s="3"/>
      <c r="D352" s="5" t="s">
        <v>2138</v>
      </c>
      <c r="E352" s="257">
        <v>8</v>
      </c>
      <c r="F352" s="3"/>
      <c r="G352" s="3"/>
      <c r="H352" s="3"/>
      <c r="I352" s="3"/>
      <c r="J352" s="304" t="s">
        <v>2323</v>
      </c>
      <c r="K352" s="257">
        <v>8</v>
      </c>
      <c r="L352" s="3"/>
      <c r="M352" s="5" t="s">
        <v>2283</v>
      </c>
      <c r="N352" s="257">
        <v>8</v>
      </c>
      <c r="O352" s="3"/>
      <c r="V352"/>
      <c r="W352"/>
      <c r="X352"/>
      <c r="Y352"/>
      <c r="Z352"/>
    </row>
    <row r="353" spans="3:26" ht="16.05" customHeight="1" thickBot="1">
      <c r="C353" s="3"/>
      <c r="D353" s="5" t="s">
        <v>2139</v>
      </c>
      <c r="E353" s="257"/>
      <c r="F353" s="3"/>
      <c r="I353" s="3"/>
      <c r="J353" s="304" t="s">
        <v>2324</v>
      </c>
      <c r="K353" s="257">
        <v>7.5</v>
      </c>
      <c r="L353" s="3"/>
      <c r="M353" s="8" t="s">
        <v>2284</v>
      </c>
      <c r="N353" s="258">
        <v>9</v>
      </c>
      <c r="O353" s="3"/>
      <c r="V353"/>
      <c r="W353"/>
      <c r="X353"/>
      <c r="Y353"/>
      <c r="Z353"/>
    </row>
    <row r="354" spans="3:26" ht="16.05" customHeight="1" thickBot="1">
      <c r="C354" s="3"/>
      <c r="D354" s="5" t="s">
        <v>2140</v>
      </c>
      <c r="E354" s="257">
        <v>8</v>
      </c>
      <c r="F354" s="3"/>
      <c r="I354" s="3"/>
      <c r="J354" s="305" t="s">
        <v>2325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3:26" ht="16.05" customHeight="1">
      <c r="C355" s="3"/>
      <c r="D355" s="5" t="s">
        <v>2141</v>
      </c>
      <c r="E355" s="257">
        <v>8.5</v>
      </c>
      <c r="F355" s="3"/>
      <c r="I355" s="3"/>
      <c r="J355" s="3"/>
      <c r="K355" s="3"/>
      <c r="L355" s="3"/>
      <c r="V355"/>
      <c r="W355"/>
      <c r="X355"/>
      <c r="Y355"/>
      <c r="Z355"/>
    </row>
    <row r="356" spans="3:26" ht="16.05" customHeight="1">
      <c r="C356" s="3"/>
      <c r="D356" s="5" t="s">
        <v>2142</v>
      </c>
      <c r="E356" s="257">
        <v>8</v>
      </c>
      <c r="F356" s="3"/>
      <c r="V356"/>
      <c r="W356"/>
      <c r="X356"/>
      <c r="Y356"/>
      <c r="Z356"/>
    </row>
    <row r="357" spans="3:26" ht="16.05" customHeight="1">
      <c r="C357" s="3"/>
      <c r="D357" s="5" t="s">
        <v>2143</v>
      </c>
      <c r="E357" s="257">
        <v>8.5</v>
      </c>
      <c r="F357" s="3"/>
      <c r="V357"/>
      <c r="W357"/>
      <c r="X357"/>
      <c r="Y357"/>
      <c r="Z357"/>
    </row>
    <row r="358" spans="3:26" ht="16.05" customHeight="1" thickBot="1">
      <c r="C358" s="3"/>
      <c r="D358" s="8" t="s">
        <v>1435</v>
      </c>
      <c r="E358" s="258">
        <v>9</v>
      </c>
      <c r="F358" s="3"/>
      <c r="V358"/>
      <c r="W358"/>
      <c r="X358"/>
      <c r="Y358"/>
      <c r="Z358"/>
    </row>
    <row r="359" spans="3:26" ht="16.05" customHeight="1">
      <c r="C359" s="3"/>
      <c r="D359" s="3"/>
      <c r="E359" s="3"/>
      <c r="F359" s="3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64:V164"/>
    <mergeCell ref="R1:AE1"/>
    <mergeCell ref="AH1:AI1"/>
    <mergeCell ref="R140:AE140"/>
  </mergeCells>
  <phoneticPr fontId="203" type="noConversion"/>
  <conditionalFormatting sqref="A2:B2 D2:E2 G2:H2 J2:K2 M2:N2 A16:B16 A26:B26 D14:E14 G17:H17 J14:K14 M14:N14 D30:E30 J25:K25 AK28:AK31">
    <cfRule type="colorScale" priority="1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7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933" priority="1257" stopIfTrue="1">
      <formula>LEN(TRIM(B3))=0</formula>
    </cfRule>
    <cfRule type="cellIs" dxfId="932" priority="1215" operator="between">
      <formula>10.1</formula>
      <formula>10.6</formula>
    </cfRule>
    <cfRule type="cellIs" dxfId="931" priority="1253" operator="between">
      <formula>7</formula>
      <formula>7.9</formula>
    </cfRule>
    <cfRule type="cellIs" dxfId="930" priority="1254" stopIfTrue="1" operator="between">
      <formula>8</formula>
      <formula>8.9</formula>
    </cfRule>
    <cfRule type="cellIs" dxfId="929" priority="1255" operator="between">
      <formula>9</formula>
      <formula>9.9</formula>
    </cfRule>
    <cfRule type="cellIs" dxfId="928" priority="1256" stopIfTrue="1" operator="between">
      <formula>10</formula>
      <formula>10</formula>
    </cfRule>
  </conditionalFormatting>
  <conditionalFormatting sqref="B17:B24">
    <cfRule type="cellIs" dxfId="927" priority="1193" stopIfTrue="1" operator="between">
      <formula>8</formula>
      <formula>8.9</formula>
    </cfRule>
    <cfRule type="cellIs" dxfId="926" priority="1194" operator="between">
      <formula>9</formula>
      <formula>9.9</formula>
    </cfRule>
    <cfRule type="containsBlanks" dxfId="925" priority="1196" stopIfTrue="1">
      <formula>LEN(TRIM(B17))=0</formula>
    </cfRule>
    <cfRule type="cellIs" dxfId="924" priority="1192" operator="between">
      <formula>7</formula>
      <formula>7.9</formula>
    </cfRule>
    <cfRule type="cellIs" dxfId="923" priority="1191" operator="between">
      <formula>10.1</formula>
      <formula>10.6</formula>
    </cfRule>
    <cfRule type="cellIs" dxfId="922" priority="1195" stopIfTrue="1" operator="between">
      <formula>10</formula>
      <formula>10</formula>
    </cfRule>
  </conditionalFormatting>
  <conditionalFormatting sqref="B27:B31">
    <cfRule type="cellIs" dxfId="921" priority="1187" stopIfTrue="1" operator="between">
      <formula>8</formula>
      <formula>8.9</formula>
    </cfRule>
    <cfRule type="containsBlanks" dxfId="920" priority="1190" stopIfTrue="1">
      <formula>LEN(TRIM(B27))=0</formula>
    </cfRule>
    <cfRule type="cellIs" dxfId="919" priority="1189" stopIfTrue="1" operator="between">
      <formula>10</formula>
      <formula>10</formula>
    </cfRule>
    <cfRule type="cellIs" dxfId="918" priority="1188" operator="between">
      <formula>9</formula>
      <formula>9.9</formula>
    </cfRule>
    <cfRule type="cellIs" dxfId="917" priority="1186" operator="between">
      <formula>7</formula>
      <formula>7.9</formula>
    </cfRule>
    <cfRule type="cellIs" dxfId="916" priority="1185" operator="between">
      <formula>10.1</formula>
      <formula>10.6</formula>
    </cfRule>
  </conditionalFormatting>
  <conditionalFormatting sqref="B33">
    <cfRule type="colorScale" priority="15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915" priority="1180" operator="between">
      <formula>7</formula>
      <formula>7.9</formula>
    </cfRule>
    <cfRule type="cellIs" dxfId="914" priority="1183" stopIfTrue="1" operator="between">
      <formula>10</formula>
      <formula>10</formula>
    </cfRule>
    <cfRule type="cellIs" dxfId="913" priority="1182" operator="between">
      <formula>9</formula>
      <formula>9.9</formula>
    </cfRule>
    <cfRule type="cellIs" dxfId="912" priority="1181" stopIfTrue="1" operator="between">
      <formula>8</formula>
      <formula>8.9</formula>
    </cfRule>
    <cfRule type="cellIs" dxfId="911" priority="1179" operator="between">
      <formula>10.1</formula>
      <formula>10.6</formula>
    </cfRule>
    <cfRule type="containsBlanks" dxfId="910" priority="1184" stopIfTrue="1">
      <formula>LEN(TRIM(B34))=0</formula>
    </cfRule>
  </conditionalFormatting>
  <conditionalFormatting sqref="B47">
    <cfRule type="colorScale" priority="1264">
      <colorScale>
        <cfvo type="num" val="5"/>
        <cfvo type="num" val="10"/>
        <color rgb="FFFF494D"/>
        <color rgb="FF00FF66"/>
      </colorScale>
    </cfRule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909" priority="1154" stopIfTrue="1">
      <formula>LEN(TRIM(B48))=0</formula>
    </cfRule>
    <cfRule type="cellIs" dxfId="908" priority="1152" operator="between">
      <formula>9</formula>
      <formula>9.9</formula>
    </cfRule>
    <cfRule type="cellIs" dxfId="907" priority="1151" stopIfTrue="1" operator="between">
      <formula>8</formula>
      <formula>8.9</formula>
    </cfRule>
    <cfRule type="cellIs" dxfId="906" priority="1150" operator="between">
      <formula>7</formula>
      <formula>7.9</formula>
    </cfRule>
    <cfRule type="cellIs" dxfId="905" priority="1149" operator="between">
      <formula>10.1</formula>
      <formula>10.6</formula>
    </cfRule>
    <cfRule type="cellIs" dxfId="904" priority="1153" stopIfTrue="1" operator="between">
      <formula>10</formula>
      <formula>10</formula>
    </cfRule>
  </conditionalFormatting>
  <conditionalFormatting sqref="B59"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903" priority="1132" stopIfTrue="1">
      <formula>LEN(TRIM(B60))=0</formula>
    </cfRule>
    <cfRule type="cellIs" dxfId="902" priority="1131" stopIfTrue="1" operator="between">
      <formula>10</formula>
      <formula>10</formula>
    </cfRule>
    <cfRule type="cellIs" dxfId="901" priority="1130" operator="between">
      <formula>9</formula>
      <formula>9.9</formula>
    </cfRule>
    <cfRule type="cellIs" dxfId="900" priority="1129" stopIfTrue="1" operator="between">
      <formula>8</formula>
      <formula>8.9</formula>
    </cfRule>
    <cfRule type="cellIs" dxfId="899" priority="1128" operator="between">
      <formula>7</formula>
      <formula>7.9</formula>
    </cfRule>
    <cfRule type="cellIs" dxfId="898" priority="1127" operator="between">
      <formula>10.1</formula>
      <formula>10.6</formula>
    </cfRule>
  </conditionalFormatting>
  <conditionalFormatting sqref="B70">
    <cfRule type="colorScale" priority="1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97" priority="1041" operator="between">
      <formula>10.1</formula>
      <formula>10.6</formula>
    </cfRule>
    <cfRule type="cellIs" dxfId="896" priority="1042" operator="between">
      <formula>7</formula>
      <formula>7.9</formula>
    </cfRule>
    <cfRule type="cellIs" dxfId="895" priority="1043" stopIfTrue="1" operator="between">
      <formula>8</formula>
      <formula>8.9</formula>
    </cfRule>
    <cfRule type="cellIs" dxfId="894" priority="1044" operator="between">
      <formula>9</formula>
      <formula>9.9</formula>
    </cfRule>
    <cfRule type="cellIs" dxfId="893" priority="1045" stopIfTrue="1" operator="between">
      <formula>10</formula>
      <formula>10</formula>
    </cfRule>
    <cfRule type="containsBlanks" dxfId="892" priority="1046" stopIfTrue="1">
      <formula>LEN(TRIM(B71))=0</formula>
    </cfRule>
  </conditionalFormatting>
  <conditionalFormatting sqref="B73">
    <cfRule type="cellIs" dxfId="891" priority="1040" operator="between">
      <formula>6</formula>
      <formula>6.9</formula>
    </cfRule>
  </conditionalFormatting>
  <conditionalFormatting sqref="B79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890" priority="1022" stopIfTrue="1">
      <formula>LEN(TRIM(B80))=0</formula>
    </cfRule>
    <cfRule type="cellIs" dxfId="889" priority="1021" stopIfTrue="1" operator="between">
      <formula>10</formula>
      <formula>10</formula>
    </cfRule>
    <cfRule type="cellIs" dxfId="888" priority="1020" operator="between">
      <formula>9</formula>
      <formula>9.9</formula>
    </cfRule>
    <cfRule type="cellIs" dxfId="887" priority="1019" stopIfTrue="1" operator="between">
      <formula>8</formula>
      <formula>8.9</formula>
    </cfRule>
    <cfRule type="cellIs" dxfId="886" priority="1018" operator="between">
      <formula>7</formula>
      <formula>7.9</formula>
    </cfRule>
    <cfRule type="cellIs" dxfId="885" priority="1017" operator="between">
      <formula>10.1</formula>
      <formula>10.6</formula>
    </cfRule>
  </conditionalFormatting>
  <conditionalFormatting sqref="B93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884" priority="973" operator="between">
      <formula>9</formula>
      <formula>9.9</formula>
    </cfRule>
    <cfRule type="cellIs" dxfId="883" priority="972" stopIfTrue="1" operator="between">
      <formula>8</formula>
      <formula>8.9</formula>
    </cfRule>
    <cfRule type="cellIs" dxfId="882" priority="971" operator="between">
      <formula>7</formula>
      <formula>7.9</formula>
    </cfRule>
    <cfRule type="cellIs" dxfId="881" priority="970" operator="between">
      <formula>10.1</formula>
      <formula>10.6</formula>
    </cfRule>
    <cfRule type="containsBlanks" dxfId="880" priority="975" stopIfTrue="1">
      <formula>LEN(TRIM(B94))=0</formula>
    </cfRule>
    <cfRule type="cellIs" dxfId="879" priority="974" stopIfTrue="1" operator="between">
      <formula>10</formula>
      <formula>10</formula>
    </cfRule>
  </conditionalFormatting>
  <conditionalFormatting sqref="B103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78" priority="923" stopIfTrue="1" operator="between">
      <formula>8</formula>
      <formula>8.9</formula>
    </cfRule>
    <cfRule type="containsBlanks" dxfId="877" priority="926" stopIfTrue="1">
      <formula>LEN(TRIM(B104))=0</formula>
    </cfRule>
    <cfRule type="cellIs" dxfId="876" priority="925" stopIfTrue="1" operator="between">
      <formula>10</formula>
      <formula>10</formula>
    </cfRule>
    <cfRule type="cellIs" dxfId="875" priority="924" operator="between">
      <formula>9</formula>
      <formula>9.9</formula>
    </cfRule>
    <cfRule type="cellIs" dxfId="874" priority="922" operator="between">
      <formula>7</formula>
      <formula>7.9</formula>
    </cfRule>
    <cfRule type="cellIs" dxfId="873" priority="921" operator="between">
      <formula>10.1</formula>
      <formula>10.6</formula>
    </cfRule>
  </conditionalFormatting>
  <conditionalFormatting sqref="B114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872" priority="879" operator="between">
      <formula>9</formula>
      <formula>9.9</formula>
    </cfRule>
    <cfRule type="cellIs" dxfId="871" priority="878" stopIfTrue="1" operator="between">
      <formula>8</formula>
      <formula>8.9</formula>
    </cfRule>
    <cfRule type="cellIs" dxfId="870" priority="875" operator="between">
      <formula>6</formula>
      <formula>6.9</formula>
    </cfRule>
    <cfRule type="cellIs" dxfId="869" priority="876" operator="between">
      <formula>10.1</formula>
      <formula>10.6</formula>
    </cfRule>
    <cfRule type="cellIs" dxfId="868" priority="877" operator="between">
      <formula>7</formula>
      <formula>7.9</formula>
    </cfRule>
    <cfRule type="containsBlanks" dxfId="867" priority="881" stopIfTrue="1">
      <formula>LEN(TRIM(B115))=0</formula>
    </cfRule>
    <cfRule type="cellIs" dxfId="866" priority="880" stopIfTrue="1" operator="between">
      <formula>10</formula>
      <formula>10</formula>
    </cfRule>
  </conditionalFormatting>
  <conditionalFormatting sqref="B134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65" priority="800" operator="between">
      <formula>7</formula>
      <formula>7.9</formula>
    </cfRule>
    <cfRule type="cellIs" dxfId="864" priority="801" stopIfTrue="1" operator="between">
      <formula>8</formula>
      <formula>8.9</formula>
    </cfRule>
    <cfRule type="cellIs" dxfId="863" priority="802" operator="between">
      <formula>9</formula>
      <formula>9.9</formula>
    </cfRule>
    <cfRule type="cellIs" dxfId="862" priority="803" stopIfTrue="1" operator="between">
      <formula>10</formula>
      <formula>10</formula>
    </cfRule>
    <cfRule type="containsBlanks" dxfId="861" priority="804" stopIfTrue="1">
      <formula>LEN(TRIM(B135))=0</formula>
    </cfRule>
    <cfRule type="cellIs" dxfId="860" priority="798" operator="between">
      <formula>6</formula>
      <formula>6.9</formula>
    </cfRule>
    <cfRule type="cellIs" dxfId="859" priority="799" operator="between">
      <formula>10.1</formula>
      <formula>10.6</formula>
    </cfRule>
  </conditionalFormatting>
  <conditionalFormatting sqref="B145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858" priority="755" operator="between">
      <formula>7</formula>
      <formula>7.9</formula>
    </cfRule>
    <cfRule type="cellIs" dxfId="857" priority="753" operator="between">
      <formula>6</formula>
      <formula>6.9</formula>
    </cfRule>
    <cfRule type="cellIs" dxfId="856" priority="756" stopIfTrue="1" operator="between">
      <formula>8</formula>
      <formula>8.9</formula>
    </cfRule>
    <cfRule type="containsBlanks" dxfId="855" priority="759" stopIfTrue="1">
      <formula>LEN(TRIM(B146))=0</formula>
    </cfRule>
    <cfRule type="cellIs" dxfId="854" priority="757" operator="between">
      <formula>9</formula>
      <formula>9.9</formula>
    </cfRule>
    <cfRule type="cellIs" dxfId="853" priority="758" stopIfTrue="1" operator="between">
      <formula>10</formula>
      <formula>10</formula>
    </cfRule>
    <cfRule type="cellIs" dxfId="852" priority="754" operator="between">
      <formula>10.1</formula>
      <formula>10.6</formula>
    </cfRule>
  </conditionalFormatting>
  <conditionalFormatting sqref="B162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51" priority="695" stopIfTrue="1" operator="between">
      <formula>8</formula>
      <formula>8.9</formula>
    </cfRule>
    <cfRule type="cellIs" dxfId="850" priority="697" stopIfTrue="1" operator="between">
      <formula>10</formula>
      <formula>10</formula>
    </cfRule>
    <cfRule type="cellIs" dxfId="849" priority="696" operator="between">
      <formula>9</formula>
      <formula>9.9</formula>
    </cfRule>
    <cfRule type="containsBlanks" dxfId="848" priority="698" stopIfTrue="1">
      <formula>LEN(TRIM(B163))=0</formula>
    </cfRule>
    <cfRule type="cellIs" dxfId="847" priority="693" operator="between">
      <formula>10.1</formula>
      <formula>10.6</formula>
    </cfRule>
    <cfRule type="cellIs" dxfId="846" priority="692" operator="between">
      <formula>6</formula>
      <formula>6.9</formula>
    </cfRule>
    <cfRule type="cellIs" dxfId="845" priority="694" operator="between">
      <formula>7</formula>
      <formula>7.9</formula>
    </cfRule>
  </conditionalFormatting>
  <conditionalFormatting sqref="B172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44" priority="657" stopIfTrue="1" operator="between">
      <formula>8</formula>
      <formula>8.9</formula>
    </cfRule>
    <cfRule type="cellIs" dxfId="843" priority="658" operator="between">
      <formula>9</formula>
      <formula>9.9</formula>
    </cfRule>
    <cfRule type="cellIs" dxfId="842" priority="659" stopIfTrue="1" operator="between">
      <formula>10</formula>
      <formula>10</formula>
    </cfRule>
    <cfRule type="containsBlanks" dxfId="841" priority="660" stopIfTrue="1">
      <formula>LEN(TRIM(B173))=0</formula>
    </cfRule>
    <cfRule type="cellIs" dxfId="840" priority="654" operator="between">
      <formula>6</formula>
      <formula>6.9</formula>
    </cfRule>
    <cfRule type="cellIs" dxfId="839" priority="655" operator="between">
      <formula>10.1</formula>
      <formula>10.6</formula>
    </cfRule>
    <cfRule type="cellIs" dxfId="838" priority="656" operator="between">
      <formula>7</formula>
      <formula>7.9</formula>
    </cfRule>
  </conditionalFormatting>
  <conditionalFormatting sqref="B185">
    <cfRule type="colorScale" priority="624">
      <colorScale>
        <cfvo type="num" val="5"/>
        <cfvo type="num" val="10"/>
        <color rgb="FFFF494D"/>
        <color rgb="FF00FF66"/>
      </colorScale>
    </cfRule>
    <cfRule type="colorScale" priority="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837" priority="619" stopIfTrue="1" operator="between">
      <formula>8</formula>
      <formula>8.9</formula>
    </cfRule>
    <cfRule type="containsBlanks" dxfId="836" priority="622" stopIfTrue="1">
      <formula>LEN(TRIM(B186))=0</formula>
    </cfRule>
    <cfRule type="cellIs" dxfId="835" priority="621" stopIfTrue="1" operator="between">
      <formula>10</formula>
      <formula>10</formula>
    </cfRule>
    <cfRule type="cellIs" dxfId="834" priority="617" operator="between">
      <formula>10.1</formula>
      <formula>10.6</formula>
    </cfRule>
    <cfRule type="cellIs" dxfId="833" priority="618" operator="between">
      <formula>7</formula>
      <formula>7.9</formula>
    </cfRule>
    <cfRule type="cellIs" dxfId="832" priority="620" operator="between">
      <formula>9</formula>
      <formula>9.9</formula>
    </cfRule>
    <cfRule type="cellIs" dxfId="831" priority="616" operator="between">
      <formula>6</formula>
      <formula>6.9</formula>
    </cfRule>
  </conditionalFormatting>
  <conditionalFormatting sqref="B196"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830" priority="569" operator="between">
      <formula>7</formula>
      <formula>7.9</formula>
    </cfRule>
    <cfRule type="cellIs" dxfId="829" priority="567" operator="between">
      <formula>6</formula>
      <formula>6.9</formula>
    </cfRule>
    <cfRule type="containsBlanks" dxfId="828" priority="573" stopIfTrue="1">
      <formula>LEN(TRIM(B197))=0</formula>
    </cfRule>
    <cfRule type="cellIs" dxfId="827" priority="572" stopIfTrue="1" operator="between">
      <formula>10</formula>
      <formula>10</formula>
    </cfRule>
    <cfRule type="cellIs" dxfId="826" priority="571" operator="between">
      <formula>9</formula>
      <formula>9.9</formula>
    </cfRule>
    <cfRule type="cellIs" dxfId="825" priority="570" stopIfTrue="1" operator="between">
      <formula>8</formula>
      <formula>8.9</formula>
    </cfRule>
    <cfRule type="cellIs" dxfId="824" priority="568" operator="between">
      <formula>10.1</formula>
      <formula>10.6</formula>
    </cfRule>
  </conditionalFormatting>
  <conditionalFormatting sqref="B213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23" priority="493" operator="between">
      <formula>7</formula>
      <formula>7.9</formula>
    </cfRule>
    <cfRule type="cellIs" dxfId="822" priority="491" operator="between">
      <formula>6</formula>
      <formula>6.9</formula>
    </cfRule>
    <cfRule type="cellIs" dxfId="821" priority="492" operator="between">
      <formula>10.1</formula>
      <formula>10.6</formula>
    </cfRule>
    <cfRule type="cellIs" dxfId="820" priority="494" stopIfTrue="1" operator="between">
      <formula>8</formula>
      <formula>8.9</formula>
    </cfRule>
    <cfRule type="cellIs" dxfId="819" priority="495" operator="between">
      <formula>9</formula>
      <formula>9.9</formula>
    </cfRule>
    <cfRule type="cellIs" dxfId="818" priority="496" stopIfTrue="1" operator="between">
      <formula>10</formula>
      <formula>10</formula>
    </cfRule>
    <cfRule type="containsBlanks" dxfId="817" priority="497" stopIfTrue="1">
      <formula>LEN(TRIM(B214))=0</formula>
    </cfRule>
  </conditionalFormatting>
  <conditionalFormatting sqref="B226">
    <cfRule type="colorScale" priority="472">
      <colorScale>
        <cfvo type="num" val="5"/>
        <cfvo type="num" val="10"/>
        <color rgb="FFFF494D"/>
        <color rgb="FF00FF66"/>
      </colorScale>
    </cfRule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443">
      <colorScale>
        <cfvo type="num" val="5"/>
        <cfvo type="num" val="10"/>
        <color rgb="FFFF494D"/>
        <color rgb="FF00FF66"/>
      </colorScale>
    </cfRule>
    <cfRule type="colorScale" priority="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816" priority="434" stopIfTrue="1">
      <formula>LEN(TRIM(B236))=0</formula>
    </cfRule>
    <cfRule type="cellIs" dxfId="815" priority="433" stopIfTrue="1" operator="between">
      <formula>10</formula>
      <formula>10</formula>
    </cfRule>
    <cfRule type="cellIs" dxfId="814" priority="432" operator="between">
      <formula>9</formula>
      <formula>9.9</formula>
    </cfRule>
    <cfRule type="cellIs" dxfId="813" priority="431" stopIfTrue="1" operator="between">
      <formula>8</formula>
      <formula>8.9</formula>
    </cfRule>
    <cfRule type="cellIs" dxfId="812" priority="430" operator="between">
      <formula>7</formula>
      <formula>7.9</formula>
    </cfRule>
    <cfRule type="cellIs" dxfId="811" priority="429" operator="between">
      <formula>10.1</formula>
      <formula>10.6</formula>
    </cfRule>
    <cfRule type="cellIs" dxfId="810" priority="428" operator="between">
      <formula>6</formula>
      <formula>6.9</formula>
    </cfRule>
  </conditionalFormatting>
  <conditionalFormatting sqref="B246">
    <cfRule type="colorScale" priority="391">
      <colorScale>
        <cfvo type="num" val="5"/>
        <cfvo type="num" val="10"/>
        <color rgb="FFFF494D"/>
        <color rgb="FF00FF66"/>
      </colorScale>
    </cfRule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09" priority="384" operator="between">
      <formula>10.1</formula>
      <formula>10.6</formula>
    </cfRule>
    <cfRule type="cellIs" dxfId="808" priority="388" stopIfTrue="1" operator="between">
      <formula>10</formula>
      <formula>10</formula>
    </cfRule>
    <cfRule type="containsBlanks" dxfId="807" priority="389" stopIfTrue="1">
      <formula>LEN(TRIM(B247))=0</formula>
    </cfRule>
    <cfRule type="cellIs" dxfId="806" priority="386" stopIfTrue="1" operator="between">
      <formula>8</formula>
      <formula>8.9</formula>
    </cfRule>
    <cfRule type="cellIs" dxfId="805" priority="385" operator="between">
      <formula>7</formula>
      <formula>7.9</formula>
    </cfRule>
    <cfRule type="cellIs" dxfId="804" priority="383" operator="between">
      <formula>6</formula>
      <formula>6.9</formula>
    </cfRule>
    <cfRule type="cellIs" dxfId="803" priority="387" operator="between">
      <formula>9</formula>
      <formula>9.9</formula>
    </cfRule>
  </conditionalFormatting>
  <conditionalFormatting sqref="B260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802" priority="347" operator="between">
      <formula>7</formula>
      <formula>7.9</formula>
    </cfRule>
    <cfRule type="cellIs" dxfId="801" priority="348" stopIfTrue="1" operator="between">
      <formula>8</formula>
      <formula>8.9</formula>
    </cfRule>
    <cfRule type="cellIs" dxfId="800" priority="349" operator="between">
      <formula>9</formula>
      <formula>9.9</formula>
    </cfRule>
    <cfRule type="containsBlanks" dxfId="799" priority="351" stopIfTrue="1">
      <formula>LEN(TRIM(B261))=0</formula>
    </cfRule>
    <cfRule type="cellIs" dxfId="798" priority="350" stopIfTrue="1" operator="between">
      <formula>10</formula>
      <formula>10</formula>
    </cfRule>
    <cfRule type="cellIs" dxfId="797" priority="345" operator="between">
      <formula>6</formula>
      <formula>6.9</formula>
    </cfRule>
    <cfRule type="cellIs" dxfId="796" priority="346" operator="between">
      <formula>10.1</formula>
      <formula>10.6</formula>
    </cfRule>
  </conditionalFormatting>
  <conditionalFormatting sqref="B272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95" priority="307" operator="between">
      <formula>9</formula>
      <formula>9.9</formula>
    </cfRule>
    <cfRule type="cellIs" dxfId="794" priority="303" operator="between">
      <formula>6</formula>
      <formula>6.9</formula>
    </cfRule>
    <cfRule type="cellIs" dxfId="793" priority="304" operator="between">
      <formula>10.1</formula>
      <formula>10.6</formula>
    </cfRule>
    <cfRule type="cellIs" dxfId="792" priority="305" operator="between">
      <formula>7</formula>
      <formula>7.9</formula>
    </cfRule>
    <cfRule type="cellIs" dxfId="791" priority="306" stopIfTrue="1" operator="between">
      <formula>8</formula>
      <formula>8.9</formula>
    </cfRule>
    <cfRule type="cellIs" dxfId="790" priority="308" stopIfTrue="1" operator="between">
      <formula>10</formula>
      <formula>10</formula>
    </cfRule>
    <cfRule type="containsBlanks" dxfId="789" priority="309" stopIfTrue="1">
      <formula>LEN(TRIM(B273))=0</formula>
    </cfRule>
  </conditionalFormatting>
  <conditionalFormatting sqref="B279">
    <cfRule type="colorScale" priority="263">
      <colorScale>
        <cfvo type="num" val="5"/>
        <cfvo type="num" val="10"/>
        <color rgb="FFFF494D"/>
        <color rgb="FF00FF66"/>
      </colorScale>
    </cfRule>
    <cfRule type="colorScale" priority="2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788" priority="261" stopIfTrue="1">
      <formula>LEN(TRIM(B280))=0</formula>
    </cfRule>
    <cfRule type="cellIs" dxfId="787" priority="260" stopIfTrue="1" operator="between">
      <formula>10</formula>
      <formula>10</formula>
    </cfRule>
    <cfRule type="cellIs" dxfId="786" priority="259" operator="between">
      <formula>9</formula>
      <formula>9.9</formula>
    </cfRule>
    <cfRule type="cellIs" dxfId="785" priority="258" stopIfTrue="1" operator="between">
      <formula>8</formula>
      <formula>8.9</formula>
    </cfRule>
    <cfRule type="cellIs" dxfId="784" priority="257" operator="between">
      <formula>7</formula>
      <formula>7.9</formula>
    </cfRule>
    <cfRule type="cellIs" dxfId="783" priority="256" operator="between">
      <formula>10.1</formula>
      <formula>10.6</formula>
    </cfRule>
    <cfRule type="cellIs" dxfId="782" priority="255" operator="between">
      <formula>6</formula>
      <formula>6.9</formula>
    </cfRule>
  </conditionalFormatting>
  <conditionalFormatting sqref="B309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781" priority="144" operator="between">
      <formula>6</formula>
      <formula>6.9</formula>
    </cfRule>
    <cfRule type="containsBlanks" dxfId="780" priority="150" stopIfTrue="1">
      <formula>LEN(TRIM(B310))=0</formula>
    </cfRule>
    <cfRule type="cellIs" dxfId="779" priority="149" stopIfTrue="1" operator="between">
      <formula>10</formula>
      <formula>10</formula>
    </cfRule>
    <cfRule type="cellIs" dxfId="778" priority="148" operator="between">
      <formula>9</formula>
      <formula>9.9</formula>
    </cfRule>
    <cfRule type="cellIs" dxfId="777" priority="147" stopIfTrue="1" operator="between">
      <formula>8</formula>
      <formula>8.9</formula>
    </cfRule>
    <cfRule type="cellIs" dxfId="776" priority="146" operator="between">
      <formula>7</formula>
      <formula>7.9</formula>
    </cfRule>
    <cfRule type="cellIs" dxfId="775" priority="145" operator="between">
      <formula>10.1</formula>
      <formula>10.6</formula>
    </cfRule>
  </conditionalFormatting>
  <conditionalFormatting sqref="B322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774" priority="84" stopIfTrue="1" operator="between">
      <formula>8</formula>
      <formula>8.9</formula>
    </cfRule>
    <cfRule type="cellIs" dxfId="773" priority="85" operator="between">
      <formula>9</formula>
      <formula>9.9</formula>
    </cfRule>
    <cfRule type="cellIs" dxfId="772" priority="86" stopIfTrue="1" operator="between">
      <formula>10</formula>
      <formula>10</formula>
    </cfRule>
    <cfRule type="cellIs" dxfId="771" priority="79" operator="lessThan">
      <formula>2</formula>
    </cfRule>
    <cfRule type="cellIs" dxfId="770" priority="80" operator="between">
      <formula>2</formula>
      <formula>4.9</formula>
    </cfRule>
    <cfRule type="cellIs" dxfId="769" priority="81" operator="between">
      <formula>5</formula>
      <formula>6.9</formula>
    </cfRule>
    <cfRule type="cellIs" dxfId="768" priority="82" operator="between">
      <formula>10.1</formula>
      <formula>10.6</formula>
    </cfRule>
    <cfRule type="cellIs" dxfId="767" priority="83" operator="between">
      <formula>7</formula>
      <formula>7.9</formula>
    </cfRule>
    <cfRule type="containsBlanks" dxfId="766" priority="78" stopIfTrue="1">
      <formula>LEN(TRIM(B323))=0</formula>
    </cfRule>
  </conditionalFormatting>
  <conditionalFormatting sqref="E3:E12">
    <cfRule type="cellIs" dxfId="765" priority="1210" operator="between">
      <formula>7</formula>
      <formula>7.9</formula>
    </cfRule>
    <cfRule type="cellIs" dxfId="764" priority="1209" operator="between">
      <formula>10.1</formula>
      <formula>10.6</formula>
    </cfRule>
    <cfRule type="containsBlanks" dxfId="763" priority="1214" stopIfTrue="1">
      <formula>LEN(TRIM(E3))=0</formula>
    </cfRule>
    <cfRule type="cellIs" dxfId="762" priority="1212" operator="between">
      <formula>9</formula>
      <formula>9.9</formula>
    </cfRule>
    <cfRule type="cellIs" dxfId="761" priority="1213" stopIfTrue="1" operator="between">
      <formula>10</formula>
      <formula>10</formula>
    </cfRule>
    <cfRule type="cellIs" dxfId="760" priority="1211" stopIfTrue="1" operator="between">
      <formula>8</formula>
      <formula>8.9</formula>
    </cfRule>
  </conditionalFormatting>
  <conditionalFormatting sqref="E15:E28">
    <cfRule type="cellIs" dxfId="759" priority="521" operator="between">
      <formula>9</formula>
      <formula>9.9</formula>
    </cfRule>
    <cfRule type="cellIs" dxfId="758" priority="522" stopIfTrue="1" operator="between">
      <formula>10</formula>
      <formula>10</formula>
    </cfRule>
    <cfRule type="cellIs" dxfId="757" priority="519" operator="between">
      <formula>7</formula>
      <formula>7.9</formula>
    </cfRule>
    <cfRule type="cellIs" dxfId="756" priority="520" stopIfTrue="1" operator="between">
      <formula>8</formula>
      <formula>8.9</formula>
    </cfRule>
    <cfRule type="containsBlanks" dxfId="755" priority="523" stopIfTrue="1">
      <formula>LEN(TRIM(E15))=0</formula>
    </cfRule>
  </conditionalFormatting>
  <conditionalFormatting sqref="E16">
    <cfRule type="cellIs" dxfId="754" priority="518" operator="between">
      <formula>10.1</formula>
      <formula>10.6</formula>
    </cfRule>
  </conditionalFormatting>
  <conditionalFormatting sqref="E31:E37">
    <cfRule type="cellIs" dxfId="753" priority="1173" operator="between">
      <formula>10.1</formula>
      <formula>10.6</formula>
    </cfRule>
    <cfRule type="cellIs" dxfId="752" priority="1174" operator="between">
      <formula>7</formula>
      <formula>7.9</formula>
    </cfRule>
    <cfRule type="cellIs" dxfId="751" priority="1175" stopIfTrue="1" operator="between">
      <formula>8</formula>
      <formula>8.9</formula>
    </cfRule>
    <cfRule type="cellIs" dxfId="750" priority="1176" operator="between">
      <formula>9</formula>
      <formula>9.9</formula>
    </cfRule>
    <cfRule type="cellIs" dxfId="749" priority="1177" stopIfTrue="1" operator="between">
      <formula>10</formula>
      <formula>10</formula>
    </cfRule>
    <cfRule type="containsBlanks" dxfId="748" priority="1178" stopIfTrue="1">
      <formula>LEN(TRIM(E31))=0</formula>
    </cfRule>
  </conditionalFormatting>
  <conditionalFormatting sqref="E39">
    <cfRule type="colorScale" priority="1574">
      <colorScale>
        <cfvo type="num" val="5"/>
        <cfvo type="num" val="10"/>
        <color rgb="FFFF494D"/>
        <color rgb="FF00FF66"/>
      </colorScale>
    </cfRule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747" priority="1285" operator="between">
      <formula>7</formula>
      <formula>7.9</formula>
    </cfRule>
    <cfRule type="cellIs" dxfId="746" priority="1286" stopIfTrue="1" operator="between">
      <formula>8</formula>
      <formula>8.9</formula>
    </cfRule>
    <cfRule type="cellIs" dxfId="745" priority="1287" operator="between">
      <formula>9</formula>
      <formula>9.9</formula>
    </cfRule>
    <cfRule type="cellIs" dxfId="744" priority="1288" stopIfTrue="1" operator="between">
      <formula>10</formula>
      <formula>10</formula>
    </cfRule>
  </conditionalFormatting>
  <conditionalFormatting sqref="E54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743" priority="1155" operator="between">
      <formula>10.1</formula>
      <formula>10.6</formula>
    </cfRule>
    <cfRule type="cellIs" dxfId="742" priority="1156" operator="between">
      <formula>7</formula>
      <formula>7.9</formula>
    </cfRule>
    <cfRule type="cellIs" dxfId="741" priority="1158" operator="between">
      <formula>9</formula>
      <formula>9.9</formula>
    </cfRule>
    <cfRule type="cellIs" dxfId="740" priority="1159" stopIfTrue="1" operator="between">
      <formula>10</formula>
      <formula>10</formula>
    </cfRule>
    <cfRule type="containsBlanks" dxfId="739" priority="1160" stopIfTrue="1">
      <formula>LEN(TRIM(E55))=0</formula>
    </cfRule>
    <cfRule type="cellIs" dxfId="738" priority="1157" stopIfTrue="1" operator="between">
      <formula>8</formula>
      <formula>8.9</formula>
    </cfRule>
  </conditionalFormatting>
  <conditionalFormatting sqref="E65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37" priority="1088" operator="between">
      <formula>10.1</formula>
      <formula>10.6</formula>
    </cfRule>
    <cfRule type="cellIs" dxfId="736" priority="1089" operator="between">
      <formula>7</formula>
      <formula>7.9</formula>
    </cfRule>
    <cfRule type="cellIs" dxfId="735" priority="1090" stopIfTrue="1" operator="between">
      <formula>8</formula>
      <formula>8.9</formula>
    </cfRule>
    <cfRule type="cellIs" dxfId="734" priority="1091" operator="between">
      <formula>9</formula>
      <formula>9.9</formula>
    </cfRule>
    <cfRule type="cellIs" dxfId="733" priority="1092" stopIfTrue="1" operator="between">
      <formula>10</formula>
      <formula>10</formula>
    </cfRule>
    <cfRule type="containsBlanks" dxfId="732" priority="1093" stopIfTrue="1">
      <formula>LEN(TRIM(E66))=0</formula>
    </cfRule>
  </conditionalFormatting>
  <conditionalFormatting sqref="E80">
    <cfRule type="colorScale" priority="1016">
      <colorScale>
        <cfvo type="num" val="5"/>
        <cfvo type="num" val="10"/>
        <color rgb="FFFF494D"/>
        <color rgb="FF00FF66"/>
      </colorScale>
    </cfRule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31" priority="1011" stopIfTrue="1" operator="between">
      <formula>8</formula>
      <formula>8.9</formula>
    </cfRule>
    <cfRule type="cellIs" dxfId="730" priority="1009" operator="between">
      <formula>10.1</formula>
      <formula>10.6</formula>
    </cfRule>
    <cfRule type="cellIs" dxfId="729" priority="1010" operator="between">
      <formula>7</formula>
      <formula>7.9</formula>
    </cfRule>
    <cfRule type="cellIs" dxfId="728" priority="1012" operator="between">
      <formula>9</formula>
      <formula>9.9</formula>
    </cfRule>
    <cfRule type="cellIs" dxfId="727" priority="1013" stopIfTrue="1" operator="between">
      <formula>10</formula>
      <formula>10</formula>
    </cfRule>
    <cfRule type="containsBlanks" dxfId="726" priority="1014" stopIfTrue="1">
      <formula>LEN(TRIM(E81))=0</formula>
    </cfRule>
  </conditionalFormatting>
  <conditionalFormatting sqref="E101">
    <cfRule type="colorScale" priority="930">
      <colorScale>
        <cfvo type="num" val="5"/>
        <cfvo type="num" val="10"/>
        <color rgb="FFFF494D"/>
        <color rgb="FF00FF66"/>
      </colorScale>
    </cfRule>
    <cfRule type="colorScale" priority="9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725" priority="932" operator="between">
      <formula>7</formula>
      <formula>7.9</formula>
    </cfRule>
    <cfRule type="cellIs" dxfId="724" priority="931" operator="between">
      <formula>10.1</formula>
      <formula>10.6</formula>
    </cfRule>
    <cfRule type="cellIs" dxfId="723" priority="933" stopIfTrue="1" operator="between">
      <formula>8</formula>
      <formula>8.9</formula>
    </cfRule>
    <cfRule type="cellIs" dxfId="722" priority="935" stopIfTrue="1" operator="between">
      <formula>10</formula>
      <formula>10</formula>
    </cfRule>
    <cfRule type="containsBlanks" dxfId="721" priority="936" stopIfTrue="1">
      <formula>LEN(TRIM(E102))=0</formula>
    </cfRule>
    <cfRule type="cellIs" dxfId="720" priority="934" operator="between">
      <formula>9</formula>
      <formula>9.9</formula>
    </cfRule>
  </conditionalFormatting>
  <conditionalFormatting sqref="E117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19" priority="867" stopIfTrue="1" operator="between">
      <formula>8</formula>
      <formula>8.9</formula>
    </cfRule>
    <cfRule type="cellIs" dxfId="718" priority="869" stopIfTrue="1" operator="between">
      <formula>10</formula>
      <formula>10</formula>
    </cfRule>
    <cfRule type="cellIs" dxfId="717" priority="868" operator="between">
      <formula>9</formula>
      <formula>9.9</formula>
    </cfRule>
    <cfRule type="cellIs" dxfId="716" priority="866" operator="between">
      <formula>7</formula>
      <formula>7.9</formula>
    </cfRule>
    <cfRule type="cellIs" dxfId="715" priority="865" operator="between">
      <formula>10.1</formula>
      <formula>10.6</formula>
    </cfRule>
    <cfRule type="cellIs" dxfId="714" priority="864" operator="between">
      <formula>6</formula>
      <formula>6.9</formula>
    </cfRule>
    <cfRule type="containsBlanks" dxfId="713" priority="870" stopIfTrue="1">
      <formula>LEN(TRIM(E118))=0</formula>
    </cfRule>
  </conditionalFormatting>
  <conditionalFormatting sqref="E128">
    <cfRule type="colorScale" priority="839">
      <colorScale>
        <cfvo type="num" val="5"/>
        <cfvo type="num" val="10"/>
        <color rgb="FFFF494D"/>
        <color rgb="FF00FF66"/>
      </colorScale>
    </cfRule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712" priority="837" stopIfTrue="1">
      <formula>LEN(TRIM(E129))=0</formula>
    </cfRule>
    <cfRule type="cellIs" dxfId="711" priority="836" stopIfTrue="1" operator="between">
      <formula>10</formula>
      <formula>10</formula>
    </cfRule>
    <cfRule type="cellIs" dxfId="710" priority="835" operator="between">
      <formula>9</formula>
      <formula>9.9</formula>
    </cfRule>
    <cfRule type="cellIs" dxfId="709" priority="834" stopIfTrue="1" operator="between">
      <formula>8</formula>
      <formula>8.9</formula>
    </cfRule>
    <cfRule type="cellIs" dxfId="708" priority="833" operator="between">
      <formula>7</formula>
      <formula>7.9</formula>
    </cfRule>
    <cfRule type="cellIs" dxfId="707" priority="832" operator="between">
      <formula>10.1</formula>
      <formula>10.6</formula>
    </cfRule>
    <cfRule type="cellIs" dxfId="706" priority="831" operator="between">
      <formula>6</formula>
      <formula>6.9</formula>
    </cfRule>
  </conditionalFormatting>
  <conditionalFormatting sqref="E146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05" priority="745" operator="between">
      <formula>10.1</formula>
      <formula>10.6</formula>
    </cfRule>
    <cfRule type="cellIs" dxfId="704" priority="744" operator="between">
      <formula>6</formula>
      <formula>6.9</formula>
    </cfRule>
    <cfRule type="cellIs" dxfId="703" priority="747" stopIfTrue="1" operator="between">
      <formula>8</formula>
      <formula>8.9</formula>
    </cfRule>
    <cfRule type="cellIs" dxfId="702" priority="748" operator="between">
      <formula>9</formula>
      <formula>9.9</formula>
    </cfRule>
    <cfRule type="containsBlanks" dxfId="701" priority="750" stopIfTrue="1">
      <formula>LEN(TRIM(E147))=0</formula>
    </cfRule>
    <cfRule type="cellIs" dxfId="700" priority="746" operator="between">
      <formula>7</formula>
      <formula>7.9</formula>
    </cfRule>
    <cfRule type="cellIs" dxfId="699" priority="749" stopIfTrue="1" operator="between">
      <formula>10</formula>
      <formula>10</formula>
    </cfRule>
  </conditionalFormatting>
  <conditionalFormatting sqref="E161">
    <cfRule type="colorScale" priority="716">
      <colorScale>
        <cfvo type="num" val="5"/>
        <cfvo type="num" val="10"/>
        <color rgb="FFFF494D"/>
        <color rgb="FF00FF66"/>
      </colorScale>
    </cfRule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98" priority="713" stopIfTrue="1" operator="between">
      <formula>10</formula>
      <formula>10</formula>
    </cfRule>
    <cfRule type="cellIs" dxfId="697" priority="712" operator="between">
      <formula>9</formula>
      <formula>9.9</formula>
    </cfRule>
    <cfRule type="cellIs" dxfId="696" priority="708" operator="between">
      <formula>6</formula>
      <formula>6.9</formula>
    </cfRule>
    <cfRule type="cellIs" dxfId="695" priority="711" stopIfTrue="1" operator="between">
      <formula>8</formula>
      <formula>8.9</formula>
    </cfRule>
    <cfRule type="containsBlanks" dxfId="694" priority="714" stopIfTrue="1">
      <formula>LEN(TRIM(E162))=0</formula>
    </cfRule>
    <cfRule type="cellIs" dxfId="693" priority="710" operator="between">
      <formula>7</formula>
      <formula>7.9</formula>
    </cfRule>
    <cfRule type="cellIs" dxfId="692" priority="709" operator="between">
      <formula>10.1</formula>
      <formula>10.6</formula>
    </cfRule>
  </conditionalFormatting>
  <conditionalFormatting sqref="E172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691" priority="663" operator="between">
      <formula>6</formula>
      <formula>6.9</formula>
    </cfRule>
    <cfRule type="cellIs" dxfId="690" priority="664" operator="between">
      <formula>10.1</formula>
      <formula>10.6</formula>
    </cfRule>
    <cfRule type="cellIs" dxfId="689" priority="665" operator="between">
      <formula>7</formula>
      <formula>7.9</formula>
    </cfRule>
    <cfRule type="containsBlanks" dxfId="688" priority="669" stopIfTrue="1">
      <formula>LEN(TRIM(E173))=0</formula>
    </cfRule>
    <cfRule type="cellIs" dxfId="687" priority="668" stopIfTrue="1" operator="between">
      <formula>10</formula>
      <formula>10</formula>
    </cfRule>
    <cfRule type="cellIs" dxfId="686" priority="666" stopIfTrue="1" operator="between">
      <formula>8</formula>
      <formula>8.9</formula>
    </cfRule>
    <cfRule type="cellIs" dxfId="685" priority="667" operator="between">
      <formula>9</formula>
      <formula>9.9</formula>
    </cfRule>
  </conditionalFormatting>
  <conditionalFormatting sqref="E186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84" priority="601" operator="between">
      <formula>6</formula>
      <formula>6.9</formula>
    </cfRule>
    <cfRule type="containsBlanks" dxfId="683" priority="607" stopIfTrue="1">
      <formula>LEN(TRIM(E187))=0</formula>
    </cfRule>
    <cfRule type="cellIs" dxfId="682" priority="603" operator="between">
      <formula>7</formula>
      <formula>7.9</formula>
    </cfRule>
    <cfRule type="cellIs" dxfId="681" priority="606" stopIfTrue="1" operator="between">
      <formula>10</formula>
      <formula>10</formula>
    </cfRule>
    <cfRule type="cellIs" dxfId="680" priority="602" operator="between">
      <formula>10.1</formula>
      <formula>10.6</formula>
    </cfRule>
    <cfRule type="cellIs" dxfId="679" priority="604" stopIfTrue="1" operator="between">
      <formula>8</formula>
      <formula>8.9</formula>
    </cfRule>
    <cfRule type="cellIs" dxfId="678" priority="605" operator="between">
      <formula>9</formula>
      <formula>9.9</formula>
    </cfRule>
  </conditionalFormatting>
  <conditionalFormatting sqref="E201">
    <cfRule type="colorScale" priority="555">
      <colorScale>
        <cfvo type="num" val="5"/>
        <cfvo type="num" val="10"/>
        <color rgb="FFFF494D"/>
        <color rgb="FF00FF66"/>
      </colorScale>
    </cfRule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677" priority="549" operator="between">
      <formula>7</formula>
      <formula>7.9</formula>
    </cfRule>
    <cfRule type="cellIs" dxfId="676" priority="548" operator="between">
      <formula>10.1</formula>
      <formula>11</formula>
    </cfRule>
    <cfRule type="cellIs" dxfId="675" priority="547" operator="between">
      <formula>6</formula>
      <formula>6.9</formula>
    </cfRule>
    <cfRule type="containsBlanks" dxfId="674" priority="553" stopIfTrue="1">
      <formula>LEN(TRIM(E202))=0</formula>
    </cfRule>
    <cfRule type="cellIs" dxfId="673" priority="552" stopIfTrue="1" operator="between">
      <formula>10</formula>
      <formula>10</formula>
    </cfRule>
    <cfRule type="cellIs" dxfId="672" priority="551" operator="between">
      <formula>9</formula>
      <formula>9.9</formula>
    </cfRule>
    <cfRule type="cellIs" dxfId="671" priority="550" stopIfTrue="1" operator="between">
      <formula>8</formula>
      <formula>8.9</formula>
    </cfRule>
  </conditionalFormatting>
  <conditionalFormatting sqref="E213">
    <cfRule type="colorScale" priority="501">
      <colorScale>
        <cfvo type="num" val="5"/>
        <cfvo type="num" val="10"/>
        <color rgb="FFFF494D"/>
        <color rgb="FF00FF66"/>
      </colorScale>
    </cfRule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670" priority="504" operator="between">
      <formula>7</formula>
      <formula>7.9</formula>
    </cfRule>
    <cfRule type="cellIs" dxfId="669" priority="503" operator="between">
      <formula>10.1</formula>
      <formula>10.6</formula>
    </cfRule>
    <cfRule type="cellIs" dxfId="668" priority="502" operator="between">
      <formula>6</formula>
      <formula>6.9</formula>
    </cfRule>
    <cfRule type="cellIs" dxfId="667" priority="507" stopIfTrue="1" operator="between">
      <formula>10</formula>
      <formula>10</formula>
    </cfRule>
    <cfRule type="cellIs" dxfId="666" priority="506" operator="between">
      <formula>9</formula>
      <formula>9.9</formula>
    </cfRule>
    <cfRule type="cellIs" dxfId="665" priority="505" stopIfTrue="1" operator="between">
      <formula>8</formula>
      <formula>8.9</formula>
    </cfRule>
    <cfRule type="containsBlanks" dxfId="664" priority="508" stopIfTrue="1">
      <formula>LEN(TRIM(E214))=0</formula>
    </cfRule>
  </conditionalFormatting>
  <conditionalFormatting sqref="E229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663" priority="466" operator="between">
      <formula>9</formula>
      <formula>9.9</formula>
    </cfRule>
    <cfRule type="cellIs" dxfId="662" priority="467" stopIfTrue="1" operator="between">
      <formula>10</formula>
      <formula>10</formula>
    </cfRule>
    <cfRule type="containsBlanks" dxfId="661" priority="468" stopIfTrue="1">
      <formula>LEN(TRIM(E230))=0</formula>
    </cfRule>
    <cfRule type="cellIs" dxfId="660" priority="465" stopIfTrue="1" operator="between">
      <formula>8</formula>
      <formula>8.9</formula>
    </cfRule>
    <cfRule type="cellIs" dxfId="659" priority="462" operator="between">
      <formula>6</formula>
      <formula>6.9</formula>
    </cfRule>
    <cfRule type="cellIs" dxfId="658" priority="463" operator="between">
      <formula>10.1</formula>
      <formula>10.6</formula>
    </cfRule>
    <cfRule type="cellIs" dxfId="657" priority="464" operator="between">
      <formula>7</formula>
      <formula>7.9</formula>
    </cfRule>
  </conditionalFormatting>
  <conditionalFormatting sqref="E237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56" priority="422" operator="between">
      <formula>10.1</formula>
      <formula>10.6</formula>
    </cfRule>
    <cfRule type="cellIs" dxfId="655" priority="421" operator="between">
      <formula>6</formula>
      <formula>6.9</formula>
    </cfRule>
    <cfRule type="cellIs" dxfId="654" priority="423" operator="between">
      <formula>7</formula>
      <formula>7.9</formula>
    </cfRule>
    <cfRule type="cellIs" dxfId="653" priority="424" stopIfTrue="1" operator="between">
      <formula>8</formula>
      <formula>8.9</formula>
    </cfRule>
    <cfRule type="cellIs" dxfId="652" priority="425" operator="between">
      <formula>9</formula>
      <formula>9.9</formula>
    </cfRule>
    <cfRule type="cellIs" dxfId="651" priority="426" stopIfTrue="1" operator="between">
      <formula>10</formula>
      <formula>10</formula>
    </cfRule>
    <cfRule type="containsBlanks" dxfId="650" priority="427" stopIfTrue="1">
      <formula>LEN(TRIM(E238))=0</formula>
    </cfRule>
  </conditionalFormatting>
  <conditionalFormatting sqref="E254"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326">
      <colorScale>
        <cfvo type="num" val="5"/>
        <cfvo type="num" val="10"/>
        <color rgb="FFFF494D"/>
        <color rgb="FF00FF66"/>
      </colorScale>
    </cfRule>
    <cfRule type="colorScale" priority="3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649" priority="331" operator="between">
      <formula>9</formula>
      <formula>9.9</formula>
    </cfRule>
    <cfRule type="cellIs" dxfId="648" priority="330" stopIfTrue="1" operator="between">
      <formula>8</formula>
      <formula>8.9</formula>
    </cfRule>
    <cfRule type="cellIs" dxfId="647" priority="328" operator="between">
      <formula>10.1</formula>
      <formula>10.6</formula>
    </cfRule>
    <cfRule type="cellIs" dxfId="646" priority="327" operator="between">
      <formula>6</formula>
      <formula>6.9</formula>
    </cfRule>
    <cfRule type="cellIs" dxfId="645" priority="329" operator="between">
      <formula>7</formula>
      <formula>7.9</formula>
    </cfRule>
    <cfRule type="cellIs" dxfId="644" priority="332" stopIfTrue="1" operator="between">
      <formula>10</formula>
      <formula>10</formula>
    </cfRule>
    <cfRule type="containsBlanks" dxfId="643" priority="333" stopIfTrue="1">
      <formula>LEN(TRIM(E267))=0</formula>
    </cfRule>
  </conditionalFormatting>
  <conditionalFormatting sqref="E278">
    <cfRule type="colorScale" priority="282">
      <colorScale>
        <cfvo type="num" val="5"/>
        <cfvo type="num" val="10"/>
        <color rgb="FFFF494D"/>
        <color rgb="FF00FF66"/>
      </colorScale>
    </cfRule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642" priority="274" operator="between">
      <formula>6</formula>
      <formula>6.9</formula>
    </cfRule>
    <cfRule type="cellIs" dxfId="641" priority="275" operator="between">
      <formula>10.1</formula>
      <formula>10.6</formula>
    </cfRule>
    <cfRule type="cellIs" dxfId="640" priority="276" operator="between">
      <formula>7</formula>
      <formula>7.9</formula>
    </cfRule>
    <cfRule type="cellIs" dxfId="639" priority="278" operator="between">
      <formula>9</formula>
      <formula>9.9</formula>
    </cfRule>
    <cfRule type="cellIs" dxfId="638" priority="279" stopIfTrue="1" operator="between">
      <formula>10</formula>
      <formula>10</formula>
    </cfRule>
    <cfRule type="containsBlanks" dxfId="637" priority="280" stopIfTrue="1">
      <formula>LEN(TRIM(E279))=0</formula>
    </cfRule>
    <cfRule type="cellIs" dxfId="636" priority="277" stopIfTrue="1" operator="between">
      <formula>8</formula>
      <formula>8.9</formula>
    </cfRule>
  </conditionalFormatting>
  <conditionalFormatting sqref="E288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35" priority="230" operator="between">
      <formula>9</formula>
      <formula>9.9</formula>
    </cfRule>
    <cfRule type="cellIs" dxfId="634" priority="231" stopIfTrue="1" operator="between">
      <formula>10</formula>
      <formula>10</formula>
    </cfRule>
    <cfRule type="containsBlanks" dxfId="633" priority="232" stopIfTrue="1">
      <formula>LEN(TRIM(E289))=0</formula>
    </cfRule>
    <cfRule type="cellIs" dxfId="632" priority="229" stopIfTrue="1" operator="between">
      <formula>8</formula>
      <formula>8.9</formula>
    </cfRule>
    <cfRule type="cellIs" dxfId="631" priority="227" operator="between">
      <formula>10.1</formula>
      <formula>10.6</formula>
    </cfRule>
    <cfRule type="cellIs" dxfId="630" priority="226" operator="between">
      <formula>6</formula>
      <formula>6.9</formula>
    </cfRule>
    <cfRule type="cellIs" dxfId="629" priority="228" operator="between">
      <formula>7</formula>
      <formula>7.9</formula>
    </cfRule>
  </conditionalFormatting>
  <conditionalFormatting sqref="E299">
    <cfRule type="colorScale" priority="183">
      <colorScale>
        <cfvo type="num" val="5"/>
        <cfvo type="num" val="10"/>
        <color rgb="FFFF494D"/>
        <color rgb="FF00FF66"/>
      </colorScale>
    </cfRule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628" priority="180" stopIfTrue="1" operator="between">
      <formula>10</formula>
      <formula>10</formula>
    </cfRule>
    <cfRule type="containsBlanks" dxfId="627" priority="181" stopIfTrue="1">
      <formula>LEN(TRIM(E300))=0</formula>
    </cfRule>
    <cfRule type="cellIs" dxfId="626" priority="175" operator="between">
      <formula>6</formula>
      <formula>6.9</formula>
    </cfRule>
    <cfRule type="cellIs" dxfId="625" priority="176" operator="between">
      <formula>10.1</formula>
      <formula>10.6</formula>
    </cfRule>
    <cfRule type="cellIs" dxfId="624" priority="177" operator="between">
      <formula>7</formula>
      <formula>7.9</formula>
    </cfRule>
    <cfRule type="cellIs" dxfId="623" priority="178" stopIfTrue="1" operator="between">
      <formula>8</formula>
      <formula>8.9</formula>
    </cfRule>
    <cfRule type="cellIs" dxfId="622" priority="179" operator="between">
      <formula>9</formula>
      <formula>9.9</formula>
    </cfRule>
  </conditionalFormatting>
  <conditionalFormatting sqref="E310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621" priority="128" stopIfTrue="1" operator="between">
      <formula>8</formula>
      <formula>8.9</formula>
    </cfRule>
    <cfRule type="cellIs" dxfId="620" priority="129" operator="between">
      <formula>9</formula>
      <formula>9.9</formula>
    </cfRule>
    <cfRule type="cellIs" dxfId="619" priority="130" stopIfTrue="1" operator="between">
      <formula>10</formula>
      <formula>10</formula>
    </cfRule>
    <cfRule type="containsBlanks" dxfId="618" priority="122" stopIfTrue="1">
      <formula>LEN(TRIM(E311))=0</formula>
    </cfRule>
    <cfRule type="cellIs" dxfId="617" priority="126" operator="between">
      <formula>10.1</formula>
      <formula>10.6</formula>
    </cfRule>
    <cfRule type="cellIs" dxfId="616" priority="123" operator="lessThan">
      <formula>2</formula>
    </cfRule>
    <cfRule type="cellIs" dxfId="615" priority="124" operator="between">
      <formula>2</formula>
      <formula>4.9</formula>
    </cfRule>
    <cfRule type="cellIs" dxfId="614" priority="125" operator="between">
      <formula>5</formula>
      <formula>6.9</formula>
    </cfRule>
    <cfRule type="cellIs" dxfId="613" priority="127" operator="between">
      <formula>7</formula>
      <formula>7.9</formula>
    </cfRule>
  </conditionalFormatting>
  <conditionalFormatting sqref="E320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612" priority="113" stopIfTrue="1">
      <formula>LEN(TRIM(E321))=0</formula>
    </cfRule>
    <cfRule type="cellIs" dxfId="611" priority="114" operator="lessThan">
      <formula>2</formula>
    </cfRule>
    <cfRule type="cellIs" dxfId="610" priority="115" operator="between">
      <formula>2</formula>
      <formula>4.9</formula>
    </cfRule>
    <cfRule type="cellIs" dxfId="609" priority="117" operator="between">
      <formula>10.1</formula>
      <formula>10.6</formula>
    </cfRule>
    <cfRule type="cellIs" dxfId="608" priority="121" stopIfTrue="1" operator="between">
      <formula>10</formula>
      <formula>10</formula>
    </cfRule>
    <cfRule type="cellIs" dxfId="607" priority="120" operator="between">
      <formula>9</formula>
      <formula>9.9</formula>
    </cfRule>
    <cfRule type="cellIs" dxfId="606" priority="116" operator="between">
      <formula>5</formula>
      <formula>6.9</formula>
    </cfRule>
    <cfRule type="cellIs" dxfId="605" priority="119" stopIfTrue="1" operator="between">
      <formula>8</formula>
      <formula>8.9</formula>
    </cfRule>
    <cfRule type="cellIs" dxfId="604" priority="118" operator="between">
      <formula>7</formula>
      <formula>7.9</formula>
    </cfRule>
  </conditionalFormatting>
  <conditionalFormatting sqref="E328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603" priority="75" stopIfTrue="1" operator="between">
      <formula>8</formula>
      <formula>8.9</formula>
    </cfRule>
    <cfRule type="cellIs" dxfId="602" priority="77" stopIfTrue="1" operator="between">
      <formula>10</formula>
      <formula>10</formula>
    </cfRule>
    <cfRule type="cellIs" dxfId="601" priority="76" operator="between">
      <formula>9</formula>
      <formula>9.9</formula>
    </cfRule>
    <cfRule type="cellIs" dxfId="600" priority="70" operator="lessThan">
      <formula>2</formula>
    </cfRule>
    <cfRule type="cellIs" dxfId="599" priority="71" operator="between">
      <formula>2</formula>
      <formula>4.9</formula>
    </cfRule>
    <cfRule type="containsBlanks" dxfId="598" priority="69" stopIfTrue="1">
      <formula>LEN(TRIM(E329))=0</formula>
    </cfRule>
    <cfRule type="cellIs" dxfId="597" priority="72" operator="between">
      <formula>5</formula>
      <formula>6.9</formula>
    </cfRule>
    <cfRule type="cellIs" dxfId="596" priority="73" operator="between">
      <formula>10.1</formula>
      <formula>10.6</formula>
    </cfRule>
    <cfRule type="cellIs" dxfId="595" priority="74" operator="between">
      <formula>7</formula>
      <formula>7.9</formula>
    </cfRule>
  </conditionalFormatting>
  <conditionalFormatting sqref="H3:H15">
    <cfRule type="cellIs" dxfId="594" priority="313" operator="between">
      <formula>9</formula>
      <formula>9.9</formula>
    </cfRule>
    <cfRule type="cellIs" dxfId="593" priority="314" stopIfTrue="1" operator="between">
      <formula>10</formula>
      <formula>10</formula>
    </cfRule>
    <cfRule type="cellIs" dxfId="592" priority="312" stopIfTrue="1" operator="between">
      <formula>8</formula>
      <formula>8.9</formula>
    </cfRule>
    <cfRule type="cellIs" dxfId="591" priority="311" operator="between">
      <formula>7</formula>
      <formula>7.9</formula>
    </cfRule>
  </conditionalFormatting>
  <conditionalFormatting sqref="H7">
    <cfRule type="containsBlanks" dxfId="590" priority="315" stopIfTrue="1">
      <formula>LEN(TRIM(H7))=0</formula>
    </cfRule>
    <cfRule type="cellIs" dxfId="589" priority="310" operator="between">
      <formula>10.1</formula>
      <formula>10.6</formula>
    </cfRule>
  </conditionalFormatting>
  <conditionalFormatting sqref="H18:H28">
    <cfRule type="cellIs" dxfId="588" priority="1307" operator="between">
      <formula>9</formula>
      <formula>9.9</formula>
    </cfRule>
    <cfRule type="cellIs" dxfId="587" priority="1305" operator="between">
      <formula>7</formula>
      <formula>7.9</formula>
    </cfRule>
    <cfRule type="cellIs" dxfId="586" priority="1308" stopIfTrue="1" operator="between">
      <formula>10</formula>
      <formula>10</formula>
    </cfRule>
    <cfRule type="cellIs" dxfId="585" priority="1306" stopIfTrue="1" operator="between">
      <formula>8</formula>
      <formula>8.9</formula>
    </cfRule>
  </conditionalFormatting>
  <conditionalFormatting sqref="H30">
    <cfRule type="colorScale" priority="1590">
      <colorScale>
        <cfvo type="num" val="5"/>
        <cfvo type="num" val="10"/>
        <color rgb="FFFF494D"/>
        <color rgb="FF00FF66"/>
      </colorScale>
    </cfRule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84" priority="1167" operator="between">
      <formula>10.1</formula>
      <formula>10.6</formula>
    </cfRule>
    <cfRule type="cellIs" dxfId="583" priority="1169" stopIfTrue="1" operator="between">
      <formula>8</formula>
      <formula>8.9</formula>
    </cfRule>
    <cfRule type="cellIs" dxfId="582" priority="1168" operator="between">
      <formula>7</formula>
      <formula>7.9</formula>
    </cfRule>
    <cfRule type="cellIs" dxfId="581" priority="1170" operator="between">
      <formula>9</formula>
      <formula>9.9</formula>
    </cfRule>
    <cfRule type="cellIs" dxfId="580" priority="1171" stopIfTrue="1" operator="between">
      <formula>10</formula>
      <formula>10</formula>
    </cfRule>
    <cfRule type="containsBlanks" dxfId="579" priority="1172" stopIfTrue="1">
      <formula>LEN(TRIM(H31))=0</formula>
    </cfRule>
  </conditionalFormatting>
  <conditionalFormatting sqref="H47">
    <cfRule type="colorScale" priority="1522">
      <colorScale>
        <cfvo type="num" val="5"/>
        <cfvo type="num" val="10"/>
        <color rgb="FFFF494D"/>
        <color rgb="FF00FF66"/>
      </colorScale>
    </cfRule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578" priority="1163" stopIfTrue="1" operator="between">
      <formula>8</formula>
      <formula>8.9</formula>
    </cfRule>
    <cfRule type="cellIs" dxfId="577" priority="1165" stopIfTrue="1" operator="between">
      <formula>10</formula>
      <formula>10</formula>
    </cfRule>
    <cfRule type="cellIs" dxfId="576" priority="1164" operator="between">
      <formula>9</formula>
      <formula>9.9</formula>
    </cfRule>
    <cfRule type="containsBlanks" dxfId="575" priority="1166" stopIfTrue="1">
      <formula>LEN(TRIM(H48))=0</formula>
    </cfRule>
    <cfRule type="cellIs" dxfId="574" priority="1162" operator="between">
      <formula>7</formula>
      <formula>7.9</formula>
    </cfRule>
    <cfRule type="cellIs" dxfId="573" priority="1161" operator="between">
      <formula>10.1</formula>
      <formula>10.6</formula>
    </cfRule>
  </conditionalFormatting>
  <conditionalFormatting sqref="H57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72" priority="1033" operator="between">
      <formula>6</formula>
      <formula>6.9</formula>
    </cfRule>
    <cfRule type="cellIs" dxfId="571" priority="1037" operator="between">
      <formula>9</formula>
      <formula>9.9</formula>
    </cfRule>
    <cfRule type="cellIs" dxfId="570" priority="1036" stopIfTrue="1" operator="between">
      <formula>8</formula>
      <formula>8.9</formula>
    </cfRule>
    <cfRule type="cellIs" dxfId="569" priority="1034" operator="between">
      <formula>10.1</formula>
      <formula>10.6</formula>
    </cfRule>
    <cfRule type="cellIs" dxfId="568" priority="1035" operator="between">
      <formula>7</formula>
      <formula>7.9</formula>
    </cfRule>
    <cfRule type="cellIs" dxfId="567" priority="1038" stopIfTrue="1" operator="between">
      <formula>10</formula>
      <formula>10</formula>
    </cfRule>
    <cfRule type="containsBlanks" dxfId="566" priority="1039" stopIfTrue="1">
      <formula>LEN(TRIM(H58))=0</formula>
    </cfRule>
  </conditionalFormatting>
  <conditionalFormatting sqref="H69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565" priority="1065" operator="between">
      <formula>9</formula>
      <formula>9.9</formula>
    </cfRule>
    <cfRule type="containsBlanks" dxfId="564" priority="1067" stopIfTrue="1">
      <formula>LEN(TRIM(H70))=0</formula>
    </cfRule>
    <cfRule type="cellIs" dxfId="563" priority="1066" stopIfTrue="1" operator="between">
      <formula>10</formula>
      <formula>10</formula>
    </cfRule>
    <cfRule type="cellIs" dxfId="562" priority="1064" stopIfTrue="1" operator="between">
      <formula>8</formula>
      <formula>8.9</formula>
    </cfRule>
    <cfRule type="cellIs" dxfId="561" priority="1063" operator="between">
      <formula>7</formula>
      <formula>7.9</formula>
    </cfRule>
    <cfRule type="cellIs" dxfId="560" priority="1062" operator="between">
      <formula>10.1</formula>
      <formula>10.6</formula>
    </cfRule>
  </conditionalFormatting>
  <conditionalFormatting sqref="H83">
    <cfRule type="colorScale" priority="1000">
      <colorScale>
        <cfvo type="num" val="5"/>
        <cfvo type="num" val="10"/>
        <color rgb="FFFF494D"/>
        <color rgb="FF00FF66"/>
      </colorScale>
    </cfRule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559" priority="991" stopIfTrue="1" operator="between">
      <formula>10</formula>
      <formula>10</formula>
    </cfRule>
    <cfRule type="cellIs" dxfId="558" priority="990" operator="between">
      <formula>9</formula>
      <formula>9.9</formula>
    </cfRule>
    <cfRule type="cellIs" dxfId="557" priority="989" stopIfTrue="1" operator="between">
      <formula>8</formula>
      <formula>8.9</formula>
    </cfRule>
    <cfRule type="containsBlanks" dxfId="556" priority="992" stopIfTrue="1">
      <formula>LEN(TRIM(H84))=0</formula>
    </cfRule>
    <cfRule type="cellIs" dxfId="555" priority="986" operator="between">
      <formula>6</formula>
      <formula>6.9</formula>
    </cfRule>
    <cfRule type="cellIs" dxfId="554" priority="987" operator="between">
      <formula>10.1</formula>
      <formula>10.6</formula>
    </cfRule>
    <cfRule type="cellIs" dxfId="553" priority="988" operator="between">
      <formula>7</formula>
      <formula>7.9</formula>
    </cfRule>
  </conditionalFormatting>
  <conditionalFormatting sqref="H97"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52" priority="942" stopIfTrue="1" operator="between">
      <formula>10</formula>
      <formula>10</formula>
    </cfRule>
    <cfRule type="containsBlanks" dxfId="551" priority="943" stopIfTrue="1">
      <formula>LEN(TRIM(H98))=0</formula>
    </cfRule>
    <cfRule type="cellIs" dxfId="550" priority="939" operator="between">
      <formula>7</formula>
      <formula>7.9</formula>
    </cfRule>
    <cfRule type="cellIs" dxfId="549" priority="937" operator="between">
      <formula>6</formula>
      <formula>6.9</formula>
    </cfRule>
    <cfRule type="cellIs" dxfId="548" priority="938" operator="between">
      <formula>10.1</formula>
      <formula>10.6</formula>
    </cfRule>
    <cfRule type="cellIs" dxfId="547" priority="940" stopIfTrue="1" operator="between">
      <formula>8</formula>
      <formula>8.9</formula>
    </cfRule>
    <cfRule type="cellIs" dxfId="546" priority="941" operator="between">
      <formula>9</formula>
      <formula>9.9</formula>
    </cfRule>
  </conditionalFormatting>
  <conditionalFormatting sqref="H110">
    <cfRule type="colorScale" priority="920">
      <colorScale>
        <cfvo type="num" val="5"/>
        <cfvo type="num" val="10"/>
        <color rgb="FFFF494D"/>
        <color rgb="FF00FF66"/>
      </colorScale>
    </cfRule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45" priority="914" operator="between">
      <formula>7</formula>
      <formula>7.9</formula>
    </cfRule>
    <cfRule type="cellIs" dxfId="544" priority="913" operator="between">
      <formula>10.1</formula>
      <formula>10.6</formula>
    </cfRule>
    <cfRule type="cellIs" dxfId="543" priority="917" stopIfTrue="1" operator="between">
      <formula>10</formula>
      <formula>10</formula>
    </cfRule>
    <cfRule type="containsBlanks" dxfId="542" priority="918" stopIfTrue="1">
      <formula>LEN(TRIM(H111))=0</formula>
    </cfRule>
    <cfRule type="cellIs" dxfId="541" priority="916" operator="between">
      <formula>9</formula>
      <formula>9.9</formula>
    </cfRule>
    <cfRule type="cellIs" dxfId="540" priority="915" stopIfTrue="1" operator="between">
      <formula>8</formula>
      <formula>8.9</formula>
    </cfRule>
  </conditionalFormatting>
  <conditionalFormatting sqref="H125">
    <cfRule type="colorScale" priority="848">
      <colorScale>
        <cfvo type="num" val="5"/>
        <cfvo type="num" val="10"/>
        <color rgb="FFFF494D"/>
        <color rgb="FF00FF66"/>
      </colorScale>
    </cfRule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539" priority="846" stopIfTrue="1">
      <formula>LEN(TRIM(H126))=0</formula>
    </cfRule>
    <cfRule type="cellIs" dxfId="538" priority="842" operator="between">
      <formula>7</formula>
      <formula>7.9</formula>
    </cfRule>
    <cfRule type="cellIs" dxfId="537" priority="841" operator="between">
      <formula>10.1</formula>
      <formula>10.6</formula>
    </cfRule>
    <cfRule type="cellIs" dxfId="536" priority="840" operator="between">
      <formula>6</formula>
      <formula>6.9</formula>
    </cfRule>
    <cfRule type="cellIs" dxfId="535" priority="843" stopIfTrue="1" operator="between">
      <formula>8</formula>
      <formula>8.9</formula>
    </cfRule>
    <cfRule type="cellIs" dxfId="534" priority="844" operator="between">
      <formula>9</formula>
      <formula>9.9</formula>
    </cfRule>
    <cfRule type="cellIs" dxfId="533" priority="845" stopIfTrue="1" operator="between">
      <formula>10</formula>
      <formula>10</formula>
    </cfRule>
  </conditionalFormatting>
  <conditionalFormatting sqref="H131"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32" priority="810" stopIfTrue="1" operator="between">
      <formula>8</formula>
      <formula>8.9</formula>
    </cfRule>
    <cfRule type="cellIs" dxfId="531" priority="809" operator="between">
      <formula>7</formula>
      <formula>7.9</formula>
    </cfRule>
    <cfRule type="cellIs" dxfId="530" priority="808" operator="between">
      <formula>10.1</formula>
      <formula>10.6</formula>
    </cfRule>
    <cfRule type="containsBlanks" dxfId="529" priority="813" stopIfTrue="1">
      <formula>LEN(TRIM(H132))=0</formula>
    </cfRule>
    <cfRule type="cellIs" dxfId="528" priority="807" operator="between">
      <formula>6</formula>
      <formula>6.9</formula>
    </cfRule>
    <cfRule type="cellIs" dxfId="527" priority="812" stopIfTrue="1" operator="between">
      <formula>10</formula>
      <formula>10</formula>
    </cfRule>
    <cfRule type="cellIs" dxfId="526" priority="811" operator="between">
      <formula>9</formula>
      <formula>9.9</formula>
    </cfRule>
  </conditionalFormatting>
  <conditionalFormatting sqref="H149">
    <cfRule type="colorScale" priority="743">
      <colorScale>
        <cfvo type="num" val="5"/>
        <cfvo type="num" val="10"/>
        <color rgb="FFFF494D"/>
        <color rgb="FF00FF66"/>
      </colorScale>
    </cfRule>
    <cfRule type="colorScale" priority="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525" priority="735" operator="between">
      <formula>6</formula>
      <formula>6.9</formula>
    </cfRule>
    <cfRule type="cellIs" dxfId="524" priority="738" stopIfTrue="1" operator="between">
      <formula>8</formula>
      <formula>8.9</formula>
    </cfRule>
    <cfRule type="containsBlanks" dxfId="523" priority="741" stopIfTrue="1">
      <formula>LEN(TRIM(H150))=0</formula>
    </cfRule>
    <cfRule type="cellIs" dxfId="522" priority="740" stopIfTrue="1" operator="between">
      <formula>10</formula>
      <formula>10</formula>
    </cfRule>
    <cfRule type="cellIs" dxfId="521" priority="739" operator="between">
      <formula>9</formula>
      <formula>9.9</formula>
    </cfRule>
    <cfRule type="cellIs" dxfId="520" priority="737" operator="between">
      <formula>7</formula>
      <formula>7.9</formula>
    </cfRule>
    <cfRule type="cellIs" dxfId="519" priority="736" operator="between">
      <formula>10.1</formula>
      <formula>10.6</formula>
    </cfRule>
  </conditionalFormatting>
  <conditionalFormatting sqref="H165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18" priority="683" operator="between">
      <formula>6</formula>
      <formula>6.9</formula>
    </cfRule>
    <cfRule type="cellIs" dxfId="517" priority="684" operator="between">
      <formula>10.1</formula>
      <formula>10.6</formula>
    </cfRule>
    <cfRule type="cellIs" dxfId="516" priority="685" operator="between">
      <formula>7</formula>
      <formula>7.9</formula>
    </cfRule>
    <cfRule type="cellIs" dxfId="515" priority="686" stopIfTrue="1" operator="between">
      <formula>8</formula>
      <formula>8.9</formula>
    </cfRule>
    <cfRule type="cellIs" dxfId="514" priority="687" operator="between">
      <formula>9</formula>
      <formula>9.9</formula>
    </cfRule>
    <cfRule type="cellIs" dxfId="513" priority="688" stopIfTrue="1" operator="between">
      <formula>10</formula>
      <formula>10</formula>
    </cfRule>
    <cfRule type="containsBlanks" dxfId="512" priority="689" stopIfTrue="1">
      <formula>LEN(TRIM(H166))=0</formula>
    </cfRule>
  </conditionalFormatting>
  <conditionalFormatting sqref="H177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11" priority="635" operator="between">
      <formula>10.1</formula>
      <formula>10.6</formula>
    </cfRule>
    <cfRule type="cellIs" dxfId="510" priority="639" stopIfTrue="1" operator="between">
      <formula>10</formula>
      <formula>10</formula>
    </cfRule>
    <cfRule type="containsBlanks" dxfId="509" priority="640" stopIfTrue="1">
      <formula>LEN(TRIM(H178))=0</formula>
    </cfRule>
    <cfRule type="cellIs" dxfId="508" priority="634" operator="between">
      <formula>6</formula>
      <formula>6.9</formula>
    </cfRule>
    <cfRule type="cellIs" dxfId="507" priority="638" operator="between">
      <formula>9</formula>
      <formula>9.9</formula>
    </cfRule>
    <cfRule type="cellIs" dxfId="506" priority="637" stopIfTrue="1" operator="between">
      <formula>8</formula>
      <formula>8.9</formula>
    </cfRule>
    <cfRule type="cellIs" dxfId="505" priority="636" operator="between">
      <formula>7</formula>
      <formula>7.9</formula>
    </cfRule>
  </conditionalFormatting>
  <conditionalFormatting sqref="H191"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04" priority="578" operator="between">
      <formula>9</formula>
      <formula>9.9</formula>
    </cfRule>
    <cfRule type="cellIs" dxfId="503" priority="577" stopIfTrue="1" operator="between">
      <formula>8</formula>
      <formula>8.9</formula>
    </cfRule>
    <cfRule type="cellIs" dxfId="502" priority="576" operator="between">
      <formula>7</formula>
      <formula>7.9</formula>
    </cfRule>
    <cfRule type="cellIs" dxfId="501" priority="575" operator="between">
      <formula>10.1</formula>
      <formula>10.6</formula>
    </cfRule>
    <cfRule type="cellIs" dxfId="500" priority="574" operator="between">
      <formula>6</formula>
      <formula>6.9</formula>
    </cfRule>
    <cfRule type="cellIs" dxfId="499" priority="579" stopIfTrue="1" operator="between">
      <formula>10</formula>
      <formula>10</formula>
    </cfRule>
    <cfRule type="containsBlanks" dxfId="498" priority="580" stopIfTrue="1">
      <formula>LEN(TRIM(H192))=0</formula>
    </cfRule>
  </conditionalFormatting>
  <conditionalFormatting sqref="H202">
    <cfRule type="colorScale" priority="534">
      <colorScale>
        <cfvo type="num" val="5"/>
        <cfvo type="num" val="10"/>
        <color rgb="FFFF494D"/>
        <color rgb="FF00FF66"/>
      </colorScale>
    </cfRule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497" priority="540" stopIfTrue="1" operator="between">
      <formula>10</formula>
      <formula>10</formula>
    </cfRule>
    <cfRule type="containsBlanks" dxfId="496" priority="541" stopIfTrue="1">
      <formula>LEN(TRIM(H203))=0</formula>
    </cfRule>
    <cfRule type="cellIs" dxfId="495" priority="539" operator="between">
      <formula>9</formula>
      <formula>9.9</formula>
    </cfRule>
    <cfRule type="cellIs" dxfId="494" priority="538" stopIfTrue="1" operator="between">
      <formula>8</formula>
      <formula>8.9</formula>
    </cfRule>
    <cfRule type="cellIs" dxfId="493" priority="537" operator="between">
      <formula>7</formula>
      <formula>7.9</formula>
    </cfRule>
    <cfRule type="cellIs" dxfId="492" priority="536" operator="between">
      <formula>10.1</formula>
      <formula>11</formula>
    </cfRule>
    <cfRule type="cellIs" dxfId="491" priority="535" operator="between">
      <formula>6</formula>
      <formula>6.9</formula>
    </cfRule>
  </conditionalFormatting>
  <conditionalFormatting sqref="H215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90" priority="485" operator="between">
      <formula>10.1</formula>
      <formula>10.6</formula>
    </cfRule>
    <cfRule type="cellIs" dxfId="489" priority="486" operator="between">
      <formula>7</formula>
      <formula>7.9</formula>
    </cfRule>
    <cfRule type="cellIs" dxfId="488" priority="487" stopIfTrue="1" operator="between">
      <formula>8</formula>
      <formula>8.9</formula>
    </cfRule>
    <cfRule type="containsBlanks" dxfId="487" priority="490" stopIfTrue="1">
      <formula>LEN(TRIM(H216))=0</formula>
    </cfRule>
    <cfRule type="cellIs" dxfId="486" priority="489" stopIfTrue="1" operator="between">
      <formula>10</formula>
      <formula>10</formula>
    </cfRule>
    <cfRule type="cellIs" dxfId="485" priority="484" operator="between">
      <formula>6</formula>
      <formula>6.9</formula>
    </cfRule>
    <cfRule type="cellIs" dxfId="484" priority="488" operator="between">
      <formula>9</formula>
      <formula>9.9</formula>
    </cfRule>
  </conditionalFormatting>
  <conditionalFormatting sqref="H229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83" priority="446" operator="between">
      <formula>7</formula>
      <formula>7.9</formula>
    </cfRule>
    <cfRule type="cellIs" dxfId="482" priority="449" stopIfTrue="1" operator="between">
      <formula>10</formula>
      <formula>10</formula>
    </cfRule>
    <cfRule type="cellIs" dxfId="481" priority="448" operator="between">
      <formula>9</formula>
      <formula>9.9</formula>
    </cfRule>
    <cfRule type="containsBlanks" dxfId="480" priority="450" stopIfTrue="1">
      <formula>LEN(TRIM(H230))=0</formula>
    </cfRule>
    <cfRule type="cellIs" dxfId="479" priority="445" operator="between">
      <formula>10.1</formula>
      <formula>10.6</formula>
    </cfRule>
    <cfRule type="cellIs" dxfId="478" priority="444" operator="between">
      <formula>6</formula>
      <formula>6.9</formula>
    </cfRule>
    <cfRule type="cellIs" dxfId="477" priority="447" stopIfTrue="1" operator="between">
      <formula>8</formula>
      <formula>8.9</formula>
    </cfRule>
  </conditionalFormatting>
  <conditionalFormatting sqref="H246"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76" priority="399" stopIfTrue="1" operator="between">
      <formula>10</formula>
      <formula>10</formula>
    </cfRule>
    <cfRule type="cellIs" dxfId="475" priority="398" operator="between">
      <formula>9</formula>
      <formula>9.9</formula>
    </cfRule>
    <cfRule type="cellIs" dxfId="474" priority="394" operator="between">
      <formula>6</formula>
      <formula>6.9</formula>
    </cfRule>
    <cfRule type="cellIs" dxfId="473" priority="397" stopIfTrue="1" operator="between">
      <formula>8</formula>
      <formula>8.9</formula>
    </cfRule>
    <cfRule type="cellIs" dxfId="472" priority="396" operator="between">
      <formula>7</formula>
      <formula>7.9</formula>
    </cfRule>
    <cfRule type="containsBlanks" dxfId="471" priority="400" stopIfTrue="1">
      <formula>LEN(TRIM(H247))=0</formula>
    </cfRule>
    <cfRule type="cellIs" dxfId="470" priority="395" operator="between">
      <formula>10.1</formula>
      <formula>10.6</formula>
    </cfRule>
  </conditionalFormatting>
  <conditionalFormatting sqref="H258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69" priority="354" operator="between">
      <formula>6</formula>
      <formula>6.9</formula>
    </cfRule>
    <cfRule type="cellIs" dxfId="468" priority="356" operator="between">
      <formula>7</formula>
      <formula>7.9</formula>
    </cfRule>
    <cfRule type="cellIs" dxfId="467" priority="355" operator="between">
      <formula>10.1</formula>
      <formula>10.6</formula>
    </cfRule>
    <cfRule type="cellIs" dxfId="466" priority="358" operator="between">
      <formula>9</formula>
      <formula>9.9</formula>
    </cfRule>
    <cfRule type="cellIs" dxfId="465" priority="357" stopIfTrue="1" operator="between">
      <formula>8</formula>
      <formula>8.9</formula>
    </cfRule>
    <cfRule type="cellIs" dxfId="464" priority="359" stopIfTrue="1" operator="between">
      <formula>10</formula>
      <formula>10</formula>
    </cfRule>
    <cfRule type="containsBlanks" dxfId="463" priority="360" stopIfTrue="1">
      <formula>LEN(TRIM(H259))=0</formula>
    </cfRule>
  </conditionalFormatting>
  <conditionalFormatting sqref="H265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62" priority="318" operator="between">
      <formula>7</formula>
      <formula>7.9</formula>
    </cfRule>
    <cfRule type="cellIs" dxfId="461" priority="319" stopIfTrue="1" operator="between">
      <formula>8</formula>
      <formula>8.9</formula>
    </cfRule>
    <cfRule type="cellIs" dxfId="460" priority="321" stopIfTrue="1" operator="between">
      <formula>10</formula>
      <formula>10</formula>
    </cfRule>
    <cfRule type="containsBlanks" dxfId="459" priority="322" stopIfTrue="1">
      <formula>LEN(TRIM(H266))=0</formula>
    </cfRule>
    <cfRule type="cellIs" dxfId="458" priority="316" operator="between">
      <formula>6</formula>
      <formula>6.9</formula>
    </cfRule>
    <cfRule type="cellIs" dxfId="457" priority="317" operator="between">
      <formula>10.1</formula>
      <formula>10.6</formula>
    </cfRule>
    <cfRule type="cellIs" dxfId="456" priority="320" operator="between">
      <formula>9</formula>
      <formula>9.9</formula>
    </cfRule>
  </conditionalFormatting>
  <conditionalFormatting sqref="H276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55" priority="292" operator="between">
      <formula>6</formula>
      <formula>6.9</formula>
    </cfRule>
    <cfRule type="cellIs" dxfId="454" priority="293" operator="between">
      <formula>10.1</formula>
      <formula>10.6</formula>
    </cfRule>
    <cfRule type="cellIs" dxfId="453" priority="294" operator="between">
      <formula>7</formula>
      <formula>7.9</formula>
    </cfRule>
    <cfRule type="cellIs" dxfId="452" priority="295" stopIfTrue="1" operator="between">
      <formula>8</formula>
      <formula>8.9</formula>
    </cfRule>
    <cfRule type="cellIs" dxfId="451" priority="296" operator="between">
      <formula>9</formula>
      <formula>9.9</formula>
    </cfRule>
    <cfRule type="containsBlanks" dxfId="450" priority="298" stopIfTrue="1">
      <formula>LEN(TRIM(H277))=0</formula>
    </cfRule>
    <cfRule type="cellIs" dxfId="449" priority="297" stopIfTrue="1" operator="between">
      <formula>10</formula>
      <formula>10</formula>
    </cfRule>
  </conditionalFormatting>
  <conditionalFormatting sqref="H288">
    <cfRule type="colorScale" priority="225">
      <colorScale>
        <cfvo type="num" val="5"/>
        <cfvo type="num" val="10"/>
        <color rgb="FFFF494D"/>
        <color rgb="FF00FF66"/>
      </colorScale>
    </cfRule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448" priority="220" stopIfTrue="1" operator="between">
      <formula>8</formula>
      <formula>8.9</formula>
    </cfRule>
    <cfRule type="cellIs" dxfId="447" priority="221" operator="between">
      <formula>9</formula>
      <formula>9.9</formula>
    </cfRule>
    <cfRule type="cellIs" dxfId="446" priority="219" operator="between">
      <formula>7</formula>
      <formula>7.9</formula>
    </cfRule>
    <cfRule type="containsBlanks" dxfId="445" priority="223" stopIfTrue="1">
      <formula>LEN(TRIM(H289))=0</formula>
    </cfRule>
    <cfRule type="cellIs" dxfId="444" priority="222" stopIfTrue="1" operator="between">
      <formula>10</formula>
      <formula>10</formula>
    </cfRule>
    <cfRule type="cellIs" dxfId="443" priority="217" operator="between">
      <formula>6</formula>
      <formula>6.9</formula>
    </cfRule>
    <cfRule type="cellIs" dxfId="442" priority="218" operator="between">
      <formula>10.1</formula>
      <formula>10.6</formula>
    </cfRule>
  </conditionalFormatting>
  <conditionalFormatting sqref="H296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41" priority="206" stopIfTrue="1">
      <formula>LEN(TRIM(H297))=0</formula>
    </cfRule>
    <cfRule type="cellIs" dxfId="440" priority="207" operator="lessThan">
      <formula>2</formula>
    </cfRule>
    <cfRule type="cellIs" dxfId="439" priority="208" operator="between">
      <formula>2</formula>
      <formula>4.9</formula>
    </cfRule>
    <cfRule type="cellIs" dxfId="438" priority="209" operator="between">
      <formula>5</formula>
      <formula>6.9</formula>
    </cfRule>
    <cfRule type="cellIs" dxfId="437" priority="210" operator="between">
      <formula>10.1</formula>
      <formula>10.6</formula>
    </cfRule>
    <cfRule type="cellIs" dxfId="436" priority="211" operator="between">
      <formula>7</formula>
      <formula>7.9</formula>
    </cfRule>
    <cfRule type="cellIs" dxfId="435" priority="212" stopIfTrue="1" operator="between">
      <formula>8</formula>
      <formula>8.9</formula>
    </cfRule>
    <cfRule type="cellIs" dxfId="434" priority="213" operator="between">
      <formula>9</formula>
      <formula>9.9</formula>
    </cfRule>
    <cfRule type="cellIs" dxfId="433" priority="214" stopIfTrue="1" operator="between">
      <formula>10</formula>
      <formula>10</formula>
    </cfRule>
  </conditionalFormatting>
  <conditionalFormatting sqref="H309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432" priority="138" operator="between">
      <formula>7</formula>
      <formula>7.9</formula>
    </cfRule>
    <cfRule type="cellIs" dxfId="431" priority="139" stopIfTrue="1" operator="between">
      <formula>8</formula>
      <formula>8.9</formula>
    </cfRule>
    <cfRule type="cellIs" dxfId="430" priority="140" operator="between">
      <formula>9</formula>
      <formula>9.9</formula>
    </cfRule>
    <cfRule type="cellIs" dxfId="429" priority="141" stopIfTrue="1" operator="between">
      <formula>10</formula>
      <formula>10</formula>
    </cfRule>
    <cfRule type="cellIs" dxfId="428" priority="135" operator="between">
      <formula>2</formula>
      <formula>4.9</formula>
    </cfRule>
    <cfRule type="containsBlanks" dxfId="427" priority="133" stopIfTrue="1">
      <formula>LEN(TRIM(H310))=0</formula>
    </cfRule>
    <cfRule type="cellIs" dxfId="426" priority="134" operator="lessThan">
      <formula>2</formula>
    </cfRule>
    <cfRule type="cellIs" dxfId="425" priority="136" operator="between">
      <formula>5</formula>
      <formula>6.9</formula>
    </cfRule>
    <cfRule type="cellIs" dxfId="424" priority="137" operator="between">
      <formula>10.1</formula>
      <formula>10.6</formula>
    </cfRule>
  </conditionalFormatting>
  <conditionalFormatting sqref="H329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423" priority="40" stopIfTrue="1" operator="between">
      <formula>8</formula>
      <formula>8.9</formula>
    </cfRule>
    <cfRule type="cellIs" dxfId="422" priority="42" stopIfTrue="1" operator="between">
      <formula>10</formula>
      <formula>10</formula>
    </cfRule>
    <cfRule type="cellIs" dxfId="421" priority="41" operator="between">
      <formula>9</formula>
      <formula>9.9</formula>
    </cfRule>
    <cfRule type="cellIs" dxfId="420" priority="39" operator="between">
      <formula>7</formula>
      <formula>7.9</formula>
    </cfRule>
    <cfRule type="cellIs" dxfId="419" priority="38" operator="between">
      <formula>10.1</formula>
      <formula>10.6</formula>
    </cfRule>
    <cfRule type="cellIs" dxfId="418" priority="37" operator="between">
      <formula>5</formula>
      <formula>6.9</formula>
    </cfRule>
    <cfRule type="cellIs" dxfId="417" priority="36" operator="between">
      <formula>2</formula>
      <formula>4.9</formula>
    </cfRule>
    <cfRule type="cellIs" dxfId="416" priority="35" operator="lessThan">
      <formula>2</formula>
    </cfRule>
    <cfRule type="containsBlanks" dxfId="415" priority="34" stopIfTrue="1">
      <formula>LEN(TRIM(H330))=0</formula>
    </cfRule>
  </conditionalFormatting>
  <conditionalFormatting sqref="H339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414" priority="17" operator="between">
      <formula>5</formula>
      <formula>6.9</formula>
    </cfRule>
    <cfRule type="cellIs" dxfId="413" priority="18" operator="between">
      <formula>10.1</formula>
      <formula>10.6</formula>
    </cfRule>
    <cfRule type="cellIs" dxfId="412" priority="22" stopIfTrue="1" operator="between">
      <formula>10</formula>
      <formula>10</formula>
    </cfRule>
    <cfRule type="cellIs" dxfId="411" priority="21" operator="between">
      <formula>9</formula>
      <formula>9.9</formula>
    </cfRule>
    <cfRule type="cellIs" dxfId="410" priority="19" operator="between">
      <formula>7</formula>
      <formula>7.9</formula>
    </cfRule>
    <cfRule type="cellIs" dxfId="409" priority="20" stopIfTrue="1" operator="between">
      <formula>8</formula>
      <formula>8.9</formula>
    </cfRule>
    <cfRule type="cellIs" dxfId="408" priority="16" operator="between">
      <formula>2</formula>
      <formula>4.9</formula>
    </cfRule>
    <cfRule type="cellIs" dxfId="407" priority="15" operator="lessThan">
      <formula>2</formula>
    </cfRule>
    <cfRule type="containsBlanks" dxfId="406" priority="14" stopIfTrue="1">
      <formula>LEN(TRIM(H340))=0</formula>
    </cfRule>
  </conditionalFormatting>
  <conditionalFormatting sqref="K3:K12">
    <cfRule type="cellIs" dxfId="405" priority="1206" operator="between">
      <formula>9</formula>
      <formula>9.9</formula>
    </cfRule>
    <cfRule type="containsBlanks" dxfId="404" priority="1208" stopIfTrue="1">
      <formula>LEN(TRIM(K3))=0</formula>
    </cfRule>
    <cfRule type="cellIs" dxfId="403" priority="1207" stopIfTrue="1" operator="between">
      <formula>10</formula>
      <formula>10</formula>
    </cfRule>
    <cfRule type="cellIs" dxfId="402" priority="1203" operator="between">
      <formula>10.1</formula>
      <formula>10.6</formula>
    </cfRule>
    <cfRule type="cellIs" dxfId="401" priority="1204" operator="between">
      <formula>7</formula>
      <formula>7.9</formula>
    </cfRule>
    <cfRule type="cellIs" dxfId="400" priority="1205" stopIfTrue="1" operator="between">
      <formula>8</formula>
      <formula>8.9</formula>
    </cfRule>
  </conditionalFormatting>
  <conditionalFormatting sqref="K15:K23">
    <cfRule type="cellIs" dxfId="399" priority="614" stopIfTrue="1" operator="between">
      <formula>10</formula>
      <formula>10</formula>
    </cfRule>
    <cfRule type="cellIs" dxfId="398" priority="613" operator="between">
      <formula>9</formula>
      <formula>9.9</formula>
    </cfRule>
    <cfRule type="cellIs" dxfId="397" priority="611" operator="between">
      <formula>7</formula>
      <formula>7.9</formula>
    </cfRule>
    <cfRule type="cellIs" dxfId="396" priority="612" stopIfTrue="1" operator="between">
      <formula>8</formula>
      <formula>8.9</formula>
    </cfRule>
  </conditionalFormatting>
  <conditionalFormatting sqref="K23">
    <cfRule type="containsBlanks" dxfId="395" priority="615" stopIfTrue="1">
      <formula>LEN(TRIM(K23))=0</formula>
    </cfRule>
    <cfRule type="cellIs" dxfId="394" priority="610" operator="between">
      <formula>10.1</formula>
      <formula>10.6</formula>
    </cfRule>
  </conditionalFormatting>
  <conditionalFormatting sqref="K26:K38">
    <cfRule type="cellIs" dxfId="393" priority="1240" operator="between">
      <formula>9</formula>
      <formula>9.9</formula>
    </cfRule>
    <cfRule type="cellIs" dxfId="392" priority="1239" stopIfTrue="1" operator="between">
      <formula>8</formula>
      <formula>8.9</formula>
    </cfRule>
    <cfRule type="cellIs" dxfId="391" priority="1238" operator="between">
      <formula>7</formula>
      <formula>7.9</formula>
    </cfRule>
    <cfRule type="containsBlanks" dxfId="390" priority="1242" stopIfTrue="1">
      <formula>LEN(TRIM(K26))=0</formula>
    </cfRule>
    <cfRule type="cellIs" dxfId="389" priority="1241" stopIfTrue="1" operator="between">
      <formula>10</formula>
      <formula>10</formula>
    </cfRule>
  </conditionalFormatting>
  <conditionalFormatting sqref="K40">
    <cfRule type="colorScale" priority="1561">
      <colorScale>
        <cfvo type="num" val="5"/>
        <cfvo type="num" val="10"/>
        <color rgb="FFFF494D"/>
        <color rgb="FF00FF66"/>
      </colorScale>
    </cfRule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88" priority="1143" operator="between">
      <formula>10.1</formula>
      <formula>10.6</formula>
    </cfRule>
    <cfRule type="cellIs" dxfId="387" priority="1144" operator="between">
      <formula>7</formula>
      <formula>7.9</formula>
    </cfRule>
    <cfRule type="cellIs" dxfId="386" priority="1145" stopIfTrue="1" operator="between">
      <formula>8</formula>
      <formula>8.9</formula>
    </cfRule>
    <cfRule type="cellIs" dxfId="385" priority="1146" operator="between">
      <formula>9</formula>
      <formula>9.9</formula>
    </cfRule>
    <cfRule type="containsBlanks" dxfId="384" priority="1148" stopIfTrue="1">
      <formula>LEN(TRIM(K41))=0</formula>
    </cfRule>
    <cfRule type="cellIs" dxfId="383" priority="1147" stopIfTrue="1" operator="between">
      <formula>10</formula>
      <formula>10</formula>
    </cfRule>
  </conditionalFormatting>
  <conditionalFormatting sqref="K54">
    <cfRule type="colorScale" priority="1112">
      <colorScale>
        <cfvo type="num" val="5"/>
        <cfvo type="num" val="10"/>
        <color rgb="FFFF494D"/>
        <color rgb="FF00FF66"/>
      </colorScale>
    </cfRule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82" priority="1107" stopIfTrue="1" operator="between">
      <formula>8</formula>
      <formula>8.9</formula>
    </cfRule>
    <cfRule type="cellIs" dxfId="381" priority="1108" operator="between">
      <formula>9</formula>
      <formula>9.9</formula>
    </cfRule>
    <cfRule type="cellIs" dxfId="380" priority="1109" stopIfTrue="1" operator="between">
      <formula>10</formula>
      <formula>10</formula>
    </cfRule>
    <cfRule type="containsBlanks" dxfId="379" priority="1110" stopIfTrue="1">
      <formula>LEN(TRIM(K55))=0</formula>
    </cfRule>
    <cfRule type="cellIs" dxfId="378" priority="1105" operator="between">
      <formula>10.1</formula>
      <formula>10.6</formula>
    </cfRule>
    <cfRule type="cellIs" dxfId="377" priority="1106" operator="between">
      <formula>7</formula>
      <formula>7.9</formula>
    </cfRule>
  </conditionalFormatting>
  <conditionalFormatting sqref="K66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76" priority="1080" stopIfTrue="1" operator="between">
      <formula>8</formula>
      <formula>8.9</formula>
    </cfRule>
    <cfRule type="cellIs" dxfId="375" priority="1078" operator="between">
      <formula>10.1</formula>
      <formula>10.6</formula>
    </cfRule>
    <cfRule type="cellIs" dxfId="374" priority="1079" operator="between">
      <formula>7</formula>
      <formula>7.9</formula>
    </cfRule>
    <cfRule type="containsBlanks" dxfId="373" priority="1083" stopIfTrue="1">
      <formula>LEN(TRIM(K67))=0</formula>
    </cfRule>
    <cfRule type="cellIs" dxfId="372" priority="1082" stopIfTrue="1" operator="between">
      <formula>10</formula>
      <formula>10</formula>
    </cfRule>
    <cfRule type="cellIs" dxfId="371" priority="1081" operator="between">
      <formula>9</formula>
      <formula>9.9</formula>
    </cfRule>
  </conditionalFormatting>
  <conditionalFormatting sqref="K77"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70" priority="1025" operator="between">
      <formula>10.1</formula>
      <formula>10.6</formula>
    </cfRule>
    <cfRule type="cellIs" dxfId="369" priority="1029" stopIfTrue="1" operator="between">
      <formula>10</formula>
      <formula>10</formula>
    </cfRule>
    <cfRule type="cellIs" dxfId="368" priority="1026" operator="between">
      <formula>7</formula>
      <formula>7.9</formula>
    </cfRule>
    <cfRule type="containsBlanks" dxfId="367" priority="1030" stopIfTrue="1">
      <formula>LEN(TRIM(K78))=0</formula>
    </cfRule>
    <cfRule type="cellIs" dxfId="366" priority="1027" stopIfTrue="1" operator="between">
      <formula>8</formula>
      <formula>8.9</formula>
    </cfRule>
    <cfRule type="cellIs" dxfId="365" priority="1028" operator="between">
      <formula>9</formula>
      <formula>9.9</formula>
    </cfRule>
  </conditionalFormatting>
  <conditionalFormatting sqref="K90">
    <cfRule type="colorScale" priority="979">
      <colorScale>
        <cfvo type="num" val="5"/>
        <cfvo type="num" val="10"/>
        <color rgb="FFFF494D"/>
        <color rgb="FF00FF66"/>
      </colorScale>
    </cfRule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64" priority="980" operator="between">
      <formula>10.1</formula>
      <formula>10.6</formula>
    </cfRule>
    <cfRule type="cellIs" dxfId="363" priority="981" operator="between">
      <formula>7</formula>
      <formula>7.9</formula>
    </cfRule>
    <cfRule type="cellIs" dxfId="362" priority="982" stopIfTrue="1" operator="between">
      <formula>8</formula>
      <formula>8.9</formula>
    </cfRule>
    <cfRule type="containsBlanks" dxfId="361" priority="985" stopIfTrue="1">
      <formula>LEN(TRIM(K91))=0</formula>
    </cfRule>
    <cfRule type="cellIs" dxfId="360" priority="984" stopIfTrue="1" operator="between">
      <formula>10</formula>
      <formula>10</formula>
    </cfRule>
    <cfRule type="cellIs" dxfId="359" priority="983" operator="between">
      <formula>9</formula>
      <formula>9.9</formula>
    </cfRule>
  </conditionalFormatting>
  <conditionalFormatting sqref="K98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58" priority="950" operator="between">
      <formula>9</formula>
      <formula>9.9</formula>
    </cfRule>
    <cfRule type="cellIs" dxfId="357" priority="947" operator="between">
      <formula>10.1</formula>
      <formula>10.6</formula>
    </cfRule>
    <cfRule type="cellIs" dxfId="356" priority="948" operator="between">
      <formula>7</formula>
      <formula>7.9</formula>
    </cfRule>
    <cfRule type="cellIs" dxfId="355" priority="949" stopIfTrue="1" operator="between">
      <formula>8</formula>
      <formula>8.9</formula>
    </cfRule>
    <cfRule type="cellIs" dxfId="354" priority="951" stopIfTrue="1" operator="between">
      <formula>10</formula>
      <formula>10</formula>
    </cfRule>
    <cfRule type="containsBlanks" dxfId="353" priority="952" stopIfTrue="1">
      <formula>LEN(TRIM(K99))=0</formula>
    </cfRule>
    <cfRule type="cellIs" dxfId="352" priority="946" operator="between">
      <formula>6</formula>
      <formula>6.9</formula>
    </cfRule>
  </conditionalFormatting>
  <conditionalFormatting sqref="K111">
    <cfRule type="colorScale" priority="912">
      <colorScale>
        <cfvo type="num" val="5"/>
        <cfvo type="num" val="10"/>
        <color rgb="FFFF494D"/>
        <color rgb="FF00FF66"/>
      </colorScale>
    </cfRule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351" priority="900" operator="between">
      <formula>7</formula>
      <formula>7.9</formula>
    </cfRule>
    <cfRule type="cellIs" dxfId="350" priority="901" stopIfTrue="1" operator="between">
      <formula>8</formula>
      <formula>8.9</formula>
    </cfRule>
    <cfRule type="cellIs" dxfId="349" priority="899" operator="between">
      <formula>10.1</formula>
      <formula>10.6</formula>
    </cfRule>
    <cfRule type="containsBlanks" dxfId="348" priority="904" stopIfTrue="1">
      <formula>LEN(TRIM(K112))=0</formula>
    </cfRule>
    <cfRule type="cellIs" dxfId="347" priority="903" stopIfTrue="1" operator="between">
      <formula>10</formula>
      <formula>10</formula>
    </cfRule>
    <cfRule type="cellIs" dxfId="346" priority="902" operator="between">
      <formula>9</formula>
      <formula>9.9</formula>
    </cfRule>
  </conditionalFormatting>
  <conditionalFormatting sqref="K114">
    <cfRule type="cellIs" dxfId="345" priority="898" operator="between">
      <formula>6</formula>
      <formula>6.9</formula>
    </cfRule>
  </conditionalFormatting>
  <conditionalFormatting sqref="K124">
    <cfRule type="colorScale" priority="863">
      <colorScale>
        <cfvo type="num" val="5"/>
        <cfvo type="num" val="10"/>
        <color rgb="FFFF494D"/>
        <color rgb="FF00FF66"/>
      </colorScale>
    </cfRule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344" priority="859" operator="between">
      <formula>9</formula>
      <formula>9.9</formula>
    </cfRule>
    <cfRule type="cellIs" dxfId="343" priority="860" stopIfTrue="1" operator="between">
      <formula>10</formula>
      <formula>10</formula>
    </cfRule>
    <cfRule type="containsBlanks" dxfId="342" priority="861" stopIfTrue="1">
      <formula>LEN(TRIM(K125))=0</formula>
    </cfRule>
    <cfRule type="cellIs" dxfId="341" priority="858" stopIfTrue="1" operator="between">
      <formula>8</formula>
      <formula>8.9</formula>
    </cfRule>
    <cfRule type="cellIs" dxfId="340" priority="856" operator="between">
      <formula>10.1</formula>
      <formula>10.6</formula>
    </cfRule>
    <cfRule type="cellIs" dxfId="339" priority="857" operator="between">
      <formula>7</formula>
      <formula>7.9</formula>
    </cfRule>
  </conditionalFormatting>
  <conditionalFormatting sqref="K125:K134">
    <cfRule type="containsBlanks" dxfId="338" priority="855" stopIfTrue="1">
      <formula>LEN(TRIM(K125))=0</formula>
    </cfRule>
    <cfRule type="cellIs" dxfId="337" priority="854" stopIfTrue="1" operator="between">
      <formula>10</formula>
      <formula>10</formula>
    </cfRule>
    <cfRule type="cellIs" dxfId="336" priority="853" operator="between">
      <formula>9</formula>
      <formula>9.9</formula>
    </cfRule>
    <cfRule type="cellIs" dxfId="335" priority="852" stopIfTrue="1" operator="between">
      <formula>8</formula>
      <formula>8.9</formula>
    </cfRule>
    <cfRule type="cellIs" dxfId="334" priority="851" operator="between">
      <formula>7</formula>
      <formula>7.9</formula>
    </cfRule>
    <cfRule type="cellIs" dxfId="333" priority="850" operator="between">
      <formula>10.1</formula>
      <formula>10.6</formula>
    </cfRule>
    <cfRule type="cellIs" dxfId="332" priority="849" operator="between">
      <formula>6</formula>
      <formula>6.9</formula>
    </cfRule>
  </conditionalFormatting>
  <conditionalFormatting sqref="K136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331" priority="797" stopIfTrue="1">
      <formula>LEN(TRIM(K137))=0</formula>
    </cfRule>
    <cfRule type="cellIs" dxfId="330" priority="791" operator="between">
      <formula>6</formula>
      <formula>6.9</formula>
    </cfRule>
    <cfRule type="cellIs" dxfId="329" priority="792" operator="between">
      <formula>10.1</formula>
      <formula>10.6</formula>
    </cfRule>
    <cfRule type="cellIs" dxfId="328" priority="793" operator="between">
      <formula>7</formula>
      <formula>7.9</formula>
    </cfRule>
    <cfRule type="cellIs" dxfId="327" priority="794" stopIfTrue="1" operator="between">
      <formula>8</formula>
      <formula>8.9</formula>
    </cfRule>
    <cfRule type="cellIs" dxfId="326" priority="795" operator="between">
      <formula>9</formula>
      <formula>9.9</formula>
    </cfRule>
    <cfRule type="cellIs" dxfId="325" priority="796" stopIfTrue="1" operator="between">
      <formula>10</formula>
      <formula>10</formula>
    </cfRule>
  </conditionalFormatting>
  <conditionalFormatting sqref="K149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24" priority="732" operator="between">
      <formula>9</formula>
      <formula>9.9</formula>
    </cfRule>
    <cfRule type="cellIs" dxfId="323" priority="733" stopIfTrue="1" operator="between">
      <formula>10</formula>
      <formula>10</formula>
    </cfRule>
    <cfRule type="containsBlanks" dxfId="322" priority="734" stopIfTrue="1">
      <formula>LEN(TRIM(K150))=0</formula>
    </cfRule>
    <cfRule type="cellIs" dxfId="321" priority="730" operator="between">
      <formula>7</formula>
      <formula>7.9</formula>
    </cfRule>
    <cfRule type="cellIs" dxfId="320" priority="731" stopIfTrue="1" operator="between">
      <formula>8</formula>
      <formula>8.9</formula>
    </cfRule>
    <cfRule type="cellIs" dxfId="319" priority="729" operator="between">
      <formula>10.1</formula>
      <formula>10.6</formula>
    </cfRule>
    <cfRule type="cellIs" dxfId="318" priority="728" operator="between">
      <formula>6</formula>
      <formula>6.9</formula>
    </cfRule>
  </conditionalFormatting>
  <conditionalFormatting sqref="K165">
    <cfRule type="colorScale" priority="680">
      <colorScale>
        <cfvo type="num" val="5"/>
        <cfvo type="num" val="10"/>
        <color rgb="FFFF494D"/>
        <color rgb="FF00FF66"/>
      </colorScale>
    </cfRule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17" priority="673" operator="between">
      <formula>10.1</formula>
      <formula>10.6</formula>
    </cfRule>
    <cfRule type="containsBlanks" dxfId="316" priority="678" stopIfTrue="1">
      <formula>LEN(TRIM(K166))=0</formula>
    </cfRule>
    <cfRule type="cellIs" dxfId="315" priority="677" stopIfTrue="1" operator="between">
      <formula>10</formula>
      <formula>10</formula>
    </cfRule>
    <cfRule type="cellIs" dxfId="314" priority="676" operator="between">
      <formula>9</formula>
      <formula>9.9</formula>
    </cfRule>
    <cfRule type="cellIs" dxfId="313" priority="675" stopIfTrue="1" operator="between">
      <formula>8</formula>
      <formula>8.9</formula>
    </cfRule>
    <cfRule type="cellIs" dxfId="312" priority="672" operator="between">
      <formula>6</formula>
      <formula>6.9</formula>
    </cfRule>
    <cfRule type="cellIs" dxfId="311" priority="674" operator="between">
      <formula>7</formula>
      <formula>7.9</formula>
    </cfRule>
  </conditionalFormatting>
  <conditionalFormatting sqref="K175">
    <cfRule type="colorScale" priority="644">
      <colorScale>
        <cfvo type="num" val="5"/>
        <cfvo type="num" val="10"/>
        <color rgb="FFFF494D"/>
        <color rgb="FF00FF66"/>
      </colorScale>
    </cfRule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10" priority="646" operator="between">
      <formula>10.1</formula>
      <formula>10.6</formula>
    </cfRule>
    <cfRule type="cellIs" dxfId="309" priority="645" operator="between">
      <formula>6</formula>
      <formula>6.9</formula>
    </cfRule>
    <cfRule type="cellIs" dxfId="308" priority="648" stopIfTrue="1" operator="between">
      <formula>8</formula>
      <formula>8.9</formula>
    </cfRule>
    <cfRule type="containsBlanks" dxfId="307" priority="651" stopIfTrue="1">
      <formula>LEN(TRIM(K176))=0</formula>
    </cfRule>
    <cfRule type="cellIs" dxfId="306" priority="650" stopIfTrue="1" operator="between">
      <formula>10</formula>
      <formula>10</formula>
    </cfRule>
    <cfRule type="cellIs" dxfId="305" priority="649" operator="between">
      <formula>9</formula>
      <formula>9.9</formula>
    </cfRule>
    <cfRule type="cellIs" dxfId="304" priority="647" operator="between">
      <formula>7</formula>
      <formula>7.9</formula>
    </cfRule>
  </conditionalFormatting>
  <conditionalFormatting sqref="K182"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03" priority="626" operator="between">
      <formula>10.1</formula>
      <formula>10.6</formula>
    </cfRule>
    <cfRule type="cellIs" dxfId="302" priority="628" stopIfTrue="1" operator="between">
      <formula>8</formula>
      <formula>8.9</formula>
    </cfRule>
    <cfRule type="cellIs" dxfId="301" priority="629" operator="between">
      <formula>9</formula>
      <formula>9.9</formula>
    </cfRule>
    <cfRule type="cellIs" dxfId="300" priority="630" stopIfTrue="1" operator="between">
      <formula>10</formula>
      <formula>10</formula>
    </cfRule>
    <cfRule type="containsBlanks" dxfId="299" priority="631" stopIfTrue="1">
      <formula>LEN(TRIM(K183))=0</formula>
    </cfRule>
    <cfRule type="cellIs" dxfId="298" priority="627" operator="between">
      <formula>7</formula>
      <formula>7.9</formula>
    </cfRule>
    <cfRule type="cellIs" dxfId="297" priority="625" operator="between">
      <formula>6</formula>
      <formula>6.9</formula>
    </cfRule>
  </conditionalFormatting>
  <conditionalFormatting sqref="K189">
    <cfRule type="colorScale" priority="584">
      <colorScale>
        <cfvo type="num" val="5"/>
        <cfvo type="num" val="10"/>
        <color rgb="FFFF494D"/>
        <color rgb="FF00FF66"/>
      </colorScale>
    </cfRule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296" priority="585" operator="between">
      <formula>6</formula>
      <formula>6.9</formula>
    </cfRule>
    <cfRule type="cellIs" dxfId="295" priority="586" operator="between">
      <formula>10.1</formula>
      <formula>10.6</formula>
    </cfRule>
    <cfRule type="cellIs" dxfId="294" priority="587" operator="between">
      <formula>7</formula>
      <formula>7.9</formula>
    </cfRule>
    <cfRule type="cellIs" dxfId="293" priority="588" stopIfTrue="1" operator="between">
      <formula>8</formula>
      <formula>8.9</formula>
    </cfRule>
    <cfRule type="cellIs" dxfId="292" priority="590" stopIfTrue="1" operator="between">
      <formula>10</formula>
      <formula>10</formula>
    </cfRule>
    <cfRule type="containsBlanks" dxfId="291" priority="591" stopIfTrue="1">
      <formula>LEN(TRIM(K190))=0</formula>
    </cfRule>
    <cfRule type="cellIs" dxfId="290" priority="589" operator="between">
      <formula>9</formula>
      <formula>9.9</formula>
    </cfRule>
  </conditionalFormatting>
  <conditionalFormatting sqref="K199"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89" priority="557" operator="between">
      <formula>10.1</formula>
      <formula>10.6</formula>
    </cfRule>
    <cfRule type="cellIs" dxfId="288" priority="561" stopIfTrue="1" operator="between">
      <formula>10</formula>
      <formula>10</formula>
    </cfRule>
    <cfRule type="containsBlanks" dxfId="287" priority="562" stopIfTrue="1">
      <formula>LEN(TRIM(K200))=0</formula>
    </cfRule>
    <cfRule type="cellIs" dxfId="286" priority="558" operator="between">
      <formula>7</formula>
      <formula>7.9</formula>
    </cfRule>
    <cfRule type="cellIs" dxfId="285" priority="560" operator="between">
      <formula>9</formula>
      <formula>9.9</formula>
    </cfRule>
    <cfRule type="cellIs" dxfId="284" priority="559" stopIfTrue="1" operator="between">
      <formula>8</formula>
      <formula>8.9</formula>
    </cfRule>
    <cfRule type="cellIs" dxfId="283" priority="556" operator="between">
      <formula>6</formula>
      <formula>6.9</formula>
    </cfRule>
  </conditionalFormatting>
  <conditionalFormatting sqref="K208"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82" priority="526" operator="between">
      <formula>6</formula>
      <formula>6.9</formula>
    </cfRule>
    <cfRule type="cellIs" dxfId="281" priority="527" operator="between">
      <formula>10.1</formula>
      <formula>11</formula>
    </cfRule>
    <cfRule type="cellIs" dxfId="280" priority="528" operator="between">
      <formula>7</formula>
      <formula>7.9</formula>
    </cfRule>
    <cfRule type="containsBlanks" dxfId="279" priority="532" stopIfTrue="1">
      <formula>LEN(TRIM(K209))=0</formula>
    </cfRule>
    <cfRule type="cellIs" dxfId="278" priority="529" stopIfTrue="1" operator="between">
      <formula>8</formula>
      <formula>8.9</formula>
    </cfRule>
    <cfRule type="cellIs" dxfId="277" priority="530" operator="between">
      <formula>9</formula>
      <formula>9.9</formula>
    </cfRule>
    <cfRule type="cellIs" dxfId="276" priority="531" stopIfTrue="1" operator="between">
      <formula>10</formula>
      <formula>10</formula>
    </cfRule>
  </conditionalFormatting>
  <conditionalFormatting sqref="K219">
    <cfRule type="colorScale" priority="481">
      <colorScale>
        <cfvo type="num" val="5"/>
        <cfvo type="num" val="10"/>
        <color rgb="FFFF494D"/>
        <color rgb="FF00FF66"/>
      </colorScale>
    </cfRule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275" priority="479" stopIfTrue="1">
      <formula>LEN(TRIM(K220))=0</formula>
    </cfRule>
    <cfRule type="cellIs" dxfId="274" priority="474" operator="between">
      <formula>10.1</formula>
      <formula>10.6</formula>
    </cfRule>
    <cfRule type="cellIs" dxfId="273" priority="476" stopIfTrue="1" operator="between">
      <formula>8</formula>
      <formula>8.9</formula>
    </cfRule>
    <cfRule type="cellIs" dxfId="272" priority="477" operator="between">
      <formula>9</formula>
      <formula>9.9</formula>
    </cfRule>
    <cfRule type="cellIs" dxfId="271" priority="475" operator="between">
      <formula>7</formula>
      <formula>7.9</formula>
    </cfRule>
    <cfRule type="cellIs" dxfId="270" priority="478" stopIfTrue="1" operator="between">
      <formula>10</formula>
      <formula>10</formula>
    </cfRule>
    <cfRule type="cellIs" dxfId="269" priority="473" operator="between">
      <formula>6</formula>
      <formula>6.9</formula>
    </cfRule>
  </conditionalFormatting>
  <conditionalFormatting sqref="K237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68" priority="414" operator="between">
      <formula>9</formula>
      <formula>9.9</formula>
    </cfRule>
    <cfRule type="cellIs" dxfId="267" priority="412" operator="between">
      <formula>7</formula>
      <formula>7.9</formula>
    </cfRule>
    <cfRule type="cellIs" dxfId="266" priority="413" stopIfTrue="1" operator="between">
      <formula>8</formula>
      <formula>8.9</formula>
    </cfRule>
    <cfRule type="cellIs" dxfId="265" priority="411" operator="between">
      <formula>10.1</formula>
      <formula>10.6</formula>
    </cfRule>
    <cfRule type="cellIs" dxfId="264" priority="415" stopIfTrue="1" operator="between">
      <formula>10</formula>
      <formula>10</formula>
    </cfRule>
    <cfRule type="containsBlanks" dxfId="263" priority="416" stopIfTrue="1">
      <formula>LEN(TRIM(K238))=0</formula>
    </cfRule>
    <cfRule type="cellIs" dxfId="262" priority="410" operator="between">
      <formula>6</formula>
      <formula>6.9</formula>
    </cfRule>
  </conditionalFormatting>
  <conditionalFormatting sqref="K252">
    <cfRule type="colorScale" priority="373">
      <colorScale>
        <cfvo type="num" val="5"/>
        <cfvo type="num" val="10"/>
        <color rgb="FFFF494D"/>
        <color rgb="FF00FF66"/>
      </colorScale>
    </cfRule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261" priority="369" operator="between">
      <formula>9</formula>
      <formula>9.9</formula>
    </cfRule>
    <cfRule type="containsBlanks" dxfId="260" priority="371" stopIfTrue="1">
      <formula>LEN(TRIM(K253))=0</formula>
    </cfRule>
    <cfRule type="cellIs" dxfId="259" priority="368" stopIfTrue="1" operator="between">
      <formula>8</formula>
      <formula>8.9</formula>
    </cfRule>
    <cfRule type="cellIs" dxfId="258" priority="365" operator="between">
      <formula>6</formula>
      <formula>6.9</formula>
    </cfRule>
    <cfRule type="cellIs" dxfId="257" priority="367" operator="between">
      <formula>7</formula>
      <formula>7.9</formula>
    </cfRule>
    <cfRule type="cellIs" dxfId="256" priority="366" operator="between">
      <formula>10.1</formula>
      <formula>10.6</formula>
    </cfRule>
    <cfRule type="cellIs" dxfId="255" priority="370" stopIfTrue="1" operator="between">
      <formula>10</formula>
      <formula>10</formula>
    </cfRule>
  </conditionalFormatting>
  <conditionalFormatting sqref="K264">
    <cfRule type="colorScale" priority="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54" priority="337" operator="between">
      <formula>10.1</formula>
      <formula>10.6</formula>
    </cfRule>
    <cfRule type="cellIs" dxfId="253" priority="338" operator="between">
      <formula>7</formula>
      <formula>7.9</formula>
    </cfRule>
    <cfRule type="cellIs" dxfId="252" priority="339" stopIfTrue="1" operator="between">
      <formula>8</formula>
      <formula>8.9</formula>
    </cfRule>
    <cfRule type="cellIs" dxfId="251" priority="336" operator="between">
      <formula>6</formula>
      <formula>6.9</formula>
    </cfRule>
    <cfRule type="cellIs" dxfId="250" priority="341" stopIfTrue="1" operator="between">
      <formula>10</formula>
      <formula>10</formula>
    </cfRule>
    <cfRule type="containsBlanks" dxfId="249" priority="342" stopIfTrue="1">
      <formula>LEN(TRIM(K265))=0</formula>
    </cfRule>
    <cfRule type="cellIs" dxfId="248" priority="340" operator="between">
      <formula>9</formula>
      <formula>9.9</formula>
    </cfRule>
  </conditionalFormatting>
  <conditionalFormatting sqref="K276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47" priority="283" operator="between">
      <formula>6</formula>
      <formula>6.9</formula>
    </cfRule>
    <cfRule type="cellIs" dxfId="246" priority="284" operator="between">
      <formula>10.1</formula>
      <formula>10.6</formula>
    </cfRule>
    <cfRule type="cellIs" dxfId="245" priority="285" operator="between">
      <formula>7</formula>
      <formula>7.9</formula>
    </cfRule>
    <cfRule type="cellIs" dxfId="244" priority="286" stopIfTrue="1" operator="between">
      <formula>8</formula>
      <formula>8.9</formula>
    </cfRule>
    <cfRule type="cellIs" dxfId="243" priority="287" operator="between">
      <formula>9</formula>
      <formula>9.9</formula>
    </cfRule>
    <cfRule type="cellIs" dxfId="242" priority="288" stopIfTrue="1" operator="between">
      <formula>10</formula>
      <formula>10</formula>
    </cfRule>
    <cfRule type="containsBlanks" dxfId="241" priority="289" stopIfTrue="1">
      <formula>LEN(TRIM(K277))=0</formula>
    </cfRule>
  </conditionalFormatting>
  <conditionalFormatting sqref="K286">
    <cfRule type="colorScale" priority="243">
      <colorScale>
        <cfvo type="num" val="5"/>
        <cfvo type="num" val="10"/>
        <color rgb="FFFF494D"/>
        <color rgb="FF00FF66"/>
      </colorScale>
    </cfRule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40" priority="238" stopIfTrue="1" operator="between">
      <formula>8</formula>
      <formula>8.9</formula>
    </cfRule>
    <cfRule type="cellIs" dxfId="239" priority="239" operator="between">
      <formula>9</formula>
      <formula>9.9</formula>
    </cfRule>
    <cfRule type="cellIs" dxfId="238" priority="237" operator="between">
      <formula>7</formula>
      <formula>7.9</formula>
    </cfRule>
    <cfRule type="cellIs" dxfId="237" priority="236" operator="between">
      <formula>10.1</formula>
      <formula>10.6</formula>
    </cfRule>
    <cfRule type="cellIs" dxfId="236" priority="235" operator="between">
      <formula>6</formula>
      <formula>6.9</formula>
    </cfRule>
    <cfRule type="containsBlanks" dxfId="235" priority="241" stopIfTrue="1">
      <formula>LEN(TRIM(K287))=0</formula>
    </cfRule>
    <cfRule type="cellIs" dxfId="234" priority="240" stopIfTrue="1" operator="between">
      <formula>10</formula>
      <formula>10</formula>
    </cfRule>
  </conditionalFormatting>
  <conditionalFormatting sqref="K296">
    <cfRule type="colorScale" priority="205">
      <colorScale>
        <cfvo type="num" val="5"/>
        <cfvo type="num" val="10"/>
        <color rgb="FFFF494D"/>
        <color rgb="FF00FF66"/>
      </colorScale>
    </cfRule>
    <cfRule type="colorScale" priority="2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ontainsBlanks" dxfId="233" priority="195" stopIfTrue="1">
      <formula>LEN(TRIM(K297))=0</formula>
    </cfRule>
    <cfRule type="cellIs" dxfId="232" priority="196" operator="lessThan">
      <formula>2</formula>
    </cfRule>
    <cfRule type="cellIs" dxfId="231" priority="197" operator="between">
      <formula>2</formula>
      <formula>4.9</formula>
    </cfRule>
    <cfRule type="cellIs" dxfId="230" priority="198" operator="between">
      <formula>5</formula>
      <formula>6.9</formula>
    </cfRule>
    <cfRule type="cellIs" dxfId="229" priority="199" operator="between">
      <formula>10.1</formula>
      <formula>10.6</formula>
    </cfRule>
    <cfRule type="cellIs" dxfId="228" priority="200" operator="between">
      <formula>7</formula>
      <formula>7.9</formula>
    </cfRule>
    <cfRule type="cellIs" dxfId="227" priority="201" stopIfTrue="1" operator="between">
      <formula>8</formula>
      <formula>8.9</formula>
    </cfRule>
    <cfRule type="cellIs" dxfId="226" priority="202" operator="between">
      <formula>9</formula>
      <formula>9.9</formula>
    </cfRule>
    <cfRule type="cellIs" dxfId="225" priority="203" stopIfTrue="1" operator="between">
      <formula>10</formula>
      <formula>10</formula>
    </cfRule>
  </conditionalFormatting>
  <conditionalFormatting sqref="K304">
    <cfRule type="colorScale" priority="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24" priority="164" stopIfTrue="1">
      <formula>LEN(TRIM(K305))=0</formula>
    </cfRule>
    <cfRule type="cellIs" dxfId="223" priority="165" operator="lessThan">
      <formula>2</formula>
    </cfRule>
    <cfRule type="cellIs" dxfId="222" priority="166" operator="between">
      <formula>2</formula>
      <formula>4.9</formula>
    </cfRule>
    <cfRule type="cellIs" dxfId="221" priority="167" operator="between">
      <formula>5</formula>
      <formula>6.9</formula>
    </cfRule>
    <cfRule type="cellIs" dxfId="220" priority="172" stopIfTrue="1" operator="between">
      <formula>10</formula>
      <formula>10</formula>
    </cfRule>
    <cfRule type="cellIs" dxfId="219" priority="171" operator="between">
      <formula>9</formula>
      <formula>9.9</formula>
    </cfRule>
    <cfRule type="cellIs" dxfId="218" priority="170" stopIfTrue="1" operator="between">
      <formula>8</formula>
      <formula>8.9</formula>
    </cfRule>
    <cfRule type="cellIs" dxfId="217" priority="169" operator="between">
      <formula>7</formula>
      <formula>7.9</formula>
    </cfRule>
    <cfRule type="cellIs" dxfId="216" priority="168" operator="between">
      <formula>10.1</formula>
      <formula>10.6</formula>
    </cfRule>
  </conditionalFormatting>
  <conditionalFormatting sqref="K318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15" priority="108" stopIfTrue="1" operator="between">
      <formula>8</formula>
      <formula>8.9</formula>
    </cfRule>
    <cfRule type="cellIs" dxfId="214" priority="107" operator="between">
      <formula>7</formula>
      <formula>7.9</formula>
    </cfRule>
    <cfRule type="cellIs" dxfId="213" priority="106" operator="between">
      <formula>10.1</formula>
      <formula>10.6</formula>
    </cfRule>
    <cfRule type="cellIs" dxfId="212" priority="105" operator="between">
      <formula>5</formula>
      <formula>6.9</formula>
    </cfRule>
    <cfRule type="cellIs" dxfId="211" priority="104" operator="between">
      <formula>2</formula>
      <formula>4.9</formula>
    </cfRule>
    <cfRule type="cellIs" dxfId="210" priority="103" operator="lessThan">
      <formula>2</formula>
    </cfRule>
    <cfRule type="containsBlanks" dxfId="209" priority="102" stopIfTrue="1">
      <formula>LEN(TRIM(K319))=0</formula>
    </cfRule>
    <cfRule type="cellIs" dxfId="208" priority="110" stopIfTrue="1" operator="between">
      <formula>10</formula>
      <formula>10</formula>
    </cfRule>
    <cfRule type="cellIs" dxfId="207" priority="109" operator="between">
      <formula>9</formula>
      <formula>9.9</formula>
    </cfRule>
  </conditionalFormatting>
  <conditionalFormatting sqref="K328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206" priority="66" stopIfTrue="1" operator="between">
      <formula>10</formula>
      <formula>10</formula>
    </cfRule>
    <cfRule type="cellIs" dxfId="205" priority="65" operator="between">
      <formula>9</formula>
      <formula>9.9</formula>
    </cfRule>
    <cfRule type="cellIs" dxfId="204" priority="64" stopIfTrue="1" operator="between">
      <formula>8</formula>
      <formula>8.9</formula>
    </cfRule>
    <cfRule type="cellIs" dxfId="203" priority="63" operator="between">
      <formula>7</formula>
      <formula>7.9</formula>
    </cfRule>
    <cfRule type="cellIs" dxfId="202" priority="62" operator="between">
      <formula>10.1</formula>
      <formula>10.6</formula>
    </cfRule>
    <cfRule type="cellIs" dxfId="201" priority="61" operator="between">
      <formula>5</formula>
      <formula>6.9</formula>
    </cfRule>
    <cfRule type="cellIs" dxfId="200" priority="60" operator="between">
      <formula>2</formula>
      <formula>4.9</formula>
    </cfRule>
    <cfRule type="cellIs" dxfId="199" priority="59" operator="lessThan">
      <formula>2</formula>
    </cfRule>
    <cfRule type="containsBlanks" dxfId="198" priority="58" stopIfTrue="1">
      <formula>LEN(TRIM(K329))=0</formula>
    </cfRule>
  </conditionalFormatting>
  <conditionalFormatting sqref="M28">
    <cfRule type="colorScale" priority="1601">
      <colorScale>
        <cfvo type="num" val="5"/>
        <cfvo type="num" val="10"/>
        <color rgb="FFFF494D"/>
        <color rgb="FF00FF66"/>
      </colorScale>
    </cfRule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97" priority="1200" operator="between">
      <formula>9</formula>
      <formula>9.9</formula>
    </cfRule>
    <cfRule type="cellIs" dxfId="196" priority="1199" stopIfTrue="1" operator="between">
      <formula>8</formula>
      <formula>8.9</formula>
    </cfRule>
    <cfRule type="cellIs" dxfId="195" priority="1197" operator="between">
      <formula>10.1</formula>
      <formula>10.6</formula>
    </cfRule>
    <cfRule type="cellIs" dxfId="194" priority="1198" operator="between">
      <formula>7</formula>
      <formula>7.9</formula>
    </cfRule>
    <cfRule type="cellIs" dxfId="193" priority="1201" stopIfTrue="1" operator="between">
      <formula>10</formula>
      <formula>10</formula>
    </cfRule>
    <cfRule type="containsBlanks" dxfId="192" priority="1202" stopIfTrue="1">
      <formula>LEN(TRIM(N3))=0</formula>
    </cfRule>
  </conditionalFormatting>
  <conditionalFormatting sqref="N15:N26">
    <cfRule type="cellIs" dxfId="191" priority="1330" stopIfTrue="1" operator="between">
      <formula>8</formula>
      <formula>8.9</formula>
    </cfRule>
    <cfRule type="cellIs" dxfId="190" priority="1331" operator="between">
      <formula>9</formula>
      <formula>9.9</formula>
    </cfRule>
    <cfRule type="cellIs" dxfId="189" priority="1332" stopIfTrue="1" operator="between">
      <formula>10</formula>
      <formula>10</formula>
    </cfRule>
    <cfRule type="cellIs" dxfId="188" priority="1329" operator="between">
      <formula>7</formula>
      <formula>7.9</formula>
    </cfRule>
  </conditionalFormatting>
  <conditionalFormatting sqref="N28">
    <cfRule type="colorScale" priority="1095">
      <colorScale>
        <cfvo type="num" val="5"/>
        <cfvo type="num" val="10"/>
        <color rgb="FFFF494D"/>
        <color rgb="FF00FF66"/>
      </colorScale>
    </cfRule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87" priority="1336" stopIfTrue="1" operator="between">
      <formula>10</formula>
      <formula>10</formula>
    </cfRule>
    <cfRule type="cellIs" dxfId="186" priority="1333" operator="between">
      <formula>7</formula>
      <formula>7.9</formula>
    </cfRule>
    <cfRule type="cellIs" dxfId="185" priority="1334" stopIfTrue="1" operator="between">
      <formula>8</formula>
      <formula>8.9</formula>
    </cfRule>
    <cfRule type="cellIs" dxfId="184" priority="1335" operator="between">
      <formula>9</formula>
      <formula>9.9</formula>
    </cfRule>
  </conditionalFormatting>
  <conditionalFormatting sqref="N39"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83" priority="1140" operator="between">
      <formula>9</formula>
      <formula>9.9</formula>
    </cfRule>
    <cfRule type="cellIs" dxfId="182" priority="1139" stopIfTrue="1" operator="between">
      <formula>8</formula>
      <formula>8.9</formula>
    </cfRule>
    <cfRule type="cellIs" dxfId="181" priority="1138" operator="between">
      <formula>7</formula>
      <formula>7.9</formula>
    </cfRule>
    <cfRule type="cellIs" dxfId="180" priority="1137" operator="between">
      <formula>10.1</formula>
      <formula>10.6</formula>
    </cfRule>
    <cfRule type="containsBlanks" dxfId="179" priority="1142" stopIfTrue="1">
      <formula>LEN(TRIM(N40))=0</formula>
    </cfRule>
    <cfRule type="cellIs" dxfId="178" priority="1141" stopIfTrue="1" operator="between">
      <formula>10</formula>
      <formula>10</formula>
    </cfRule>
  </conditionalFormatting>
  <conditionalFormatting sqref="N54">
    <cfRule type="colorScale" priority="1126">
      <colorScale>
        <cfvo type="num" val="5"/>
        <cfvo type="num" val="10"/>
        <color rgb="FFFF494D"/>
        <color rgb="FF00FF66"/>
      </colorScale>
    </cfRule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77" priority="1124" stopIfTrue="1">
      <formula>LEN(TRIM(N55))=0</formula>
    </cfRule>
    <cfRule type="cellIs" dxfId="176" priority="1123" stopIfTrue="1" operator="between">
      <formula>10</formula>
      <formula>10</formula>
    </cfRule>
    <cfRule type="cellIs" dxfId="175" priority="1122" operator="between">
      <formula>9</formula>
      <formula>9.9</formula>
    </cfRule>
    <cfRule type="cellIs" dxfId="174" priority="1121" stopIfTrue="1" operator="between">
      <formula>8</formula>
      <formula>8.9</formula>
    </cfRule>
    <cfRule type="cellIs" dxfId="173" priority="1120" operator="between">
      <formula>7</formula>
      <formula>7.9</formula>
    </cfRule>
    <cfRule type="cellIs" dxfId="172" priority="1119" operator="between">
      <formula>10.1</formula>
      <formula>10.6</formula>
    </cfRule>
  </conditionalFormatting>
  <conditionalFormatting sqref="N67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71" priority="1070" operator="between">
      <formula>10.1</formula>
      <formula>10.6</formula>
    </cfRule>
    <cfRule type="cellIs" dxfId="170" priority="1071" operator="between">
      <formula>7</formula>
      <formula>7.9</formula>
    </cfRule>
    <cfRule type="cellIs" dxfId="169" priority="1072" stopIfTrue="1" operator="between">
      <formula>8</formula>
      <formula>8.9</formula>
    </cfRule>
    <cfRule type="cellIs" dxfId="168" priority="1073" operator="between">
      <formula>9</formula>
      <formula>9.9</formula>
    </cfRule>
    <cfRule type="cellIs" dxfId="167" priority="1074" stopIfTrue="1" operator="between">
      <formula>10</formula>
      <formula>10</formula>
    </cfRule>
    <cfRule type="containsBlanks" dxfId="166" priority="1075" stopIfTrue="1">
      <formula>LEN(TRIM(N68))=0</formula>
    </cfRule>
  </conditionalFormatting>
  <conditionalFormatting sqref="N79">
    <cfRule type="colorScale" priority="1008">
      <colorScale>
        <cfvo type="num" val="5"/>
        <cfvo type="num" val="10"/>
        <color rgb="FFFF494D"/>
        <color rgb="FF00FF66"/>
      </colorScale>
    </cfRule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65" priority="1001" operator="between">
      <formula>10.1</formula>
      <formula>10.6</formula>
    </cfRule>
    <cfRule type="cellIs" dxfId="164" priority="1002" operator="between">
      <formula>7</formula>
      <formula>7.9</formula>
    </cfRule>
    <cfRule type="cellIs" dxfId="163" priority="1003" stopIfTrue="1" operator="between">
      <formula>8</formula>
      <formula>8.9</formula>
    </cfRule>
    <cfRule type="cellIs" dxfId="162" priority="1004" operator="between">
      <formula>9</formula>
      <formula>9.9</formula>
    </cfRule>
    <cfRule type="cellIs" dxfId="161" priority="1005" stopIfTrue="1" operator="between">
      <formula>10</formula>
      <formula>10</formula>
    </cfRule>
    <cfRule type="containsBlanks" dxfId="160" priority="1006" stopIfTrue="1">
      <formula>LEN(TRIM(N80))=0</formula>
    </cfRule>
  </conditionalFormatting>
  <conditionalFormatting sqref="N93">
    <cfRule type="colorScale" priority="963">
      <colorScale>
        <cfvo type="num" val="5"/>
        <cfvo type="num" val="10"/>
        <color rgb="FFFF494D"/>
        <color rgb="FF00FF66"/>
      </colorScale>
    </cfRule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59" priority="964" operator="between">
      <formula>10.1</formula>
      <formula>10.6</formula>
    </cfRule>
    <cfRule type="cellIs" dxfId="158" priority="968" stopIfTrue="1" operator="between">
      <formula>10</formula>
      <formula>10</formula>
    </cfRule>
    <cfRule type="cellIs" dxfId="157" priority="967" operator="between">
      <formula>9</formula>
      <formula>9.9</formula>
    </cfRule>
    <cfRule type="cellIs" dxfId="156" priority="965" operator="between">
      <formula>7</formula>
      <formula>7.9</formula>
    </cfRule>
    <cfRule type="containsBlanks" dxfId="155" priority="969" stopIfTrue="1">
      <formula>LEN(TRIM(N94))=0</formula>
    </cfRule>
    <cfRule type="cellIs" dxfId="154" priority="966" stopIfTrue="1" operator="between">
      <formula>8</formula>
      <formula>8.9</formula>
    </cfRule>
  </conditionalFormatting>
  <conditionalFormatting sqref="N112">
    <cfRule type="colorScale" priority="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153" priority="895" stopIfTrue="1">
      <formula>LEN(TRIM(N113))=0</formula>
    </cfRule>
    <cfRule type="cellIs" dxfId="152" priority="894" stopIfTrue="1" operator="between">
      <formula>10</formula>
      <formula>10</formula>
    </cfRule>
    <cfRule type="cellIs" dxfId="151" priority="893" operator="between">
      <formula>9</formula>
      <formula>9.9</formula>
    </cfRule>
    <cfRule type="cellIs" dxfId="150" priority="892" stopIfTrue="1" operator="between">
      <formula>8</formula>
      <formula>8.9</formula>
    </cfRule>
    <cfRule type="cellIs" dxfId="149" priority="890" operator="between">
      <formula>10.1</formula>
      <formula>10.6</formula>
    </cfRule>
    <cfRule type="cellIs" dxfId="148" priority="891" operator="between">
      <formula>7</formula>
      <formula>7.9</formula>
    </cfRule>
  </conditionalFormatting>
  <conditionalFormatting sqref="N127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47" priority="823" operator="between">
      <formula>10.1</formula>
      <formula>10.6</formula>
    </cfRule>
    <cfRule type="cellIs" dxfId="146" priority="819" stopIfTrue="1" operator="between">
      <formula>8</formula>
      <formula>8.9</formula>
    </cfRule>
    <cfRule type="cellIs" dxfId="145" priority="818" operator="between">
      <formula>7</formula>
      <formula>7.9</formula>
    </cfRule>
    <cfRule type="cellIs" dxfId="144" priority="817" operator="between">
      <formula>10.1</formula>
      <formula>10.6</formula>
    </cfRule>
    <cfRule type="cellIs" dxfId="143" priority="816" operator="between">
      <formula>6</formula>
      <formula>6.9</formula>
    </cfRule>
    <cfRule type="containsBlanks" dxfId="142" priority="828" stopIfTrue="1">
      <formula>LEN(TRIM(N128))=0</formula>
    </cfRule>
    <cfRule type="cellIs" dxfId="141" priority="825" stopIfTrue="1" operator="between">
      <formula>8</formula>
      <formula>8.9</formula>
    </cfRule>
    <cfRule type="cellIs" dxfId="140" priority="827" stopIfTrue="1" operator="between">
      <formula>10</formula>
      <formula>10</formula>
    </cfRule>
    <cfRule type="cellIs" dxfId="139" priority="826" operator="between">
      <formula>9</formula>
      <formula>9.9</formula>
    </cfRule>
    <cfRule type="cellIs" dxfId="138" priority="824" operator="between">
      <formula>7</formula>
      <formula>7.9</formula>
    </cfRule>
    <cfRule type="cellIs" dxfId="137" priority="820" operator="between">
      <formula>9</formula>
      <formula>9.9</formula>
    </cfRule>
    <cfRule type="cellIs" dxfId="136" priority="821" stopIfTrue="1" operator="between">
      <formula>10</formula>
      <formula>10</formula>
    </cfRule>
    <cfRule type="containsBlanks" dxfId="135" priority="822" stopIfTrue="1">
      <formula>LEN(TRIM(N128))=0</formula>
    </cfRule>
  </conditionalFormatting>
  <conditionalFormatting sqref="N137">
    <cfRule type="colorScale" priority="788">
      <colorScale>
        <cfvo type="num" val="5"/>
        <cfvo type="num" val="10"/>
        <color rgb="FFFF494D"/>
        <color rgb="FF00FF66"/>
      </colorScale>
    </cfRule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34" priority="785" stopIfTrue="1" operator="between">
      <formula>10</formula>
      <formula>10</formula>
    </cfRule>
    <cfRule type="cellIs" dxfId="133" priority="784" operator="between">
      <formula>9</formula>
      <formula>9.9</formula>
    </cfRule>
    <cfRule type="cellIs" dxfId="132" priority="783" stopIfTrue="1" operator="between">
      <formula>8</formula>
      <formula>8.9</formula>
    </cfRule>
    <cfRule type="cellIs" dxfId="131" priority="780" operator="between">
      <formula>6</formula>
      <formula>6.9</formula>
    </cfRule>
    <cfRule type="cellIs" dxfId="130" priority="781" operator="between">
      <formula>10.1</formula>
      <formula>10.6</formula>
    </cfRule>
    <cfRule type="cellIs" dxfId="129" priority="782" operator="between">
      <formula>7</formula>
      <formula>7.9</formula>
    </cfRule>
    <cfRule type="containsBlanks" dxfId="128" priority="786" stopIfTrue="1">
      <formula>LEN(TRIM(N138))=0</formula>
    </cfRule>
  </conditionalFormatting>
  <conditionalFormatting sqref="N144">
    <cfRule type="colorScale" priority="779">
      <colorScale>
        <cfvo type="num" val="5"/>
        <cfvo type="num" val="10"/>
        <color rgb="FFFF494D"/>
        <color rgb="FF00FF66"/>
      </colorScale>
    </cfRule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27" priority="776" stopIfTrue="1" operator="between">
      <formula>10</formula>
      <formula>10</formula>
    </cfRule>
    <cfRule type="cellIs" dxfId="126" priority="775" operator="between">
      <formula>9</formula>
      <formula>9.9</formula>
    </cfRule>
    <cfRule type="cellIs" dxfId="125" priority="774" stopIfTrue="1" operator="between">
      <formula>8</formula>
      <formula>8.9</formula>
    </cfRule>
    <cfRule type="cellIs" dxfId="124" priority="773" operator="between">
      <formula>7</formula>
      <formula>7.9</formula>
    </cfRule>
    <cfRule type="cellIs" dxfId="123" priority="771" operator="between">
      <formula>6</formula>
      <formula>6.9</formula>
    </cfRule>
    <cfRule type="containsBlanks" dxfId="122" priority="777" stopIfTrue="1">
      <formula>LEN(TRIM(N145))=0</formula>
    </cfRule>
    <cfRule type="cellIs" dxfId="121" priority="772" operator="between">
      <formula>10.1</formula>
      <formula>10.6</formula>
    </cfRule>
  </conditionalFormatting>
  <conditionalFormatting sqref="N152">
    <cfRule type="colorScale" priority="725">
      <colorScale>
        <cfvo type="num" val="5"/>
        <cfvo type="num" val="10"/>
        <color rgb="FFFF494D"/>
        <color rgb="FF00FF66"/>
      </colorScale>
    </cfRule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20" priority="717" operator="between">
      <formula>6</formula>
      <formula>6.9</formula>
    </cfRule>
    <cfRule type="cellIs" dxfId="119" priority="718" operator="between">
      <formula>10.1</formula>
      <formula>10.6</formula>
    </cfRule>
    <cfRule type="cellIs" dxfId="118" priority="719" operator="between">
      <formula>7</formula>
      <formula>7.9</formula>
    </cfRule>
    <cfRule type="cellIs" dxfId="117" priority="720" stopIfTrue="1" operator="between">
      <formula>8</formula>
      <formula>8.9</formula>
    </cfRule>
    <cfRule type="cellIs" dxfId="116" priority="721" operator="between">
      <formula>9</formula>
      <formula>9.9</formula>
    </cfRule>
    <cfRule type="cellIs" dxfId="115" priority="722" stopIfTrue="1" operator="between">
      <formula>10</formula>
      <formula>10</formula>
    </cfRule>
    <cfRule type="containsBlanks" dxfId="114" priority="723" stopIfTrue="1">
      <formula>LEN(TRIM(N153))=0</formula>
    </cfRule>
  </conditionalFormatting>
  <conditionalFormatting sqref="N161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13" priority="701" operator="between">
      <formula>6</formula>
      <formula>6.9</formula>
    </cfRule>
    <cfRule type="containsBlanks" dxfId="112" priority="707" stopIfTrue="1">
      <formula>LEN(TRIM(N162))=0</formula>
    </cfRule>
    <cfRule type="cellIs" dxfId="111" priority="706" stopIfTrue="1" operator="between">
      <formula>10</formula>
      <formula>10</formula>
    </cfRule>
    <cfRule type="cellIs" dxfId="110" priority="705" operator="between">
      <formula>9</formula>
      <formula>9.9</formula>
    </cfRule>
    <cfRule type="cellIs" dxfId="109" priority="704" stopIfTrue="1" operator="between">
      <formula>8</formula>
      <formula>8.9</formula>
    </cfRule>
    <cfRule type="cellIs" dxfId="108" priority="703" operator="between">
      <formula>7</formula>
      <formula>7.9</formula>
    </cfRule>
    <cfRule type="cellIs" dxfId="107" priority="702" operator="between">
      <formula>10.1</formula>
      <formula>10.6</formula>
    </cfRule>
  </conditionalFormatting>
  <conditionalFormatting sqref="N182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600">
      <colorScale>
        <cfvo type="num" val="5"/>
        <cfvo type="num" val="10"/>
        <color rgb="FFFF494D"/>
        <color rgb="FF00FF66"/>
      </colorScale>
    </cfRule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06" priority="594" operator="between">
      <formula>7</formula>
      <formula>7.9</formula>
    </cfRule>
    <cfRule type="cellIs" dxfId="105" priority="595" stopIfTrue="1" operator="between">
      <formula>8</formula>
      <formula>8.9</formula>
    </cfRule>
    <cfRule type="cellIs" dxfId="104" priority="596" operator="between">
      <formula>9</formula>
      <formula>9.9</formula>
    </cfRule>
    <cfRule type="cellIs" dxfId="103" priority="593" operator="between">
      <formula>10.1</formula>
      <formula>10.6</formula>
    </cfRule>
    <cfRule type="cellIs" dxfId="102" priority="597" stopIfTrue="1" operator="between">
      <formula>10</formula>
      <formula>10</formula>
    </cfRule>
    <cfRule type="cellIs" dxfId="101" priority="592" operator="between">
      <formula>6</formula>
      <formula>6.9</formula>
    </cfRule>
    <cfRule type="containsBlanks" dxfId="100" priority="598" stopIfTrue="1">
      <formula>LEN(TRIM(N186))=0</formula>
    </cfRule>
  </conditionalFormatting>
  <conditionalFormatting sqref="N211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99" priority="515" stopIfTrue="1">
      <formula>LEN(TRIM(N212))=0</formula>
    </cfRule>
    <cfRule type="cellIs" dxfId="98" priority="514" stopIfTrue="1" operator="between">
      <formula>10</formula>
      <formula>10</formula>
    </cfRule>
    <cfRule type="cellIs" dxfId="97" priority="513" operator="between">
      <formula>9</formula>
      <formula>9.9</formula>
    </cfRule>
    <cfRule type="cellIs" dxfId="96" priority="512" stopIfTrue="1" operator="between">
      <formula>8</formula>
      <formula>8.9</formula>
    </cfRule>
    <cfRule type="cellIs" dxfId="95" priority="509" operator="between">
      <formula>6</formula>
      <formula>6.9</formula>
    </cfRule>
    <cfRule type="cellIs" dxfId="94" priority="510" operator="between">
      <formula>10.1</formula>
      <formula>11</formula>
    </cfRule>
    <cfRule type="cellIs" dxfId="93" priority="511" operator="between">
      <formula>7</formula>
      <formula>7.9</formula>
    </cfRule>
  </conditionalFormatting>
  <conditionalFormatting sqref="N228">
    <cfRule type="colorScale" priority="454">
      <colorScale>
        <cfvo type="num" val="5"/>
        <cfvo type="num" val="10"/>
        <color rgb="FFFF494D"/>
        <color rgb="FF00FF66"/>
      </colorScale>
    </cfRule>
    <cfRule type="colorScale" priority="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92" priority="458" stopIfTrue="1" operator="between">
      <formula>8</formula>
      <formula>8.9</formula>
    </cfRule>
    <cfRule type="cellIs" dxfId="91" priority="459" operator="between">
      <formula>9</formula>
      <formula>9.9</formula>
    </cfRule>
    <cfRule type="cellIs" dxfId="90" priority="460" stopIfTrue="1" operator="between">
      <formula>10</formula>
      <formula>10</formula>
    </cfRule>
    <cfRule type="cellIs" dxfId="89" priority="455" operator="between">
      <formula>6</formula>
      <formula>6.9</formula>
    </cfRule>
    <cfRule type="cellIs" dxfId="88" priority="456" operator="between">
      <formula>10.1</formula>
      <formula>11</formula>
    </cfRule>
    <cfRule type="cellIs" dxfId="87" priority="457" operator="between">
      <formula>7</formula>
      <formula>7.9</formula>
    </cfRule>
    <cfRule type="containsBlanks" dxfId="86" priority="461" stopIfTrue="1">
      <formula>LEN(TRIM(N229))=0</formula>
    </cfRule>
  </conditionalFormatting>
  <conditionalFormatting sqref="N240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85" priority="401" operator="between">
      <formula>6</formula>
      <formula>6.9</formula>
    </cfRule>
    <cfRule type="cellIs" dxfId="84" priority="402" operator="between">
      <formula>10.1</formula>
      <formula>10.6</formula>
    </cfRule>
    <cfRule type="cellIs" dxfId="83" priority="403" operator="between">
      <formula>7</formula>
      <formula>7.9</formula>
    </cfRule>
    <cfRule type="cellIs" dxfId="82" priority="404" stopIfTrue="1" operator="between">
      <formula>8</formula>
      <formula>8.9</formula>
    </cfRule>
    <cfRule type="cellIs" dxfId="81" priority="405" operator="between">
      <formula>9</formula>
      <formula>9.9</formula>
    </cfRule>
    <cfRule type="cellIs" dxfId="80" priority="406" stopIfTrue="1" operator="between">
      <formula>10</formula>
      <formula>10</formula>
    </cfRule>
    <cfRule type="containsBlanks" dxfId="79" priority="407" stopIfTrue="1">
      <formula>LEN(TRIM(N241))=0</formula>
    </cfRule>
  </conditionalFormatting>
  <conditionalFormatting sqref="N249">
    <cfRule type="colorScale" priority="382">
      <colorScale>
        <cfvo type="num" val="5"/>
        <cfvo type="num" val="10"/>
        <color rgb="FFFF494D"/>
        <color rgb="FF00FF66"/>
      </colorScale>
    </cfRule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78" priority="376" operator="between">
      <formula>7</formula>
      <formula>7.9</formula>
    </cfRule>
    <cfRule type="cellIs" dxfId="77" priority="377" stopIfTrue="1" operator="between">
      <formula>8</formula>
      <formula>8.9</formula>
    </cfRule>
    <cfRule type="cellIs" dxfId="76" priority="375" operator="between">
      <formula>10.1</formula>
      <formula>10.6</formula>
    </cfRule>
    <cfRule type="cellIs" dxfId="75" priority="374" operator="between">
      <formula>6</formula>
      <formula>6.9</formula>
    </cfRule>
    <cfRule type="containsBlanks" dxfId="74" priority="380" stopIfTrue="1">
      <formula>LEN(TRIM(N250))=0</formula>
    </cfRule>
    <cfRule type="cellIs" dxfId="73" priority="378" operator="between">
      <formula>9</formula>
      <formula>9.9</formula>
    </cfRule>
    <cfRule type="cellIs" dxfId="72" priority="379" stopIfTrue="1" operator="between">
      <formula>10</formula>
      <formula>10</formula>
    </cfRule>
  </conditionalFormatting>
  <conditionalFormatting sqref="N277">
    <cfRule type="colorScale" priority="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71" priority="270" stopIfTrue="1">
      <formula>LEN(TRIM(N278))=0</formula>
    </cfRule>
    <cfRule type="cellIs" dxfId="70" priority="266" operator="between">
      <formula>7</formula>
      <formula>7.9</formula>
    </cfRule>
    <cfRule type="cellIs" dxfId="69" priority="267" stopIfTrue="1" operator="between">
      <formula>8</formula>
      <formula>8.9</formula>
    </cfRule>
    <cfRule type="cellIs" dxfId="68" priority="268" operator="between">
      <formula>9</formula>
      <formula>9.9</formula>
    </cfRule>
    <cfRule type="cellIs" dxfId="67" priority="269" stopIfTrue="1" operator="between">
      <formula>10</formula>
      <formula>10</formula>
    </cfRule>
    <cfRule type="cellIs" dxfId="66" priority="264" operator="between">
      <formula>6</formula>
      <formula>6.9</formula>
    </cfRule>
    <cfRule type="cellIs" dxfId="65" priority="265" operator="between">
      <formula>10.1</formula>
      <formula>10.6</formula>
    </cfRule>
  </conditionalFormatting>
  <conditionalFormatting sqref="N284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64" priority="252" stopIfTrue="1">
      <formula>LEN(TRIM(N285))=0</formula>
    </cfRule>
    <cfRule type="cellIs" dxfId="63" priority="251" stopIfTrue="1" operator="between">
      <formula>10</formula>
      <formula>10</formula>
    </cfRule>
    <cfRule type="cellIs" dxfId="62" priority="250" operator="between">
      <formula>9</formula>
      <formula>9.9</formula>
    </cfRule>
    <cfRule type="cellIs" dxfId="61" priority="246" operator="between">
      <formula>6</formula>
      <formula>6.9</formula>
    </cfRule>
    <cfRule type="cellIs" dxfId="60" priority="249" stopIfTrue="1" operator="between">
      <formula>8</formula>
      <formula>8.9</formula>
    </cfRule>
    <cfRule type="cellIs" dxfId="59" priority="248" operator="between">
      <formula>7</formula>
      <formula>7.9</formula>
    </cfRule>
    <cfRule type="cellIs" dxfId="58" priority="247" operator="between">
      <formula>10.1</formula>
      <formula>10.6</formula>
    </cfRule>
  </conditionalFormatting>
  <conditionalFormatting sqref="N297"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57" priority="189" operator="between">
      <formula>7</formula>
      <formula>7.9</formula>
    </cfRule>
    <cfRule type="containsBlanks" dxfId="56" priority="184" stopIfTrue="1">
      <formula>LEN(TRIM(N298))=0</formula>
    </cfRule>
    <cfRule type="cellIs" dxfId="55" priority="186" operator="between">
      <formula>2</formula>
      <formula>4.9</formula>
    </cfRule>
    <cfRule type="cellIs" dxfId="54" priority="185" operator="lessThan">
      <formula>2</formula>
    </cfRule>
    <cfRule type="cellIs" dxfId="53" priority="188" operator="between">
      <formula>10.1</formula>
      <formula>10.6</formula>
    </cfRule>
    <cfRule type="cellIs" dxfId="52" priority="187" operator="between">
      <formula>5</formula>
      <formula>6.9</formula>
    </cfRule>
    <cfRule type="cellIs" dxfId="51" priority="190" stopIfTrue="1" operator="between">
      <formula>8</formula>
      <formula>8.9</formula>
    </cfRule>
    <cfRule type="cellIs" dxfId="50" priority="191" operator="between">
      <formula>9</formula>
      <formula>9.9</formula>
    </cfRule>
    <cfRule type="cellIs" dxfId="49" priority="192" stopIfTrue="1" operator="between">
      <formula>10</formula>
      <formula>10</formula>
    </cfRule>
  </conditionalFormatting>
  <conditionalFormatting sqref="N306">
    <cfRule type="colorScale" priority="163">
      <colorScale>
        <cfvo type="num" val="5"/>
        <cfvo type="num" val="10"/>
        <color rgb="FFFF494D"/>
        <color rgb="FF00FF66"/>
      </colorScale>
    </cfRule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48" priority="154" operator="lessThan">
      <formula>2</formula>
    </cfRule>
    <cfRule type="cellIs" dxfId="47" priority="156" operator="between">
      <formula>5</formula>
      <formula>6.9</formula>
    </cfRule>
    <cfRule type="cellIs" dxfId="46" priority="158" operator="between">
      <formula>7</formula>
      <formula>7.9</formula>
    </cfRule>
    <cfRule type="containsBlanks" dxfId="45" priority="153" stopIfTrue="1">
      <formula>LEN(TRIM(N307))=0</formula>
    </cfRule>
    <cfRule type="cellIs" dxfId="44" priority="159" stopIfTrue="1" operator="between">
      <formula>8</formula>
      <formula>8.9</formula>
    </cfRule>
    <cfRule type="cellIs" dxfId="43" priority="160" operator="between">
      <formula>9</formula>
      <formula>9.9</formula>
    </cfRule>
    <cfRule type="cellIs" dxfId="42" priority="161" stopIfTrue="1" operator="between">
      <formula>10</formula>
      <formula>10</formula>
    </cfRule>
    <cfRule type="cellIs" dxfId="41" priority="157" operator="between">
      <formula>10.1</formula>
      <formula>10.6</formula>
    </cfRule>
    <cfRule type="cellIs" dxfId="40" priority="155" operator="between">
      <formula>2</formula>
      <formula>4.9</formula>
    </cfRule>
  </conditionalFormatting>
  <conditionalFormatting sqref="N318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39" priority="90" operator="lessThan">
      <formula>2</formula>
    </cfRule>
    <cfRule type="cellIs" dxfId="38" priority="92" operator="between">
      <formula>5</formula>
      <formula>6.9</formula>
    </cfRule>
    <cfRule type="cellIs" dxfId="37" priority="93" operator="between">
      <formula>10.1</formula>
      <formula>10.6</formula>
    </cfRule>
    <cfRule type="cellIs" dxfId="36" priority="94" operator="between">
      <formula>7</formula>
      <formula>7.9</formula>
    </cfRule>
    <cfRule type="cellIs" dxfId="35" priority="95" stopIfTrue="1" operator="between">
      <formula>8</formula>
      <formula>8.9</formula>
    </cfRule>
    <cfRule type="cellIs" dxfId="34" priority="96" operator="between">
      <formula>9</formula>
      <formula>9.9</formula>
    </cfRule>
    <cfRule type="cellIs" dxfId="33" priority="97" stopIfTrue="1" operator="between">
      <formula>10</formula>
      <formula>10</formula>
    </cfRule>
    <cfRule type="containsBlanks" dxfId="32" priority="89" stopIfTrue="1">
      <formula>LEN(TRIM(N319))=0</formula>
    </cfRule>
    <cfRule type="cellIs" dxfId="31" priority="91" operator="between">
      <formula>2</formula>
      <formula>4.9</formula>
    </cfRule>
  </conditionalFormatting>
  <conditionalFormatting sqref="N328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30" priority="52" operator="between">
      <formula>9</formula>
      <formula>9.9</formula>
    </cfRule>
    <cfRule type="cellIs" dxfId="29" priority="50" operator="between">
      <formula>7</formula>
      <formula>7.9</formula>
    </cfRule>
    <cfRule type="cellIs" dxfId="28" priority="49" operator="between">
      <formula>10.1</formula>
      <formula>10.6</formula>
    </cfRule>
    <cfRule type="cellIs" dxfId="27" priority="48" operator="between">
      <formula>5</formula>
      <formula>6.9</formula>
    </cfRule>
    <cfRule type="cellIs" dxfId="26" priority="47" operator="between">
      <formula>2</formula>
      <formula>4.9</formula>
    </cfRule>
    <cfRule type="cellIs" dxfId="25" priority="51" stopIfTrue="1" operator="between">
      <formula>8</formula>
      <formula>8.9</formula>
    </cfRule>
    <cfRule type="containsBlanks" dxfId="24" priority="45" stopIfTrue="1">
      <formula>LEN(TRIM(N329))=0</formula>
    </cfRule>
    <cfRule type="cellIs" dxfId="23" priority="46" operator="lessThan">
      <formula>2</formula>
    </cfRule>
    <cfRule type="cellIs" dxfId="22" priority="53" stopIfTrue="1" operator="between">
      <formula>10</formula>
      <formula>10</formula>
    </cfRule>
  </conditionalFormatting>
  <conditionalFormatting sqref="N338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21" priority="28" operator="between">
      <formula>7</formula>
      <formula>7.9</formula>
    </cfRule>
    <cfRule type="cellIs" dxfId="20" priority="24" operator="lessThan">
      <formula>2</formula>
    </cfRule>
    <cfRule type="containsBlanks" dxfId="19" priority="23" stopIfTrue="1">
      <formula>LEN(TRIM(N339))=0</formula>
    </cfRule>
    <cfRule type="cellIs" dxfId="18" priority="27" operator="between">
      <formula>10.1</formula>
      <formula>10.6</formula>
    </cfRule>
    <cfRule type="cellIs" dxfId="17" priority="30" operator="between">
      <formula>9</formula>
      <formula>9.9</formula>
    </cfRule>
    <cfRule type="cellIs" dxfId="16" priority="31" stopIfTrue="1" operator="between">
      <formula>10</formula>
      <formula>10</formula>
    </cfRule>
    <cfRule type="cellIs" dxfId="15" priority="26" operator="between">
      <formula>5</formula>
      <formula>6.9</formula>
    </cfRule>
    <cfRule type="cellIs" dxfId="14" priority="25" operator="between">
      <formula>2</formula>
      <formula>4.9</formula>
    </cfRule>
    <cfRule type="cellIs" dxfId="13" priority="29" stopIfTrue="1" operator="between">
      <formula>8</formula>
      <formula>8.9</formula>
    </cfRule>
  </conditionalFormatting>
  <conditionalFormatting sqref="AM3:AM9">
    <cfRule type="cellIs" dxfId="12" priority="1268" operator="between">
      <formula>10</formula>
      <formula>10</formula>
    </cfRule>
    <cfRule type="cellIs" dxfId="11" priority="1267" operator="between">
      <formula>9</formula>
      <formula>9.9</formula>
    </cfRule>
    <cfRule type="cellIs" dxfId="10" priority="1266" operator="between">
      <formula>8</formula>
      <formula>8.9</formula>
    </cfRule>
    <cfRule type="cellIs" dxfId="9" priority="1265" operator="between">
      <formula>7</formula>
      <formula>7.9</formula>
    </cfRule>
  </conditionalFormatting>
  <conditionalFormatting sqref="K341:K354">
    <cfRule type="containsBlanks" dxfId="6" priority="3" stopIfTrue="1">
      <formula>LEN(TRIM(K341))=0</formula>
    </cfRule>
    <cfRule type="cellIs" dxfId="7" priority="4" operator="lessThan">
      <formula>2</formula>
    </cfRule>
    <cfRule type="cellIs" dxfId="1" priority="5" operator="between">
      <formula>2</formula>
      <formula>4.9</formula>
    </cfRule>
    <cfRule type="cellIs" dxfId="2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8" priority="8" operator="between">
      <formula>7</formula>
      <formula>7.9</formula>
    </cfRule>
    <cfRule type="cellIs" dxfId="0" priority="9" stopIfTrue="1" operator="between">
      <formula>8</formula>
      <formula>8.9</formula>
    </cfRule>
    <cfRule type="cellIs" dxfId="4" priority="10" operator="between">
      <formula>9</formula>
      <formula>9.9</formula>
    </cfRule>
    <cfRule type="cellIs" dxfId="3" priority="11" stopIfTrue="1" operator="between">
      <formula>10</formula>
      <formula>10</formula>
    </cfRule>
  </conditionalFormatting>
  <conditionalFormatting sqref="K34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967" priority="17" operator="equal">
      <formula>10</formula>
    </cfRule>
  </conditionalFormatting>
  <conditionalFormatting sqref="C6">
    <cfRule type="containsBlanks" dxfId="966" priority="18">
      <formula>LEN(TRIM(C6))=0</formula>
    </cfRule>
  </conditionalFormatting>
  <conditionalFormatting sqref="C8">
    <cfRule type="containsBlanks" dxfId="965" priority="20">
      <formula>LEN(TRIM(C8))=0</formula>
    </cfRule>
  </conditionalFormatting>
  <conditionalFormatting sqref="C10">
    <cfRule type="containsBlanks" dxfId="964" priority="22">
      <formula>LEN(TRIM(C10))=0</formula>
    </cfRule>
  </conditionalFormatting>
  <conditionalFormatting sqref="C12">
    <cfRule type="containsBlanks" dxfId="963" priority="24">
      <formula>LEN(TRIM(C12))=0</formula>
    </cfRule>
  </conditionalFormatting>
  <conditionalFormatting sqref="C14">
    <cfRule type="containsBlanks" dxfId="962" priority="26">
      <formula>LEN(TRIM(C14))=0</formula>
    </cfRule>
  </conditionalFormatting>
  <conditionalFormatting sqref="C16">
    <cfRule type="containsBlanks" dxfId="961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960" priority="3" operator="equal">
      <formula>10</formula>
    </cfRule>
  </conditionalFormatting>
  <conditionalFormatting sqref="C26">
    <cfRule type="containsBlanks" dxfId="959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58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957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956" priority="15" operator="equal">
      <formula>10</formula>
    </cfRule>
  </conditionalFormatting>
  <conditionalFormatting sqref="F12">
    <cfRule type="containsBlanks" dxfId="955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954" priority="5" operator="equal">
      <formula>10</formula>
    </cfRule>
  </conditionalFormatting>
  <conditionalFormatting sqref="F28">
    <cfRule type="containsBlanks" dxfId="953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952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951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50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49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948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47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946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945" priority="1" operator="equal">
      <formula>10</formula>
    </cfRule>
  </conditionalFormatting>
  <conditionalFormatting sqref="L23">
    <cfRule type="containsBlanks" dxfId="944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43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42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941" priority="9" operator="equal">
      <formula>10</formula>
    </cfRule>
  </conditionalFormatting>
  <conditionalFormatting sqref="O4">
    <cfRule type="containsBlanks" dxfId="940" priority="12">
      <formula>LEN(TRIM(O4))=0</formula>
    </cfRule>
  </conditionalFormatting>
  <conditionalFormatting sqref="O6">
    <cfRule type="containsBlanks" dxfId="939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938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937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36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935" priority="8">
      <formula>LEN(TRIM(O42))=0</formula>
    </cfRule>
  </conditionalFormatting>
  <conditionalFormatting sqref="O42:O51">
    <cfRule type="cellIs" dxfId="934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2026-04-14T11:36:42Z</dcterms:modified>
</cp:coreProperties>
</file>