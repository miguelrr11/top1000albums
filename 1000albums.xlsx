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rodriguez\Desktop\top1000albums\"/>
    </mc:Choice>
  </mc:AlternateContent>
  <xr:revisionPtr revIDLastSave="0" documentId="13_ncr:1_{29E73B41-D25B-48B1-BCB9-FF9C2B25444B}" xr6:coauthVersionLast="47" xr6:coauthVersionMax="47" xr10:uidLastSave="{00000000-0000-0000-0000-000000000000}"/>
  <bookViews>
    <workbookView xWindow="1230" yWindow="-14925" windowWidth="26865" windowHeight="12870" tabRatio="767" firstSheet="2" activeTab="6" xr2:uid="{0EA344FB-F653-8A4E-9162-CD1E4229299E}"/>
  </bookViews>
  <sheets>
    <sheet name="Albums" sheetId="4" r:id="rId1"/>
    <sheet name="Tabla Albums" sheetId="6" r:id="rId2"/>
    <sheet name="Tablas TOP" sheetId="7" r:id="rId3"/>
    <sheet name="TOP Canciones" sheetId="9" r:id="rId4"/>
    <sheet name="TOP Generos" sheetId="12" r:id="rId5"/>
    <sheet name="Mapeo Generos" sheetId="10" r:id="rId6"/>
    <sheet name="Resumen" sheetId="8" r:id="rId7"/>
    <sheet name="video" sheetId="13" r:id="rId8"/>
  </sheets>
  <definedNames>
    <definedName name="RangoDinamico" comment="para la grafica">DESREF(Albums!#REF!,0,0,Albums!$AF$3,1)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519" i="4" l="1"/>
  <c r="D25" i="13"/>
  <c r="D24" i="13"/>
  <c r="D23" i="13"/>
  <c r="D22" i="13"/>
  <c r="D21" i="13"/>
  <c r="D20" i="13"/>
  <c r="D19" i="13"/>
  <c r="D18" i="13"/>
  <c r="D17" i="13"/>
  <c r="D16" i="13"/>
  <c r="D15" i="13"/>
  <c r="D14" i="13"/>
  <c r="D13" i="13"/>
  <c r="D12" i="13"/>
  <c r="D11" i="13"/>
  <c r="D10" i="13"/>
  <c r="D9" i="13"/>
  <c r="D8" i="13"/>
  <c r="D7" i="13"/>
  <c r="D6" i="13"/>
  <c r="D5" i="13"/>
  <c r="D4" i="13"/>
  <c r="D3" i="13"/>
  <c r="D2" i="13"/>
  <c r="D1" i="13"/>
  <c r="B515" i="4"/>
  <c r="E514" i="4"/>
  <c r="N512" i="4"/>
  <c r="H512" i="4"/>
  <c r="B503" i="4"/>
  <c r="N500" i="4"/>
  <c r="H500" i="4"/>
  <c r="K499" i="4"/>
  <c r="E499" i="4"/>
  <c r="K491" i="4"/>
  <c r="N488" i="4"/>
  <c r="H488" i="4"/>
  <c r="E487" i="4"/>
  <c r="B487" i="4"/>
  <c r="N480" i="4" l="1"/>
  <c r="K479" i="4"/>
  <c r="H474" i="4"/>
  <c r="B473" i="4"/>
  <c r="N468" i="4"/>
  <c r="H467" i="4"/>
  <c r="K465" i="4"/>
  <c r="E459" i="4"/>
  <c r="B457" i="4"/>
  <c r="H451" i="4"/>
  <c r="K445" i="4"/>
  <c r="N443" i="4"/>
  <c r="B448" i="4"/>
  <c r="B441" i="4" l="1"/>
  <c r="E436" i="4"/>
  <c r="H434" i="4"/>
  <c r="K431" i="4"/>
  <c r="N430" i="4"/>
  <c r="B428" i="4"/>
  <c r="E425" i="4"/>
  <c r="K421" i="4"/>
  <c r="N417" i="4"/>
  <c r="N412" i="4" s="1"/>
  <c r="H421" i="4"/>
  <c r="E415" i="4"/>
  <c r="H415" i="4"/>
  <c r="K412" i="4"/>
  <c r="B409" i="4"/>
  <c r="B401" i="4" s="1"/>
  <c r="E403" i="4"/>
  <c r="H401" i="4"/>
  <c r="K399" i="4"/>
  <c r="N397" i="4"/>
  <c r="K391" i="4"/>
  <c r="K380" i="4" s="1"/>
  <c r="B389" i="4"/>
  <c r="B379" i="4" s="1"/>
  <c r="E388" i="4"/>
  <c r="H387" i="4"/>
  <c r="N384" i="4"/>
  <c r="E383" i="4"/>
  <c r="N374" i="4" l="1"/>
  <c r="H374" i="4"/>
  <c r="E372" i="4"/>
  <c r="N367" i="4"/>
  <c r="K365" i="4"/>
  <c r="H365" i="4"/>
  <c r="E360" i="4"/>
  <c r="B360" i="4"/>
  <c r="K356" i="4"/>
  <c r="N355" i="4"/>
  <c r="H353" i="4"/>
  <c r="B343" i="4"/>
  <c r="K340" i="4"/>
  <c r="H339" i="4"/>
  <c r="N338" i="4"/>
  <c r="H329" i="4"/>
  <c r="N328" i="4"/>
  <c r="K328" i="4"/>
  <c r="E328" i="4"/>
  <c r="B322" i="4"/>
  <c r="N318" i="4"/>
  <c r="K318" i="4"/>
  <c r="E320" i="4"/>
  <c r="E310" i="4"/>
  <c r="H309" i="4"/>
  <c r="B309" i="4"/>
  <c r="E14" i="4"/>
  <c r="N306" i="4"/>
  <c r="K304" i="4"/>
  <c r="E299" i="4"/>
  <c r="N297" i="4"/>
  <c r="K296" i="4"/>
  <c r="H296" i="4"/>
  <c r="H288" i="4"/>
  <c r="E288" i="4"/>
  <c r="K286" i="4"/>
  <c r="N284" i="4"/>
  <c r="B279" i="4"/>
  <c r="N277" i="4"/>
  <c r="E278" i="4"/>
  <c r="K276" i="4"/>
  <c r="H276" i="4"/>
  <c r="B272" i="4"/>
  <c r="H265" i="4"/>
  <c r="E266" i="4"/>
  <c r="K264" i="4"/>
  <c r="B260" i="4"/>
  <c r="H258" i="4"/>
  <c r="E254" i="4"/>
  <c r="K252" i="4"/>
  <c r="N249" i="4"/>
  <c r="B246" i="4"/>
  <c r="H246" i="4"/>
  <c r="N240" i="4"/>
  <c r="K237" i="4"/>
  <c r="E237" i="4"/>
  <c r="B235" i="4"/>
  <c r="H229" i="4"/>
  <c r="N228" i="4"/>
  <c r="E229" i="4"/>
  <c r="B226" i="4"/>
  <c r="K219" i="4"/>
  <c r="H215" i="4"/>
  <c r="B213" i="4"/>
  <c r="E213" i="4"/>
  <c r="K208" i="4"/>
  <c r="N211" i="4"/>
  <c r="H202" i="4"/>
  <c r="E201" i="4"/>
  <c r="B114" i="4"/>
  <c r="K199" i="4"/>
  <c r="B196" i="4"/>
  <c r="H191" i="4"/>
  <c r="K189" i="4"/>
  <c r="N185" i="4"/>
  <c r="E186" i="4"/>
  <c r="B185" i="4"/>
  <c r="K182" i="4"/>
  <c r="H177" i="4"/>
  <c r="H125" i="4"/>
  <c r="K175" i="4"/>
  <c r="N182" i="4"/>
  <c r="B172" i="4"/>
  <c r="E172" i="4"/>
  <c r="K165" i="4"/>
  <c r="H165" i="4"/>
  <c r="B162" i="4"/>
  <c r="N161" i="4"/>
  <c r="E161" i="4"/>
  <c r="N152" i="4"/>
  <c r="K136" i="4"/>
  <c r="H149" i="4"/>
  <c r="K149" i="4"/>
  <c r="N144" i="4"/>
  <c r="E146" i="4"/>
  <c r="B145" i="4"/>
  <c r="N137" i="4"/>
  <c r="B134" i="4"/>
  <c r="H131" i="4"/>
  <c r="N127" i="4"/>
  <c r="E128" i="4"/>
  <c r="E117" i="4" s="1"/>
  <c r="K124" i="4"/>
  <c r="K111" i="4" s="1"/>
  <c r="H97" i="4"/>
  <c r="N112" i="4"/>
  <c r="H110" i="4"/>
  <c r="B103" i="4"/>
  <c r="E101" i="4"/>
  <c r="K98" i="4"/>
  <c r="N93" i="4"/>
  <c r="B93" i="4"/>
  <c r="K90" i="4"/>
  <c r="H83" i="4"/>
  <c r="N79" i="4"/>
  <c r="E80" i="4"/>
  <c r="B79" i="4"/>
  <c r="K77" i="4"/>
  <c r="B70" i="4"/>
  <c r="H69" i="4"/>
  <c r="N67" i="4"/>
  <c r="K66" i="4"/>
  <c r="E65" i="4"/>
  <c r="N28" i="4"/>
  <c r="B2" i="4"/>
  <c r="H57" i="4"/>
  <c r="K54" i="4"/>
  <c r="N54" i="4"/>
  <c r="B59" i="4"/>
  <c r="E54" i="4"/>
  <c r="B47" i="4"/>
  <c r="E2" i="4"/>
  <c r="H2" i="4"/>
  <c r="K2" i="4"/>
  <c r="N2" i="4"/>
  <c r="K14" i="4"/>
  <c r="N14" i="4"/>
  <c r="B16" i="4"/>
  <c r="H17" i="4"/>
  <c r="K25" i="4"/>
  <c r="B26" i="4"/>
  <c r="E30" i="4"/>
  <c r="H30" i="4"/>
  <c r="B33" i="4"/>
  <c r="E39" i="4"/>
  <c r="N39" i="4"/>
  <c r="K40" i="4"/>
  <c r="H47" i="4"/>
</calcChain>
</file>

<file path=xl/sharedStrings.xml><?xml version="1.0" encoding="utf-8"?>
<sst xmlns="http://schemas.openxmlformats.org/spreadsheetml/2006/main" count="5774" uniqueCount="3490">
  <si>
    <t>The Grudge</t>
  </si>
  <si>
    <t>Eon Blue Apocalypse</t>
  </si>
  <si>
    <t>The Patient</t>
  </si>
  <si>
    <t>Mantra</t>
  </si>
  <si>
    <t>Schsim</t>
  </si>
  <si>
    <t>Parabol(a)</t>
  </si>
  <si>
    <t>Ticks &amp; Leeches</t>
  </si>
  <si>
    <t>Lateralus</t>
  </si>
  <si>
    <t>Disposition</t>
  </si>
  <si>
    <t>Reflection</t>
  </si>
  <si>
    <t>Triad</t>
  </si>
  <si>
    <t>Faaip De Oiad</t>
  </si>
  <si>
    <t>15 Step</t>
  </si>
  <si>
    <t>Bodysnatchers</t>
  </si>
  <si>
    <t>Nude</t>
  </si>
  <si>
    <t>All I Need</t>
  </si>
  <si>
    <t>Weird Fishes / Arpeggi</t>
  </si>
  <si>
    <t>Faust Arp</t>
  </si>
  <si>
    <t>Reckoner</t>
  </si>
  <si>
    <t>House Of Cards</t>
  </si>
  <si>
    <t>Jigsaw Fallin Into Place</t>
  </si>
  <si>
    <t>Videotape</t>
  </si>
  <si>
    <t>Conversation of Two</t>
  </si>
  <si>
    <t>Air Supply</t>
  </si>
  <si>
    <t>Forever</t>
  </si>
  <si>
    <t>Acting</t>
  </si>
  <si>
    <t>Milk</t>
  </si>
  <si>
    <t>Darkness</t>
  </si>
  <si>
    <t>To the Moon</t>
  </si>
  <si>
    <t>Song About a Sea</t>
  </si>
  <si>
    <t>Song About a Sun</t>
  </si>
  <si>
    <t>No Words to Be Found</t>
  </si>
  <si>
    <t>Pretending</t>
  </si>
  <si>
    <t>Misfortunes are Cruel</t>
  </si>
  <si>
    <t>Your World is Eternally Complete</t>
  </si>
  <si>
    <t>Sirius</t>
  </si>
  <si>
    <t>Eye In The Sky</t>
  </si>
  <si>
    <t>Children of the Moon</t>
  </si>
  <si>
    <t>Gemini</t>
  </si>
  <si>
    <t>Silence and I</t>
  </si>
  <si>
    <t>You're Gonna Get Your Fingers Burned</t>
  </si>
  <si>
    <t>Psychobabble</t>
  </si>
  <si>
    <t>Mammagamma</t>
  </si>
  <si>
    <t>Step by Step</t>
  </si>
  <si>
    <t>Old And Wise</t>
  </si>
  <si>
    <t>Speak to Me</t>
  </si>
  <si>
    <t>Breath (In the Air)</t>
  </si>
  <si>
    <t>On the Run</t>
  </si>
  <si>
    <t>Time</t>
  </si>
  <si>
    <t>The Great Gig in the Sky</t>
  </si>
  <si>
    <t>Money</t>
  </si>
  <si>
    <t>Us and Them</t>
  </si>
  <si>
    <t>Any Colour You Like</t>
  </si>
  <si>
    <t>Brain Damage</t>
  </si>
  <si>
    <t>Eclipse</t>
  </si>
  <si>
    <t>Battery</t>
  </si>
  <si>
    <t>Master Of Puppets</t>
  </si>
  <si>
    <t>The Thing That Should Not Be</t>
  </si>
  <si>
    <t>Welcome Home (Sanitarium)</t>
  </si>
  <si>
    <t>Disposable Heroes</t>
  </si>
  <si>
    <t>Leper Messiah</t>
  </si>
  <si>
    <t>Orion</t>
  </si>
  <si>
    <t>Damage, Inc.</t>
  </si>
  <si>
    <t>One More Time</t>
  </si>
  <si>
    <t>Aerodynamic</t>
  </si>
  <si>
    <t>Digital Love</t>
  </si>
  <si>
    <t>Harder, Better, Faster, Stonger</t>
  </si>
  <si>
    <t>Crescendolls</t>
  </si>
  <si>
    <t>Nightvision</t>
  </si>
  <si>
    <t>Superheroes</t>
  </si>
  <si>
    <t>High Life</t>
  </si>
  <si>
    <t>Something About Us</t>
  </si>
  <si>
    <t>Voyager</t>
  </si>
  <si>
    <t>Veridis Quo</t>
  </si>
  <si>
    <t>Short Circuit</t>
  </si>
  <si>
    <t>Face to Face</t>
  </si>
  <si>
    <t>Angel</t>
  </si>
  <si>
    <t>Risingson</t>
  </si>
  <si>
    <t>Teardrop</t>
  </si>
  <si>
    <t>Inertia Creeps</t>
  </si>
  <si>
    <t>Exchange</t>
  </si>
  <si>
    <t>Dissolved Girl</t>
  </si>
  <si>
    <t>Man Next Door</t>
  </si>
  <si>
    <t>Black Milk</t>
  </si>
  <si>
    <t>Mezzazine</t>
  </si>
  <si>
    <t>Group Four</t>
  </si>
  <si>
    <t>(Exchange)</t>
  </si>
  <si>
    <t>So Far Away</t>
  </si>
  <si>
    <t>Money For Nothing</t>
  </si>
  <si>
    <t>Walk Of Life</t>
  </si>
  <si>
    <t>Your Latest Trick</t>
  </si>
  <si>
    <t>Why Worry?</t>
  </si>
  <si>
    <t>Ride Across The River</t>
  </si>
  <si>
    <t>The Man's Too Strong</t>
  </si>
  <si>
    <t>One World</t>
  </si>
  <si>
    <t>Brothers In Arms</t>
  </si>
  <si>
    <t>Second Hand News</t>
  </si>
  <si>
    <t>Dreams</t>
  </si>
  <si>
    <t>Never Going Back Again</t>
  </si>
  <si>
    <t>Don't Stop</t>
  </si>
  <si>
    <t>Go Your Own Way</t>
  </si>
  <si>
    <t>Songbird</t>
  </si>
  <si>
    <t>The Chain</t>
  </si>
  <si>
    <t>You Make Loving Fun</t>
  </si>
  <si>
    <t>I Don't Want to Know</t>
  </si>
  <si>
    <t>Oh Daddy</t>
  </si>
  <si>
    <t>Gold Dust Woman</t>
  </si>
  <si>
    <t>Silver Springs</t>
  </si>
  <si>
    <t>21st Century Schizoid Man</t>
  </si>
  <si>
    <t>I Talk To The Wind</t>
  </si>
  <si>
    <t>Moonchild</t>
  </si>
  <si>
    <t>The Court Of The Crimson King</t>
  </si>
  <si>
    <t>Papercut</t>
  </si>
  <si>
    <t>One Step Closer</t>
  </si>
  <si>
    <t xml:space="preserve">With You </t>
  </si>
  <si>
    <t>Points of Authority</t>
  </si>
  <si>
    <t>Crawling</t>
  </si>
  <si>
    <t>Runaway</t>
  </si>
  <si>
    <t>By Myself</t>
  </si>
  <si>
    <t>In The End</t>
  </si>
  <si>
    <t>A Place for My Head</t>
  </si>
  <si>
    <t>Forgotten</t>
  </si>
  <si>
    <t>Cure For The Itch</t>
  </si>
  <si>
    <t>Pushing Me Away</t>
  </si>
  <si>
    <t>My December</t>
  </si>
  <si>
    <t>The Lepper Affinity</t>
  </si>
  <si>
    <t>Bleak</t>
  </si>
  <si>
    <t>Harvest</t>
  </si>
  <si>
    <t>The Drapery Falls</t>
  </si>
  <si>
    <t>Dirge For November</t>
  </si>
  <si>
    <t>The Funeral Portrait</t>
  </si>
  <si>
    <t>Blackwater Park</t>
  </si>
  <si>
    <t>The Adults Are Talking</t>
  </si>
  <si>
    <t>Selfless</t>
  </si>
  <si>
    <t>Brooklyn Bridge To Chorus</t>
  </si>
  <si>
    <t>Bad Decisions</t>
  </si>
  <si>
    <t>Eternal Summer</t>
  </si>
  <si>
    <t>At The Door</t>
  </si>
  <si>
    <t>Why Are Sundays So Depressing</t>
  </si>
  <si>
    <t>Not The Same Anymore</t>
  </si>
  <si>
    <t>Ode To The Mets</t>
  </si>
  <si>
    <t>Stinkfist</t>
  </si>
  <si>
    <t>Eulogy</t>
  </si>
  <si>
    <t>H.</t>
  </si>
  <si>
    <t>Airbag</t>
  </si>
  <si>
    <t>Paranoid Android</t>
  </si>
  <si>
    <t>Subterranean Homesick Alien</t>
  </si>
  <si>
    <t>Exit Music (For a Film)</t>
  </si>
  <si>
    <t>Let Down</t>
  </si>
  <si>
    <t>Karma Police</t>
  </si>
  <si>
    <t>Fitter Happier</t>
  </si>
  <si>
    <t>Electioneering</t>
  </si>
  <si>
    <t>Climbing Up the Walls</t>
  </si>
  <si>
    <t>No Surprises</t>
  </si>
  <si>
    <t>Lucky</t>
  </si>
  <si>
    <t>The Tourist</t>
  </si>
  <si>
    <t>Ænima</t>
  </si>
  <si>
    <t>Discovery</t>
  </si>
  <si>
    <t>X&amp;Y</t>
  </si>
  <si>
    <t>Rumours</t>
  </si>
  <si>
    <t>Dirt</t>
  </si>
  <si>
    <t>Square One</t>
  </si>
  <si>
    <t>What If</t>
  </si>
  <si>
    <t>White Shadows</t>
  </si>
  <si>
    <t>Fix You</t>
  </si>
  <si>
    <t>Talk</t>
  </si>
  <si>
    <t>Speed of Sound</t>
  </si>
  <si>
    <t>A Message</t>
  </si>
  <si>
    <t>Low</t>
  </si>
  <si>
    <t>The Hardest Part</t>
  </si>
  <si>
    <t>Swallowed in the Sea</t>
  </si>
  <si>
    <t>Twisted Logic</t>
  </si>
  <si>
    <t>Til Kingdom Come</t>
  </si>
  <si>
    <t>A Quick One Before the Eternal Worm Devours Connecticut</t>
  </si>
  <si>
    <t>Bloodhail</t>
  </si>
  <si>
    <t>The Big Gloom</t>
  </si>
  <si>
    <t>Hunter</t>
  </si>
  <si>
    <t>Telephony</t>
  </si>
  <si>
    <t>Who Would Leave Their Son Out in the Sun?</t>
  </si>
  <si>
    <t>There Is No Food</t>
  </si>
  <si>
    <t>Waiting for Black Metal Records to Come in the Mail</t>
  </si>
  <si>
    <t>Holy Fucking Shit: 40,000</t>
  </si>
  <si>
    <t>The Future</t>
  </si>
  <si>
    <t>Deep, Deep</t>
  </si>
  <si>
    <t>I Don't Love</t>
  </si>
  <si>
    <t>Earthmover</t>
  </si>
  <si>
    <t>Deathconsciousness</t>
  </si>
  <si>
    <t>Them Bones</t>
  </si>
  <si>
    <t>Dam That River</t>
  </si>
  <si>
    <t>Rain When I Die</t>
  </si>
  <si>
    <t>Down In A Hole</t>
  </si>
  <si>
    <t>Sickman</t>
  </si>
  <si>
    <t>Rooster</t>
  </si>
  <si>
    <t>Junkhead</t>
  </si>
  <si>
    <t>God Smack</t>
  </si>
  <si>
    <t>Hate To Feel</t>
  </si>
  <si>
    <t>Angry Chair</t>
  </si>
  <si>
    <t>Would?</t>
  </si>
  <si>
    <t>Useful Idiot</t>
  </si>
  <si>
    <t>Forty Six &amp; 2</t>
  </si>
  <si>
    <t>Message To Harry Manback</t>
  </si>
  <si>
    <t>Hooker With A Penis</t>
  </si>
  <si>
    <t>Intermission</t>
  </si>
  <si>
    <t>Jimmy</t>
  </si>
  <si>
    <t>Die Eir Von Satan</t>
  </si>
  <si>
    <t>Pushit</t>
  </si>
  <si>
    <t>Cesaro Summability</t>
  </si>
  <si>
    <t>Ænema</t>
  </si>
  <si>
    <t>(-) Ions</t>
  </si>
  <si>
    <t>Third Eye</t>
  </si>
  <si>
    <t>Black Dog</t>
  </si>
  <si>
    <t>Rock and Roll</t>
  </si>
  <si>
    <t>The Battle of Evermore</t>
  </si>
  <si>
    <t>Stairway to Heaven</t>
  </si>
  <si>
    <t>Misty Mountain Hop</t>
  </si>
  <si>
    <t>Four Sticks</t>
  </si>
  <si>
    <t>Going to California</t>
  </si>
  <si>
    <t>When the Levee Breaks</t>
  </si>
  <si>
    <t>Mezzanine</t>
  </si>
  <si>
    <t>The Genesis</t>
  </si>
  <si>
    <t>N.Y. State of Mind</t>
  </si>
  <si>
    <t>Life's a Bitch</t>
  </si>
  <si>
    <t>The World Is Yours</t>
  </si>
  <si>
    <t>Halftime</t>
  </si>
  <si>
    <t>Memory Lane</t>
  </si>
  <si>
    <t>One Love</t>
  </si>
  <si>
    <t>One Time 4 Your Mind</t>
  </si>
  <si>
    <t>Represent</t>
  </si>
  <si>
    <t>It Ain't Hard to Tell</t>
  </si>
  <si>
    <t>Rust In Peace</t>
  </si>
  <si>
    <t>Holy Wars…The Punishment Due</t>
  </si>
  <si>
    <t>Hangar 18</t>
  </si>
  <si>
    <t>Take No Prisoners</t>
  </si>
  <si>
    <t>Five Magics</t>
  </si>
  <si>
    <t>Poison Was The Cure</t>
  </si>
  <si>
    <t>Lucretia</t>
  </si>
  <si>
    <t>Tornado Of Souls</t>
  </si>
  <si>
    <t>Dawn Patrol</t>
  </si>
  <si>
    <t>Rust In Peace…Polaris</t>
  </si>
  <si>
    <t>Led Zeppelin IV</t>
  </si>
  <si>
    <t>Illmatic</t>
  </si>
  <si>
    <t>Shame On a Nuh</t>
  </si>
  <si>
    <t>Clan In Da Front</t>
  </si>
  <si>
    <t>Can It Be All So Simple</t>
  </si>
  <si>
    <t>Method Man</t>
  </si>
  <si>
    <t>Da Mystery of Cheesboxin'</t>
  </si>
  <si>
    <t>Wu-Tang Clan Ain't Nothing Ta F'Wit</t>
  </si>
  <si>
    <t>C.R.E.A.M.</t>
  </si>
  <si>
    <t>Protet Ya Neck</t>
  </si>
  <si>
    <t>Tearz</t>
  </si>
  <si>
    <t>Everything In Its Right Place</t>
  </si>
  <si>
    <t>Kid A</t>
  </si>
  <si>
    <t>The National Anthem</t>
  </si>
  <si>
    <t>How to Disappear Completely</t>
  </si>
  <si>
    <t>Treefingers</t>
  </si>
  <si>
    <t>Optimistic</t>
  </si>
  <si>
    <t>In Limbo</t>
  </si>
  <si>
    <t>Idioteque</t>
  </si>
  <si>
    <t>Morning Bell</t>
  </si>
  <si>
    <t>Motion Picture Sountrack</t>
  </si>
  <si>
    <t>Untitled</t>
  </si>
  <si>
    <t>Disorder</t>
  </si>
  <si>
    <t>Day of the Lords</t>
  </si>
  <si>
    <t>Candidate</t>
  </si>
  <si>
    <t>Insight</t>
  </si>
  <si>
    <t>New Dawn Fades</t>
  </si>
  <si>
    <t>She's Lost Control</t>
  </si>
  <si>
    <t>Shadowplay</t>
  </si>
  <si>
    <t>Wilderness</t>
  </si>
  <si>
    <t>Interzone</t>
  </si>
  <si>
    <t>I Remember Nothing</t>
  </si>
  <si>
    <t>Unknown Pleasures</t>
  </si>
  <si>
    <t>Intolerance</t>
  </si>
  <si>
    <t>Prison Sex</t>
  </si>
  <si>
    <t>Sober</t>
  </si>
  <si>
    <t>Bottom</t>
  </si>
  <si>
    <t>Crawl Away</t>
  </si>
  <si>
    <t>Swamp Song</t>
  </si>
  <si>
    <t>Undertow</t>
  </si>
  <si>
    <t>4º</t>
  </si>
  <si>
    <t>Flood</t>
  </si>
  <si>
    <t>Disgustipated</t>
  </si>
  <si>
    <r>
      <rPr>
        <sz val="12"/>
        <color theme="0"/>
        <rFont val="Aptos Narrow"/>
        <scheme val="minor"/>
      </rPr>
      <t>* Pink Floyd</t>
    </r>
    <r>
      <rPr>
        <b/>
        <sz val="12"/>
        <color theme="0"/>
        <rFont val="Aptos Narrow"/>
        <scheme val="minor"/>
      </rPr>
      <t xml:space="preserve"> - The Dark Side Of The Moon</t>
    </r>
  </si>
  <si>
    <r>
      <rPr>
        <sz val="14"/>
        <color rgb="FFFFFF00"/>
        <rFont val="Aptos Narrow"/>
        <scheme val="minor"/>
      </rPr>
      <t>* The Strokes</t>
    </r>
    <r>
      <rPr>
        <b/>
        <sz val="14"/>
        <color rgb="FFFFFF00"/>
        <rFont val="Aptos Narrow"/>
        <scheme val="minor"/>
      </rPr>
      <t xml:space="preserve"> - The New Abnormal</t>
    </r>
  </si>
  <si>
    <r>
      <rPr>
        <sz val="11"/>
        <color rgb="FFDFB87E"/>
        <rFont val="Aptos Narrow"/>
        <scheme val="minor"/>
      </rPr>
      <t>* Have A Nice Life</t>
    </r>
    <r>
      <rPr>
        <b/>
        <sz val="11"/>
        <color rgb="FFDFB87E"/>
        <rFont val="Aptos Narrow"/>
        <scheme val="minor"/>
      </rPr>
      <t xml:space="preserve"> - Deathconsciousness</t>
    </r>
  </si>
  <si>
    <t>Artista</t>
  </si>
  <si>
    <t>Álbum</t>
  </si>
  <si>
    <t>Media</t>
  </si>
  <si>
    <t>Desv. Típica</t>
  </si>
  <si>
    <t>Notas ≥10</t>
  </si>
  <si>
    <t>Total Canciones</t>
  </si>
  <si>
    <t>Interludios</t>
  </si>
  <si>
    <t>TOOL</t>
  </si>
  <si>
    <t>Radiohead</t>
  </si>
  <si>
    <t>In Rainbows</t>
  </si>
  <si>
    <t>OK Computer</t>
  </si>
  <si>
    <t>Led Zeppelin</t>
  </si>
  <si>
    <t>King Crimson</t>
  </si>
  <si>
    <t>Pink Floyd</t>
  </si>
  <si>
    <t>The Dark Side Of The Moon</t>
  </si>
  <si>
    <t>Opeth</t>
  </si>
  <si>
    <t>Metallica</t>
  </si>
  <si>
    <t>Have A Nice Life</t>
  </si>
  <si>
    <t>Daft Punk</t>
  </si>
  <si>
    <t>Megadeth</t>
  </si>
  <si>
    <t>The Strokes</t>
  </si>
  <si>
    <t>The New Abnormal</t>
  </si>
  <si>
    <t>Dire Straits</t>
  </si>
  <si>
    <t>Nas</t>
  </si>
  <si>
    <t>Massive Attack</t>
  </si>
  <si>
    <t>Fleetwood Mac</t>
  </si>
  <si>
    <t>Coldplay</t>
  </si>
  <si>
    <t>Sweet Trip</t>
  </si>
  <si>
    <t>Alice In Chains</t>
  </si>
  <si>
    <t>Joy Division</t>
  </si>
  <si>
    <t>Linkin Park</t>
  </si>
  <si>
    <t>Hybrid Theory</t>
  </si>
  <si>
    <r>
      <t xml:space="preserve">* Wu Tang Clan - </t>
    </r>
    <r>
      <rPr>
        <b/>
        <sz val="9.5"/>
        <color rgb="FFFFD100"/>
        <rFont val="Aptos Narrow"/>
        <scheme val="minor"/>
      </rPr>
      <t>Enter the Wu-Tang (36 Chambers)</t>
    </r>
  </si>
  <si>
    <t>#</t>
  </si>
  <si>
    <t>Wu Tang Clan</t>
  </si>
  <si>
    <t>Enter the Wu-Tang (36 Chambers)</t>
  </si>
  <si>
    <t>Come Back to Earth</t>
  </si>
  <si>
    <t>Hurt Feelings</t>
  </si>
  <si>
    <t>What's the Use?</t>
  </si>
  <si>
    <t>Perfecto</t>
  </si>
  <si>
    <t>Self Care</t>
  </si>
  <si>
    <t>Wings</t>
  </si>
  <si>
    <t>Ladders</t>
  </si>
  <si>
    <t>Small Worlds</t>
  </si>
  <si>
    <t>Conversation Pt. 1</t>
  </si>
  <si>
    <t>Dunno</t>
  </si>
  <si>
    <t>Jet Fuel</t>
  </si>
  <si>
    <t>So It Goes</t>
  </si>
  <si>
    <t>2009.</t>
  </si>
  <si>
    <t>Mac Miller</t>
  </si>
  <si>
    <t>Swimming</t>
  </si>
  <si>
    <t>After</t>
  </si>
  <si>
    <t>Volta-face</t>
  </si>
  <si>
    <t>Conceiving You</t>
  </si>
  <si>
    <t>Second Life Syndrome</t>
  </si>
  <si>
    <t>Artificial Smile</t>
  </si>
  <si>
    <t>I Turned You Down</t>
  </si>
  <si>
    <t>Reality Dream III</t>
  </si>
  <si>
    <t>Dance With The Shadows</t>
  </si>
  <si>
    <t>Before</t>
  </si>
  <si>
    <r>
      <t xml:space="preserve">* </t>
    </r>
    <r>
      <rPr>
        <sz val="13"/>
        <color rgb="FFE79200"/>
        <rFont val="Aptos Narrow"/>
        <scheme val="minor"/>
      </rPr>
      <t>Riverside</t>
    </r>
    <r>
      <rPr>
        <b/>
        <sz val="13"/>
        <color rgb="FFE79200"/>
        <rFont val="Aptos Narrow"/>
        <scheme val="minor"/>
      </rPr>
      <t xml:space="preserve"> - Second Life Syndrome</t>
    </r>
  </si>
  <si>
    <t>Riverside</t>
  </si>
  <si>
    <t>Cherry-coloured Funk</t>
  </si>
  <si>
    <t>Pitch the Baby</t>
  </si>
  <si>
    <t>Iceblink Luck</t>
  </si>
  <si>
    <t>Fifty-fifty Clown</t>
  </si>
  <si>
    <t>Heaven or Las Vegas</t>
  </si>
  <si>
    <t>I Wear Your Ring</t>
  </si>
  <si>
    <t>Fotzepolitic</t>
  </si>
  <si>
    <t>Wolf in the Breast</t>
  </si>
  <si>
    <t>Road, River and Rail</t>
  </si>
  <si>
    <t>Frou-frou Foxes in Midsummer Fires</t>
  </si>
  <si>
    <t>Cocteau Twins</t>
  </si>
  <si>
    <r>
      <rPr>
        <sz val="13"/>
        <color theme="0"/>
        <rFont val="Aptos Narrow"/>
        <family val="2"/>
        <scheme val="minor"/>
      </rPr>
      <t>* Joy Division</t>
    </r>
    <r>
      <rPr>
        <b/>
        <sz val="13"/>
        <color theme="0"/>
        <rFont val="Aptos Narrow"/>
        <family val="2"/>
        <scheme val="minor"/>
      </rPr>
      <t xml:space="preserve"> - Unknown Pleasures</t>
    </r>
  </si>
  <si>
    <t>Plainsong</t>
  </si>
  <si>
    <t>Pictures Of You</t>
  </si>
  <si>
    <t>Closedown</t>
  </si>
  <si>
    <t>Lovesong</t>
  </si>
  <si>
    <t>Last Dance</t>
  </si>
  <si>
    <t>Lullaby</t>
  </si>
  <si>
    <t>Fascination Street</t>
  </si>
  <si>
    <t>Prayers For Rain</t>
  </si>
  <si>
    <t>The Same Deep Water As You</t>
  </si>
  <si>
    <t>Disintegration</t>
  </si>
  <si>
    <t>Homesick</t>
  </si>
  <si>
    <t>The Cure</t>
  </si>
  <si>
    <t>Nosotros</t>
  </si>
  <si>
    <t>Fuego, Fuego</t>
  </si>
  <si>
    <t>Cuestión de Fe</t>
  </si>
  <si>
    <t>Sudores fríos</t>
  </si>
  <si>
    <t>Más Alcohol</t>
  </si>
  <si>
    <t>A la tumba</t>
  </si>
  <si>
    <t>Dime que sí</t>
  </si>
  <si>
    <t>Hijos de la Ruina</t>
  </si>
  <si>
    <t>Hijos de la ruina, vol. 3</t>
  </si>
  <si>
    <t>Tipping Point</t>
  </si>
  <si>
    <t>I Don't Care</t>
  </si>
  <si>
    <t>Hey God?!</t>
  </si>
  <si>
    <t>Let There Be Shred</t>
  </si>
  <si>
    <t>Puppet Parade</t>
  </si>
  <si>
    <t>Another Bad Day</t>
  </si>
  <si>
    <t>Made To Kill</t>
  </si>
  <si>
    <t>Obey The Call</t>
  </si>
  <si>
    <t>I Am War</t>
  </si>
  <si>
    <t>The Last Note</t>
  </si>
  <si>
    <t>Ride The Lightning (Bonus Track)</t>
  </si>
  <si>
    <t>Epitaph</t>
  </si>
  <si>
    <t>Planet Telex</t>
  </si>
  <si>
    <t>The Bends</t>
  </si>
  <si>
    <t>High And Dry</t>
  </si>
  <si>
    <t>Fake Plastic Trees</t>
  </si>
  <si>
    <t>Bones</t>
  </si>
  <si>
    <t>(Nice Dream)</t>
  </si>
  <si>
    <t>Just</t>
  </si>
  <si>
    <t>My Iron Lung</t>
  </si>
  <si>
    <t>Bullet Proof… I Wish I Was</t>
  </si>
  <si>
    <t>Black Star</t>
  </si>
  <si>
    <t>Sulk</t>
  </si>
  <si>
    <t>Street Spirit (Fade Out)</t>
  </si>
  <si>
    <r>
      <rPr>
        <sz val="12"/>
        <color theme="5" tint="-0.499984740745262"/>
        <rFont val="Aptos Narrow"/>
        <scheme val="minor"/>
      </rPr>
      <t>* The Alan Parsons Project</t>
    </r>
    <r>
      <rPr>
        <b/>
        <sz val="12"/>
        <color theme="5" tint="-0.499984740745262"/>
        <rFont val="Aptos Narrow"/>
        <scheme val="minor"/>
      </rPr>
      <t xml:space="preserve"> - Eye In The Sky</t>
    </r>
  </si>
  <si>
    <t>The Alan Parsons Project</t>
  </si>
  <si>
    <t>HYAENA</t>
  </si>
  <si>
    <t>THANK GOD</t>
  </si>
  <si>
    <t>MODERN JAM</t>
  </si>
  <si>
    <t>MY EYES</t>
  </si>
  <si>
    <t>GOD'S COUNTRY</t>
  </si>
  <si>
    <t>SIRENS</t>
  </si>
  <si>
    <t>METLDOWN</t>
  </si>
  <si>
    <t>FE!N</t>
  </si>
  <si>
    <t>DELRESTO (ECHOES)</t>
  </si>
  <si>
    <t>I KNOW?</t>
  </si>
  <si>
    <t>TOPIA TWINS</t>
  </si>
  <si>
    <t>CIRCUS MAXIMUS</t>
  </si>
  <si>
    <t>PARASAIL</t>
  </si>
  <si>
    <t>SKITZO</t>
  </si>
  <si>
    <t>LOST FOREVER</t>
  </si>
  <si>
    <t>LOOOOVE</t>
  </si>
  <si>
    <t>K-POP</t>
  </si>
  <si>
    <t>TELEKINESIS</t>
  </si>
  <si>
    <t>TIL FURHTER NOTICE</t>
  </si>
  <si>
    <r>
      <rPr>
        <sz val="12"/>
        <color theme="0"/>
        <rFont val="Aptos Narrow"/>
        <family val="2"/>
        <scheme val="minor"/>
      </rPr>
      <t>* Hijos de la Ruina</t>
    </r>
    <r>
      <rPr>
        <b/>
        <sz val="12"/>
        <color theme="0"/>
        <rFont val="Aptos Narrow"/>
        <family val="2"/>
        <scheme val="minor"/>
      </rPr>
      <t xml:space="preserve"> - Hijos de la ruina, vol. 3</t>
    </r>
  </si>
  <si>
    <t>Travis Scott</t>
  </si>
  <si>
    <t>UTOPIA</t>
  </si>
  <si>
    <t>Blackest Eyes</t>
  </si>
  <si>
    <t>Trains</t>
  </si>
  <si>
    <t>Lips Of Ashes</t>
  </si>
  <si>
    <t>The Sound Of Muzak</t>
  </si>
  <si>
    <t>Gravity Eyelids</t>
  </si>
  <si>
    <t>Wedding Nails</t>
  </si>
  <si>
    <t>Prodigal</t>
  </si>
  <si>
    <t>.3</t>
  </si>
  <si>
    <t>The Creator Has A Mastertape</t>
  </si>
  <si>
    <t>Heartattack In A Layby</t>
  </si>
  <si>
    <t>Strip The Soul</t>
  </si>
  <si>
    <t>Collapse The Light Into Earth</t>
  </si>
  <si>
    <r>
      <t xml:space="preserve">* </t>
    </r>
    <r>
      <rPr>
        <sz val="14"/>
        <color rgb="FFFFD7D6"/>
        <rFont val="Aptos Narrow"/>
        <scheme val="minor"/>
      </rPr>
      <t>Radiohead</t>
    </r>
    <r>
      <rPr>
        <b/>
        <sz val="14"/>
        <color rgb="FFFFD7D6"/>
        <rFont val="Aptos Narrow"/>
        <scheme val="minor"/>
      </rPr>
      <t xml:space="preserve"> - The Bends</t>
    </r>
  </si>
  <si>
    <t>Porcupine Tree</t>
  </si>
  <si>
    <t>In Absentia</t>
  </si>
  <si>
    <r>
      <rPr>
        <sz val="12"/>
        <color rgb="FFFF47CC"/>
        <rFont val="Aptos Narrow"/>
        <scheme val="minor"/>
      </rPr>
      <t>* Dave</t>
    </r>
    <r>
      <rPr>
        <b/>
        <sz val="12"/>
        <color rgb="FFFF47CC"/>
        <rFont val="Aptos Narrow"/>
        <scheme val="minor"/>
      </rPr>
      <t xml:space="preserve"> - We're All Alone In This Together</t>
    </r>
  </si>
  <si>
    <t>We're All Alone</t>
  </si>
  <si>
    <t>Verdansk</t>
  </si>
  <si>
    <t>Clash</t>
  </si>
  <si>
    <t>In The Fire</t>
  </si>
  <si>
    <t>Three Rivers</t>
  </si>
  <si>
    <t>System</t>
  </si>
  <si>
    <t>Lazarus</t>
  </si>
  <si>
    <t>Law Of Attraction</t>
  </si>
  <si>
    <t>Both Sides Of A Smile</t>
  </si>
  <si>
    <t>Twenty To One</t>
  </si>
  <si>
    <t>Heart Attack</t>
  </si>
  <si>
    <t>Survivor's Guilt</t>
  </si>
  <si>
    <t>Dave</t>
  </si>
  <si>
    <t>We're All Alone In This Together</t>
  </si>
  <si>
    <r>
      <rPr>
        <sz val="12"/>
        <color rgb="FF2D80D5"/>
        <rFont val="Aptos Narrow"/>
        <scheme val="minor"/>
      </rPr>
      <t>* Porcupine Tree</t>
    </r>
    <r>
      <rPr>
        <b/>
        <sz val="12"/>
        <color rgb="FF2D80D5"/>
        <rFont val="Aptos Narrow"/>
        <scheme val="minor"/>
      </rPr>
      <t xml:space="preserve"> - Fear of a Blank Planet</t>
    </r>
  </si>
  <si>
    <t>Fear of a Blank Planet</t>
  </si>
  <si>
    <t>My Ashes</t>
  </si>
  <si>
    <t>Anesthetize</t>
  </si>
  <si>
    <t>Sentimental</t>
  </si>
  <si>
    <t>Way out of Here</t>
  </si>
  <si>
    <t>Sleep Together</t>
  </si>
  <si>
    <t>Windowpane</t>
  </si>
  <si>
    <t>In My Time of Need</t>
  </si>
  <si>
    <t>Death Whispered a Lullaby</t>
  </si>
  <si>
    <t>Closure</t>
  </si>
  <si>
    <t>Hope Leaves</t>
  </si>
  <si>
    <t>To Rid the Disease</t>
  </si>
  <si>
    <t>Ending Credits</t>
  </si>
  <si>
    <t>Weakness</t>
  </si>
  <si>
    <t>Damnation</t>
  </si>
  <si>
    <t>Mediana</t>
  </si>
  <si>
    <t>Álbumes</t>
  </si>
  <si>
    <t>Nikes</t>
  </si>
  <si>
    <t>Ivy</t>
  </si>
  <si>
    <t>Pink + White</t>
  </si>
  <si>
    <t>Be Yourself</t>
  </si>
  <si>
    <t>Solo</t>
  </si>
  <si>
    <t>Skyline To</t>
  </si>
  <si>
    <t>Self Control</t>
  </si>
  <si>
    <t>Nights</t>
  </si>
  <si>
    <t>Solo (Reprise)</t>
  </si>
  <si>
    <t>Pretty Sweet</t>
  </si>
  <si>
    <t>Facebook Story</t>
  </si>
  <si>
    <t>Close To You</t>
  </si>
  <si>
    <t>White Ferrari</t>
  </si>
  <si>
    <t>Seigfried</t>
  </si>
  <si>
    <t>Godspeed</t>
  </si>
  <si>
    <t>Future Free</t>
  </si>
  <si>
    <t>Good Guy</t>
  </si>
  <si>
    <t>Frank Ocean</t>
  </si>
  <si>
    <t>Blonde</t>
  </si>
  <si>
    <t>Burn The Witch</t>
  </si>
  <si>
    <t>Daydreaming</t>
  </si>
  <si>
    <t>Decks Dark</t>
  </si>
  <si>
    <t>Desert Island Disk</t>
  </si>
  <si>
    <t>Ful Stop</t>
  </si>
  <si>
    <t>Glass Eyes</t>
  </si>
  <si>
    <t>Identikit</t>
  </si>
  <si>
    <t>The Numbers</t>
  </si>
  <si>
    <t>Present Tense</t>
  </si>
  <si>
    <t>Tinker Tailor Soldier Sailor Rich Man Poor Man Beggar Man Thief</t>
  </si>
  <si>
    <r>
      <rPr>
        <sz val="14"/>
        <color theme="1" tint="0.249977111117893"/>
        <rFont val="Aptos Narrow"/>
        <family val="2"/>
        <scheme val="minor"/>
      </rPr>
      <t>* Radiohead</t>
    </r>
    <r>
      <rPr>
        <b/>
        <sz val="14"/>
        <color theme="1" tint="0.249977111117893"/>
        <rFont val="Aptos Narrow"/>
        <family val="2"/>
        <scheme val="minor"/>
      </rPr>
      <t xml:space="preserve"> - A Moon Shaped Pool</t>
    </r>
  </si>
  <si>
    <t>Vicarious</t>
  </si>
  <si>
    <t>Jambi</t>
  </si>
  <si>
    <t>Wings For Marie (Pt 1)</t>
  </si>
  <si>
    <t>10,000 Days (Wings Pt 2)</t>
  </si>
  <si>
    <t>The Pot</t>
  </si>
  <si>
    <t>Lipan Conjuring</t>
  </si>
  <si>
    <t>Lost Keys</t>
  </si>
  <si>
    <t>Rosetta Stoned</t>
  </si>
  <si>
    <t>Intension</t>
  </si>
  <si>
    <t>Right In Two</t>
  </si>
  <si>
    <t>Viginiti Tres</t>
  </si>
  <si>
    <t>10,000 Days</t>
  </si>
  <si>
    <t>A Moon Shaped Pool</t>
  </si>
  <si>
    <t>True Love Waits</t>
  </si>
  <si>
    <t>Intro (Neon City)</t>
  </si>
  <si>
    <t>Cold Blooded</t>
  </si>
  <si>
    <t>In the Morning</t>
  </si>
  <si>
    <t>Secret Weapon</t>
  </si>
  <si>
    <t>Electrify Me</t>
  </si>
  <si>
    <t>Numb</t>
  </si>
  <si>
    <t>Palm of My Hand</t>
  </si>
  <si>
    <t>One Minute to Midnight</t>
  </si>
  <si>
    <t>Reaching</t>
  </si>
  <si>
    <t>Hometown Girl</t>
  </si>
  <si>
    <t>Good Life</t>
  </si>
  <si>
    <t>Generationwhy</t>
  </si>
  <si>
    <t>Working For It</t>
  </si>
  <si>
    <t>ZHU</t>
  </si>
  <si>
    <t>GENERATIONWHY</t>
  </si>
  <si>
    <r>
      <rPr>
        <sz val="13"/>
        <color rgb="FF0070C0"/>
        <rFont val="Aptos Narrow"/>
        <family val="2"/>
        <scheme val="minor"/>
      </rPr>
      <t>* Talking Heads</t>
    </r>
    <r>
      <rPr>
        <b/>
        <sz val="13"/>
        <color rgb="FF0070C0"/>
        <rFont val="Aptos Narrow"/>
        <family val="2"/>
        <scheme val="minor"/>
      </rPr>
      <t xml:space="preserve"> - Speaking in Tongues</t>
    </r>
  </si>
  <si>
    <t>Burning Down The House</t>
  </si>
  <si>
    <t>Making Flippy Floppy</t>
  </si>
  <si>
    <t>Girlfriend Is Better</t>
  </si>
  <si>
    <t>Slippery People</t>
  </si>
  <si>
    <t>I Get Wild / Wild Gravity</t>
  </si>
  <si>
    <t>Swamp</t>
  </si>
  <si>
    <t>Moon Rocks</t>
  </si>
  <si>
    <t>Pull up the Roots</t>
  </si>
  <si>
    <t>This Must Be the Place</t>
  </si>
  <si>
    <t>Talking Heads</t>
  </si>
  <si>
    <t>Speaking in Tongues</t>
  </si>
  <si>
    <t>Let It Happen</t>
  </si>
  <si>
    <t>Nangs</t>
  </si>
  <si>
    <t>The Moment</t>
  </si>
  <si>
    <t>Yes I'm Changing</t>
  </si>
  <si>
    <t>Eventually</t>
  </si>
  <si>
    <t>Gossip</t>
  </si>
  <si>
    <t>The Less I Know The Better</t>
  </si>
  <si>
    <t>Past Life</t>
  </si>
  <si>
    <t>Disciples</t>
  </si>
  <si>
    <t>Cause I'm A Man</t>
  </si>
  <si>
    <t>Reality In Motion</t>
  </si>
  <si>
    <t>Love/Paranoia</t>
  </si>
  <si>
    <t>New Person, Same Old Mistakes</t>
  </si>
  <si>
    <t>Tame Impala</t>
  </si>
  <si>
    <t>Currents</t>
  </si>
  <si>
    <t>Packt Like Sardines In a Crushed Tin Box</t>
  </si>
  <si>
    <t>Pyramid Song</t>
  </si>
  <si>
    <t>Pulk/Pull Revolving Doors</t>
  </si>
  <si>
    <t>You And Whose Army?</t>
  </si>
  <si>
    <t>I Might Be Wrong</t>
  </si>
  <si>
    <t>Knives Out</t>
  </si>
  <si>
    <t>Morning Bell/Amnesiac</t>
  </si>
  <si>
    <t>Dollars and Cents</t>
  </si>
  <si>
    <t>Hunting Bears</t>
  </si>
  <si>
    <t>Like Spinning Plates</t>
  </si>
  <si>
    <t>Life In a Glasshouse</t>
  </si>
  <si>
    <t>Amnesiac</t>
  </si>
  <si>
    <r>
      <t>* Daft Punk -</t>
    </r>
    <r>
      <rPr>
        <b/>
        <sz val="12"/>
        <color rgb="FFF7E2AD"/>
        <rFont val="Aptos Narrow"/>
        <family val="2"/>
        <scheme val="minor"/>
      </rPr>
      <t xml:space="preserve"> Random Access Memories</t>
    </r>
  </si>
  <si>
    <t>Give Life Back to Music</t>
  </si>
  <si>
    <t>The Game of Love</t>
  </si>
  <si>
    <t>Giorgio By Moroder</t>
  </si>
  <si>
    <t>Within</t>
  </si>
  <si>
    <t>Instant Crush</t>
  </si>
  <si>
    <t>Lose Yourself</t>
  </si>
  <si>
    <t>Touch</t>
  </si>
  <si>
    <t>Get Lucky</t>
  </si>
  <si>
    <t>Beyond</t>
  </si>
  <si>
    <t>Motherboard</t>
  </si>
  <si>
    <t>Fragments of Time</t>
  </si>
  <si>
    <t>Doin' it Right</t>
  </si>
  <si>
    <t>Contact</t>
  </si>
  <si>
    <t>Random Access Memories</t>
  </si>
  <si>
    <t>E85</t>
  </si>
  <si>
    <t>Body</t>
  </si>
  <si>
    <t>Rendevouz</t>
  </si>
  <si>
    <t>Secondhand</t>
  </si>
  <si>
    <t>Tiramisu</t>
  </si>
  <si>
    <t>ATM</t>
  </si>
  <si>
    <t>Long Way To Calabasas</t>
  </si>
  <si>
    <t>Rosary</t>
  </si>
  <si>
    <t>All The Signs</t>
  </si>
  <si>
    <t>Call Back</t>
  </si>
  <si>
    <t>Tuition</t>
  </si>
  <si>
    <t>K9</t>
  </si>
  <si>
    <t>Excavator</t>
  </si>
  <si>
    <t>Gemstone</t>
  </si>
  <si>
    <t>OPPOSITE</t>
  </si>
  <si>
    <t>TMU</t>
  </si>
  <si>
    <t>Pleasure's Mine</t>
  </si>
  <si>
    <t>Sweet Home</t>
  </si>
  <si>
    <t>Don Toliver</t>
  </si>
  <si>
    <t>OCTANE</t>
  </si>
  <si>
    <t>Deadwing</t>
  </si>
  <si>
    <t>Shallow</t>
  </si>
  <si>
    <t>Halo</t>
  </si>
  <si>
    <t>Arriving Somewhere But Not Here</t>
  </si>
  <si>
    <t>Mellotron Scratch</t>
  </si>
  <si>
    <t>Open Car</t>
  </si>
  <si>
    <t>Start Of Something Beautiful</t>
  </si>
  <si>
    <t>Glass Arm Shattering</t>
  </si>
  <si>
    <t>The Departure</t>
  </si>
  <si>
    <t>Riders of Rohan</t>
  </si>
  <si>
    <t>The Uruk-Hai</t>
  </si>
  <si>
    <t>Make Hast to Edoras</t>
  </si>
  <si>
    <t>Battle of Helms Deep</t>
  </si>
  <si>
    <t>Isengard &amp; The Voice of Saruman</t>
  </si>
  <si>
    <t>The Palantir</t>
  </si>
  <si>
    <t>The Dead Marshes</t>
  </si>
  <si>
    <t>The Black Gate</t>
  </si>
  <si>
    <t>Cirith Ungol</t>
  </si>
  <si>
    <r>
      <rPr>
        <sz val="14"/>
        <color rgb="FFFF0000"/>
        <rFont val="Aptos Narrow"/>
        <scheme val="minor"/>
      </rPr>
      <t xml:space="preserve">* Jake Weber </t>
    </r>
    <r>
      <rPr>
        <b/>
        <sz val="14"/>
        <color rgb="FFFF0000"/>
        <rFont val="Aptos Narrow"/>
        <scheme val="minor"/>
      </rPr>
      <t>- Middle Earth Vol. 2</t>
    </r>
  </si>
  <si>
    <t>Jake Weber</t>
  </si>
  <si>
    <t>Middle Earth Vol. 2</t>
  </si>
  <si>
    <t>Storm</t>
  </si>
  <si>
    <t>Static</t>
  </si>
  <si>
    <t>Sleep</t>
  </si>
  <si>
    <t>Antennas to Heaven</t>
  </si>
  <si>
    <t>Lift Yr. Skinny Fists Like Antennas to Heaven!</t>
  </si>
  <si>
    <t>Daftendirekt</t>
  </si>
  <si>
    <t>WDPK 83.7 FM</t>
  </si>
  <si>
    <t>Revolution 909</t>
  </si>
  <si>
    <t>Da Funk</t>
  </si>
  <si>
    <t>Phoenix</t>
  </si>
  <si>
    <t>Fresh</t>
  </si>
  <si>
    <t>Around The World</t>
  </si>
  <si>
    <t>Rollin' &amp; Scratchin'</t>
  </si>
  <si>
    <t>Teachers</t>
  </si>
  <si>
    <t>High Fidelity</t>
  </si>
  <si>
    <t>Rock'n Roll</t>
  </si>
  <si>
    <t>Oh Yeah</t>
  </si>
  <si>
    <t>Burnin'</t>
  </si>
  <si>
    <t>Indo Silver Club</t>
  </si>
  <si>
    <t>Alive</t>
  </si>
  <si>
    <t>Funk Ad</t>
  </si>
  <si>
    <t>Homework</t>
  </si>
  <si>
    <t>Fight With Fire</t>
  </si>
  <si>
    <t>Ride The Lightning</t>
  </si>
  <si>
    <t>For Whom The Bell Tolls</t>
  </si>
  <si>
    <t>Fade To Black</t>
  </si>
  <si>
    <t>Trapped Under Ice</t>
  </si>
  <si>
    <t>Escape</t>
  </si>
  <si>
    <t>Creeping Death</t>
  </si>
  <si>
    <t>The Call of Ktulu</t>
  </si>
  <si>
    <r>
      <rPr>
        <sz val="14"/>
        <color theme="3" tint="0.749992370372631"/>
        <rFont val="Aptos Narrow"/>
        <scheme val="minor"/>
      </rPr>
      <t xml:space="preserve">* Metallica </t>
    </r>
    <r>
      <rPr>
        <b/>
        <sz val="14"/>
        <color theme="3" tint="0.749992370372631"/>
        <rFont val="Aptos Narrow"/>
        <scheme val="minor"/>
      </rPr>
      <t>- Ride The Lightning</t>
    </r>
  </si>
  <si>
    <t>Orchestral Intro</t>
  </si>
  <si>
    <t>Welcome to the World of the Plastic Beach</t>
  </si>
  <si>
    <t>White Flag</t>
  </si>
  <si>
    <t>Rhinestone Eyes</t>
  </si>
  <si>
    <t>Stylo</t>
  </si>
  <si>
    <t>Superfast Jellyfish</t>
  </si>
  <si>
    <t>Empire Ants</t>
  </si>
  <si>
    <t>Glitter Freeze</t>
  </si>
  <si>
    <t>Some Kind of Nature</t>
  </si>
  <si>
    <t>On Melancholy Hill</t>
  </si>
  <si>
    <t>Broken</t>
  </si>
  <si>
    <t>Sweepstakes</t>
  </si>
  <si>
    <t>Plastic Beach</t>
  </si>
  <si>
    <t>To Binge</t>
  </si>
  <si>
    <t>Cloud of Unkowing</t>
  </si>
  <si>
    <t>Pirate Jet</t>
  </si>
  <si>
    <t>Gorillaz</t>
  </si>
  <si>
    <t>No Ordinary Love</t>
  </si>
  <si>
    <t>Feel No Pain</t>
  </si>
  <si>
    <t>I Couldn't Love You More</t>
  </si>
  <si>
    <t>Like a Tatoo</t>
  </si>
  <si>
    <t>Kiss of Life</t>
  </si>
  <si>
    <t>Cherish the Day</t>
  </si>
  <si>
    <t>Pearls</t>
  </si>
  <si>
    <t>Bullet Proof Soul</t>
  </si>
  <si>
    <t>Mermaid</t>
  </si>
  <si>
    <t>Sade</t>
  </si>
  <si>
    <t>Love Deluxe</t>
  </si>
  <si>
    <t>Obstacle 1</t>
  </si>
  <si>
    <t>NYC</t>
  </si>
  <si>
    <t>PDA</t>
  </si>
  <si>
    <t>Say Hello to the Angels</t>
  </si>
  <si>
    <t>Hands Away</t>
  </si>
  <si>
    <t>Obstacle 2</t>
  </si>
  <si>
    <t>Stella was a diver and she was always down</t>
  </si>
  <si>
    <t>Roland</t>
  </si>
  <si>
    <t>The New</t>
  </si>
  <si>
    <t>Leif Erikson</t>
  </si>
  <si>
    <t>Interpol</t>
  </si>
  <si>
    <t>Turn On The Bright Lights</t>
  </si>
  <si>
    <t>Pigs on the Wing 1</t>
  </si>
  <si>
    <t>Dogs</t>
  </si>
  <si>
    <t>Pigs (Three Different Ones)</t>
  </si>
  <si>
    <t>Sheep</t>
  </si>
  <si>
    <t>Pigs on the Wing 2</t>
  </si>
  <si>
    <t>The Stargate [Tablet I]</t>
  </si>
  <si>
    <t>The Stargate [Tablet II]</t>
  </si>
  <si>
    <t>The Stargate [Tablet III]</t>
  </si>
  <si>
    <t>The Message [Tablet I]</t>
  </si>
  <si>
    <t>The Message [Tablet II]</t>
  </si>
  <si>
    <t>The Message [Tablet III]</t>
  </si>
  <si>
    <t>progressive metal, alternative metal</t>
  </si>
  <si>
    <t>art rock, alternative rock</t>
  </si>
  <si>
    <t>progressive rock, art rock</t>
  </si>
  <si>
    <t>progressive rock, psychedelic rock</t>
  </si>
  <si>
    <t>progressive rock, progressive metal</t>
  </si>
  <si>
    <t>shoegaze, slowcore</t>
  </si>
  <si>
    <t>french house, electronic</t>
  </si>
  <si>
    <t>garage rock, indie rock</t>
  </si>
  <si>
    <t>classic rock</t>
  </si>
  <si>
    <t>old school hip hop, east coast hip hop</t>
  </si>
  <si>
    <t>dream pop, shoegaze</t>
  </si>
  <si>
    <t>trip hop, downtempo</t>
  </si>
  <si>
    <t>edm</t>
  </si>
  <si>
    <t>nu metal, rap metal</t>
  </si>
  <si>
    <t>grime, uk grime</t>
  </si>
  <si>
    <t>Animals</t>
  </si>
  <si>
    <t>Blood Incantation</t>
  </si>
  <si>
    <t>Absolute Elsewhere</t>
  </si>
  <si>
    <t>death metal, progressive metal</t>
  </si>
  <si>
    <t>alternative metal</t>
  </si>
  <si>
    <t>alternative rock</t>
  </si>
  <si>
    <t>progressive metal</t>
  </si>
  <si>
    <t>thrash metal</t>
  </si>
  <si>
    <t>progressive metal, death metal</t>
  </si>
  <si>
    <t>electropop, art pop</t>
  </si>
  <si>
    <t>smooth soul</t>
  </si>
  <si>
    <t>experimental hip hop, trap</t>
  </si>
  <si>
    <t>trap</t>
  </si>
  <si>
    <t>spanish rap</t>
  </si>
  <si>
    <t>art pop, pop rock</t>
  </si>
  <si>
    <t>alternative R&amp;B, trap</t>
  </si>
  <si>
    <r>
      <t xml:space="preserve">* Blood Incantation - </t>
    </r>
    <r>
      <rPr>
        <b/>
        <sz val="12"/>
        <color rgb="FFF9FF01"/>
        <rFont val="Aptos Narrow"/>
        <family val="2"/>
        <scheme val="minor"/>
      </rPr>
      <t>Absolute Elsewhere</t>
    </r>
  </si>
  <si>
    <t>It's Gonna Be A Long Time</t>
  </si>
  <si>
    <t>Zoloft</t>
  </si>
  <si>
    <t>Transdermal Celebration</t>
  </si>
  <si>
    <t>Among His Tribe</t>
  </si>
  <si>
    <t>So Many People In The Neighborhood</t>
  </si>
  <si>
    <t>Tried And True</t>
  </si>
  <si>
    <t>Happy Colored Marbles</t>
  </si>
  <si>
    <t>Hey There Fancypants</t>
  </si>
  <si>
    <t>Captain</t>
  </si>
  <si>
    <t>Chocolate Town</t>
  </si>
  <si>
    <t>I Don't Want It</t>
  </si>
  <si>
    <t>The Fucked Jam</t>
  </si>
  <si>
    <t>Alcan Road</t>
  </si>
  <si>
    <t>The Argus</t>
  </si>
  <si>
    <t>If You Could Save Yourself</t>
  </si>
  <si>
    <t>Ween</t>
  </si>
  <si>
    <t>Quebec</t>
  </si>
  <si>
    <t>Dark Fantasy</t>
  </si>
  <si>
    <t>Gorgeous</t>
  </si>
  <si>
    <t>POWER</t>
  </si>
  <si>
    <t>All Of The Lights (Interlude)</t>
  </si>
  <si>
    <t>All Of The Lights</t>
  </si>
  <si>
    <t>Monster</t>
  </si>
  <si>
    <t>So Apalled</t>
  </si>
  <si>
    <t>Devil In A New Dress</t>
  </si>
  <si>
    <t>Hell Of A Life</t>
  </si>
  <si>
    <t>Blame Game</t>
  </si>
  <si>
    <t>Lost In The World</t>
  </si>
  <si>
    <t>Who Will Survive In America</t>
  </si>
  <si>
    <r>
      <t>* Kanye West -</t>
    </r>
    <r>
      <rPr>
        <b/>
        <sz val="10"/>
        <color theme="3" tint="0.249977111117893"/>
        <rFont val="Aptos Narrow"/>
        <family val="2"/>
        <scheme val="minor"/>
      </rPr>
      <t xml:space="preserve"> My Beautiful Dark Twisted Fantasy</t>
    </r>
  </si>
  <si>
    <t>Kanye West</t>
  </si>
  <si>
    <t>My Beautiful Dark Twisted Fantasy</t>
  </si>
  <si>
    <t>pop rap, hip hop</t>
  </si>
  <si>
    <t>new wave, post punk</t>
  </si>
  <si>
    <t>neo psychedelic, indie</t>
  </si>
  <si>
    <t>grunge, post grunge</t>
  </si>
  <si>
    <t>neo psychedelic, art rock</t>
  </si>
  <si>
    <t>post punk, new wave</t>
  </si>
  <si>
    <t>Feather</t>
  </si>
  <si>
    <t>ordinary joe</t>
  </si>
  <si>
    <t>reflection eternal</t>
  </si>
  <si>
    <t>Luv(sic.) pt3</t>
  </si>
  <si>
    <t>Music is mine</t>
  </si>
  <si>
    <t>The Sign</t>
  </si>
  <si>
    <t>Thank you</t>
  </si>
  <si>
    <t>World's end Rhapsody</t>
  </si>
  <si>
    <t>Modal Soul</t>
  </si>
  <si>
    <t>flowers</t>
  </si>
  <si>
    <t>sea of cloud</t>
  </si>
  <si>
    <t>Light on the land</t>
  </si>
  <si>
    <t>Horizon</t>
  </si>
  <si>
    <t>Nujabes</t>
  </si>
  <si>
    <t>jazz rap, instrumental hip hop</t>
  </si>
  <si>
    <t>indie rock, post punk</t>
  </si>
  <si>
    <r>
      <t xml:space="preserve">* Radiohead - </t>
    </r>
    <r>
      <rPr>
        <b/>
        <sz val="14"/>
        <color theme="3" tint="0.499984740745262"/>
        <rFont val="Aptos Narrow"/>
        <scheme val="minor"/>
      </rPr>
      <t>Hail To the Thief</t>
    </r>
  </si>
  <si>
    <t>2 + 2 = 5</t>
  </si>
  <si>
    <t>Sit Down. Stand Up</t>
  </si>
  <si>
    <t>Sail To The Moon</t>
  </si>
  <si>
    <t>Backdrifts</t>
  </si>
  <si>
    <t>Go To Sleep</t>
  </si>
  <si>
    <t>Where I End and You Begin</t>
  </si>
  <si>
    <t>We Suck Young Blood</t>
  </si>
  <si>
    <t>The Gloaming</t>
  </si>
  <si>
    <t>There, There</t>
  </si>
  <si>
    <t>I Will</t>
  </si>
  <si>
    <t>A Punch Up at a Wedding</t>
  </si>
  <si>
    <t>Myxomatosis</t>
  </si>
  <si>
    <t>Scatterbrain</t>
  </si>
  <si>
    <t>A Wolf At the Door</t>
  </si>
  <si>
    <t>Hail To the Thief</t>
  </si>
  <si>
    <t>art rock, electronic</t>
  </si>
  <si>
    <r>
      <t xml:space="preserve">* Opeth - </t>
    </r>
    <r>
      <rPr>
        <b/>
        <sz val="14"/>
        <color rgb="FFFF0000"/>
        <rFont val="Aptos Narrow"/>
        <scheme val="minor"/>
      </rPr>
      <t>Still Life</t>
    </r>
  </si>
  <si>
    <t>The Moor</t>
  </si>
  <si>
    <t>Godhead's Lament</t>
  </si>
  <si>
    <t>Benighted</t>
  </si>
  <si>
    <t>Moonlapse Vertigo</t>
  </si>
  <si>
    <t>Serenity Painted Death</t>
  </si>
  <si>
    <t>White Cluster</t>
  </si>
  <si>
    <r>
      <t xml:space="preserve">* Nujabes - </t>
    </r>
    <r>
      <rPr>
        <b/>
        <sz val="14"/>
        <color rgb="FFF23B27"/>
        <rFont val="Aptos Narrow"/>
        <scheme val="minor"/>
      </rPr>
      <t>Modal Soul</t>
    </r>
  </si>
  <si>
    <r>
      <t xml:space="preserve">* Ween - </t>
    </r>
    <r>
      <rPr>
        <b/>
        <sz val="14"/>
        <color theme="0"/>
        <rFont val="Aptos Narrow"/>
        <family val="2"/>
        <scheme val="minor"/>
      </rPr>
      <t>Quebec</t>
    </r>
  </si>
  <si>
    <r>
      <t xml:space="preserve">* Pink Floyd - </t>
    </r>
    <r>
      <rPr>
        <b/>
        <sz val="14"/>
        <color theme="5" tint="-0.499984740745262"/>
        <rFont val="Aptos Narrow"/>
        <family val="2"/>
        <scheme val="minor"/>
      </rPr>
      <t>Animals</t>
    </r>
  </si>
  <si>
    <r>
      <rPr>
        <sz val="14"/>
        <color theme="9" tint="-0.249977111117893"/>
        <rFont val="Aptos Narrow"/>
        <scheme val="minor"/>
      </rPr>
      <t xml:space="preserve">* Gorillaz - </t>
    </r>
    <r>
      <rPr>
        <b/>
        <sz val="14"/>
        <color theme="9" tint="-0.249977111117893"/>
        <rFont val="Aptos Narrow"/>
        <scheme val="minor"/>
      </rPr>
      <t>Plastic Beach</t>
    </r>
  </si>
  <si>
    <r>
      <rPr>
        <sz val="14"/>
        <color rgb="FFFF0000"/>
        <rFont val="Aptos Narrow"/>
        <scheme val="minor"/>
      </rPr>
      <t>* Daft Punk</t>
    </r>
    <r>
      <rPr>
        <b/>
        <sz val="14"/>
        <color rgb="FFFF0000"/>
        <rFont val="Aptos Narrow"/>
        <scheme val="minor"/>
      </rPr>
      <t xml:space="preserve"> - Homework</t>
    </r>
  </si>
  <si>
    <r>
      <rPr>
        <sz val="14"/>
        <color rgb="FF273005"/>
        <rFont val="Aptos Narrow"/>
        <scheme val="minor"/>
      </rPr>
      <t>* Porcupine Tree</t>
    </r>
    <r>
      <rPr>
        <b/>
        <sz val="14"/>
        <color rgb="FF273005"/>
        <rFont val="Aptos Narrow"/>
        <scheme val="minor"/>
      </rPr>
      <t xml:space="preserve"> - Deadwing</t>
    </r>
  </si>
  <si>
    <r>
      <rPr>
        <sz val="14"/>
        <color theme="0" tint="-0.14999847407452621"/>
        <rFont val="Aptos Narrow"/>
        <scheme val="minor"/>
      </rPr>
      <t>* Don Toliver</t>
    </r>
    <r>
      <rPr>
        <b/>
        <sz val="14"/>
        <color theme="0" tint="-0.14999847407452621"/>
        <rFont val="Aptos Narrow"/>
        <scheme val="minor"/>
      </rPr>
      <t xml:space="preserve"> - OCTANE</t>
    </r>
  </si>
  <si>
    <r>
      <rPr>
        <sz val="14"/>
        <color rgb="FF360000"/>
        <rFont val="Aptos Narrow"/>
        <family val="2"/>
        <scheme val="minor"/>
      </rPr>
      <t>* Radiohead</t>
    </r>
    <r>
      <rPr>
        <b/>
        <sz val="14"/>
        <color rgb="FF360000"/>
        <rFont val="Aptos Narrow"/>
        <family val="2"/>
        <scheme val="minor"/>
      </rPr>
      <t xml:space="preserve"> - Amnesiac</t>
    </r>
  </si>
  <si>
    <r>
      <rPr>
        <sz val="14"/>
        <color rgb="FFFFC000"/>
        <rFont val="Aptos Narrow"/>
        <family val="2"/>
        <scheme val="minor"/>
      </rPr>
      <t>* Tame Impala</t>
    </r>
    <r>
      <rPr>
        <b/>
        <sz val="14"/>
        <color rgb="FFFFC000"/>
        <rFont val="Aptos Narrow"/>
        <family val="2"/>
        <scheme val="minor"/>
      </rPr>
      <t xml:space="preserve"> - Currents</t>
    </r>
  </si>
  <si>
    <r>
      <rPr>
        <sz val="14"/>
        <color rgb="FF623FE1"/>
        <rFont val="Aptos Narrow"/>
        <family val="2"/>
        <scheme val="minor"/>
      </rPr>
      <t>* ZHU</t>
    </r>
    <r>
      <rPr>
        <b/>
        <sz val="14"/>
        <color rgb="FF623FE1"/>
        <rFont val="Aptos Narrow"/>
        <family val="2"/>
        <scheme val="minor"/>
      </rPr>
      <t xml:space="preserve"> - GENERATIONWHY</t>
    </r>
  </si>
  <si>
    <r>
      <rPr>
        <sz val="14"/>
        <color theme="0" tint="-0.249977111117893"/>
        <rFont val="Aptos Narrow"/>
        <scheme val="minor"/>
      </rPr>
      <t>* Travis Scott</t>
    </r>
    <r>
      <rPr>
        <b/>
        <sz val="14"/>
        <color theme="0" tint="-0.249977111117893"/>
        <rFont val="Aptos Narrow"/>
        <scheme val="minor"/>
      </rPr>
      <t xml:space="preserve"> - UTOPIA</t>
    </r>
  </si>
  <si>
    <r>
      <rPr>
        <sz val="14"/>
        <color theme="8" tint="0.79998168889431442"/>
        <rFont val="Aptos Narrow"/>
        <family val="2"/>
        <scheme val="minor"/>
      </rPr>
      <t>* The Cure</t>
    </r>
    <r>
      <rPr>
        <b/>
        <sz val="14"/>
        <color theme="8" tint="0.79998168889431442"/>
        <rFont val="Aptos Narrow"/>
        <family val="2"/>
        <scheme val="minor"/>
      </rPr>
      <t xml:space="preserve"> - Disintegration</t>
    </r>
  </si>
  <si>
    <r>
      <rPr>
        <sz val="14"/>
        <color theme="8" tint="0.39997558519241921"/>
        <rFont val="Aptos Narrow"/>
        <scheme val="minor"/>
      </rPr>
      <t>* Mac Miller</t>
    </r>
    <r>
      <rPr>
        <b/>
        <sz val="14"/>
        <color theme="8" tint="0.39997558519241921"/>
        <rFont val="Aptos Narrow"/>
        <scheme val="minor"/>
      </rPr>
      <t xml:space="preserve"> - Swimming</t>
    </r>
  </si>
  <si>
    <r>
      <rPr>
        <sz val="14"/>
        <color rgb="FFFF0000"/>
        <rFont val="Aptos Narrow"/>
        <scheme val="minor"/>
      </rPr>
      <t>* Radiohead</t>
    </r>
    <r>
      <rPr>
        <b/>
        <sz val="14"/>
        <color rgb="FFFF0000"/>
        <rFont val="Aptos Narrow"/>
        <scheme val="minor"/>
      </rPr>
      <t xml:space="preserve"> - Kid A</t>
    </r>
  </si>
  <si>
    <r>
      <rPr>
        <sz val="14"/>
        <color rgb="FFFFC000"/>
        <rFont val="Aptos Narrow"/>
        <family val="2"/>
        <scheme val="minor"/>
      </rPr>
      <t>* Megadeth</t>
    </r>
    <r>
      <rPr>
        <b/>
        <sz val="14"/>
        <color rgb="FFFFC000"/>
        <rFont val="Aptos Narrow"/>
        <family val="2"/>
        <scheme val="minor"/>
      </rPr>
      <t xml:space="preserve"> - Rust In Peace</t>
    </r>
  </si>
  <si>
    <r>
      <rPr>
        <sz val="14"/>
        <color rgb="FF9C0000"/>
        <rFont val="Aptos Narrow"/>
        <scheme val="minor"/>
      </rPr>
      <t>* Nas</t>
    </r>
    <r>
      <rPr>
        <b/>
        <sz val="14"/>
        <color rgb="FF9C0000"/>
        <rFont val="Aptos Narrow"/>
        <scheme val="minor"/>
      </rPr>
      <t xml:space="preserve"> - Illmatic</t>
    </r>
  </si>
  <si>
    <r>
      <rPr>
        <sz val="14"/>
        <color theme="3" tint="0.749992370372631"/>
        <rFont val="Aptos Narrow"/>
        <scheme val="minor"/>
      </rPr>
      <t>* Coldplay</t>
    </r>
    <r>
      <rPr>
        <b/>
        <sz val="14"/>
        <color theme="3" tint="0.749992370372631"/>
        <rFont val="Aptos Narrow"/>
        <scheme val="minor"/>
      </rPr>
      <t xml:space="preserve"> - X&amp;Y</t>
    </r>
  </si>
  <si>
    <r>
      <rPr>
        <sz val="14"/>
        <color theme="4"/>
        <rFont val="Aptos Narrow"/>
        <scheme val="minor"/>
      </rPr>
      <t>* TOOL</t>
    </r>
    <r>
      <rPr>
        <b/>
        <sz val="14"/>
        <color theme="4"/>
        <rFont val="Aptos Narrow"/>
        <scheme val="minor"/>
      </rPr>
      <t xml:space="preserve"> - Ænima</t>
    </r>
  </si>
  <si>
    <r>
      <rPr>
        <sz val="14"/>
        <color rgb="FF00B0F0"/>
        <rFont val="Aptos Narrow"/>
        <scheme val="minor"/>
      </rPr>
      <t>* Radiohead</t>
    </r>
    <r>
      <rPr>
        <b/>
        <sz val="14"/>
        <color rgb="FF00B0F0"/>
        <rFont val="Aptos Narrow"/>
        <scheme val="minor"/>
      </rPr>
      <t xml:space="preserve"> - OK Computer</t>
    </r>
  </si>
  <si>
    <r>
      <rPr>
        <sz val="14"/>
        <color theme="5" tint="0.79998168889431442"/>
        <rFont val="Aptos Narrow"/>
        <scheme val="minor"/>
      </rPr>
      <t>* Opeth</t>
    </r>
    <r>
      <rPr>
        <b/>
        <sz val="14"/>
        <color theme="5" tint="0.79998168889431442"/>
        <rFont val="Aptos Narrow"/>
        <scheme val="minor"/>
      </rPr>
      <t xml:space="preserve"> - Blackwater Park</t>
    </r>
  </si>
  <si>
    <r>
      <rPr>
        <sz val="14"/>
        <color rgb="FF592B22"/>
        <rFont val="Aptos Narrow"/>
        <scheme val="minor"/>
      </rPr>
      <t>* Alice In Chains</t>
    </r>
    <r>
      <rPr>
        <b/>
        <sz val="14"/>
        <color rgb="FF592B22"/>
        <rFont val="Aptos Narrow"/>
        <scheme val="minor"/>
      </rPr>
      <t xml:space="preserve"> - Dirt</t>
    </r>
  </si>
  <si>
    <r>
      <rPr>
        <sz val="14"/>
        <color theme="8" tint="-0.249977111117893"/>
        <rFont val="Aptos Narrow"/>
        <scheme val="minor"/>
      </rPr>
      <t>* Led Zeppelin</t>
    </r>
    <r>
      <rPr>
        <b/>
        <sz val="14"/>
        <color theme="8" tint="-0.249977111117893"/>
        <rFont val="Aptos Narrow"/>
        <scheme val="minor"/>
      </rPr>
      <t xml:space="preserve"> - Led Zeppelin IV</t>
    </r>
  </si>
  <si>
    <r>
      <rPr>
        <sz val="14"/>
        <color theme="5" tint="-0.499984740745262"/>
        <rFont val="Aptos Narrow"/>
        <scheme val="minor"/>
      </rPr>
      <t xml:space="preserve">* Linkin Park </t>
    </r>
    <r>
      <rPr>
        <b/>
        <sz val="14"/>
        <color theme="5" tint="-0.499984740745262"/>
        <rFont val="Aptos Narrow"/>
        <scheme val="minor"/>
      </rPr>
      <t>- Hybrid Theory</t>
    </r>
  </si>
  <si>
    <r>
      <rPr>
        <sz val="14"/>
        <color theme="0" tint="-0.14999847407452621"/>
        <rFont val="Aptos Narrow"/>
        <scheme val="minor"/>
      </rPr>
      <t xml:space="preserve">* Daft Punk </t>
    </r>
    <r>
      <rPr>
        <b/>
        <sz val="14"/>
        <color theme="0" tint="-0.14999847407452621"/>
        <rFont val="Aptos Narrow"/>
        <scheme val="minor"/>
      </rPr>
      <t>- Discovery</t>
    </r>
  </si>
  <si>
    <r>
      <rPr>
        <sz val="14"/>
        <color theme="0"/>
        <rFont val="Aptos Narrow"/>
        <scheme val="minor"/>
      </rPr>
      <t>* Metallica</t>
    </r>
    <r>
      <rPr>
        <b/>
        <sz val="14"/>
        <color theme="0"/>
        <rFont val="Aptos Narrow"/>
        <scheme val="minor"/>
      </rPr>
      <t xml:space="preserve"> - Master Of Puppets</t>
    </r>
  </si>
  <si>
    <r>
      <rPr>
        <sz val="14"/>
        <color theme="5" tint="-0.499984740745262"/>
        <rFont val="Aptos Narrow"/>
        <scheme val="minor"/>
      </rPr>
      <t xml:space="preserve">* Dire Straits </t>
    </r>
    <r>
      <rPr>
        <b/>
        <sz val="14"/>
        <color theme="5" tint="-0.499984740745262"/>
        <rFont val="Aptos Narrow"/>
        <scheme val="minor"/>
      </rPr>
      <t>- Brothers In Arms</t>
    </r>
  </si>
  <si>
    <r>
      <rPr>
        <sz val="14"/>
        <color theme="1" tint="0.14999847407452621"/>
        <rFont val="Aptos Narrow"/>
        <scheme val="minor"/>
      </rPr>
      <t>* Fleetwood Mac</t>
    </r>
    <r>
      <rPr>
        <b/>
        <sz val="14"/>
        <color theme="1" tint="0.14999847407452621"/>
        <rFont val="Aptos Narrow"/>
        <scheme val="minor"/>
      </rPr>
      <t xml:space="preserve"> - Rumours</t>
    </r>
  </si>
  <si>
    <r>
      <rPr>
        <sz val="14"/>
        <color theme="5" tint="0.79998168889431442"/>
        <rFont val="Aptos Narrow"/>
        <scheme val="minor"/>
      </rPr>
      <t>* TOOL</t>
    </r>
    <r>
      <rPr>
        <b/>
        <sz val="14"/>
        <color theme="5" tint="0.79998168889431442"/>
        <rFont val="Aptos Narrow"/>
        <scheme val="minor"/>
      </rPr>
      <t xml:space="preserve"> - Lateralus</t>
    </r>
  </si>
  <si>
    <r>
      <rPr>
        <sz val="14"/>
        <color theme="7" tint="-0.249977111117893"/>
        <rFont val="Aptos Narrow"/>
        <scheme val="minor"/>
      </rPr>
      <t>* Radiohead</t>
    </r>
    <r>
      <rPr>
        <b/>
        <sz val="14"/>
        <color theme="7" tint="-0.249977111117893"/>
        <rFont val="Aptos Narrow"/>
        <scheme val="minor"/>
      </rPr>
      <t xml:space="preserve"> - In Rainbows</t>
    </r>
  </si>
  <si>
    <r>
      <rPr>
        <sz val="14"/>
        <color theme="0" tint="-0.499984740745262"/>
        <rFont val="Aptos Narrow"/>
        <family val="2"/>
        <scheme val="minor"/>
      </rPr>
      <t>* Megadeth</t>
    </r>
    <r>
      <rPr>
        <b/>
        <sz val="14"/>
        <color theme="0" tint="-0.499984740745262"/>
        <rFont val="Aptos Narrow"/>
        <family val="2"/>
        <scheme val="minor"/>
      </rPr>
      <t xml:space="preserve"> - Megadeth</t>
    </r>
  </si>
  <si>
    <r>
      <rPr>
        <sz val="14"/>
        <color theme="1" tint="0.249977111117893"/>
        <rFont val="Aptos Narrow"/>
        <scheme val="minor"/>
      </rPr>
      <t>* Opeth</t>
    </r>
    <r>
      <rPr>
        <b/>
        <sz val="14"/>
        <color theme="1" tint="0.249977111117893"/>
        <rFont val="Aptos Narrow"/>
        <scheme val="minor"/>
      </rPr>
      <t xml:space="preserve"> - Damnation</t>
    </r>
  </si>
  <si>
    <r>
      <rPr>
        <sz val="14"/>
        <color rgb="FF210000"/>
        <rFont val="Aptos Narrow"/>
        <scheme val="minor"/>
      </rPr>
      <t xml:space="preserve">* Sade </t>
    </r>
    <r>
      <rPr>
        <b/>
        <sz val="14"/>
        <color rgb="FF210000"/>
        <rFont val="Aptos Narrow"/>
        <scheme val="minor"/>
      </rPr>
      <t>- Love Deluxe</t>
    </r>
  </si>
  <si>
    <t>Face of Melinda</t>
  </si>
  <si>
    <t>Still Life</t>
  </si>
  <si>
    <r>
      <t xml:space="preserve">* Marvin Gaye - </t>
    </r>
    <r>
      <rPr>
        <b/>
        <sz val="14"/>
        <color rgb="FFFFCC00"/>
        <rFont val="Aptos Narrow"/>
        <family val="2"/>
        <scheme val="minor"/>
      </rPr>
      <t>What's Going On</t>
    </r>
  </si>
  <si>
    <t>What's Going On</t>
  </si>
  <si>
    <t>What's Happening Brother</t>
  </si>
  <si>
    <t>Flyin' High (In The Friendly Sky)</t>
  </si>
  <si>
    <t>Save The Children</t>
  </si>
  <si>
    <t>God Is Love</t>
  </si>
  <si>
    <t>Mercy Mercy Me (The Ecology)</t>
  </si>
  <si>
    <t>Right On</t>
  </si>
  <si>
    <t>Wholy Holy</t>
  </si>
  <si>
    <t>Inner City Blues (Make Me Wanna Holler)</t>
  </si>
  <si>
    <t>Marvin Gaye</t>
  </si>
  <si>
    <t>soul, progressive soul</t>
  </si>
  <si>
    <r>
      <t>* The Clash -</t>
    </r>
    <r>
      <rPr>
        <b/>
        <sz val="14"/>
        <color theme="0" tint="-0.14999847407452621"/>
        <rFont val="Aptos Narrow"/>
        <family val="2"/>
        <scheme val="minor"/>
      </rPr>
      <t xml:space="preserve"> London Calling</t>
    </r>
  </si>
  <si>
    <t>London Calling</t>
  </si>
  <si>
    <t>Brand New Cadillac</t>
  </si>
  <si>
    <t>Jimmy Jazz</t>
  </si>
  <si>
    <t>Hateful</t>
  </si>
  <si>
    <t>Rudie Can't Fail</t>
  </si>
  <si>
    <t>Spanish Bombs</t>
  </si>
  <si>
    <t>The Right Profile</t>
  </si>
  <si>
    <t>Lost In The Supermarket</t>
  </si>
  <si>
    <t>Clampdown</t>
  </si>
  <si>
    <t>The Guns of Brixton</t>
  </si>
  <si>
    <t>Wrong 'Em Boyo</t>
  </si>
  <si>
    <t>Death or Glory</t>
  </si>
  <si>
    <t>Kola Kola</t>
  </si>
  <si>
    <t>The Card Cheat</t>
  </si>
  <si>
    <t>Lover's Rock</t>
  </si>
  <si>
    <t>Four Horsemen</t>
  </si>
  <si>
    <t>I'm Not Down</t>
  </si>
  <si>
    <t>Revolution Rock</t>
  </si>
  <si>
    <t>Train in Vain [unlisted]</t>
  </si>
  <si>
    <t>The Clash</t>
  </si>
  <si>
    <t>new wave, punk rock</t>
  </si>
  <si>
    <r>
      <t xml:space="preserve">* Radiohead - </t>
    </r>
    <r>
      <rPr>
        <b/>
        <sz val="14"/>
        <color rgb="FFFFC000"/>
        <rFont val="Aptos Narrow"/>
        <family val="2"/>
        <scheme val="minor"/>
      </rPr>
      <t>The King Of Limbs</t>
    </r>
  </si>
  <si>
    <t>Bloom</t>
  </si>
  <si>
    <t>Morning Mr Magpie</t>
  </si>
  <si>
    <t>Little By Little</t>
  </si>
  <si>
    <t>Feral</t>
  </si>
  <si>
    <t>Lotus Flower</t>
  </si>
  <si>
    <t>Codex</t>
  </si>
  <si>
    <t>Give Up The Ghost</t>
  </si>
  <si>
    <t>Separator</t>
  </si>
  <si>
    <t>The King Of Limbs</t>
  </si>
  <si>
    <t>electronic, experimental rock</t>
  </si>
  <si>
    <t>art rock, alternative rock, electronic, experimental rock</t>
  </si>
  <si>
    <r>
      <t>* Sigur Rós -</t>
    </r>
    <r>
      <rPr>
        <b/>
        <sz val="14"/>
        <color theme="0"/>
        <rFont val="Aptos Narrow"/>
        <family val="2"/>
        <scheme val="minor"/>
      </rPr>
      <t xml:space="preserve"> Ágætis byrjun</t>
    </r>
  </si>
  <si>
    <t>Title</t>
  </si>
  <si>
    <t>Svefn-g-englar</t>
  </si>
  <si>
    <t>Starálfur</t>
  </si>
  <si>
    <t>Flugufrelsarinn</t>
  </si>
  <si>
    <t>Ný batterí</t>
  </si>
  <si>
    <t>Hjartað hamast (Bamm bamm bamm)</t>
  </si>
  <si>
    <t>Viðrar vel til loftárása</t>
  </si>
  <si>
    <t>Olsen Olsen</t>
  </si>
  <si>
    <t>Ágætis byrjun</t>
  </si>
  <si>
    <t>Avalon</t>
  </si>
  <si>
    <t>Sigur Rós</t>
  </si>
  <si>
    <t>post rock, dream pop</t>
  </si>
  <si>
    <r>
      <t>* Opeth -</t>
    </r>
    <r>
      <rPr>
        <b/>
        <sz val="14"/>
        <color rgb="FFCC9900"/>
        <rFont val="Aptos Narrow"/>
        <family val="2"/>
        <scheme val="minor"/>
      </rPr>
      <t xml:space="preserve"> Ghost Reveries</t>
    </r>
  </si>
  <si>
    <t>Ghost of Perdition</t>
  </si>
  <si>
    <t>The Baying Hounds</t>
  </si>
  <si>
    <t>Beneath the Mire</t>
  </si>
  <si>
    <t>Atonement</t>
  </si>
  <si>
    <t>Reverie / Harlequin Forest</t>
  </si>
  <si>
    <t>Hours of Wealth</t>
  </si>
  <si>
    <t>The Grand Conjuration</t>
  </si>
  <si>
    <t>Isolation Years</t>
  </si>
  <si>
    <t>Ghost Reveries</t>
  </si>
  <si>
    <r>
      <t>* Radiohead -</t>
    </r>
    <r>
      <rPr>
        <b/>
        <sz val="14"/>
        <rFont val="Aptos Narrow"/>
        <family val="2"/>
        <scheme val="minor"/>
      </rPr>
      <t xml:space="preserve"> Pablo Honey</t>
    </r>
  </si>
  <si>
    <t>You</t>
  </si>
  <si>
    <t>Creep</t>
  </si>
  <si>
    <t>How Do You?</t>
  </si>
  <si>
    <t>Stop Whispering</t>
  </si>
  <si>
    <t>Thinking About You</t>
  </si>
  <si>
    <t>Anyone Can Play Guitar</t>
  </si>
  <si>
    <t>Ripcord</t>
  </si>
  <si>
    <t>Vegetable</t>
  </si>
  <si>
    <t>Prove Yourself</t>
  </si>
  <si>
    <t>I Can't</t>
  </si>
  <si>
    <t>Lurgee</t>
  </si>
  <si>
    <t>Blow Out</t>
  </si>
  <si>
    <t>Pablo Honey</t>
  </si>
  <si>
    <r>
      <t>* Coldplay -</t>
    </r>
    <r>
      <rPr>
        <b/>
        <sz val="12"/>
        <color theme="1" tint="0.249977111117893"/>
        <rFont val="Aptos Narrow"/>
        <scheme val="minor"/>
      </rPr>
      <t xml:space="preserve"> A Rush of Blood to the Head</t>
    </r>
  </si>
  <si>
    <t>Politik</t>
  </si>
  <si>
    <t>In My Place</t>
  </si>
  <si>
    <t>God Put a Smile upon Your Face</t>
  </si>
  <si>
    <t>The Scientist</t>
  </si>
  <si>
    <t>Clocks</t>
  </si>
  <si>
    <t>Daylight</t>
  </si>
  <si>
    <t>Green Eyes</t>
  </si>
  <si>
    <t>Warning Sign</t>
  </si>
  <si>
    <t>A Whisper</t>
  </si>
  <si>
    <t>A Rush of Blood to the Head</t>
  </si>
  <si>
    <t>Amsterdam</t>
  </si>
  <si>
    <t>LONG SEASON</t>
  </si>
  <si>
    <r>
      <t>* Fishmans -</t>
    </r>
    <r>
      <rPr>
        <b/>
        <sz val="14"/>
        <color rgb="FFFF6A00"/>
        <rFont val="Aptos Narrow"/>
        <scheme val="minor"/>
      </rPr>
      <t xml:space="preserve"> LONG SEASON</t>
    </r>
  </si>
  <si>
    <t>Fishmans</t>
  </si>
  <si>
    <t>neo psychedelic, dream pop</t>
  </si>
  <si>
    <t>post britpop, art rock</t>
  </si>
  <si>
    <r>
      <rPr>
        <sz val="14"/>
        <color theme="1"/>
        <rFont val="Aptos Narrow"/>
        <family val="2"/>
        <scheme val="minor"/>
      </rPr>
      <t>* Frank Ocean</t>
    </r>
    <r>
      <rPr>
        <b/>
        <sz val="14"/>
        <color theme="1"/>
        <rFont val="Aptos Narrow"/>
        <family val="2"/>
        <scheme val="minor"/>
      </rPr>
      <t xml:space="preserve"> - Blonde</t>
    </r>
  </si>
  <si>
    <r>
      <rPr>
        <sz val="14"/>
        <color theme="3" tint="0.499984740745262"/>
        <rFont val="Aptos Narrow"/>
        <scheme val="minor"/>
      </rPr>
      <t>* Porcupine Tree</t>
    </r>
    <r>
      <rPr>
        <b/>
        <sz val="14"/>
        <color theme="3" tint="0.499984740745262"/>
        <rFont val="Aptos Narrow"/>
        <scheme val="minor"/>
      </rPr>
      <t xml:space="preserve"> - In Absentia</t>
    </r>
  </si>
  <si>
    <r>
      <rPr>
        <sz val="12"/>
        <color rgb="FFFF2905"/>
        <rFont val="Aptos Narrow"/>
        <family val="2"/>
        <scheme val="minor"/>
      </rPr>
      <t>* Cocteau Twins</t>
    </r>
    <r>
      <rPr>
        <b/>
        <sz val="12"/>
        <color rgb="FFFF2905"/>
        <rFont val="Aptos Narrow"/>
        <family val="2"/>
        <scheme val="minor"/>
      </rPr>
      <t xml:space="preserve"> - Heaven or Las Vegas</t>
    </r>
  </si>
  <si>
    <t>3rd EYE SCORE</t>
  </si>
  <si>
    <r>
      <t xml:space="preserve">* King Crimson - </t>
    </r>
    <r>
      <rPr>
        <b/>
        <sz val="14"/>
        <color rgb="FFB40000"/>
        <rFont val="Aptos Narrow"/>
        <family val="2"/>
        <scheme val="minor"/>
      </rPr>
      <t>Red</t>
    </r>
  </si>
  <si>
    <t>Red</t>
  </si>
  <si>
    <t>Fallen Angel</t>
  </si>
  <si>
    <t>One More Red Nightmare</t>
  </si>
  <si>
    <t>Providence</t>
  </si>
  <si>
    <t>Starless</t>
  </si>
  <si>
    <t>Scene One: Regression</t>
  </si>
  <si>
    <t>Scene Two: I. Overture 1928</t>
  </si>
  <si>
    <t>Scene Two: II. Strange Déjà Vu</t>
  </si>
  <si>
    <t>Scene Three: I. Through My Words</t>
  </si>
  <si>
    <t>Scene Three: II. Fatal Tragedy</t>
  </si>
  <si>
    <t>Scene Four: Beyond This Life</t>
  </si>
  <si>
    <t>Scene Five: Through Her Eyes</t>
  </si>
  <si>
    <t>Scene Six: Home</t>
  </si>
  <si>
    <t>Scene Seven: I. The Dance of Eternity</t>
  </si>
  <si>
    <t>Scene Seven: II. One Last Time</t>
  </si>
  <si>
    <t>Scene Eight: The Spirit Carries On</t>
  </si>
  <si>
    <t>Scene Nine: Finally Free</t>
  </si>
  <si>
    <t>Dream Theater</t>
  </si>
  <si>
    <t>Metropolis, Pt. 2: Scenes from a Memory</t>
  </si>
  <si>
    <t>Shine On You Crazy Diamond (Pts. 1-5)</t>
  </si>
  <si>
    <t>Welcome to the Machine</t>
  </si>
  <si>
    <t>Have a Cigar</t>
  </si>
  <si>
    <t>Wish You Were Here</t>
  </si>
  <si>
    <t>Shine On You Crazy Diamond (Pts. 6-9)</t>
  </si>
  <si>
    <r>
      <t>* Pink Floyd -</t>
    </r>
    <r>
      <rPr>
        <b/>
        <sz val="14"/>
        <color theme="0"/>
        <rFont val="Aptos Narrow"/>
        <family val="2"/>
        <scheme val="minor"/>
      </rPr>
      <t xml:space="preserve"> Wish You Were Here</t>
    </r>
  </si>
  <si>
    <t>RESUMEN GLOBAL</t>
  </si>
  <si>
    <t>GENERAL</t>
  </si>
  <si>
    <t>Total álbumes</t>
  </si>
  <si>
    <t>Artistas únicos</t>
  </si>
  <si>
    <t>Total canciones</t>
  </si>
  <si>
    <t>Canciones con nota</t>
  </si>
  <si>
    <t>Canciones/álbum (media)</t>
  </si>
  <si>
    <t>% Interludios</t>
  </si>
  <si>
    <t>NOTAS - TENDENCIA CENTRAL</t>
  </si>
  <si>
    <t>Media global</t>
  </si>
  <si>
    <t>Mediana global</t>
  </si>
  <si>
    <t>Moda (nota más frecuente)</t>
  </si>
  <si>
    <t>NOTAS - DISPERSIÓN</t>
  </si>
  <si>
    <t>Desviación típica</t>
  </si>
  <si>
    <t>Coef. de variación</t>
  </si>
  <si>
    <t>Rango (máx - mín)</t>
  </si>
  <si>
    <t>Rango intercuartílico (Q3-Q1)</t>
  </si>
  <si>
    <t>NOTAS - FORMA DE LA DISTRIBUCIÓN</t>
  </si>
  <si>
    <t>Asimetría (skewness)</t>
  </si>
  <si>
    <t>Curtosis (excess)</t>
  </si>
  <si>
    <t>DISTRIBUCIÓN POR RANGOS</t>
  </si>
  <si>
    <t>[0, 5)</t>
  </si>
  <si>
    <t>[5, 7)</t>
  </si>
  <si>
    <t>[7, 8)</t>
  </si>
  <si>
    <t>[8, 9)</t>
  </si>
  <si>
    <t>[9, 10)</t>
  </si>
  <si>
    <t>[10, 10.5]</t>
  </si>
  <si>
    <t>DESTACADOS</t>
  </si>
  <si>
    <t>Mejor álbum</t>
  </si>
  <si>
    <t>Fishmans - LONG SEASON (10.5)</t>
  </si>
  <si>
    <t>Peor álbum</t>
  </si>
  <si>
    <t>Más consistente (menor desv.)</t>
  </si>
  <si>
    <t>Más irregular (mayor desv.)</t>
  </si>
  <si>
    <t>Más frecuente</t>
  </si>
  <si>
    <t>Mejor media</t>
  </si>
  <si>
    <t>Peor media</t>
  </si>
  <si>
    <t>spanish rap (7.29)</t>
  </si>
  <si>
    <t>psychedelic rock</t>
  </si>
  <si>
    <t>dream pop</t>
  </si>
  <si>
    <t>neo psychedelic</t>
  </si>
  <si>
    <t>progressive rock</t>
  </si>
  <si>
    <t>art rock</t>
  </si>
  <si>
    <t>slowcore</t>
  </si>
  <si>
    <t>soul</t>
  </si>
  <si>
    <t>progressive soul</t>
  </si>
  <si>
    <t>shoegaze</t>
  </si>
  <si>
    <t>garage rock</t>
  </si>
  <si>
    <t>pop rap</t>
  </si>
  <si>
    <t>hip hop</t>
  </si>
  <si>
    <t>indie rock</t>
  </si>
  <si>
    <t>death metal</t>
  </si>
  <si>
    <t>post britpop</t>
  </si>
  <si>
    <t>indie</t>
  </si>
  <si>
    <t>jazz rap</t>
  </si>
  <si>
    <t>instrumental hip hop</t>
  </si>
  <si>
    <t>trip hop</t>
  </si>
  <si>
    <t>downtempo</t>
  </si>
  <si>
    <t>electropop</t>
  </si>
  <si>
    <t>post rock</t>
  </si>
  <si>
    <t>art pop</t>
  </si>
  <si>
    <t>pop rock</t>
  </si>
  <si>
    <t>post punk</t>
  </si>
  <si>
    <t>french house</t>
  </si>
  <si>
    <t>new wave</t>
  </si>
  <si>
    <t>electronic</t>
  </si>
  <si>
    <t>old school hip hop</t>
  </si>
  <si>
    <t>east coast hip hop</t>
  </si>
  <si>
    <t>punk rock</t>
  </si>
  <si>
    <t>alternative R&amp;B</t>
  </si>
  <si>
    <t>grunge</t>
  </si>
  <si>
    <t>post grunge</t>
  </si>
  <si>
    <t>nu metal</t>
  </si>
  <si>
    <t>rap metal</t>
  </si>
  <si>
    <t>experimental hip hop</t>
  </si>
  <si>
    <t>experimental rock</t>
  </si>
  <si>
    <t>grime</t>
  </si>
  <si>
    <t>uk grime</t>
  </si>
  <si>
    <r>
      <t xml:space="preserve">* Metallica - </t>
    </r>
    <r>
      <rPr>
        <b/>
        <sz val="14"/>
        <color rgb="FF449010"/>
        <rFont val="Aptos Narrow"/>
        <family val="2"/>
        <scheme val="minor"/>
      </rPr>
      <t>…And Justice For All</t>
    </r>
  </si>
  <si>
    <t>Blackened</t>
  </si>
  <si>
    <t>…And Justice For All</t>
  </si>
  <si>
    <t>Eye of the Beholder</t>
  </si>
  <si>
    <t>One</t>
  </si>
  <si>
    <t>The Shortest Straw</t>
  </si>
  <si>
    <t>Harvester of Sorrow</t>
  </si>
  <si>
    <t>The Frayed Ends of Sanity</t>
  </si>
  <si>
    <t>To Live is to Die</t>
  </si>
  <si>
    <t>Dyers Eve</t>
  </si>
  <si>
    <r>
      <t>* The Smashing Pumpkins -</t>
    </r>
    <r>
      <rPr>
        <b/>
        <sz val="11"/>
        <color rgb="FFFF6A00"/>
        <rFont val="Aptos Narrow"/>
        <family val="2"/>
        <scheme val="minor"/>
      </rPr>
      <t xml:space="preserve"> Siamese Dream</t>
    </r>
  </si>
  <si>
    <t>Chreub Rock</t>
  </si>
  <si>
    <t>Quiet</t>
  </si>
  <si>
    <t>Today</t>
  </si>
  <si>
    <t>Hummer</t>
  </si>
  <si>
    <t>Rocket</t>
  </si>
  <si>
    <t>Disarm</t>
  </si>
  <si>
    <t>Soma</t>
  </si>
  <si>
    <t>Geek U.S.A.</t>
  </si>
  <si>
    <t>Mayonaise</t>
  </si>
  <si>
    <t>Spaceboy</t>
  </si>
  <si>
    <t>Silverfuck</t>
  </si>
  <si>
    <t>Sweet Sweet</t>
  </si>
  <si>
    <t>Luna</t>
  </si>
  <si>
    <t>The Smashing Pumpkins</t>
  </si>
  <si>
    <t>Siamese Dream</t>
  </si>
  <si>
    <t>alternative rock, shoegaze</t>
  </si>
  <si>
    <t>Key</t>
  </si>
  <si>
    <t>Door</t>
  </si>
  <si>
    <t>Subwoofer Lullaby</t>
  </si>
  <si>
    <t>Death</t>
  </si>
  <si>
    <t>Living Mice</t>
  </si>
  <si>
    <t>Moog City</t>
  </si>
  <si>
    <t>Haggstrom</t>
  </si>
  <si>
    <t>Minecraft</t>
  </si>
  <si>
    <t>Oxygène</t>
  </si>
  <si>
    <t>Équinoxe</t>
  </si>
  <si>
    <t>Mice On Venus</t>
  </si>
  <si>
    <t>Dry Hands</t>
  </si>
  <si>
    <t>Wet Hands</t>
  </si>
  <si>
    <t>Clark</t>
  </si>
  <si>
    <t>Chris</t>
  </si>
  <si>
    <t>Thirteen</t>
  </si>
  <si>
    <t>Excuse</t>
  </si>
  <si>
    <t>Sweeden</t>
  </si>
  <si>
    <t>Cat</t>
  </si>
  <si>
    <t>Dog</t>
  </si>
  <si>
    <t>Danny</t>
  </si>
  <si>
    <t>Beggining</t>
  </si>
  <si>
    <t>Droopy Likes Ricochet</t>
  </si>
  <si>
    <t>Droppy Likes Your Face</t>
  </si>
  <si>
    <t>C418</t>
  </si>
  <si>
    <r>
      <rPr>
        <sz val="12"/>
        <color theme="1"/>
        <rFont val="Aptos Narrow"/>
        <family val="2"/>
        <scheme val="minor"/>
      </rPr>
      <t>* Sweet Trip</t>
    </r>
    <r>
      <rPr>
        <b/>
        <sz val="12"/>
        <color theme="1"/>
        <rFont val="Aptos Narrow"/>
        <family val="2"/>
        <scheme val="minor"/>
      </rPr>
      <t xml:space="preserve"> - You Will Never Know Why</t>
    </r>
  </si>
  <si>
    <r>
      <rPr>
        <sz val="14"/>
        <color theme="1"/>
        <rFont val="Aptos Narrow"/>
        <family val="2"/>
        <scheme val="minor"/>
      </rPr>
      <t>* Massive Attack</t>
    </r>
    <r>
      <rPr>
        <b/>
        <sz val="14"/>
        <color theme="1"/>
        <rFont val="Aptos Narrow"/>
        <family val="2"/>
        <scheme val="minor"/>
      </rPr>
      <t xml:space="preserve"> - Mezzanine</t>
    </r>
  </si>
  <si>
    <r>
      <rPr>
        <sz val="10"/>
        <color theme="1"/>
        <rFont val="Aptos Narrow"/>
        <family val="2"/>
        <scheme val="minor"/>
      </rPr>
      <t>* King Crimson</t>
    </r>
    <r>
      <rPr>
        <b/>
        <sz val="10"/>
        <color theme="1"/>
        <rFont val="Aptos Narrow"/>
        <family val="2"/>
        <scheme val="minor"/>
      </rPr>
      <t xml:space="preserve"> - In The Court Of The Crimson King</t>
    </r>
  </si>
  <si>
    <t>In The Court Of The Crimson King</t>
  </si>
  <si>
    <t>You Will Never Know Why</t>
  </si>
  <si>
    <t>ambient</t>
  </si>
  <si>
    <t>dream pop, indie pop</t>
  </si>
  <si>
    <r>
      <t xml:space="preserve">* DELLAFUENTE - </t>
    </r>
    <r>
      <rPr>
        <b/>
        <sz val="14"/>
        <color rgb="FFFF6A00"/>
        <rFont val="Aptos Narrow"/>
        <family val="2"/>
        <scheme val="minor"/>
      </rPr>
      <t>Ep.01-Causa</t>
    </r>
  </si>
  <si>
    <t>Taifa</t>
  </si>
  <si>
    <t>La Verdad</t>
  </si>
  <si>
    <t>Corazón de Agua</t>
  </si>
  <si>
    <t>El Bosque</t>
  </si>
  <si>
    <t>400 Demonios</t>
  </si>
  <si>
    <t>El Barco</t>
  </si>
  <si>
    <t>Yallah</t>
  </si>
  <si>
    <t>Causa</t>
  </si>
  <si>
    <t>DELLAFUENTE</t>
  </si>
  <si>
    <t>Ep.01-Causa</t>
  </si>
  <si>
    <t>indie pop</t>
  </si>
  <si>
    <t>andalusian rock</t>
  </si>
  <si>
    <r>
      <t xml:space="preserve">* Dire Straits - </t>
    </r>
    <r>
      <rPr>
        <b/>
        <sz val="14"/>
        <color rgb="FF663300"/>
        <rFont val="Aptos Narrow"/>
        <family val="2"/>
        <scheme val="minor"/>
      </rPr>
      <t>Dire Straits</t>
    </r>
  </si>
  <si>
    <t>Down To The Waterline</t>
  </si>
  <si>
    <t>Water Of Love</t>
  </si>
  <si>
    <t>Setting Me Up</t>
  </si>
  <si>
    <t>Six Blade Knife</t>
  </si>
  <si>
    <t>Southbound Again</t>
  </si>
  <si>
    <t>Sultans Of Swing</t>
  </si>
  <si>
    <t>In The Gallery</t>
  </si>
  <si>
    <t>Wild West End</t>
  </si>
  <si>
    <t>Lions</t>
  </si>
  <si>
    <t>roots rock, blues rock</t>
  </si>
  <si>
    <t>Club classics</t>
  </si>
  <si>
    <t>Sympathy is a knife</t>
  </si>
  <si>
    <t>I might say something stupid</t>
  </si>
  <si>
    <t>Talk talk</t>
  </si>
  <si>
    <t>Von dutch</t>
  </si>
  <si>
    <t>Everything is romantic</t>
  </si>
  <si>
    <t>Rewind</t>
  </si>
  <si>
    <t>So I</t>
  </si>
  <si>
    <t>Girl, so confusing</t>
  </si>
  <si>
    <t>Apple</t>
  </si>
  <si>
    <t>B2b</t>
  </si>
  <si>
    <t>Mean girls</t>
  </si>
  <si>
    <t>I think about it all the time</t>
  </si>
  <si>
    <r>
      <t xml:space="preserve">* Charli xcx - </t>
    </r>
    <r>
      <rPr>
        <b/>
        <sz val="14"/>
        <color theme="1"/>
        <rFont val="Aptos Narrow"/>
        <family val="2"/>
        <scheme val="minor"/>
      </rPr>
      <t>BRAT</t>
    </r>
  </si>
  <si>
    <t>Charli xcx</t>
  </si>
  <si>
    <t>BRAT</t>
  </si>
  <si>
    <t>roots rock</t>
  </si>
  <si>
    <t>blues rock</t>
  </si>
  <si>
    <t>electropop, edm</t>
  </si>
  <si>
    <r>
      <t xml:space="preserve">* Deafheaven - </t>
    </r>
    <r>
      <rPr>
        <b/>
        <sz val="14"/>
        <color theme="0"/>
        <rFont val="Aptos Narrow"/>
        <scheme val="minor"/>
      </rPr>
      <t>Sunbather</t>
    </r>
  </si>
  <si>
    <t>Dream House</t>
  </si>
  <si>
    <t>Irresistible</t>
  </si>
  <si>
    <t>Sunbather</t>
  </si>
  <si>
    <t>Please Remember</t>
  </si>
  <si>
    <t>Vertigo</t>
  </si>
  <si>
    <t>Windows</t>
  </si>
  <si>
    <t>The Pecan Tree</t>
  </si>
  <si>
    <t>Deafheaven</t>
  </si>
  <si>
    <t>blackgaze, post metal</t>
  </si>
  <si>
    <t>blackgaze</t>
  </si>
  <si>
    <t>post metal</t>
  </si>
  <si>
    <t>Fear Inoculum</t>
  </si>
  <si>
    <t>Pneuma</t>
  </si>
  <si>
    <t>Litanie contre la Peur</t>
  </si>
  <si>
    <t>Invincible</t>
  </si>
  <si>
    <t>Legion Inoculant</t>
  </si>
  <si>
    <t>Descending</t>
  </si>
  <si>
    <t>Culling Voices</t>
  </si>
  <si>
    <t>Chocolate Chip Trip</t>
  </si>
  <si>
    <t>7empest</t>
  </si>
  <si>
    <t>Mockingbeat</t>
  </si>
  <si>
    <r>
      <t xml:space="preserve">* TOOL - </t>
    </r>
    <r>
      <rPr>
        <b/>
        <sz val="14"/>
        <color rgb="FFEFC849"/>
        <rFont val="Aptos Narrow"/>
        <scheme val="minor"/>
      </rPr>
      <t>Fear Inoculum</t>
    </r>
  </si>
  <si>
    <r>
      <t xml:space="preserve">* Dream Theater - </t>
    </r>
    <r>
      <rPr>
        <b/>
        <sz val="10"/>
        <color rgb="FFCCCC00"/>
        <rFont val="Aptos Narrow"/>
        <family val="2"/>
        <scheme val="minor"/>
      </rPr>
      <t>Metropolis, Pt. 2: Scenes from a Memory</t>
    </r>
  </si>
  <si>
    <t>progressive metal, post metal</t>
  </si>
  <si>
    <r>
      <t xml:space="preserve">* berlioz - </t>
    </r>
    <r>
      <rPr>
        <b/>
        <sz val="14"/>
        <color theme="3" tint="0.499984740745262"/>
        <rFont val="Aptos Narrow"/>
        <scheme val="minor"/>
      </rPr>
      <t>open this wall</t>
    </r>
  </si>
  <si>
    <t>ascension</t>
  </si>
  <si>
    <t>open this wall</t>
  </si>
  <si>
    <t>peace</t>
  </si>
  <si>
    <t>hot slow</t>
  </si>
  <si>
    <t>ode to rahsaan</t>
  </si>
  <si>
    <t>nytmp</t>
  </si>
  <si>
    <t>joycelyn's dance</t>
  </si>
  <si>
    <t>indigo dream</t>
  </si>
  <si>
    <t>free fall</t>
  </si>
  <si>
    <t>something will happen</t>
  </si>
  <si>
    <t>outro</t>
  </si>
  <si>
    <t>berlioz</t>
  </si>
  <si>
    <t>nu jazz, deep house</t>
  </si>
  <si>
    <t>Combustion</t>
  </si>
  <si>
    <t>Electric Red</t>
  </si>
  <si>
    <t>Bleed</t>
  </si>
  <si>
    <t>Lethargica</t>
  </si>
  <si>
    <t>Obzen</t>
  </si>
  <si>
    <t>This Spiteful Snake</t>
  </si>
  <si>
    <t>Pineal Gland Optics</t>
  </si>
  <si>
    <t>Pravus</t>
  </si>
  <si>
    <t>Dancers to a Discordant System</t>
  </si>
  <si>
    <t>Meshuggah</t>
  </si>
  <si>
    <t>obZen</t>
  </si>
  <si>
    <t>nu jazz</t>
  </si>
  <si>
    <t>deep house</t>
  </si>
  <si>
    <t>djent, progressive metal</t>
  </si>
  <si>
    <t>djent</t>
  </si>
  <si>
    <t>The Mountain</t>
  </si>
  <si>
    <t>The Moon Cave</t>
  </si>
  <si>
    <t>The Happy Dictator</t>
  </si>
  <si>
    <t>The Hardest Thing</t>
  </si>
  <si>
    <t>Orange County</t>
  </si>
  <si>
    <t>The God of Lying</t>
  </si>
  <si>
    <t>The Empty Dream Machine</t>
  </si>
  <si>
    <t>The Manifesto</t>
  </si>
  <si>
    <t>The Plastic Guru</t>
  </si>
  <si>
    <t>Delirium</t>
  </si>
  <si>
    <t>Damascus</t>
  </si>
  <si>
    <t>The Shadowy Light</t>
  </si>
  <si>
    <t>Casablanca</t>
  </si>
  <si>
    <t>The Sweet Prince</t>
  </si>
  <si>
    <t>The Sad God</t>
  </si>
  <si>
    <r>
      <t>* Gorillaz -</t>
    </r>
    <r>
      <rPr>
        <b/>
        <sz val="14"/>
        <color rgb="FFE7442F"/>
        <rFont val="Aptos Narrow"/>
        <scheme val="minor"/>
      </rPr>
      <t xml:space="preserve"> The Mountain</t>
    </r>
  </si>
  <si>
    <t>art pop, neo psychedelia</t>
  </si>
  <si>
    <t>neo psychedelia</t>
  </si>
  <si>
    <r>
      <t xml:space="preserve">* Queens of the Stone Age - </t>
    </r>
    <r>
      <rPr>
        <b/>
        <sz val="10.5"/>
        <color theme="1"/>
        <rFont val="Aptos Narrow"/>
        <family val="2"/>
        <scheme val="minor"/>
      </rPr>
      <t>Songs For The Deaf</t>
    </r>
  </si>
  <si>
    <t>You Think I Ain't Worth A Dollar, But I Feel Like A Millionaire</t>
  </si>
  <si>
    <t>No One Knows</t>
  </si>
  <si>
    <t>First It Giveth</t>
  </si>
  <si>
    <t>Song For The Dead</t>
  </si>
  <si>
    <t>The Sky Is Fallin'</t>
  </si>
  <si>
    <t>Six Shooter</t>
  </si>
  <si>
    <t>Hanging Tree</t>
  </si>
  <si>
    <t>Go With The Flow</t>
  </si>
  <si>
    <t>Gonna Leave You</t>
  </si>
  <si>
    <t>Do It Again</t>
  </si>
  <si>
    <t>God Is In The Radio</t>
  </si>
  <si>
    <t>Another Love Song</t>
  </si>
  <si>
    <t>Song For The Deaf</t>
  </si>
  <si>
    <t>Mosquito Song</t>
  </si>
  <si>
    <r>
      <t xml:space="preserve">* Geese - </t>
    </r>
    <r>
      <rPr>
        <b/>
        <sz val="14"/>
        <color rgb="FF97C0E9"/>
        <rFont val="Aptos Narrow"/>
        <family val="2"/>
        <scheme val="minor"/>
      </rPr>
      <t>Getting Killed</t>
    </r>
  </si>
  <si>
    <t>Trinidad</t>
  </si>
  <si>
    <t>Cobra</t>
  </si>
  <si>
    <t>Husbands</t>
  </si>
  <si>
    <t>Getting Killed</t>
  </si>
  <si>
    <t>Islands of Men</t>
  </si>
  <si>
    <t>100 Horses</t>
  </si>
  <si>
    <t>Half Real</t>
  </si>
  <si>
    <t>Au Pays du Cocaine</t>
  </si>
  <si>
    <t>Bow Down</t>
  </si>
  <si>
    <t>Taxes</t>
  </si>
  <si>
    <t>Long Island City Here I Come</t>
  </si>
  <si>
    <t>ÁLBUMES</t>
  </si>
  <si>
    <t>Geese</t>
  </si>
  <si>
    <t>Queens of the Stone Age</t>
  </si>
  <si>
    <t>Songs For The Deaf</t>
  </si>
  <si>
    <t>RESUMEN ARTISTAS REPETIDOS</t>
  </si>
  <si>
    <t>art rock, indie rock</t>
  </si>
  <si>
    <t>alternative rock, stoner rock</t>
  </si>
  <si>
    <t>stoner rock</t>
  </si>
  <si>
    <r>
      <t xml:space="preserve">* Meshuggah - </t>
    </r>
    <r>
      <rPr>
        <b/>
        <sz val="14"/>
        <color rgb="FFEA251F"/>
        <rFont val="Aptos Narrow"/>
        <family val="2"/>
        <scheme val="minor"/>
      </rPr>
      <t>obZen</t>
    </r>
  </si>
  <si>
    <r>
      <t xml:space="preserve">* Metallica - </t>
    </r>
    <r>
      <rPr>
        <b/>
        <sz val="14"/>
        <color theme="1" tint="0.34998626667073579"/>
        <rFont val="Aptos Narrow"/>
        <family val="2"/>
        <scheme val="minor"/>
      </rPr>
      <t>Metallica</t>
    </r>
  </si>
  <si>
    <t>Enter Sandman</t>
  </si>
  <si>
    <t>Sad But True</t>
  </si>
  <si>
    <t>Holier Than Thou</t>
  </si>
  <si>
    <t>The Unforgiven</t>
  </si>
  <si>
    <t>Wherever I May Roam</t>
  </si>
  <si>
    <t>Don't Tread on Me</t>
  </si>
  <si>
    <t>Through the Never</t>
  </si>
  <si>
    <t>Nothing Else Matters</t>
  </si>
  <si>
    <t>Of Wolf and Man</t>
  </si>
  <si>
    <t>The God That Failed</t>
  </si>
  <si>
    <t>My Friend of Misery</t>
  </si>
  <si>
    <t>The Struggle Within</t>
  </si>
  <si>
    <t>heavy metal</t>
  </si>
  <si>
    <r>
      <t xml:space="preserve">* Kendrick Lamar - </t>
    </r>
    <r>
      <rPr>
        <b/>
        <sz val="12"/>
        <color theme="1" tint="0.14999847407452621"/>
        <rFont val="Aptos Narrow"/>
        <family val="2"/>
        <scheme val="minor"/>
      </rPr>
      <t>To Pimp A Butterfly</t>
    </r>
  </si>
  <si>
    <t>Wesley's Theory</t>
  </si>
  <si>
    <t>For Free ? - Interlude</t>
  </si>
  <si>
    <t>King Kunta</t>
  </si>
  <si>
    <t>Institutionalized</t>
  </si>
  <si>
    <t>These Walls</t>
  </si>
  <si>
    <t>u</t>
  </si>
  <si>
    <t>Alright</t>
  </si>
  <si>
    <t>For Sale? - Interlude</t>
  </si>
  <si>
    <t>Momma</t>
  </si>
  <si>
    <t>Hood Politics</t>
  </si>
  <si>
    <t>How Much A Dollar Cost</t>
  </si>
  <si>
    <t>Complexion (A Zulu Love)</t>
  </si>
  <si>
    <t>The Blacker The Berry</t>
  </si>
  <si>
    <t>You Ain't Gotta Lie (Momma Said)</t>
  </si>
  <si>
    <t xml:space="preserve">i </t>
  </si>
  <si>
    <t>Mortal Man</t>
  </si>
  <si>
    <t>Kendrick Lamar</t>
  </si>
  <si>
    <t>To Pimp A Butterfly</t>
  </si>
  <si>
    <t>conscious hip hop, jazz rap</t>
  </si>
  <si>
    <r>
      <t xml:space="preserve">* Funkadelic - </t>
    </r>
    <r>
      <rPr>
        <b/>
        <sz val="14"/>
        <color rgb="FFFCA304"/>
        <rFont val="Aptos Narrow"/>
        <family val="2"/>
        <scheme val="minor"/>
      </rPr>
      <t>Maggot Brain</t>
    </r>
  </si>
  <si>
    <t>Maggot Brain</t>
  </si>
  <si>
    <t>Can You Get To That</t>
  </si>
  <si>
    <t>Hit It and Quit It</t>
  </si>
  <si>
    <t>You And Your Folks, Me And My Folks</t>
  </si>
  <si>
    <t>Super Stupid</t>
  </si>
  <si>
    <t>Back In Our Minds</t>
  </si>
  <si>
    <t>Wars Of Armageddon</t>
  </si>
  <si>
    <t>Funkadelic</t>
  </si>
  <si>
    <t>conscious hip hop</t>
  </si>
  <si>
    <t>funk rock, psychedelic rock</t>
  </si>
  <si>
    <r>
      <t xml:space="preserve">* King Crimson - </t>
    </r>
    <r>
      <rPr>
        <b/>
        <sz val="12"/>
        <color theme="3" tint="0.499984740745262"/>
        <rFont val="Aptos Narrow"/>
        <family val="2"/>
        <scheme val="minor"/>
      </rPr>
      <t>Larks' Tongues In Aspic</t>
    </r>
  </si>
  <si>
    <t>Lark's Tongues In Aspic (Part I)</t>
  </si>
  <si>
    <t>Book Of Saturday</t>
  </si>
  <si>
    <t>Exiles</t>
  </si>
  <si>
    <t>Easy Money</t>
  </si>
  <si>
    <t>The Talking Drum</t>
  </si>
  <si>
    <t>Lark's Tongues In Aspic (Part II)</t>
  </si>
  <si>
    <t>Larks' Tongues In Aspic</t>
  </si>
  <si>
    <t>funk rock</t>
  </si>
  <si>
    <t>progressive rock, avant prog</t>
  </si>
  <si>
    <t>avant prog</t>
  </si>
  <si>
    <t>Ghost</t>
  </si>
  <si>
    <t>Drone</t>
  </si>
  <si>
    <t>Aozora</t>
  </si>
  <si>
    <t>Animation</t>
  </si>
  <si>
    <t>Conversations</t>
  </si>
  <si>
    <t>Reanimation</t>
  </si>
  <si>
    <t>All It Takes</t>
  </si>
  <si>
    <t>Remote Self Control</t>
  </si>
  <si>
    <t>Opal</t>
  </si>
  <si>
    <t>Salva</t>
  </si>
  <si>
    <t>Karnivool</t>
  </si>
  <si>
    <t>In Verses</t>
  </si>
  <si>
    <r>
      <t>* Karnivool -</t>
    </r>
    <r>
      <rPr>
        <b/>
        <sz val="14"/>
        <color theme="1" tint="0.249977111117893"/>
        <rFont val="Aptos Narrow"/>
        <family val="2"/>
        <scheme val="minor"/>
      </rPr>
      <t xml:space="preserve"> In Verses</t>
    </r>
  </si>
  <si>
    <r>
      <t xml:space="preserve">* Gorillaz - </t>
    </r>
    <r>
      <rPr>
        <b/>
        <sz val="14"/>
        <color theme="0"/>
        <rFont val="Aptos Narrow"/>
        <family val="2"/>
        <scheme val="minor"/>
      </rPr>
      <t>Demon Days</t>
    </r>
  </si>
  <si>
    <t>Intro</t>
  </si>
  <si>
    <t>Last Living Souls</t>
  </si>
  <si>
    <t>Kids With Guns</t>
  </si>
  <si>
    <t>O Green World</t>
  </si>
  <si>
    <t>Dirty Harry</t>
  </si>
  <si>
    <t>Feel Good Inc.</t>
  </si>
  <si>
    <t>El Mañana</t>
  </si>
  <si>
    <t>Every Planet We Reach Is Dead</t>
  </si>
  <si>
    <t>November Has Come</t>
  </si>
  <si>
    <t>All Gone</t>
  </si>
  <si>
    <t>White Light</t>
  </si>
  <si>
    <t>DARE</t>
  </si>
  <si>
    <t>Fire Coming out of the Monkey's Head</t>
  </si>
  <si>
    <t>Don't Get Lost in Heaven</t>
  </si>
  <si>
    <t>Demon Days</t>
  </si>
  <si>
    <t>alternative rock, art pop</t>
  </si>
  <si>
    <r>
      <t xml:space="preserve">* Agalloch - </t>
    </r>
    <r>
      <rPr>
        <b/>
        <sz val="14"/>
        <color theme="1" tint="0.14999847407452621"/>
        <rFont val="Aptos Narrow"/>
        <scheme val="minor"/>
      </rPr>
      <t>The Mantle</t>
    </r>
  </si>
  <si>
    <t>A Celebration For The Death Of Man…</t>
  </si>
  <si>
    <t>In The Shadow Of Our Pale Companion</t>
  </si>
  <si>
    <t>Odal</t>
  </si>
  <si>
    <t>I Am The Wooden Doors</t>
  </si>
  <si>
    <t>The Lodge</t>
  </si>
  <si>
    <t>You Were But A Ghost In My Arms</t>
  </si>
  <si>
    <t>The Hawthrone Passage</t>
  </si>
  <si>
    <t>…And The Great Cold Death Of The Earth</t>
  </si>
  <si>
    <t>A Desolation Song</t>
  </si>
  <si>
    <t>Agalloch</t>
  </si>
  <si>
    <t>The Mantle</t>
  </si>
  <si>
    <t>post metal, folk metal</t>
  </si>
  <si>
    <t>Summer Knights</t>
  </si>
  <si>
    <t>Waves</t>
  </si>
  <si>
    <t>FromdaTomb$</t>
  </si>
  <si>
    <t>Survival Tactics</t>
  </si>
  <si>
    <t>Killuminati</t>
  </si>
  <si>
    <t>Hardknock</t>
  </si>
  <si>
    <t>World Domination</t>
  </si>
  <si>
    <t>Pennyroyal</t>
  </si>
  <si>
    <t>Funky Ho'$</t>
  </si>
  <si>
    <t>Daily Routine</t>
  </si>
  <si>
    <t>Snakes</t>
  </si>
  <si>
    <t>Don't Front</t>
  </si>
  <si>
    <t>Righteous Minds</t>
  </si>
  <si>
    <t>Where It'$ At?</t>
  </si>
  <si>
    <t>Third Eye Sh*t</t>
  </si>
  <si>
    <t>Joey Bada$$</t>
  </si>
  <si>
    <t>folk metal</t>
  </si>
  <si>
    <t>boom bap, jazz rap</t>
  </si>
  <si>
    <t>boom bap</t>
  </si>
  <si>
    <r>
      <t xml:space="preserve">* Joey Bada$$ - </t>
    </r>
    <r>
      <rPr>
        <b/>
        <sz val="14"/>
        <color rgb="FF40298B"/>
        <rFont val="Aptos Narrow"/>
        <family val="2"/>
        <scheme val="minor"/>
      </rPr>
      <t>1999 (mixtape)</t>
    </r>
  </si>
  <si>
    <t>1999 (mixtape)</t>
  </si>
  <si>
    <r>
      <t xml:space="preserve">* Aphex Twin - </t>
    </r>
    <r>
      <rPr>
        <b/>
        <sz val="10.5"/>
        <color theme="1"/>
        <rFont val="Aptos Narrow"/>
        <family val="2"/>
        <scheme val="minor"/>
      </rPr>
      <t>Selected Ambient Works 85-92</t>
    </r>
  </si>
  <si>
    <t>Tha</t>
  </si>
  <si>
    <t>Pulsewidth</t>
  </si>
  <si>
    <t>Ageispolis</t>
  </si>
  <si>
    <t>I</t>
  </si>
  <si>
    <t>Green Calx</t>
  </si>
  <si>
    <t>Heliospan</t>
  </si>
  <si>
    <t>We Are the Music Makers</t>
  </si>
  <si>
    <t>Schottkey 7th Path</t>
  </si>
  <si>
    <t>Ptolemy</t>
  </si>
  <si>
    <t>Hedphelym</t>
  </si>
  <si>
    <t>Delphium</t>
  </si>
  <si>
    <t>Actium</t>
  </si>
  <si>
    <t>Xtal</t>
  </si>
  <si>
    <t>Aphex Twin</t>
  </si>
  <si>
    <t>Selected Ambient Works 85-92</t>
  </si>
  <si>
    <t>ambient techno, IDM</t>
  </si>
  <si>
    <r>
      <t>* Panchiko -</t>
    </r>
    <r>
      <rPr>
        <b/>
        <sz val="12"/>
        <color theme="3" tint="0.499984740745262"/>
        <rFont val="Aptos Narrow"/>
        <family val="2"/>
        <scheme val="minor"/>
      </rPr>
      <t xml:space="preserve"> D&gt;E&gt;A&gt;T&gt;H&gt;M&gt;E&gt;T&gt;A&gt;L</t>
    </r>
  </si>
  <si>
    <t xml:space="preserve"> D&gt;E&gt;A&gt;T&gt;H&gt;M&gt;E&gt;T&gt;A&gt;L</t>
  </si>
  <si>
    <t>Stabilisers For Big Boys</t>
  </si>
  <si>
    <t>Laputa</t>
  </si>
  <si>
    <t>The Eyes of Ibad</t>
  </si>
  <si>
    <t>CUT</t>
  </si>
  <si>
    <t>Sodium Chloride</t>
  </si>
  <si>
    <t>Kicking Cars</t>
  </si>
  <si>
    <t>Panchiko</t>
  </si>
  <si>
    <t>D&gt;E&gt;A&gt;T&gt;H&gt;M&gt;E&gt;T&gt;A&gt;L</t>
  </si>
  <si>
    <t>ambient techno</t>
  </si>
  <si>
    <t>IDM</t>
  </si>
  <si>
    <t>indie rock, dream pop</t>
  </si>
  <si>
    <t>La femme d'argent</t>
  </si>
  <si>
    <t>Sexy Boy</t>
  </si>
  <si>
    <t>Kelly Watch the Stars</t>
  </si>
  <si>
    <t>Talisman</t>
  </si>
  <si>
    <t>Remember</t>
  </si>
  <si>
    <t>You Make It Easy</t>
  </si>
  <si>
    <t>Ce matin-là</t>
  </si>
  <si>
    <t>New Star in the Sky</t>
  </si>
  <si>
    <t>Le voyage de Pénélope</t>
  </si>
  <si>
    <r>
      <t xml:space="preserve">* Air - </t>
    </r>
    <r>
      <rPr>
        <b/>
        <sz val="14"/>
        <color theme="0"/>
        <rFont val="Aptos Narrow"/>
        <family val="2"/>
        <scheme val="minor"/>
      </rPr>
      <t>Moon Safari</t>
    </r>
  </si>
  <si>
    <t>Air</t>
  </si>
  <si>
    <t>Moon Safari</t>
  </si>
  <si>
    <t>downtempo, ambient pop</t>
  </si>
  <si>
    <t>ambient pop</t>
  </si>
  <si>
    <t>Ocean Planet</t>
  </si>
  <si>
    <t>Backbone</t>
  </si>
  <si>
    <t>From The Sky</t>
  </si>
  <si>
    <t>Unicorn</t>
  </si>
  <si>
    <t>Where Dragons Dwell</t>
  </si>
  <si>
    <t>The Heaviest Matter of the Universe</t>
  </si>
  <si>
    <t>Flying Whales</t>
  </si>
  <si>
    <t>In The Wilderness</t>
  </si>
  <si>
    <t>World To Come</t>
  </si>
  <si>
    <t>From Mars</t>
  </si>
  <si>
    <t>To Sirius</t>
  </si>
  <si>
    <t>Global Warming</t>
  </si>
  <si>
    <r>
      <t xml:space="preserve">* Gojira - </t>
    </r>
    <r>
      <rPr>
        <b/>
        <sz val="14"/>
        <color theme="1"/>
        <rFont val="Aptos Narrow"/>
        <scheme val="minor"/>
      </rPr>
      <t>From Mars to Sirius</t>
    </r>
  </si>
  <si>
    <t>Gojira</t>
  </si>
  <si>
    <t>From Mars to Sirius</t>
  </si>
  <si>
    <r>
      <t>* C418 -</t>
    </r>
    <r>
      <rPr>
        <b/>
        <sz val="12"/>
        <color rgb="FF663300"/>
        <rFont val="Aptos Narrow"/>
        <family val="2"/>
        <scheme val="minor"/>
      </rPr>
      <t xml:space="preserve"> Minecraft Volume Alpha</t>
    </r>
    <r>
      <rPr>
        <sz val="12"/>
        <color rgb="FF663300"/>
        <rFont val="Aptos Narrow"/>
        <family val="2"/>
        <scheme val="minor"/>
      </rPr>
      <t xml:space="preserve"> [OST]</t>
    </r>
  </si>
  <si>
    <t>Enter Hallownest</t>
  </si>
  <si>
    <r>
      <t>* Christopher Larkin -</t>
    </r>
    <r>
      <rPr>
        <b/>
        <sz val="12"/>
        <color theme="0"/>
        <rFont val="Aptos Narrow"/>
        <family val="2"/>
        <scheme val="minor"/>
      </rPr>
      <t xml:space="preserve"> Hollow Knight </t>
    </r>
    <r>
      <rPr>
        <sz val="12"/>
        <color theme="0"/>
        <rFont val="Aptos Narrow"/>
        <family val="2"/>
        <scheme val="minor"/>
      </rPr>
      <t>[OST]</t>
    </r>
  </si>
  <si>
    <t>Dirtmouth</t>
  </si>
  <si>
    <t>Crossroads</t>
  </si>
  <si>
    <t>False Knight</t>
  </si>
  <si>
    <t>Greenpath</t>
  </si>
  <si>
    <t>Hornet</t>
  </si>
  <si>
    <t>Mantis Lords</t>
  </si>
  <si>
    <t>City of Tears</t>
  </si>
  <si>
    <t>Dung Defender</t>
  </si>
  <si>
    <t>Crystal Peak</t>
  </si>
  <si>
    <t>Fungal Wastes</t>
  </si>
  <si>
    <t>Decisive Battle</t>
  </si>
  <si>
    <t>Soul Sanctum</t>
  </si>
  <si>
    <t>Resting Grounds</t>
  </si>
  <si>
    <t>Queen's Gardens</t>
  </si>
  <si>
    <t>The White Lady</t>
  </si>
  <si>
    <t>Broken Vessel</t>
  </si>
  <si>
    <t>Kingdom's Edge</t>
  </si>
  <si>
    <t>Nosk</t>
  </si>
  <si>
    <t>Dream</t>
  </si>
  <si>
    <t>Dream Battle</t>
  </si>
  <si>
    <t>White Palace</t>
  </si>
  <si>
    <t>Sealed Vessel</t>
  </si>
  <si>
    <t>Radiance</t>
  </si>
  <si>
    <t>Hollow Knight</t>
  </si>
  <si>
    <t>Minecraft Volume Alpha [OST]</t>
  </si>
  <si>
    <t>Christopher Larkin</t>
  </si>
  <si>
    <t>Hollow Knight [OST]</t>
  </si>
  <si>
    <t>ambient, video game music</t>
  </si>
  <si>
    <t>video game music</t>
  </si>
  <si>
    <t>Human After All</t>
  </si>
  <si>
    <t>The Prime Time of Your Life</t>
  </si>
  <si>
    <t>Robot Rock</t>
  </si>
  <si>
    <t>Steam Machine</t>
  </si>
  <si>
    <t>Make Love</t>
  </si>
  <si>
    <t>The Brainwasher</t>
  </si>
  <si>
    <t>On / Off</t>
  </si>
  <si>
    <t>Television Rules the Nation</t>
  </si>
  <si>
    <t>Technologic</t>
  </si>
  <si>
    <t>Emotion</t>
  </si>
  <si>
    <r>
      <t xml:space="preserve">* Daft Punk - </t>
    </r>
    <r>
      <rPr>
        <b/>
        <sz val="14"/>
        <color rgb="FF002E25"/>
        <rFont val="Aptos Narrow"/>
        <family val="2"/>
        <scheme val="minor"/>
      </rPr>
      <t>Human After All</t>
    </r>
  </si>
  <si>
    <t>electroclash, post industrial</t>
  </si>
  <si>
    <t>electroclash</t>
  </si>
  <si>
    <t>post industrial</t>
  </si>
  <si>
    <r>
      <t xml:space="preserve">* Gojira - </t>
    </r>
    <r>
      <rPr>
        <b/>
        <sz val="14"/>
        <color theme="1"/>
        <rFont val="Aptos Narrow"/>
        <scheme val="minor"/>
      </rPr>
      <t>Magma</t>
    </r>
  </si>
  <si>
    <t>The Shooting Star</t>
  </si>
  <si>
    <t>Silvera</t>
  </si>
  <si>
    <t>The Cell</t>
  </si>
  <si>
    <t>Stranded</t>
  </si>
  <si>
    <t>Yellow Stone</t>
  </si>
  <si>
    <t>Magma</t>
  </si>
  <si>
    <t>Pray</t>
  </si>
  <si>
    <t>Only Pain</t>
  </si>
  <si>
    <t>Low Lands</t>
  </si>
  <si>
    <t>Liberation</t>
  </si>
  <si>
    <t>groove metal, progressive metal</t>
  </si>
  <si>
    <t>groove metal</t>
  </si>
  <si>
    <r>
      <t xml:space="preserve">* Camel - </t>
    </r>
    <r>
      <rPr>
        <b/>
        <sz val="14"/>
        <color rgb="FF3E2A22"/>
        <rFont val="Aptos Narrow"/>
        <scheme val="minor"/>
      </rPr>
      <t>Mirage</t>
    </r>
  </si>
  <si>
    <t>Freefall</t>
  </si>
  <si>
    <t>Supertwister</t>
  </si>
  <si>
    <t>Nimrodel / The Procession / The White Rider</t>
  </si>
  <si>
    <t>Earthrise</t>
  </si>
  <si>
    <t>Lady Fantasy: Encounter / Smiles For You / Lady Fantasy</t>
  </si>
  <si>
    <t>Camel</t>
  </si>
  <si>
    <t>Mirage</t>
  </si>
  <si>
    <t>symphonic prog, progressive rock</t>
  </si>
  <si>
    <r>
      <t xml:space="preserve">* Supertramp - </t>
    </r>
    <r>
      <rPr>
        <b/>
        <sz val="12"/>
        <color rgb="FFFFA800"/>
        <rFont val="Aptos Narrow"/>
        <scheme val="minor"/>
      </rPr>
      <t>Breakfast In America</t>
    </r>
  </si>
  <si>
    <t>Gone Hollywood</t>
  </si>
  <si>
    <t>The Logical Song</t>
  </si>
  <si>
    <t>Goodbye Stranger</t>
  </si>
  <si>
    <t>Breakfast In America</t>
  </si>
  <si>
    <t>Oh Darling</t>
  </si>
  <si>
    <t>Take The Long Way Home</t>
  </si>
  <si>
    <t>Lord Is It Mine</t>
  </si>
  <si>
    <t>Just Another Nervous Wreck</t>
  </si>
  <si>
    <t>Casual Conversations</t>
  </si>
  <si>
    <t>Child Of Vision</t>
  </si>
  <si>
    <t>Supertramp</t>
  </si>
  <si>
    <t>symphonic prog</t>
  </si>
  <si>
    <t>progressive pop, pop rock</t>
  </si>
  <si>
    <t>progressive pop</t>
  </si>
  <si>
    <r>
      <t xml:space="preserve">* Coldplay - </t>
    </r>
    <r>
      <rPr>
        <b/>
        <sz val="14"/>
        <color rgb="FFF8D006"/>
        <rFont val="Aptos Narrow"/>
        <family val="2"/>
        <scheme val="minor"/>
      </rPr>
      <t>Parachutes</t>
    </r>
  </si>
  <si>
    <t>Don't Panic</t>
  </si>
  <si>
    <t>Shiver</t>
  </si>
  <si>
    <t>Spies</t>
  </si>
  <si>
    <t>Sparks</t>
  </si>
  <si>
    <t>Yellow</t>
  </si>
  <si>
    <t>Trouble</t>
  </si>
  <si>
    <t>Parachutes</t>
  </si>
  <si>
    <t>High Speed</t>
  </si>
  <si>
    <t>We Never Change</t>
  </si>
  <si>
    <t>Everything's Not Lost</t>
  </si>
  <si>
    <r>
      <t xml:space="preserve">* Slowdive - </t>
    </r>
    <r>
      <rPr>
        <b/>
        <sz val="14"/>
        <color theme="1"/>
        <rFont val="Aptos Narrow"/>
        <scheme val="minor"/>
      </rPr>
      <t>Souvlaki</t>
    </r>
  </si>
  <si>
    <t>Alison</t>
  </si>
  <si>
    <t>Machine Gun</t>
  </si>
  <si>
    <t>40 Days</t>
  </si>
  <si>
    <t>Sing</t>
  </si>
  <si>
    <t>Here She Comes</t>
  </si>
  <si>
    <t>Souvlaki Space Station</t>
  </si>
  <si>
    <t>When the Sun Hits</t>
  </si>
  <si>
    <t>Altogether</t>
  </si>
  <si>
    <t>Melon Yellow</t>
  </si>
  <si>
    <t>Dagger</t>
  </si>
  <si>
    <t>Slowdive</t>
  </si>
  <si>
    <t>Souvlaki</t>
  </si>
  <si>
    <t>post britpop, pop rock</t>
  </si>
  <si>
    <t>Vinum Sabbathi</t>
  </si>
  <si>
    <t>Funeralopolis</t>
  </si>
  <si>
    <t>Barbarian</t>
  </si>
  <si>
    <t>I,The Witchfinder</t>
  </si>
  <si>
    <t>The Hills Have Eyes</t>
  </si>
  <si>
    <t>We Hate You</t>
  </si>
  <si>
    <t>Dopethrone</t>
  </si>
  <si>
    <t>Mind Transferal</t>
  </si>
  <si>
    <t>Weird Tales</t>
  </si>
  <si>
    <r>
      <t xml:space="preserve">* Electric Wizard - </t>
    </r>
    <r>
      <rPr>
        <b/>
        <sz val="14"/>
        <color theme="2"/>
        <rFont val="Aptos Narrow"/>
        <family val="2"/>
        <scheme val="minor"/>
      </rPr>
      <t>Dopethrone</t>
    </r>
  </si>
  <si>
    <t>Electric Wizard</t>
  </si>
  <si>
    <t>post britpop, pop rock, art rock, art pop</t>
  </si>
  <si>
    <t>doom metal, stoner metal</t>
  </si>
  <si>
    <t>doom metal</t>
  </si>
  <si>
    <t>stoner metal</t>
  </si>
  <si>
    <r>
      <t xml:space="preserve">* Miserere Luminis - </t>
    </r>
    <r>
      <rPr>
        <b/>
        <sz val="14"/>
        <color rgb="FFC00000"/>
        <rFont val="Aptos Narrow"/>
        <family val="2"/>
        <scheme val="minor"/>
      </rPr>
      <t>Sidera</t>
    </r>
  </si>
  <si>
    <t>Les fleurs de l'exil</t>
  </si>
  <si>
    <t>De cris &amp; de cendres</t>
  </si>
  <si>
    <t>Aux bras des vagues &amp; des vomissures</t>
  </si>
  <si>
    <t>À la douleur de l'aube</t>
  </si>
  <si>
    <t>Dans la voie de nos lumières</t>
  </si>
  <si>
    <t>Miserere Luminis</t>
  </si>
  <si>
    <t>Sidera</t>
  </si>
  <si>
    <t>atmospheric black metal, post metal</t>
  </si>
  <si>
    <t>atmospheric black metal</t>
  </si>
  <si>
    <r>
      <t xml:space="preserve">* Swans - </t>
    </r>
    <r>
      <rPr>
        <b/>
        <sz val="14"/>
        <color theme="0"/>
        <rFont val="Aptos Narrow"/>
        <family val="2"/>
        <scheme val="minor"/>
      </rPr>
      <t>To Be Kind</t>
    </r>
  </si>
  <si>
    <t>Screen Shot</t>
  </si>
  <si>
    <t>Just a Little Boy (For Chester Burnett)</t>
  </si>
  <si>
    <t>A Little God In My Hands</t>
  </si>
  <si>
    <t>Bring the Sun / Toussaint L'Overture</t>
  </si>
  <si>
    <t>Some Things We Do</t>
  </si>
  <si>
    <t>She Loves Us</t>
  </si>
  <si>
    <t>Kirsten Supine</t>
  </si>
  <si>
    <t>Oxygen</t>
  </si>
  <si>
    <t>Nathalie Neal</t>
  </si>
  <si>
    <t>To Be Kind</t>
  </si>
  <si>
    <t>Swans</t>
  </si>
  <si>
    <t>experimental rock, post rock</t>
  </si>
  <si>
    <t>Limbs</t>
  </si>
  <si>
    <t>Falling Snow</t>
  </si>
  <si>
    <t>This White Mountain On Which You Will Die</t>
  </si>
  <si>
    <t>Fire Above, Ice Below</t>
  </si>
  <si>
    <t>Not Unlike The Waves</t>
  </si>
  <si>
    <t>Our Fortress Is Burning…I</t>
  </si>
  <si>
    <t>Our Fortress Is Burning…II - Bloodbirds</t>
  </si>
  <si>
    <t>Our Fortress Is Burning…III - The Grain</t>
  </si>
  <si>
    <t>Ashes Against The Grain</t>
  </si>
  <si>
    <t>post metal, atmospheric black metal</t>
  </si>
  <si>
    <r>
      <t xml:space="preserve">* Agalloch - </t>
    </r>
    <r>
      <rPr>
        <b/>
        <sz val="12"/>
        <color theme="1" tint="0.249977111117893"/>
        <rFont val="Aptos Narrow"/>
        <family val="2"/>
        <scheme val="minor"/>
      </rPr>
      <t>Ashes Against The Grain</t>
    </r>
  </si>
  <si>
    <r>
      <t xml:space="preserve">* Iron Maiden - </t>
    </r>
    <r>
      <rPr>
        <b/>
        <sz val="12"/>
        <color rgb="FFFF0000"/>
        <rFont val="Aptos Narrow"/>
        <family val="2"/>
        <scheme val="minor"/>
      </rPr>
      <t>The Number of the Beast</t>
    </r>
  </si>
  <si>
    <t>Invaders</t>
  </si>
  <si>
    <t>Children of the Dammed</t>
  </si>
  <si>
    <t>The Prisoner</t>
  </si>
  <si>
    <t>22 Acacia Avenue</t>
  </si>
  <si>
    <t>The Number of the Beast</t>
  </si>
  <si>
    <t>Run to the Hills</t>
  </si>
  <si>
    <t>Gangland</t>
  </si>
  <si>
    <t>Hallowed Be Thy Name</t>
  </si>
  <si>
    <t>Iron Maiden</t>
  </si>
  <si>
    <r>
      <t xml:space="preserve">* Opeth - </t>
    </r>
    <r>
      <rPr>
        <b/>
        <sz val="14"/>
        <color theme="1" tint="0.249977111117893"/>
        <rFont val="Aptos Narrow"/>
        <scheme val="minor"/>
      </rPr>
      <t>Morningrise</t>
    </r>
  </si>
  <si>
    <t>Advent</t>
  </si>
  <si>
    <t>The Night And The Silent Water</t>
  </si>
  <si>
    <t>Nectar</t>
  </si>
  <si>
    <t>Black Rose Immortal</t>
  </si>
  <si>
    <t>To Bid You Farewell</t>
  </si>
  <si>
    <t>Morningrise</t>
  </si>
  <si>
    <r>
      <t xml:space="preserve">* The Smashing Pumpkins - </t>
    </r>
    <r>
      <rPr>
        <b/>
        <sz val="10"/>
        <color rgb="FFFFFF00"/>
        <rFont val="Aptos Narrow"/>
        <family val="2"/>
        <scheme val="minor"/>
      </rPr>
      <t>Mellon Collie And The Infinite Sadness</t>
    </r>
  </si>
  <si>
    <t>Mellon Collie And The Infinite Sadness</t>
  </si>
  <si>
    <t>Tonight, Tonight</t>
  </si>
  <si>
    <t>Jellybelly</t>
  </si>
  <si>
    <t>Zero</t>
  </si>
  <si>
    <t>Here Is No Why</t>
  </si>
  <si>
    <t>Bullet With Butterfly Wings</t>
  </si>
  <si>
    <t>To Forgive</t>
  </si>
  <si>
    <t>An Ode To No One</t>
  </si>
  <si>
    <t>Love</t>
  </si>
  <si>
    <t>Cupid De Locke</t>
  </si>
  <si>
    <t>Galapagos</t>
  </si>
  <si>
    <t>Muzzle</t>
  </si>
  <si>
    <t>Porcelina Of The Vast Oceans</t>
  </si>
  <si>
    <t>Take Me Down</t>
  </si>
  <si>
    <t>Where Boys Fear To Tread</t>
  </si>
  <si>
    <t>Bodies</t>
  </si>
  <si>
    <t>Thirty-Three</t>
  </si>
  <si>
    <t>In The Arms Of Sheep</t>
  </si>
  <si>
    <t>Tales Of A Scorched Earth</t>
  </si>
  <si>
    <t>Thru The Eyes Of Ruby</t>
  </si>
  <si>
    <t>Stumbleine</t>
  </si>
  <si>
    <t>X.Y.U.</t>
  </si>
  <si>
    <t>We Only Come At Night</t>
  </si>
  <si>
    <t>Beautiful</t>
  </si>
  <si>
    <t>Lily (My One And Only)</t>
  </si>
  <si>
    <t>By Starlight</t>
  </si>
  <si>
    <t>Farewell And Goodnight</t>
  </si>
  <si>
    <t>alternative rock, art rock</t>
  </si>
  <si>
    <r>
      <t xml:space="preserve">* Portishead - </t>
    </r>
    <r>
      <rPr>
        <b/>
        <sz val="14"/>
        <color theme="0"/>
        <rFont val="Aptos Narrow"/>
        <family val="2"/>
        <scheme val="minor"/>
      </rPr>
      <t>Dummy</t>
    </r>
  </si>
  <si>
    <t>Mysterons</t>
  </si>
  <si>
    <t>Sour Times</t>
  </si>
  <si>
    <t>Strangers</t>
  </si>
  <si>
    <t>It Could Be Sweet</t>
  </si>
  <si>
    <t>Wandering Star</t>
  </si>
  <si>
    <t>It's A Fire</t>
  </si>
  <si>
    <t>Roads</t>
  </si>
  <si>
    <t>Pedestal</t>
  </si>
  <si>
    <t>Biscuit</t>
  </si>
  <si>
    <t>Glory Box</t>
  </si>
  <si>
    <t>Portishead</t>
  </si>
  <si>
    <t>Dummy</t>
  </si>
  <si>
    <t>alternative rock, art rock, shoegaze</t>
  </si>
  <si>
    <t>Eternal Rains Will Come</t>
  </si>
  <si>
    <t>Cusp of Eternity</t>
  </si>
  <si>
    <t>Moon Above, Sun Below</t>
  </si>
  <si>
    <t>Elysian Woes</t>
  </si>
  <si>
    <t>Goblin</t>
  </si>
  <si>
    <t>River</t>
  </si>
  <si>
    <t>Voice of Treason</t>
  </si>
  <si>
    <t>Faith in Others</t>
  </si>
  <si>
    <r>
      <t xml:space="preserve">* Opeth - </t>
    </r>
    <r>
      <rPr>
        <b/>
        <sz val="14"/>
        <color rgb="FFEACF04"/>
        <rFont val="Aptos Narrow"/>
        <family val="2"/>
        <scheme val="minor"/>
      </rPr>
      <t>Pale Communion</t>
    </r>
  </si>
  <si>
    <t>Pale Communion</t>
  </si>
  <si>
    <r>
      <t xml:space="preserve">* underscores - </t>
    </r>
    <r>
      <rPr>
        <b/>
        <sz val="14"/>
        <color theme="1" tint="0.14999847407452621"/>
        <rFont val="Aptos Narrow"/>
        <family val="2"/>
        <scheme val="minor"/>
      </rPr>
      <t>U</t>
    </r>
  </si>
  <si>
    <t>Tell Me (U Want It)</t>
  </si>
  <si>
    <t>Music</t>
  </si>
  <si>
    <t>Hollywood Forever</t>
  </si>
  <si>
    <t>The Peace</t>
  </si>
  <si>
    <t>Innuendo (I Get U)</t>
  </si>
  <si>
    <t>Lovefield</t>
  </si>
  <si>
    <t>Do It</t>
  </si>
  <si>
    <t>Bodyfeeling</t>
  </si>
  <si>
    <t>Wish U Well</t>
  </si>
  <si>
    <t>underscores</t>
  </si>
  <si>
    <t>U</t>
  </si>
  <si>
    <t>Breadcrumb Trail</t>
  </si>
  <si>
    <t>Nosferatu Man</t>
  </si>
  <si>
    <t>Don, Aman</t>
  </si>
  <si>
    <t>Washer</t>
  </si>
  <si>
    <t>For Dinner…</t>
  </si>
  <si>
    <t>Good Morning, Captain</t>
  </si>
  <si>
    <t>Slint</t>
  </si>
  <si>
    <t>Spiderland</t>
  </si>
  <si>
    <t>post rock, post hardcore</t>
  </si>
  <si>
    <t>post hardcore</t>
  </si>
  <si>
    <r>
      <t xml:space="preserve">* Metallica - </t>
    </r>
    <r>
      <rPr>
        <b/>
        <sz val="14"/>
        <color rgb="FFCC0000"/>
        <rFont val="Aptos Narrow"/>
        <family val="2"/>
        <scheme val="minor"/>
      </rPr>
      <t>St. Anger</t>
    </r>
  </si>
  <si>
    <t>Frantic</t>
  </si>
  <si>
    <t>St. Anger</t>
  </si>
  <si>
    <t>Some Kind Of Monster</t>
  </si>
  <si>
    <t>Dirty Window</t>
  </si>
  <si>
    <t>Invisible Kid</t>
  </si>
  <si>
    <t>My World</t>
  </si>
  <si>
    <t>Shoot Me Again</t>
  </si>
  <si>
    <t>Sweet Amber</t>
  </si>
  <si>
    <t>The Unnamed Feeling</t>
  </si>
  <si>
    <t>Purify</t>
  </si>
  <si>
    <t>All Within My Hands</t>
  </si>
  <si>
    <t>Metallica - St. Anger (σ=1.37)</t>
  </si>
  <si>
    <r>
      <t>* Interpol -</t>
    </r>
    <r>
      <rPr>
        <b/>
        <sz val="12"/>
        <color theme="1"/>
        <rFont val="Aptos Narrow"/>
        <family val="2"/>
        <scheme val="minor"/>
      </rPr>
      <t xml:space="preserve"> Turn On The Bright Lights</t>
    </r>
  </si>
  <si>
    <r>
      <t xml:space="preserve">* Pink Floyd - </t>
    </r>
    <r>
      <rPr>
        <b/>
        <sz val="14"/>
        <color rgb="FF9B032E"/>
        <rFont val="Aptos Narrow"/>
        <family val="2"/>
        <scheme val="minor"/>
      </rPr>
      <t>Meddle</t>
    </r>
  </si>
  <si>
    <t>One of These Days</t>
  </si>
  <si>
    <t>A Pillow of Winds</t>
  </si>
  <si>
    <t>Fearless</t>
  </si>
  <si>
    <t>San Tropez</t>
  </si>
  <si>
    <t>Seamus</t>
  </si>
  <si>
    <t>Echoes</t>
  </si>
  <si>
    <t>Meddle</t>
  </si>
  <si>
    <t>Feel The Love</t>
  </si>
  <si>
    <t>Fire</t>
  </si>
  <si>
    <t>4th Dimension</t>
  </si>
  <si>
    <t>Freeee (Ghost Town Pt. 2)</t>
  </si>
  <si>
    <t>Reborn</t>
  </si>
  <si>
    <t>Kids See Ghosts</t>
  </si>
  <si>
    <t>Cudi Montage</t>
  </si>
  <si>
    <r>
      <t xml:space="preserve">* KIDS SEE GHOSTS - </t>
    </r>
    <r>
      <rPr>
        <b/>
        <sz val="12"/>
        <color rgb="FFFF0066"/>
        <rFont val="Aptos Narrow"/>
        <family val="2"/>
        <scheme val="minor"/>
      </rPr>
      <t>KIDS SEE GHOSTS</t>
    </r>
  </si>
  <si>
    <t>KIDS SEE GHOSTS</t>
  </si>
  <si>
    <t>pop rap, experimental hip hop</t>
  </si>
  <si>
    <r>
      <t xml:space="preserve">* Opeth - </t>
    </r>
    <r>
      <rPr>
        <b/>
        <sz val="14"/>
        <color rgb="FF90AEDA"/>
        <rFont val="Aptos Narrow"/>
        <scheme val="minor"/>
      </rPr>
      <t>My Arms, Your Hearse</t>
    </r>
  </si>
  <si>
    <t>Prologue</t>
  </si>
  <si>
    <t>April Ethereal</t>
  </si>
  <si>
    <t>When</t>
  </si>
  <si>
    <t>Madrigal</t>
  </si>
  <si>
    <t>The Amen Corner</t>
  </si>
  <si>
    <t>Demon Of The Fall</t>
  </si>
  <si>
    <t>Credence</t>
  </si>
  <si>
    <t>Karma</t>
  </si>
  <si>
    <t>Epilogue</t>
  </si>
  <si>
    <t>My Arms, Your Hearse</t>
  </si>
  <si>
    <t>1 (8 - 9)</t>
  </si>
  <si>
    <t>Tekka</t>
  </si>
  <si>
    <t>Dsco</t>
  </si>
  <si>
    <t>Velocity</t>
  </si>
  <si>
    <t>Fruitcake and Cookies</t>
  </si>
  <si>
    <t>Sept</t>
  </si>
  <si>
    <t>Pro: Lov: Ad</t>
  </si>
  <si>
    <t>Design: I</t>
  </si>
  <si>
    <t>International</t>
  </si>
  <si>
    <t>Dedicated</t>
  </si>
  <si>
    <t>Chocolate Matter</t>
  </si>
  <si>
    <t>To All Dancers of the World, A Round Form of Fantasy</t>
  </si>
  <si>
    <t>Design: 2: 3</t>
  </si>
  <si>
    <r>
      <t xml:space="preserve">* Sweet Trip - </t>
    </r>
    <r>
      <rPr>
        <b/>
        <sz val="12"/>
        <color rgb="FF0070C0"/>
        <rFont val="Aptos Narrow"/>
        <family val="2"/>
        <scheme val="minor"/>
      </rPr>
      <t>Velocity: Design: Comfort.</t>
    </r>
  </si>
  <si>
    <t>Velocity: Design: Comfort.</t>
  </si>
  <si>
    <t>idm, dream pop</t>
  </si>
  <si>
    <t>idm, dream pop, indie pop</t>
  </si>
  <si>
    <t>idm</t>
  </si>
  <si>
    <r>
      <t xml:space="preserve">* Billie Eilish - </t>
    </r>
    <r>
      <rPr>
        <b/>
        <sz val="12"/>
        <color theme="0" tint="-0.14999847407452621"/>
        <rFont val="Aptos Narrow"/>
        <family val="2"/>
        <scheme val="minor"/>
      </rPr>
      <t>HIT ME HARD AND SOFT</t>
    </r>
  </si>
  <si>
    <t>SKINNY</t>
  </si>
  <si>
    <t>LUNCH</t>
  </si>
  <si>
    <t>CHIHIRO</t>
  </si>
  <si>
    <t>BIRDS OF A FEATHER</t>
  </si>
  <si>
    <t>WILDFLOWER</t>
  </si>
  <si>
    <t>THE GREATEST</t>
  </si>
  <si>
    <t>L'AMOUR DE MA VIE</t>
  </si>
  <si>
    <t>THE DINER</t>
  </si>
  <si>
    <t>BITTERSUITE</t>
  </si>
  <si>
    <t>BLUE</t>
  </si>
  <si>
    <t>Billie Eilish</t>
  </si>
  <si>
    <t>HIT ME HARD AND SOFT</t>
  </si>
  <si>
    <t>alt pop</t>
  </si>
  <si>
    <t>Too Long</t>
  </si>
  <si>
    <r>
      <t>* The Strokes -</t>
    </r>
    <r>
      <rPr>
        <b/>
        <sz val="14"/>
        <color rgb="FF422100"/>
        <rFont val="Aptos Narrow"/>
        <family val="2"/>
        <scheme val="minor"/>
      </rPr>
      <t xml:space="preserve"> Is This It</t>
    </r>
  </si>
  <si>
    <t>Is This It</t>
  </si>
  <si>
    <t>The Modern Age</t>
  </si>
  <si>
    <t>Barely Legal</t>
  </si>
  <si>
    <t>Someday</t>
  </si>
  <si>
    <t>Alone, Together</t>
  </si>
  <si>
    <t>Last Nite</t>
  </si>
  <si>
    <t>Hard To Explain</t>
  </si>
  <si>
    <t>New York City Cops</t>
  </si>
  <si>
    <t>Trying Your Luck</t>
  </si>
  <si>
    <t>Take It Or Leave It</t>
  </si>
  <si>
    <t>garage rock revival, indie rock</t>
  </si>
  <si>
    <t>KING</t>
  </si>
  <si>
    <t>THIS IS A MUST</t>
  </si>
  <si>
    <t>FATHER</t>
  </si>
  <si>
    <t>ALL THE LOVE</t>
  </si>
  <si>
    <t>PUNCH DRINK</t>
  </si>
  <si>
    <t>WHATEVER WORKS</t>
  </si>
  <si>
    <t>MAMA'S FAVORITE</t>
  </si>
  <si>
    <t>SISTERS AND BROTHERS</t>
  </si>
  <si>
    <t>BULLY</t>
  </si>
  <si>
    <t>HIGHS AND LOWS</t>
  </si>
  <si>
    <t>I CAN'T WAIT</t>
  </si>
  <si>
    <t>WHILE LINES</t>
  </si>
  <si>
    <t>CIRCLES</t>
  </si>
  <si>
    <t>PREACHER MAN</t>
  </si>
  <si>
    <t>BEAUTY AND THE BEAST</t>
  </si>
  <si>
    <t>DAMN</t>
  </si>
  <si>
    <t>LAST BREATH</t>
  </si>
  <si>
    <t>THIS ONE HERE</t>
  </si>
  <si>
    <r>
      <t xml:space="preserve">* Kanye West - </t>
    </r>
    <r>
      <rPr>
        <b/>
        <sz val="14"/>
        <color theme="0" tint="-0.14999847407452621"/>
        <rFont val="Aptos Narrow"/>
        <family val="2"/>
        <scheme val="minor"/>
      </rPr>
      <t>BULLY</t>
    </r>
  </si>
  <si>
    <t>garage rock revival</t>
  </si>
  <si>
    <t>35m</t>
  </si>
  <si>
    <t>1h 16m</t>
  </si>
  <si>
    <t>44m</t>
  </si>
  <si>
    <t>42m</t>
  </si>
  <si>
    <t>1h 15m</t>
  </si>
  <si>
    <t>1h 17m</t>
  </si>
  <si>
    <t>53m</t>
  </si>
  <si>
    <t>1h 26m</t>
  </si>
  <si>
    <t>41m</t>
  </si>
  <si>
    <t>1h 7m</t>
  </si>
  <si>
    <t>54m</t>
  </si>
  <si>
    <t>47m</t>
  </si>
  <si>
    <t>38m</t>
  </si>
  <si>
    <t>1h 24m</t>
  </si>
  <si>
    <t>51m</t>
  </si>
  <si>
    <t>1h 1m</t>
  </si>
  <si>
    <t>40m</t>
  </si>
  <si>
    <t>1h 5m</t>
  </si>
  <si>
    <t>59m</t>
  </si>
  <si>
    <t>1h 6m</t>
  </si>
  <si>
    <t>48m</t>
  </si>
  <si>
    <t>46m</t>
  </si>
  <si>
    <t>1h 13m</t>
  </si>
  <si>
    <t>58m</t>
  </si>
  <si>
    <t>1h 19m</t>
  </si>
  <si>
    <t>49m</t>
  </si>
  <si>
    <t>45m</t>
  </si>
  <si>
    <t>36m</t>
  </si>
  <si>
    <t>1h 14m</t>
  </si>
  <si>
    <t>1h 8m</t>
  </si>
  <si>
    <t>52m</t>
  </si>
  <si>
    <t>2h 1m</t>
  </si>
  <si>
    <t>39m</t>
  </si>
  <si>
    <t>57m</t>
  </si>
  <si>
    <t>1h 3m</t>
  </si>
  <si>
    <t>56m</t>
  </si>
  <si>
    <t>1h 2m</t>
  </si>
  <si>
    <t>37m</t>
  </si>
  <si>
    <t>1h 12m</t>
  </si>
  <si>
    <t>43m</t>
  </si>
  <si>
    <t>1h 0m</t>
  </si>
  <si>
    <t>1h 11m</t>
  </si>
  <si>
    <t>34m</t>
  </si>
  <si>
    <t>55m</t>
  </si>
  <si>
    <t>23m</t>
  </si>
  <si>
    <t>24m</t>
  </si>
  <si>
    <t>29m</t>
  </si>
  <si>
    <t>50m</t>
  </si>
  <si>
    <t>Año</t>
  </si>
  <si>
    <t>Duración</t>
  </si>
  <si>
    <t>1969 - 2024</t>
  </si>
  <si>
    <t>2003 - 2009</t>
  </si>
  <si>
    <t>1978 - 1985</t>
  </si>
  <si>
    <t>2000 - 2005</t>
  </si>
  <si>
    <t>1h 4m</t>
  </si>
  <si>
    <t>1993 - 2016</t>
  </si>
  <si>
    <t>2005 - 2016</t>
  </si>
  <si>
    <t>2001 - 2020</t>
  </si>
  <si>
    <t>1993 - 1995</t>
  </si>
  <si>
    <t>1h 32m</t>
  </si>
  <si>
    <t>1997 - 2013</t>
  </si>
  <si>
    <t>1990 - 2026</t>
  </si>
  <si>
    <t>AÑO</t>
  </si>
  <si>
    <t>Álbumes con año</t>
  </si>
  <si>
    <t>Año más antiguo</t>
  </si>
  <si>
    <t>Año más reciente</t>
  </si>
  <si>
    <t>Décadas con más álbumes</t>
  </si>
  <si>
    <t>Década mejor puntuada</t>
  </si>
  <si>
    <t>ÁLBUMES POR DÉCADA</t>
  </si>
  <si>
    <t>1960s</t>
  </si>
  <si>
    <t>1970s</t>
  </si>
  <si>
    <t>1980s</t>
  </si>
  <si>
    <t>1990s</t>
  </si>
  <si>
    <t>2000s</t>
  </si>
  <si>
    <t>2010s</t>
  </si>
  <si>
    <t>2020s</t>
  </si>
  <si>
    <t>DURACIÓN</t>
  </si>
  <si>
    <t>Álbumes con duración</t>
  </si>
  <si>
    <t>Duración media</t>
  </si>
  <si>
    <t>Más largo</t>
  </si>
  <si>
    <t>Más corto</t>
  </si>
  <si>
    <t>CORRELACIONES CON 3RD EYE SCORE</t>
  </si>
  <si>
    <t>(r: −1 negativa · 0 nula · +1 positiva)</t>
  </si>
  <si>
    <t>Interludios (absoluto)</t>
  </si>
  <si>
    <t>Año de publicación</t>
  </si>
  <si>
    <t>Duración (minutos)</t>
  </si>
  <si>
    <t>Mayor correlación</t>
  </si>
  <si>
    <t>Menor correlación</t>
  </si>
  <si>
    <r>
      <t xml:space="preserve">* Opeth - </t>
    </r>
    <r>
      <rPr>
        <b/>
        <sz val="12"/>
        <color rgb="FFE8D4C2"/>
        <rFont val="Aptos Narrow"/>
        <family val="2"/>
        <scheme val="minor"/>
      </rPr>
      <t>The Last Will And Testament</t>
    </r>
  </si>
  <si>
    <t>§1</t>
  </si>
  <si>
    <t>§2</t>
  </si>
  <si>
    <t>§3</t>
  </si>
  <si>
    <t>§4</t>
  </si>
  <si>
    <t>§5</t>
  </si>
  <si>
    <t>§6</t>
  </si>
  <si>
    <t>§7</t>
  </si>
  <si>
    <t>A Story Never Told</t>
  </si>
  <si>
    <t>The Last Will And Testament</t>
  </si>
  <si>
    <r>
      <t>* Steven Wilson -</t>
    </r>
    <r>
      <rPr>
        <b/>
        <sz val="10"/>
        <color rgb="FFE8D4C2"/>
        <rFont val="Aptos Narrow"/>
        <family val="2"/>
        <scheme val="minor"/>
      </rPr>
      <t xml:space="preserve"> The Raven That Refused to Sing (and Other Stories)</t>
    </r>
  </si>
  <si>
    <t>Luminol</t>
  </si>
  <si>
    <t>Drive Home</t>
  </si>
  <si>
    <t>The Holy Drinker</t>
  </si>
  <si>
    <t>The Pin Drop</t>
  </si>
  <si>
    <t>The Watchmaker</t>
  </si>
  <si>
    <t>The Raven That Refused to Sing</t>
  </si>
  <si>
    <t>Steven Wilson</t>
  </si>
  <si>
    <t>The Raven That Refused to Sing (and Other Stories)</t>
  </si>
  <si>
    <t>3rd EYE SCORE *</t>
  </si>
  <si>
    <r>
      <t>* Neurosis -</t>
    </r>
    <r>
      <rPr>
        <b/>
        <sz val="10.5"/>
        <color theme="1"/>
        <rFont val="Aptos Narrow"/>
        <family val="2"/>
        <scheme val="minor"/>
      </rPr>
      <t xml:space="preserve"> An Undying Love for a Burning World</t>
    </r>
  </si>
  <si>
    <t>We Are Torn Wide Open</t>
  </si>
  <si>
    <t>Mirror Deep</t>
  </si>
  <si>
    <t>First Red Rays</t>
  </si>
  <si>
    <t>Blind</t>
  </si>
  <si>
    <t>Seething and Scattered</t>
  </si>
  <si>
    <t>Untethered</t>
  </si>
  <si>
    <t>In the Waiting Hours</t>
  </si>
  <si>
    <t>Last Night</t>
  </si>
  <si>
    <t>Neurosis</t>
  </si>
  <si>
    <t>An Undying Love for a Burning World</t>
  </si>
  <si>
    <t>atmospheric sludge metal</t>
  </si>
  <si>
    <r>
      <t xml:space="preserve">* Black Sabbath - </t>
    </r>
    <r>
      <rPr>
        <b/>
        <sz val="14"/>
        <color rgb="FFFD698C"/>
        <rFont val="Aptos Narrow"/>
        <family val="2"/>
        <scheme val="minor"/>
      </rPr>
      <t>Paranoid</t>
    </r>
  </si>
  <si>
    <t>War Pigs</t>
  </si>
  <si>
    <t>Paranoid</t>
  </si>
  <si>
    <t>Planet Caravan</t>
  </si>
  <si>
    <t>Iron Man</t>
  </si>
  <si>
    <t>Electric Funeral</t>
  </si>
  <si>
    <t>Hand of Doom</t>
  </si>
  <si>
    <t>Rat Salad</t>
  </si>
  <si>
    <t>Fairies Wear Boots</t>
  </si>
  <si>
    <t>Black Sabbath</t>
  </si>
  <si>
    <t>heavy metal, hard rock</t>
  </si>
  <si>
    <r>
      <t xml:space="preserve">* The Notorious B.I.G. - </t>
    </r>
    <r>
      <rPr>
        <b/>
        <sz val="12"/>
        <color rgb="FFFF0000"/>
        <rFont val="Aptos Narrow"/>
        <family val="2"/>
        <scheme val="minor"/>
      </rPr>
      <t>Ready to Die</t>
    </r>
  </si>
  <si>
    <t>Things Done Changed</t>
  </si>
  <si>
    <t>Gimmie the Loot</t>
  </si>
  <si>
    <t>Machine Gun Funk</t>
  </si>
  <si>
    <t>Warning</t>
  </si>
  <si>
    <t>Ready to Die</t>
  </si>
  <si>
    <t>One More Chance</t>
  </si>
  <si>
    <t>Fuck Me (Interlude)</t>
  </si>
  <si>
    <t>The What</t>
  </si>
  <si>
    <t>Juicy</t>
  </si>
  <si>
    <t>Everyday Struggle</t>
  </si>
  <si>
    <t>Me and My Bitch</t>
  </si>
  <si>
    <t>Big Poppa</t>
  </si>
  <si>
    <t>Respect</t>
  </si>
  <si>
    <t>Friend of Mine</t>
  </si>
  <si>
    <t>Unbelievable</t>
  </si>
  <si>
    <t>Suicidal Thoughts</t>
  </si>
  <si>
    <t>Who Shot Ya?</t>
  </si>
  <si>
    <t>Just Playing (Dreams)</t>
  </si>
  <si>
    <t>The Notorious B.I.G.</t>
  </si>
  <si>
    <t>hard rock</t>
  </si>
  <si>
    <t>gangsta rap, boom bap</t>
  </si>
  <si>
    <r>
      <rPr>
        <sz val="14"/>
        <color rgb="FFD50000"/>
        <rFont val="Aptos Narrow"/>
        <family val="2"/>
        <scheme val="minor"/>
      </rPr>
      <t>* TOOL</t>
    </r>
    <r>
      <rPr>
        <b/>
        <sz val="14"/>
        <color rgb="FFD50000"/>
        <rFont val="Aptos Narrow"/>
        <family val="2"/>
        <scheme val="minor"/>
      </rPr>
      <t xml:space="preserve"> - Undertow</t>
    </r>
  </si>
  <si>
    <r>
      <t xml:space="preserve">* C418 - </t>
    </r>
    <r>
      <rPr>
        <b/>
        <sz val="12"/>
        <color rgb="FFFD5E1F"/>
        <rFont val="Aptos Narrow"/>
        <family val="2"/>
        <scheme val="minor"/>
      </rPr>
      <t>Minecraft Volume Beta [OST]</t>
    </r>
  </si>
  <si>
    <t>Ki</t>
  </si>
  <si>
    <t>Alpha</t>
  </si>
  <si>
    <t>Dead Voxel</t>
  </si>
  <si>
    <t>Blind Spots</t>
  </si>
  <si>
    <t>Flake</t>
  </si>
  <si>
    <t>Moog City 2</t>
  </si>
  <si>
    <t>Concrete Halls</t>
  </si>
  <si>
    <t>Biome Fest</t>
  </si>
  <si>
    <t>Mutation</t>
  </si>
  <si>
    <t>Haunt Muskie</t>
  </si>
  <si>
    <t>Warmth</t>
  </si>
  <si>
    <t>Floating Trees</t>
  </si>
  <si>
    <t>Aria Math</t>
  </si>
  <si>
    <t>Kyoto</t>
  </si>
  <si>
    <t>Ballad of the Cats</t>
  </si>
  <si>
    <t>Taswell</t>
  </si>
  <si>
    <t>Beginning 2</t>
  </si>
  <si>
    <t>Dreiton</t>
  </si>
  <si>
    <t>The End</t>
  </si>
  <si>
    <t>Chirp</t>
  </si>
  <si>
    <t>Wait</t>
  </si>
  <si>
    <t>Mellohi</t>
  </si>
  <si>
    <t>Stal</t>
  </si>
  <si>
    <t>Strad</t>
  </si>
  <si>
    <t>Eleven</t>
  </si>
  <si>
    <t>Ward</t>
  </si>
  <si>
    <t>Mall</t>
  </si>
  <si>
    <t>Blocks</t>
  </si>
  <si>
    <t>Far</t>
  </si>
  <si>
    <t>Minecraft Volume Beta [OST]</t>
  </si>
  <si>
    <t>gangsta rap</t>
  </si>
  <si>
    <t>2h 20m</t>
  </si>
  <si>
    <t>Immigrant Song</t>
  </si>
  <si>
    <t>Friends</t>
  </si>
  <si>
    <t>Celebration Day</t>
  </si>
  <si>
    <t>Since I've Been Loving You</t>
  </si>
  <si>
    <t>Out on the Tiles</t>
  </si>
  <si>
    <t>Gallows Pole</t>
  </si>
  <si>
    <t>Tangerine</t>
  </si>
  <si>
    <t>That's the Way</t>
  </si>
  <si>
    <t>Bron-Y-Aur Stomp</t>
  </si>
  <si>
    <t>Hats off To (Roy) Harper</t>
  </si>
  <si>
    <t>Led Zeppelin III</t>
  </si>
  <si>
    <t>2011 - 2013</t>
  </si>
  <si>
    <t>1h 39m</t>
  </si>
  <si>
    <t>C418 - Minecraft Volume Beta [OST] (2h 20m)</t>
  </si>
  <si>
    <t>folk rock, hard rock</t>
  </si>
  <si>
    <t>1970 - 1971</t>
  </si>
  <si>
    <t>folk rock</t>
  </si>
  <si>
    <r>
      <t>* Iron Maiden -</t>
    </r>
    <r>
      <rPr>
        <b/>
        <sz val="11"/>
        <color rgb="FFC00000"/>
        <rFont val="Aptos Narrow"/>
        <family val="2"/>
        <scheme val="minor"/>
      </rPr>
      <t xml:space="preserve"> Seventh Son of a Seventh Son</t>
    </r>
  </si>
  <si>
    <t>Infinite Dreams</t>
  </si>
  <si>
    <t>Can I Play with Madness</t>
  </si>
  <si>
    <t>The Evil Than Men Do</t>
  </si>
  <si>
    <t>Seventh Son of a Seventh Son</t>
  </si>
  <si>
    <t>The Prophecy</t>
  </si>
  <si>
    <t>The Clairvoyant</t>
  </si>
  <si>
    <t>Only the Good Die Young</t>
  </si>
  <si>
    <t>psychedelic rock (9.29)</t>
  </si>
  <si>
    <t>Fecha de review</t>
  </si>
  <si>
    <t>1982 - 1988</t>
  </si>
  <si>
    <t>10/04/2026</t>
  </si>
  <si>
    <t>09/04/2026</t>
  </si>
  <si>
    <t>08/04/2026</t>
  </si>
  <si>
    <t>07/04/2026</t>
  </si>
  <si>
    <t>06/04/2026</t>
  </si>
  <si>
    <t>01/04/2026</t>
  </si>
  <si>
    <t>31/03/2026</t>
  </si>
  <si>
    <t>30/03/2026</t>
  </si>
  <si>
    <t>29/03/2026</t>
  </si>
  <si>
    <t>27/03/2026</t>
  </si>
  <si>
    <t>26/03/2026</t>
  </si>
  <si>
    <t>25/03/2026</t>
  </si>
  <si>
    <t>23/03/2026</t>
  </si>
  <si>
    <t>22/03/2026</t>
  </si>
  <si>
    <t>20/03/2026</t>
  </si>
  <si>
    <t>19/03/2026</t>
  </si>
  <si>
    <t>18/03/2026</t>
  </si>
  <si>
    <t>17/03/2026</t>
  </si>
  <si>
    <t>16/03/2026</t>
  </si>
  <si>
    <t>15/03/2026</t>
  </si>
  <si>
    <t>13/03/2026</t>
  </si>
  <si>
    <t>12/03/2026</t>
  </si>
  <si>
    <t>11/03/2026</t>
  </si>
  <si>
    <t>10/03/2026</t>
  </si>
  <si>
    <t>09/03/2026</t>
  </si>
  <si>
    <t>07/03/2026</t>
  </si>
  <si>
    <t>06/03/2026</t>
  </si>
  <si>
    <t>05/03/2026</t>
  </si>
  <si>
    <t>04/03/2026</t>
  </si>
  <si>
    <t>03/03/2026</t>
  </si>
  <si>
    <t>02/03/2026</t>
  </si>
  <si>
    <t>01/03/2026</t>
  </si>
  <si>
    <t>28/02/2026</t>
  </si>
  <si>
    <t>27/02/2026</t>
  </si>
  <si>
    <t>26/02/2026</t>
  </si>
  <si>
    <t>25/02/2026</t>
  </si>
  <si>
    <t>24/02/2026</t>
  </si>
  <si>
    <t>23/02/2026</t>
  </si>
  <si>
    <t>22/02/2026</t>
  </si>
  <si>
    <t>20/02/2026</t>
  </si>
  <si>
    <t>19/02/2026</t>
  </si>
  <si>
    <t>18/02/2026</t>
  </si>
  <si>
    <t>17/02/2026</t>
  </si>
  <si>
    <t>16/02/2026</t>
  </si>
  <si>
    <t>15/02/2026</t>
  </si>
  <si>
    <t>13/02/2026</t>
  </si>
  <si>
    <t>12/02/2026</t>
  </si>
  <si>
    <t>11/02/2026</t>
  </si>
  <si>
    <t>10/02/2026</t>
  </si>
  <si>
    <t>06/02/2026</t>
  </si>
  <si>
    <t>05/02/2026</t>
  </si>
  <si>
    <t>04/02/2026</t>
  </si>
  <si>
    <t>03/02/2026</t>
  </si>
  <si>
    <t>02/02/2026</t>
  </si>
  <si>
    <t>31/01/2026</t>
  </si>
  <si>
    <t>30/01/2026</t>
  </si>
  <si>
    <t>29/01/2026</t>
  </si>
  <si>
    <t>28/01/2026</t>
  </si>
  <si>
    <t>26/01/2026</t>
  </si>
  <si>
    <t>25/01/2026</t>
  </si>
  <si>
    <t>24/01/2026</t>
  </si>
  <si>
    <t>23/01/2026</t>
  </si>
  <si>
    <t>22/01/2026</t>
  </si>
  <si>
    <t>21/01/2026</t>
  </si>
  <si>
    <t>20/01/2026</t>
  </si>
  <si>
    <t>19/01/2026</t>
  </si>
  <si>
    <t>18/01/2026</t>
  </si>
  <si>
    <t>17/01/2026</t>
  </si>
  <si>
    <t>-</t>
  </si>
  <si>
    <r>
      <t xml:space="preserve">* Edge of Sanity - </t>
    </r>
    <r>
      <rPr>
        <b/>
        <sz val="14"/>
        <color rgb="FFFF0066"/>
        <rFont val="Aptos Narrow"/>
        <family val="2"/>
        <scheme val="minor"/>
      </rPr>
      <t>Crimson</t>
    </r>
  </si>
  <si>
    <r>
      <t xml:space="preserve">* Led Zeppelin - </t>
    </r>
    <r>
      <rPr>
        <b/>
        <sz val="14"/>
        <color theme="1"/>
        <rFont val="Aptos Narrow"/>
        <family val="2"/>
        <scheme val="minor"/>
      </rPr>
      <t>Led Zeppelin III</t>
    </r>
  </si>
  <si>
    <t>Crimson, Pt. 1</t>
  </si>
  <si>
    <t>Crimson, Pt. 2</t>
  </si>
  <si>
    <t>Crimson, Pt. 3</t>
  </si>
  <si>
    <t>Crimson, Pt. 4</t>
  </si>
  <si>
    <t>Crimson, Pt. 5</t>
  </si>
  <si>
    <t>Crimson, Pt. 6</t>
  </si>
  <si>
    <t>Crimson, Pt. 7</t>
  </si>
  <si>
    <t>Crimson, Pt. 8</t>
  </si>
  <si>
    <t>Edge of Sanity</t>
  </si>
  <si>
    <t>Crimson</t>
  </si>
  <si>
    <t>melodic death metal</t>
  </si>
  <si>
    <r>
      <t>* Magdalena Bay -</t>
    </r>
    <r>
      <rPr>
        <b/>
        <sz val="14"/>
        <color theme="0"/>
        <rFont val="Aptos Narrow"/>
        <family val="2"/>
        <scheme val="minor"/>
      </rPr>
      <t xml:space="preserve"> Imaginal Disk</t>
    </r>
  </si>
  <si>
    <t>She Looked Like Me!</t>
  </si>
  <si>
    <t>Killing Time</t>
  </si>
  <si>
    <t>True Blue Interlude</t>
  </si>
  <si>
    <t>Image</t>
  </si>
  <si>
    <t>Death &amp; Romance</t>
  </si>
  <si>
    <t>Fear, Sex</t>
  </si>
  <si>
    <t>Vampire in the Corner</t>
  </si>
  <si>
    <t>Watching T.V.</t>
  </si>
  <si>
    <t>Tunnel Vision</t>
  </si>
  <si>
    <t>Love Is Everywhere</t>
  </si>
  <si>
    <t>Feeling DiskInserted?</t>
  </si>
  <si>
    <t>That's My Floor</t>
  </si>
  <si>
    <t>Cry for Me</t>
  </si>
  <si>
    <t>Angel on a Satellite</t>
  </si>
  <si>
    <t>The Ballad of Matt &amp; Mica</t>
  </si>
  <si>
    <t>Magdalena Bay</t>
  </si>
  <si>
    <t>Imaginal Disk</t>
  </si>
  <si>
    <t>neo Psychedelia, synthpop</t>
  </si>
  <si>
    <t>13/04/2026</t>
  </si>
  <si>
    <r>
      <t xml:space="preserve">* Soda Stereo - </t>
    </r>
    <r>
      <rPr>
        <b/>
        <sz val="14"/>
        <color rgb="FF360000"/>
        <rFont val="Aptos Narrow"/>
        <family val="2"/>
        <scheme val="minor"/>
      </rPr>
      <t>Dynamo</t>
    </r>
  </si>
  <si>
    <t>Secuencia Inicial</t>
  </si>
  <si>
    <t>Toma La Ruta</t>
  </si>
  <si>
    <t>En Remolinos</t>
  </si>
  <si>
    <t>Primavera 0</t>
  </si>
  <si>
    <t>Camaleón</t>
  </si>
  <si>
    <t>Luna Roja</t>
  </si>
  <si>
    <t>Sweet Sahumerio</t>
  </si>
  <si>
    <t>Ameba</t>
  </si>
  <si>
    <t>Nuestra Fe</t>
  </si>
  <si>
    <t>Claroscuro</t>
  </si>
  <si>
    <t>Fue</t>
  </si>
  <si>
    <t>Texturas</t>
  </si>
  <si>
    <t>Soda Stereo</t>
  </si>
  <si>
    <t>Dynamo</t>
  </si>
  <si>
    <t>neo Psychedelia</t>
  </si>
  <si>
    <t>synthpop</t>
  </si>
  <si>
    <t>shoegaze, alternative rock</t>
  </si>
  <si>
    <t>Excursions</t>
  </si>
  <si>
    <t>Buggin' Out</t>
  </si>
  <si>
    <t>Rap Promoter</t>
  </si>
  <si>
    <t>Butter</t>
  </si>
  <si>
    <t>Verses from the Abstract</t>
  </si>
  <si>
    <t>Show Business</t>
  </si>
  <si>
    <t>Vibes and Stuff</t>
  </si>
  <si>
    <t>Infamous Date Rape</t>
  </si>
  <si>
    <t>Check the Rhime</t>
  </si>
  <si>
    <t>Everything Is Fair</t>
  </si>
  <si>
    <t>Jazz (We've Got)</t>
  </si>
  <si>
    <t>Skypager</t>
  </si>
  <si>
    <t>What?</t>
  </si>
  <si>
    <t>Scenario</t>
  </si>
  <si>
    <r>
      <t>* A Tribe Called Quest -</t>
    </r>
    <r>
      <rPr>
        <b/>
        <sz val="11"/>
        <color rgb="FF00CC99"/>
        <rFont val="Aptos Narrow"/>
        <family val="2"/>
        <scheme val="minor"/>
      </rPr>
      <t xml:space="preserve"> The Low End Theory</t>
    </r>
  </si>
  <si>
    <t>A Tribe Called Quest</t>
  </si>
  <si>
    <t>The Low End Theory</t>
  </si>
  <si>
    <t>2002 - 2006</t>
  </si>
  <si>
    <t>jazz rap, conscious hip hop</t>
  </si>
  <si>
    <r>
      <rPr>
        <sz val="14"/>
        <color theme="1"/>
        <rFont val="Aptos Narrow"/>
        <family val="2"/>
        <scheme val="minor"/>
      </rPr>
      <t xml:space="preserve">* TOOL </t>
    </r>
    <r>
      <rPr>
        <b/>
        <sz val="14"/>
        <color theme="1"/>
        <rFont val="Aptos Narrow"/>
        <family val="2"/>
        <scheme val="minor"/>
      </rPr>
      <t>- 10,000 Days</t>
    </r>
  </si>
  <si>
    <r>
      <t xml:space="preserve">* Nujabes - </t>
    </r>
    <r>
      <rPr>
        <b/>
        <sz val="14"/>
        <color rgb="FF61D59E"/>
        <rFont val="Aptos Narrow"/>
        <family val="2"/>
        <scheme val="minor"/>
      </rPr>
      <t>Metaphorical Music</t>
    </r>
  </si>
  <si>
    <t>Blessing It -remix</t>
  </si>
  <si>
    <t>Horn in the middle</t>
  </si>
  <si>
    <t>Lady Brown</t>
  </si>
  <si>
    <t>Kunomi</t>
  </si>
  <si>
    <t>Highs 2 Lows</t>
  </si>
  <si>
    <t>Beat laments the world</t>
  </si>
  <si>
    <t>Letter from Yokosuka</t>
  </si>
  <si>
    <t>Think Different</t>
  </si>
  <si>
    <t>A day by atmosphere supreme</t>
  </si>
  <si>
    <t>Next view</t>
  </si>
  <si>
    <t>Latitude -remix</t>
  </si>
  <si>
    <t>F.I.LO.</t>
  </si>
  <si>
    <t>Summer Gypsy</t>
  </si>
  <si>
    <t>The Final View</t>
  </si>
  <si>
    <t>Peaceland</t>
  </si>
  <si>
    <t>14/04/2026</t>
  </si>
  <si>
    <t>Metaphorical Music</t>
  </si>
  <si>
    <t>15/04/2026</t>
  </si>
  <si>
    <r>
      <t xml:space="preserve">* Metallica - </t>
    </r>
    <r>
      <rPr>
        <b/>
        <sz val="14"/>
        <color rgb="FFFF0000"/>
        <rFont val="Aptos Narrow"/>
        <family val="2"/>
        <scheme val="minor"/>
      </rPr>
      <t>Kill 'Em All</t>
    </r>
  </si>
  <si>
    <t>Hit The Lights</t>
  </si>
  <si>
    <t>The Four Horsemen</t>
  </si>
  <si>
    <t>Motorbreath</t>
  </si>
  <si>
    <t>Jump In The Fire</t>
  </si>
  <si>
    <t>(Anesthesia) Pulling Teeth</t>
  </si>
  <si>
    <t>Whiplash</t>
  </si>
  <si>
    <t>Phantom Lord</t>
  </si>
  <si>
    <t>No Remorse</t>
  </si>
  <si>
    <t>Seek &amp; Destroy</t>
  </si>
  <si>
    <t>Metal Militia</t>
  </si>
  <si>
    <t>Kill 'Em All</t>
  </si>
  <si>
    <t>2003 - 2005</t>
  </si>
  <si>
    <t>1983 - 2021</t>
  </si>
  <si>
    <t>The Rain</t>
  </si>
  <si>
    <t>Destiny</t>
  </si>
  <si>
    <t>Lay Down</t>
  </si>
  <si>
    <t>Smoking Gun</t>
  </si>
  <si>
    <t>Happy Song</t>
  </si>
  <si>
    <t>Reach Out</t>
  </si>
  <si>
    <t>8:30 p.m.</t>
  </si>
  <si>
    <t>Fly Today</t>
  </si>
  <si>
    <t>Tryna Get By</t>
  </si>
  <si>
    <t>Let My Love Shine</t>
  </si>
  <si>
    <r>
      <t xml:space="preserve">* Cabin Beat - </t>
    </r>
    <r>
      <rPr>
        <b/>
        <sz val="14"/>
        <color rgb="FF533F01"/>
        <rFont val="Aptos Narrow"/>
        <family val="2"/>
        <scheme val="minor"/>
      </rPr>
      <t>Busy Being Born</t>
    </r>
  </si>
  <si>
    <t>Cabin Beat</t>
  </si>
  <si>
    <t>Busy Being Born</t>
  </si>
  <si>
    <r>
      <t xml:space="preserve">* Opeth - </t>
    </r>
    <r>
      <rPr>
        <b/>
        <sz val="14"/>
        <color rgb="FF8DF735"/>
        <rFont val="Aptos Narrow"/>
        <family val="2"/>
        <scheme val="minor"/>
      </rPr>
      <t>Watershed</t>
    </r>
  </si>
  <si>
    <t>Coil</t>
  </si>
  <si>
    <t>Heir Apparent</t>
  </si>
  <si>
    <t>The Lotus Eater</t>
  </si>
  <si>
    <t>Burden</t>
  </si>
  <si>
    <t>Porcelain Heart</t>
  </si>
  <si>
    <t>Hessian Peel</t>
  </si>
  <si>
    <t>Hex Omega</t>
  </si>
  <si>
    <t>Watershed</t>
  </si>
  <si>
    <r>
      <t xml:space="preserve">* The Beatles - </t>
    </r>
    <r>
      <rPr>
        <b/>
        <sz val="14"/>
        <color rgb="FF002060"/>
        <rFont val="Aptos Narrow"/>
        <family val="2"/>
        <scheme val="minor"/>
      </rPr>
      <t>Abbey Road</t>
    </r>
  </si>
  <si>
    <t>Come Together</t>
  </si>
  <si>
    <t>Something</t>
  </si>
  <si>
    <t>Maxwell's Silver Hammer</t>
  </si>
  <si>
    <t>Oh! Darling</t>
  </si>
  <si>
    <t>Octopus's Garden</t>
  </si>
  <si>
    <t>I Want You (She's So Heavy)</t>
  </si>
  <si>
    <t>Here Comes The Sun</t>
  </si>
  <si>
    <t>Because</t>
  </si>
  <si>
    <t>You Never Give Me Your Money</t>
  </si>
  <si>
    <t>Sun King</t>
  </si>
  <si>
    <t>Mean Mr Mustard</t>
  </si>
  <si>
    <t>Polythene Pam</t>
  </si>
  <si>
    <t>She Came In Through The Bathroom Window</t>
  </si>
  <si>
    <t>Golden Slumbers</t>
  </si>
  <si>
    <t>Carry The Weight</t>
  </si>
  <si>
    <t>Her Majesty</t>
  </si>
  <si>
    <t>The Beatles</t>
  </si>
  <si>
    <t>Abbey Road</t>
  </si>
  <si>
    <t>16/04/2026</t>
  </si>
  <si>
    <r>
      <t xml:space="preserve">* Caspian - </t>
    </r>
    <r>
      <rPr>
        <b/>
        <sz val="14"/>
        <color rgb="FFD0CAC2"/>
        <rFont val="Aptos Narrow"/>
        <family val="2"/>
        <scheme val="minor"/>
      </rPr>
      <t>Dust and Disquiet</t>
    </r>
  </si>
  <si>
    <t>Separation No. 2</t>
  </si>
  <si>
    <t>Rioseco</t>
  </si>
  <si>
    <t>Arcs of Command</t>
  </si>
  <si>
    <t>Echo and Abyss</t>
  </si>
  <si>
    <t>Run Dry</t>
  </si>
  <si>
    <t>Equal Night</t>
  </si>
  <si>
    <t>Sad Heart of Mine</t>
  </si>
  <si>
    <t>Darkfield</t>
  </si>
  <si>
    <t>Aetenum Vale</t>
  </si>
  <si>
    <t>Dust and Disquiet</t>
  </si>
  <si>
    <t>Caspian</t>
  </si>
  <si>
    <t>post rock, post metal</t>
  </si>
  <si>
    <t>17/04/2026</t>
  </si>
  <si>
    <r>
      <t>* Supertramp -</t>
    </r>
    <r>
      <rPr>
        <b/>
        <sz val="10"/>
        <color theme="1"/>
        <rFont val="Aptos Narrow"/>
        <family val="2"/>
        <scheme val="minor"/>
      </rPr>
      <t xml:space="preserve"> Even In The Quietest Moments...</t>
    </r>
  </si>
  <si>
    <t>Give A Little Bit</t>
  </si>
  <si>
    <t>Lover Boy</t>
  </si>
  <si>
    <t>Even In The Quietest Moments</t>
  </si>
  <si>
    <t>Downstream</t>
  </si>
  <si>
    <t>Babaji</t>
  </si>
  <si>
    <t>From Now On</t>
  </si>
  <si>
    <t>Fool's Overture</t>
  </si>
  <si>
    <t>Even In The Quietest Moments...</t>
  </si>
  <si>
    <t>20/04/2026</t>
  </si>
  <si>
    <t>1977 - 1979</t>
  </si>
  <si>
    <r>
      <t xml:space="preserve">* Linkin Park - </t>
    </r>
    <r>
      <rPr>
        <b/>
        <sz val="14"/>
        <color theme="1"/>
        <rFont val="Aptos Narrow"/>
        <family val="2"/>
        <scheme val="minor"/>
      </rPr>
      <t>Meteora</t>
    </r>
  </si>
  <si>
    <t>Foreword</t>
  </si>
  <si>
    <t>Don't Stay</t>
  </si>
  <si>
    <t>Somewhere I Belong</t>
  </si>
  <si>
    <t>Lying from You</t>
  </si>
  <si>
    <t>Hit the Floor</t>
  </si>
  <si>
    <t>Easier to Run</t>
  </si>
  <si>
    <t>Faint</t>
  </si>
  <si>
    <t>Figure.09</t>
  </si>
  <si>
    <t>Breaking the Habit</t>
  </si>
  <si>
    <t>From the Inside</t>
  </si>
  <si>
    <t>Nobody's Listening</t>
  </si>
  <si>
    <t>Session</t>
  </si>
  <si>
    <t>Meteora</t>
  </si>
  <si>
    <r>
      <t xml:space="preserve">* Lady Twostar - </t>
    </r>
    <r>
      <rPr>
        <b/>
        <sz val="14"/>
        <color theme="8" tint="0.39997558519241921"/>
        <rFont val="Aptos Narrow"/>
        <family val="2"/>
        <scheme val="minor"/>
      </rPr>
      <t>The Great Plains</t>
    </r>
  </si>
  <si>
    <t>Fortunes Found</t>
  </si>
  <si>
    <t>Muddy Water</t>
  </si>
  <si>
    <t>Abattoir</t>
  </si>
  <si>
    <t>Paint it Gold</t>
  </si>
  <si>
    <t>Remembered My Lines</t>
  </si>
  <si>
    <r>
      <t xml:space="preserve">* Depeche Mode - </t>
    </r>
    <r>
      <rPr>
        <b/>
        <sz val="14"/>
        <color rgb="FFC00000"/>
        <rFont val="Aptos Narrow"/>
        <family val="2"/>
        <scheme val="minor"/>
      </rPr>
      <t>Violator</t>
    </r>
  </si>
  <si>
    <t>World In My Eyes</t>
  </si>
  <si>
    <t>Sweetest Perfection</t>
  </si>
  <si>
    <t>Personal Jesus</t>
  </si>
  <si>
    <t>Waiting for the Night</t>
  </si>
  <si>
    <t>Enjoy the Silence</t>
  </si>
  <si>
    <t>Policy of Truth</t>
  </si>
  <si>
    <t>Blue Dress</t>
  </si>
  <si>
    <t>Clean</t>
  </si>
  <si>
    <t>Depeche Mode</t>
  </si>
  <si>
    <t>Violator</t>
  </si>
  <si>
    <t>Lady Twostar</t>
  </si>
  <si>
    <t>The Great Plains</t>
  </si>
  <si>
    <t>22/04/2026</t>
  </si>
  <si>
    <r>
      <t xml:space="preserve">* Jeff Buckley - </t>
    </r>
    <r>
      <rPr>
        <b/>
        <sz val="14"/>
        <color rgb="FFCCECFF"/>
        <rFont val="Aptos Narrow"/>
        <family val="2"/>
        <scheme val="minor"/>
      </rPr>
      <t>Grace</t>
    </r>
  </si>
  <si>
    <t>Mojo Pin</t>
  </si>
  <si>
    <t>Grace</t>
  </si>
  <si>
    <t>Last Goodbye</t>
  </si>
  <si>
    <t>Lilac Wine</t>
  </si>
  <si>
    <t>So Real</t>
  </si>
  <si>
    <t>Hallelujah</t>
  </si>
  <si>
    <t>Lover, You Should've Come Over</t>
  </si>
  <si>
    <t>Corpus Christi Carol</t>
  </si>
  <si>
    <t>Eternal Life</t>
  </si>
  <si>
    <t>Dream Brother</t>
  </si>
  <si>
    <t>Forget Her</t>
  </si>
  <si>
    <t>Jeff Buckley</t>
  </si>
  <si>
    <t>alternative rock, singer songwriter</t>
  </si>
  <si>
    <t>23/04/2026</t>
  </si>
  <si>
    <t>2000 - 2003</t>
  </si>
  <si>
    <t>singer songwriter</t>
  </si>
  <si>
    <t>Oh! Tengo suerte</t>
  </si>
  <si>
    <t>トーキョー　レギー</t>
  </si>
  <si>
    <t>蜃気楼の島へ</t>
  </si>
  <si>
    <t>憧れのセーシェル諸島</t>
  </si>
  <si>
    <t>Funkee Mah-Chan</t>
  </si>
  <si>
    <t>サヨナラ・・・・・・Fujiさん</t>
  </si>
  <si>
    <t>バードアイランド急行</t>
  </si>
  <si>
    <t>Tropic Birds</t>
  </si>
  <si>
    <r>
      <t xml:space="preserve">* Masayoshi Takanaka - </t>
    </r>
    <r>
      <rPr>
        <b/>
        <sz val="13"/>
        <color rgb="FF584F42"/>
        <rFont val="Aptos Narrow"/>
        <family val="2"/>
        <scheme val="minor"/>
      </rPr>
      <t>SEYCHELLES</t>
    </r>
  </si>
  <si>
    <t>Masayoshi Takanaka</t>
  </si>
  <si>
    <t>SEYCHELLES</t>
  </si>
  <si>
    <t>progressive rock, art rock, avant prog</t>
  </si>
  <si>
    <t>jazz fusion, city pop</t>
  </si>
  <si>
    <t>24/04/2026</t>
  </si>
  <si>
    <t>Third Eye (Live)</t>
  </si>
  <si>
    <t>Part of Me (Live)</t>
  </si>
  <si>
    <t>Message to Harry Manback II</t>
  </si>
  <si>
    <t>You Lied (Live)</t>
  </si>
  <si>
    <t>Merkaba (Live)</t>
  </si>
  <si>
    <t>No Quarter</t>
  </si>
  <si>
    <t>Pushit (Live)</t>
  </si>
  <si>
    <t>L.A.M.C.</t>
  </si>
  <si>
    <t>jazz fusion</t>
  </si>
  <si>
    <t>city pop</t>
  </si>
  <si>
    <r>
      <t xml:space="preserve">* Death - </t>
    </r>
    <r>
      <rPr>
        <b/>
        <sz val="13"/>
        <color rgb="FF3A0000"/>
        <rFont val="Aptos Narrow"/>
        <scheme val="minor"/>
      </rPr>
      <t>The Sound of Perseverance</t>
    </r>
  </si>
  <si>
    <t>Scavanger of Human Sorrow</t>
  </si>
  <si>
    <t>Bite the Pain</t>
  </si>
  <si>
    <t>Spirit Crusher</t>
  </si>
  <si>
    <t>Story to Tell</t>
  </si>
  <si>
    <t>Flesh and the Power It Holds</t>
  </si>
  <si>
    <t>Voice of the Soul</t>
  </si>
  <si>
    <t>To Forgive is to Suffer</t>
  </si>
  <si>
    <t>A Moment of Clarity</t>
  </si>
  <si>
    <t>Painkiller</t>
  </si>
  <si>
    <r>
      <t xml:space="preserve">* Yes - </t>
    </r>
    <r>
      <rPr>
        <b/>
        <sz val="14"/>
        <color rgb="FFBCDE85"/>
        <rFont val="Aptos Narrow"/>
        <scheme val="minor"/>
      </rPr>
      <t>Close to the Edge</t>
    </r>
  </si>
  <si>
    <t>Close to the Edge</t>
  </si>
  <si>
    <t>And You And I</t>
  </si>
  <si>
    <t>Siberian Khatru</t>
  </si>
  <si>
    <r>
      <t xml:space="preserve">* Opeth - </t>
    </r>
    <r>
      <rPr>
        <b/>
        <sz val="14"/>
        <color rgb="FF002060"/>
        <rFont val="Aptos Narrow"/>
        <family val="2"/>
        <scheme val="minor"/>
      </rPr>
      <t>Sorceress</t>
    </r>
  </si>
  <si>
    <t>Persephone</t>
  </si>
  <si>
    <t>Sorceress</t>
  </si>
  <si>
    <t>The Wilde Flowers</t>
  </si>
  <si>
    <t>Will O the Wisp</t>
  </si>
  <si>
    <t>Chrysalis</t>
  </si>
  <si>
    <t>Sorceress 2</t>
  </si>
  <si>
    <t>The Seventh Sojurn</t>
  </si>
  <si>
    <t>Strange Brew</t>
  </si>
  <si>
    <t>A Fleeting Glance</t>
  </si>
  <si>
    <t>Era</t>
  </si>
  <si>
    <t>Persephone (Slight Return)</t>
  </si>
  <si>
    <t>The Sound of Perseverance</t>
  </si>
  <si>
    <t>Yes</t>
  </si>
  <si>
    <r>
      <t xml:space="preserve">* Arctic Monkeys - </t>
    </r>
    <r>
      <rPr>
        <b/>
        <sz val="14"/>
        <color theme="0"/>
        <rFont val="Aptos Narrow"/>
        <family val="2"/>
        <scheme val="minor"/>
      </rPr>
      <t>AM</t>
    </r>
  </si>
  <si>
    <t>Do I Wanna Know?</t>
  </si>
  <si>
    <t>R U Mine?</t>
  </si>
  <si>
    <t>One For The Road</t>
  </si>
  <si>
    <t>Arabella</t>
  </si>
  <si>
    <t>I Want It All</t>
  </si>
  <si>
    <t>No. 1 Party Anthem</t>
  </si>
  <si>
    <t>Mad Sounds</t>
  </si>
  <si>
    <t>Fireside</t>
  </si>
  <si>
    <t>Why'd You Only Call Me When You're High?</t>
  </si>
  <si>
    <t>Snap Out Of It</t>
  </si>
  <si>
    <t>Knee Socks</t>
  </si>
  <si>
    <t>I Wanna Be Yours</t>
  </si>
  <si>
    <t>Arctic Monkeys</t>
  </si>
  <si>
    <t>AM</t>
  </si>
  <si>
    <t>26/04/2026</t>
  </si>
  <si>
    <t>25/04/2026</t>
  </si>
  <si>
    <t>27/04/2026</t>
  </si>
  <si>
    <t>pop rock, indie rock</t>
  </si>
  <si>
    <r>
      <t xml:space="preserve">* The Beatles - </t>
    </r>
    <r>
      <rPr>
        <b/>
        <sz val="9.5"/>
        <color rgb="FFFF6699"/>
        <rFont val="Aptos Narrow"/>
        <family val="2"/>
        <scheme val="minor"/>
      </rPr>
      <t>Sgt. Pepper's Lonely Hearts Club Band</t>
    </r>
  </si>
  <si>
    <t>Sgt. Pepper's Lonely Hearts Club Band</t>
  </si>
  <si>
    <t>With A Little Help From My Friends</t>
  </si>
  <si>
    <t>Lucy In The Sky With Diamonds</t>
  </si>
  <si>
    <t>Getting Better</t>
  </si>
  <si>
    <t>Fixing A Hole</t>
  </si>
  <si>
    <t>She's Leaving Home</t>
  </si>
  <si>
    <t>Being For The Benefit Of Mr. Kite!</t>
  </si>
  <si>
    <t>Within You Without You</t>
  </si>
  <si>
    <t>When I'm Sixty Four</t>
  </si>
  <si>
    <t>Lovely Rita</t>
  </si>
  <si>
    <t>Good Morning Good Morning</t>
  </si>
  <si>
    <t>Sgt. Pepper's Lonely Hearts Club Band - Reprise</t>
  </si>
  <si>
    <t>A Day In The Life</t>
  </si>
  <si>
    <t>psychedelic pop, pop rock</t>
  </si>
  <si>
    <t>28/04/2026</t>
  </si>
  <si>
    <t>psychedelic pop</t>
  </si>
  <si>
    <t>Lightbulb Sun</t>
  </si>
  <si>
    <t>How Is Your Life Today?</t>
  </si>
  <si>
    <t>Four Chords That Made A Million</t>
  </si>
  <si>
    <t>Shesmovedon</t>
  </si>
  <si>
    <t>Last Chance To Evacuate Planet Earth Before It Is Recycled</t>
  </si>
  <si>
    <t>The Rest Will Flow</t>
  </si>
  <si>
    <t>Hatesong</t>
  </si>
  <si>
    <t>Where We Would Be</t>
  </si>
  <si>
    <t>Russia On Ice</t>
  </si>
  <si>
    <t>Feel So Low</t>
  </si>
  <si>
    <r>
      <t xml:space="preserve">* Porcupine Tree - </t>
    </r>
    <r>
      <rPr>
        <b/>
        <sz val="14"/>
        <color rgb="FFFE5002"/>
        <rFont val="Aptos Narrow"/>
        <family val="2"/>
        <scheme val="minor"/>
      </rPr>
      <t>Lightbulb Sun</t>
    </r>
  </si>
  <si>
    <t>progressive rock, post brit pop</t>
  </si>
  <si>
    <t>2000 - 2007</t>
  </si>
  <si>
    <t>post brit pop</t>
  </si>
  <si>
    <r>
      <t xml:space="preserve">* Opeth - </t>
    </r>
    <r>
      <rPr>
        <b/>
        <sz val="14"/>
        <color theme="1" tint="0.499984740745262"/>
        <rFont val="Aptos Narrow"/>
        <family val="2"/>
        <scheme val="minor"/>
      </rPr>
      <t>Deliverance</t>
    </r>
  </si>
  <si>
    <t>Wreath</t>
  </si>
  <si>
    <t>Deliverance</t>
  </si>
  <si>
    <t>A Fair Judgement</t>
  </si>
  <si>
    <t>For Absent Friends</t>
  </si>
  <si>
    <t>Master's Apprentices</t>
  </si>
  <si>
    <t>By the Pain I See in Others</t>
  </si>
  <si>
    <t>29/04/2026</t>
  </si>
  <si>
    <t>Robot Rock / Oh Yeah</t>
  </si>
  <si>
    <t>Touch It / Technologic</t>
  </si>
  <si>
    <t>Television Rules the Nation / Crescendolls</t>
  </si>
  <si>
    <t>Too Long / Steam Machine</t>
  </si>
  <si>
    <t>Around the World / Harder, Better, Faster, Stronger</t>
  </si>
  <si>
    <t>Burnin' / Too Long</t>
  </si>
  <si>
    <t>Face to Face / Short Circuit</t>
  </si>
  <si>
    <t>One More Time / Aerodynamic</t>
  </si>
  <si>
    <t>Aerodynamic Beats / Gabrielle, Forget About the World</t>
  </si>
  <si>
    <t>Prime Time of Your Life / Brainwasher / Rollin' &amp; Scratchin' / Alive</t>
  </si>
  <si>
    <t>Da Funk / Daftendirekt</t>
  </si>
  <si>
    <t>Superheroes / Human After All / Rock'n Roll</t>
  </si>
  <si>
    <t>Human After All / Together / One More Time / Music Sounds Better With You</t>
  </si>
  <si>
    <r>
      <t xml:space="preserve">* Daft Punk - </t>
    </r>
    <r>
      <rPr>
        <b/>
        <sz val="14"/>
        <color rgb="FF00B0F0"/>
        <rFont val="Aptos Narrow"/>
        <family val="2"/>
        <scheme val="minor"/>
      </rPr>
      <t>Alive 2007</t>
    </r>
    <r>
      <rPr>
        <sz val="14"/>
        <color rgb="FF00B0F0"/>
        <rFont val="Aptos Narrow"/>
        <family val="2"/>
        <scheme val="minor"/>
      </rPr>
      <t xml:space="preserve"> [LIVE]</t>
    </r>
  </si>
  <si>
    <r>
      <t xml:space="preserve">* TOOL - </t>
    </r>
    <r>
      <rPr>
        <b/>
        <sz val="14"/>
        <color rgb="FFEA7204"/>
        <rFont val="Aptos Narrow"/>
        <family val="2"/>
        <scheme val="minor"/>
      </rPr>
      <t>Salival</t>
    </r>
    <r>
      <rPr>
        <sz val="14"/>
        <color rgb="FFEA7204"/>
        <rFont val="Aptos Narrow"/>
        <family val="2"/>
        <scheme val="minor"/>
      </rPr>
      <t xml:space="preserve"> [LIVE]</t>
    </r>
  </si>
  <si>
    <t>Alive 2007 [LIVE]</t>
  </si>
  <si>
    <t>Salival [LIVE]</t>
  </si>
  <si>
    <t>alternative metal, progressive metal</t>
  </si>
  <si>
    <r>
      <t xml:space="preserve">* Pearl Jam - </t>
    </r>
    <r>
      <rPr>
        <b/>
        <sz val="14"/>
        <color theme="0"/>
        <rFont val="Aptos Narrow"/>
        <family val="2"/>
        <scheme val="minor"/>
      </rPr>
      <t>Ten</t>
    </r>
  </si>
  <si>
    <t>Once</t>
  </si>
  <si>
    <t>Even Flow</t>
  </si>
  <si>
    <t>Why Go</t>
  </si>
  <si>
    <t>Black</t>
  </si>
  <si>
    <t>Jeremy</t>
  </si>
  <si>
    <t>Oceans</t>
  </si>
  <si>
    <t>Porch</t>
  </si>
  <si>
    <t>Garden</t>
  </si>
  <si>
    <t>Deep</t>
  </si>
  <si>
    <t>Release</t>
  </si>
  <si>
    <t>french house, mashup</t>
  </si>
  <si>
    <t>Pearl Jam</t>
  </si>
  <si>
    <t>Ten</t>
  </si>
  <si>
    <t>mashup</t>
  </si>
  <si>
    <t>grunge, alternative rock</t>
  </si>
  <si>
    <t>30/04/2026</t>
  </si>
  <si>
    <r>
      <t>* honeydip -</t>
    </r>
    <r>
      <rPr>
        <b/>
        <sz val="14"/>
        <color rgb="FFFF6600"/>
        <rFont val="Aptos Narrow"/>
        <family val="2"/>
        <scheme val="minor"/>
      </rPr>
      <t xml:space="preserve"> Another Sunny Day</t>
    </r>
  </si>
  <si>
    <t>P.J.</t>
  </si>
  <si>
    <t>Summer's Gone -second season ver-</t>
  </si>
  <si>
    <t>Evening Calm</t>
  </si>
  <si>
    <t>Waiting For The Light</t>
  </si>
  <si>
    <t>d-31</t>
  </si>
  <si>
    <t>Stargazer</t>
  </si>
  <si>
    <r>
      <t>* Aphex Twin -</t>
    </r>
    <r>
      <rPr>
        <b/>
        <sz val="12"/>
        <color theme="5" tint="-0.499984740745262"/>
        <rFont val="Aptos Narrow"/>
        <family val="2"/>
        <scheme val="minor"/>
      </rPr>
      <t xml:space="preserve"> …I Care Because You Do</t>
    </r>
  </si>
  <si>
    <t>Acrid Avid Jam Shred</t>
  </si>
  <si>
    <t>The Waxen Pith</t>
  </si>
  <si>
    <t>Wax The Nip</t>
  </si>
  <si>
    <t>Icct Hedral</t>
  </si>
  <si>
    <t>Ventolin</t>
  </si>
  <si>
    <t>Come On You Slags</t>
  </si>
  <si>
    <t>Start As You Mean To Go On</t>
  </si>
  <si>
    <t>Wet Tip Hen Ax</t>
  </si>
  <si>
    <t>Mookid</t>
  </si>
  <si>
    <t>Alberto Balsalm</t>
  </si>
  <si>
    <t>Cow Cud Is A Twin</t>
  </si>
  <si>
    <t>Next Heap With</t>
  </si>
  <si>
    <t>Sorry I'm Here For Someone Else</t>
  </si>
  <si>
    <t>Mr Electric Blue</t>
  </si>
  <si>
    <t>Man In Me</t>
  </si>
  <si>
    <t>Mystical Magical</t>
  </si>
  <si>
    <t>Reminds Me Of You</t>
  </si>
  <si>
    <t>Momma Song</t>
  </si>
  <si>
    <t>I Wanna Be The One You Call</t>
  </si>
  <si>
    <t>Wanted Man</t>
  </si>
  <si>
    <t>Take Me Home</t>
  </si>
  <si>
    <t>Young American Heart</t>
  </si>
  <si>
    <r>
      <t>* Benson Boone -</t>
    </r>
    <r>
      <rPr>
        <b/>
        <sz val="14"/>
        <color theme="5" tint="0.79998168889431442"/>
        <rFont val="Aptos Narrow"/>
        <family val="2"/>
        <scheme val="minor"/>
      </rPr>
      <t xml:space="preserve"> American Heart</t>
    </r>
  </si>
  <si>
    <t>…I Care Because You Do</t>
  </si>
  <si>
    <t>honeydip</t>
  </si>
  <si>
    <t>Another Sunny Day</t>
  </si>
  <si>
    <t>Benson Boone</t>
  </si>
  <si>
    <t>American Heart</t>
  </si>
  <si>
    <t>shoegaze, space rock revival</t>
  </si>
  <si>
    <t>33m</t>
  </si>
  <si>
    <t>04/05/2026</t>
  </si>
  <si>
    <t>05/05/2026</t>
  </si>
  <si>
    <t>30m</t>
  </si>
  <si>
    <t>10.5 (0 - 10.5)</t>
  </si>
  <si>
    <t>Benson Boone - American Heart (2.5)</t>
  </si>
  <si>
    <t>space rock revival</t>
  </si>
  <si>
    <r>
      <t xml:space="preserve">* Gorillaz - </t>
    </r>
    <r>
      <rPr>
        <b/>
        <sz val="14"/>
        <color theme="9" tint="-0.249977111117893"/>
        <rFont val="Aptos Narrow"/>
        <family val="2"/>
        <scheme val="minor"/>
      </rPr>
      <t>Gorillaz</t>
    </r>
  </si>
  <si>
    <t>Re-Hash</t>
  </si>
  <si>
    <t>5/4</t>
  </si>
  <si>
    <t>Tomorrow Comes Today</t>
  </si>
  <si>
    <t>New Genius (Brother)</t>
  </si>
  <si>
    <t>Clint Eastwood</t>
  </si>
  <si>
    <t>Man Research (Clapper)</t>
  </si>
  <si>
    <t>Punk</t>
  </si>
  <si>
    <t>Sound Check (Gravity)</t>
  </si>
  <si>
    <t>Double Bass</t>
  </si>
  <si>
    <t>Rock the House</t>
  </si>
  <si>
    <t>19-2000</t>
  </si>
  <si>
    <t>Latin Simone (Que Pasa Contigo)</t>
  </si>
  <si>
    <t>Starshine</t>
  </si>
  <si>
    <t>Slow Country</t>
  </si>
  <si>
    <t>M1 A1</t>
  </si>
  <si>
    <t>Clint Eastwood - Ed Case / Sweetie Irie Refix</t>
  </si>
  <si>
    <t>19-200 -  Soulchild Remix</t>
  </si>
  <si>
    <t>alternative rock, hip hop</t>
  </si>
  <si>
    <t>06/05/2026</t>
  </si>
  <si>
    <r>
      <t xml:space="preserve">* King Crimson - </t>
    </r>
    <r>
      <rPr>
        <b/>
        <sz val="14"/>
        <color rgb="FFA3A3A3"/>
        <rFont val="Aptos Narrow"/>
        <scheme val="minor"/>
      </rPr>
      <t>Discipline</t>
    </r>
  </si>
  <si>
    <t>Elephant Talk</t>
  </si>
  <si>
    <t>Frame By Frame</t>
  </si>
  <si>
    <t>Matte Kudasai</t>
  </si>
  <si>
    <t>Indiscipline</t>
  </si>
  <si>
    <t>Thela Hun Ginjeet</t>
  </si>
  <si>
    <t>The Sheltering Sky</t>
  </si>
  <si>
    <t>Discipline</t>
  </si>
  <si>
    <t>2001 - 2026</t>
  </si>
  <si>
    <r>
      <t>* Godspeed You! Black Emperor -</t>
    </r>
    <r>
      <rPr>
        <b/>
        <sz val="12"/>
        <color rgb="FFABABAB"/>
        <rFont val="Aptos Narrow"/>
        <family val="2"/>
        <scheme val="minor"/>
      </rPr>
      <t xml:space="preserve"> F♯A♯∞</t>
    </r>
  </si>
  <si>
    <t>Dead Flag Blues</t>
  </si>
  <si>
    <t>East Hastings</t>
  </si>
  <si>
    <t>Godspeed You! Black Emperor</t>
  </si>
  <si>
    <t>F♯A♯∞</t>
  </si>
  <si>
    <t>Godspeed You! Black Emperor - F♯A♯∞ (σ=0.24)</t>
  </si>
  <si>
    <t>07/05/2026</t>
  </si>
  <si>
    <t>08/05/2026</t>
  </si>
  <si>
    <r>
      <rPr>
        <sz val="11"/>
        <color rgb="FFC00000"/>
        <rFont val="Aptos Narrow"/>
        <scheme val="minor"/>
      </rPr>
      <t>* Godspeed You! Black Emperor</t>
    </r>
    <r>
      <rPr>
        <b/>
        <sz val="11"/>
        <color rgb="FFC00000"/>
        <rFont val="Aptos Narrow"/>
        <scheme val="minor"/>
      </rPr>
      <t xml:space="preserve"> - Lift Yr. Skinny Fists Like Antennas to Heaven!</t>
    </r>
  </si>
  <si>
    <t>1h 27m</t>
  </si>
  <si>
    <r>
      <t xml:space="preserve">* Aphex Twin - </t>
    </r>
    <r>
      <rPr>
        <b/>
        <sz val="14"/>
        <color theme="1" tint="0.34998626667073579"/>
        <rFont val="Aptos Narrow"/>
        <scheme val="minor"/>
      </rPr>
      <t>Come To Daddy</t>
    </r>
  </si>
  <si>
    <t>Come To Daddy</t>
  </si>
  <si>
    <t>Flim</t>
  </si>
  <si>
    <t>Come To Daddy - Little Lord Faulteroy Mix</t>
  </si>
  <si>
    <t xml:space="preserve">Bucephalus Bouncing Ball </t>
  </si>
  <si>
    <t>To Cure A Weakling Child</t>
  </si>
  <si>
    <t>Funny Little Man</t>
  </si>
  <si>
    <t>Come To Daddy - Mummy Mix</t>
  </si>
  <si>
    <t>IZ-US</t>
  </si>
  <si>
    <t>1997 - 2000</t>
  </si>
  <si>
    <t>d&amp;b, idm</t>
  </si>
  <si>
    <t>09/05/2026</t>
  </si>
  <si>
    <r>
      <t xml:space="preserve">* Boris - </t>
    </r>
    <r>
      <rPr>
        <b/>
        <sz val="14"/>
        <color theme="0"/>
        <rFont val="Aptos Narrow"/>
        <family val="2"/>
        <scheme val="minor"/>
      </rPr>
      <t>flood</t>
    </r>
  </si>
  <si>
    <t>flood</t>
  </si>
  <si>
    <t>Boris</t>
  </si>
  <si>
    <t>1992 - 1997</t>
  </si>
  <si>
    <t>d&amp;b</t>
  </si>
  <si>
    <t>flood I</t>
  </si>
  <si>
    <t>flood II</t>
  </si>
  <si>
    <t>flood III</t>
  </si>
  <si>
    <t>flood IV</t>
  </si>
  <si>
    <r>
      <t xml:space="preserve">* my bloody valentine - </t>
    </r>
    <r>
      <rPr>
        <b/>
        <sz val="14"/>
        <color rgb="FF820041"/>
        <rFont val="Aptos Narrow"/>
        <family val="2"/>
        <scheme val="minor"/>
      </rPr>
      <t>loveless</t>
    </r>
  </si>
  <si>
    <t>only shallow</t>
  </si>
  <si>
    <t>loomer</t>
  </si>
  <si>
    <t>touched</t>
  </si>
  <si>
    <t>to here knows when</t>
  </si>
  <si>
    <t>when you sleep</t>
  </si>
  <si>
    <t>i only said</t>
  </si>
  <si>
    <t xml:space="preserve">come in alone </t>
  </si>
  <si>
    <t>sometimes</t>
  </si>
  <si>
    <t>blown a wish</t>
  </si>
  <si>
    <t>what you want</t>
  </si>
  <si>
    <t>soon</t>
  </si>
  <si>
    <t>Where Do The Children Play?</t>
  </si>
  <si>
    <t>Hard Headed Woman</t>
  </si>
  <si>
    <t>Wild World</t>
  </si>
  <si>
    <t>Sad Lisa</t>
  </si>
  <si>
    <t>Miles From Nowhere</t>
  </si>
  <si>
    <t>But I Might Die Tonight</t>
  </si>
  <si>
    <t>Longer Boats</t>
  </si>
  <si>
    <t>Into White</t>
  </si>
  <si>
    <t>On The Road To Find Out</t>
  </si>
  <si>
    <t>Father And Son</t>
  </si>
  <si>
    <t>Tea For The Tillerman</t>
  </si>
  <si>
    <r>
      <t xml:space="preserve">* Cat Stevens - </t>
    </r>
    <r>
      <rPr>
        <b/>
        <sz val="13"/>
        <color theme="3" tint="0.499984740745262"/>
        <rFont val="Aptos Narrow"/>
        <family val="2"/>
        <scheme val="minor"/>
      </rPr>
      <t>Tea For The Tillerman</t>
    </r>
  </si>
  <si>
    <t>my bloody valentine</t>
  </si>
  <si>
    <t>loveless</t>
  </si>
  <si>
    <t>Cat Stevens</t>
  </si>
  <si>
    <t>singer songwriter, folk pop</t>
  </si>
  <si>
    <t>12/05/2026</t>
  </si>
  <si>
    <t>folk pop</t>
  </si>
  <si>
    <t>post rock, drone</t>
  </si>
  <si>
    <t>1h 10m</t>
  </si>
  <si>
    <t>11/05/2026</t>
  </si>
  <si>
    <t>drone</t>
  </si>
  <si>
    <r>
      <t>* The Pineapple Thief -</t>
    </r>
    <r>
      <rPr>
        <b/>
        <sz val="12"/>
        <color theme="3" tint="0.499984740745262"/>
        <rFont val="Aptos Narrow"/>
        <family val="2"/>
        <scheme val="minor"/>
      </rPr>
      <t xml:space="preserve"> Your Wilderness</t>
    </r>
  </si>
  <si>
    <t>In Exile</t>
  </si>
  <si>
    <t>No Man's Land</t>
  </si>
  <si>
    <t>Tear You Up</t>
  </si>
  <si>
    <t>That Stone</t>
  </si>
  <si>
    <t>Take Your Shot</t>
  </si>
  <si>
    <t>Fend for Yourself</t>
  </si>
  <si>
    <t>The Final Thing on My Mind</t>
  </si>
  <si>
    <t>Where We Stood</t>
  </si>
  <si>
    <t>The Pineapple Thief</t>
  </si>
  <si>
    <t>Your Wilderness</t>
  </si>
  <si>
    <t>13/05/2026</t>
  </si>
  <si>
    <t>Wanna Be Startin' Somethin'</t>
  </si>
  <si>
    <t>Baby Be Mine</t>
  </si>
  <si>
    <t>The Girl Is Mine</t>
  </si>
  <si>
    <t>Thriller</t>
  </si>
  <si>
    <t>Beat It</t>
  </si>
  <si>
    <t>Billie Jean</t>
  </si>
  <si>
    <t>Human Nature</t>
  </si>
  <si>
    <t>P.Y.T. (Pretty Young Thing)</t>
  </si>
  <si>
    <t>The Lady in My Life</t>
  </si>
  <si>
    <r>
      <t xml:space="preserve">* Michael Jackson - </t>
    </r>
    <r>
      <rPr>
        <b/>
        <sz val="14"/>
        <color rgb="FFFDCA0F"/>
        <rFont val="Aptos Narrow"/>
        <family val="2"/>
        <scheme val="minor"/>
      </rPr>
      <t>Thriller</t>
    </r>
  </si>
  <si>
    <t>Michael Jackson</t>
  </si>
  <si>
    <t>shoegaze, noise pop</t>
  </si>
  <si>
    <t>contemporary r&amp;b, dance pop</t>
  </si>
  <si>
    <t>14/05/2026</t>
  </si>
  <si>
    <r>
      <t xml:space="preserve">* David Bowie - </t>
    </r>
    <r>
      <rPr>
        <b/>
        <sz val="14"/>
        <color rgb="FFF4E71C"/>
        <rFont val="Aptos Narrow"/>
        <scheme val="minor"/>
      </rPr>
      <t>Low</t>
    </r>
  </si>
  <si>
    <t>Speed of Life</t>
  </si>
  <si>
    <t>Breaking Glass</t>
  </si>
  <si>
    <t>What in the World</t>
  </si>
  <si>
    <t>Sound and Vision</t>
  </si>
  <si>
    <t>Always Crashing in the Same Car</t>
  </si>
  <si>
    <t>Be My Wife</t>
  </si>
  <si>
    <t>A New Career in a New Town</t>
  </si>
  <si>
    <t>Warszawa</t>
  </si>
  <si>
    <t>Art Decade</t>
  </si>
  <si>
    <t>Weeping Wall</t>
  </si>
  <si>
    <t>Subterraneans</t>
  </si>
  <si>
    <t>David Bowie</t>
  </si>
  <si>
    <t>contemporary r&amp;b</t>
  </si>
  <si>
    <t>dance pop</t>
  </si>
  <si>
    <t>noise pop</t>
  </si>
  <si>
    <t>art rock, ambient</t>
  </si>
  <si>
    <t>15/05/2026</t>
  </si>
  <si>
    <t>TOP 25 (sin repetir artistas y sin incluir OSTs y LIVEs)</t>
  </si>
  <si>
    <t>TOP 25 (sin reglas)</t>
  </si>
  <si>
    <t>Lateralus, 10,000 Days, Ænima, Fear Inoculum, Salival [LIVE]</t>
  </si>
  <si>
    <t>Fear of a Blank Planet, Deadwing, In Absentia</t>
  </si>
  <si>
    <t>Wish You Were Here, The Dark Side Of The Moon, Animals, Meddle</t>
  </si>
  <si>
    <t>In The Court Of The Crimson King, Red</t>
  </si>
  <si>
    <t>Fear of a Blank Planet, Deadwing</t>
  </si>
  <si>
    <t>In Rainbows, OK Computer, Kid A</t>
  </si>
  <si>
    <t>In Rainbows, OK Computer, The Bends, A Moon Shaped Pool</t>
  </si>
  <si>
    <t>Blackwater Park, Ghost Reveries, Deliverance, Still Life, Damnation, My Arms, Your Hearse</t>
  </si>
  <si>
    <t>Even In The Quietest Moments..., Breakfast In America</t>
  </si>
  <si>
    <t>Parachutes, X&amp;Y</t>
  </si>
  <si>
    <t>The New Abnormal, Is This It</t>
  </si>
  <si>
    <t>Velocity: Design: Comfort., You Will Never Know Why</t>
  </si>
  <si>
    <t>Lift Yr. Skinny Fists Like Antennas to Heaven!, F♯A♯∞</t>
  </si>
  <si>
    <t>The Mantle, Ashes Against The Grain</t>
  </si>
  <si>
    <t>Master Of Puppets, Ride The Lightning, …And Justice For All, Kill 'Em All</t>
  </si>
  <si>
    <t>Rust In Peace, Megadeth</t>
  </si>
  <si>
    <t>Kid A, The King Of Limbs</t>
  </si>
  <si>
    <t>Discovery, Random Access Memories, Homework</t>
  </si>
  <si>
    <t>Modal Soul, Metaphorical Music</t>
  </si>
  <si>
    <t>TOP  Indie Rock (8 álbumes)</t>
  </si>
  <si>
    <t>TOP  Post Rock (7 álbumes)</t>
  </si>
  <si>
    <t>TOP  Post Metal (6 álbumes)</t>
  </si>
  <si>
    <t>TOP  Jazz Rap (5 álbumes)</t>
  </si>
  <si>
    <t>pop rock, soft rock</t>
  </si>
  <si>
    <r>
      <t xml:space="preserve">* Portishead - </t>
    </r>
    <r>
      <rPr>
        <b/>
        <sz val="14"/>
        <color theme="0"/>
        <rFont val="Aptos Narrow"/>
        <scheme val="minor"/>
      </rPr>
      <t>Third</t>
    </r>
  </si>
  <si>
    <t>Silence</t>
  </si>
  <si>
    <t>Nylon Smile</t>
  </si>
  <si>
    <t>The Rip</t>
  </si>
  <si>
    <t>Plastic</t>
  </si>
  <si>
    <t>We Carry On</t>
  </si>
  <si>
    <t>Deep Water</t>
  </si>
  <si>
    <t>Small</t>
  </si>
  <si>
    <t>Magic Doors</t>
  </si>
  <si>
    <t>Threads</t>
  </si>
  <si>
    <t>Third</t>
  </si>
  <si>
    <t>soft rock</t>
  </si>
  <si>
    <t>16/05/2026</t>
  </si>
  <si>
    <r>
      <t xml:space="preserve">* Justice - </t>
    </r>
    <r>
      <rPr>
        <b/>
        <sz val="14"/>
        <color rgb="FFE8C80A"/>
        <rFont val="Aptos Narrow"/>
        <family val="2"/>
        <scheme val="minor"/>
      </rPr>
      <t>Justice</t>
    </r>
  </si>
  <si>
    <t>Genesis</t>
  </si>
  <si>
    <t>Let There Be Light</t>
  </si>
  <si>
    <t>D.A.N.C.E.</t>
  </si>
  <si>
    <t>Newjack</t>
  </si>
  <si>
    <t>Phantom</t>
  </si>
  <si>
    <t>Phanto Pt. II</t>
  </si>
  <si>
    <t>Valentine</t>
  </si>
  <si>
    <t>TTHEE PPAARRTTYY</t>
  </si>
  <si>
    <t>DVNO</t>
  </si>
  <si>
    <t>Stress</t>
  </si>
  <si>
    <t>Waters of Nazareth</t>
  </si>
  <si>
    <t>Justice</t>
  </si>
  <si>
    <t>1994 - 2008</t>
  </si>
  <si>
    <t>TOP  Electronic (6 álbumes)</t>
  </si>
  <si>
    <t>french electro</t>
  </si>
  <si>
    <t>18/05/2026</t>
  </si>
  <si>
    <r>
      <t xml:space="preserve">* System Of A Down - </t>
    </r>
    <r>
      <rPr>
        <b/>
        <sz val="14"/>
        <color rgb="FFFF0000"/>
        <rFont val="Aptos Narrow"/>
        <family val="2"/>
        <scheme val="minor"/>
      </rPr>
      <t>Toxicity</t>
    </r>
  </si>
  <si>
    <t>Prison Song</t>
  </si>
  <si>
    <t>Needles</t>
  </si>
  <si>
    <t>Deer Dance</t>
  </si>
  <si>
    <t>Jet Pilot</t>
  </si>
  <si>
    <t>X</t>
  </si>
  <si>
    <t>Chop Suey!</t>
  </si>
  <si>
    <t>Bounce</t>
  </si>
  <si>
    <t>Forest</t>
  </si>
  <si>
    <t>ATWA</t>
  </si>
  <si>
    <t>Science</t>
  </si>
  <si>
    <t>Shimmy</t>
  </si>
  <si>
    <t>Toxicity</t>
  </si>
  <si>
    <t>Psycho</t>
  </si>
  <si>
    <t>Aerials</t>
  </si>
  <si>
    <t>Arto</t>
  </si>
  <si>
    <t>System Of A Down</t>
  </si>
  <si>
    <r>
      <t xml:space="preserve">* Kanye West - </t>
    </r>
    <r>
      <rPr>
        <b/>
        <sz val="14"/>
        <color rgb="FFE8C80A"/>
        <rFont val="Aptos Narrow"/>
        <family val="2"/>
        <scheme val="minor"/>
      </rPr>
      <t>The College Dropout</t>
    </r>
  </si>
  <si>
    <t>We Don't Care</t>
  </si>
  <si>
    <t>Graduation Day</t>
  </si>
  <si>
    <t>All Falls Down</t>
  </si>
  <si>
    <t>I'll Fly Away</t>
  </si>
  <si>
    <t>Spaceship</t>
  </si>
  <si>
    <t>Jesus Walks</t>
  </si>
  <si>
    <t>Never Let Me Down</t>
  </si>
  <si>
    <t>Get Em High</t>
  </si>
  <si>
    <t>Workout Plan</t>
  </si>
  <si>
    <t>The New Workout Plan</t>
  </si>
  <si>
    <t>Slow Jamz</t>
  </si>
  <si>
    <t>Breath In Breath Out</t>
  </si>
  <si>
    <t>School Spirit Skit 1</t>
  </si>
  <si>
    <t>School Spirit</t>
  </si>
  <si>
    <t>School Spirit Skit 2</t>
  </si>
  <si>
    <t>Lil Jimmy Skit</t>
  </si>
  <si>
    <t>Two Words</t>
  </si>
  <si>
    <t>Through The Wire</t>
  </si>
  <si>
    <t>Family Business</t>
  </si>
  <si>
    <t>Last Call</t>
  </si>
  <si>
    <t>The College Dropout</t>
  </si>
  <si>
    <t>chipmunk soul, pop rap</t>
  </si>
  <si>
    <t>Telegraph Road</t>
  </si>
  <si>
    <t>Private Investigations</t>
  </si>
  <si>
    <t>Industrial Disease</t>
  </si>
  <si>
    <t>Love Over Gold</t>
  </si>
  <si>
    <t>It Never Rains</t>
  </si>
  <si>
    <t>2004 - 2026</t>
  </si>
  <si>
    <t>chipmunk soul</t>
  </si>
  <si>
    <t>19/05/2026</t>
  </si>
  <si>
    <r>
      <t xml:space="preserve">* Boards of Canada - </t>
    </r>
    <r>
      <rPr>
        <b/>
        <sz val="14"/>
        <color rgb="FFFEDC0E"/>
        <rFont val="Aptos Narrow"/>
        <family val="2"/>
        <scheme val="minor"/>
      </rPr>
      <t>Geogaddi</t>
    </r>
  </si>
  <si>
    <t>Ready Lets Go</t>
  </si>
  <si>
    <t>Music Is Math</t>
  </si>
  <si>
    <t>Beware The Friendly Stranger</t>
  </si>
  <si>
    <t>Gyroscope</t>
  </si>
  <si>
    <t>Dandelion</t>
  </si>
  <si>
    <t>Sunshine Recorder</t>
  </si>
  <si>
    <t>In The Annexe</t>
  </si>
  <si>
    <t>Julie And Candy</t>
  </si>
  <si>
    <t>The Smallest Weird Number</t>
  </si>
  <si>
    <t>Energy Warning</t>
  </si>
  <si>
    <t>The Beach At Redpoint</t>
  </si>
  <si>
    <t>Opening The Mouth</t>
  </si>
  <si>
    <t>Alpha And Omega</t>
  </si>
  <si>
    <t>I Saw Drones</t>
  </si>
  <si>
    <t>The Devil Is In The Details</t>
  </si>
  <si>
    <t>A Is To B As B Is To C</t>
  </si>
  <si>
    <t>Over The Horizon Radar</t>
  </si>
  <si>
    <t>Dawn Chorus</t>
  </si>
  <si>
    <t>Diving Station</t>
  </si>
  <si>
    <t>You Could Feel The Sky</t>
  </si>
  <si>
    <t>Corsair</t>
  </si>
  <si>
    <t>Magic Window</t>
  </si>
  <si>
    <r>
      <t xml:space="preserve">* Enigma - </t>
    </r>
    <r>
      <rPr>
        <b/>
        <sz val="14"/>
        <color rgb="FFCC0066"/>
        <rFont val="Aptos Narrow"/>
        <family val="2"/>
        <scheme val="minor"/>
      </rPr>
      <t>MCMXC a.D.</t>
    </r>
  </si>
  <si>
    <t>The Voice Of Enigma</t>
  </si>
  <si>
    <t>Principles Of Lust</t>
  </si>
  <si>
    <t>Callas Went Away</t>
  </si>
  <si>
    <t>Mea Culpa</t>
  </si>
  <si>
    <t>The Voice &amp; The Snake</t>
  </si>
  <si>
    <t>Knocking On Forbidden Doors</t>
  </si>
  <si>
    <t>Back To The Rivers Of Belief</t>
  </si>
  <si>
    <r>
      <t xml:space="preserve">* Boards of Canada - </t>
    </r>
    <r>
      <rPr>
        <b/>
        <sz val="10"/>
        <color rgb="FF007660"/>
        <rFont val="Aptos Narrow"/>
        <family val="2"/>
        <scheme val="minor"/>
      </rPr>
      <t>Music Has The Right To Children</t>
    </r>
  </si>
  <si>
    <t>Wildlife Analysis</t>
  </si>
  <si>
    <t>An Eagle In Your Mind</t>
  </si>
  <si>
    <t>The Color Of The Fire</t>
  </si>
  <si>
    <t>Telephasic Workshop</t>
  </si>
  <si>
    <t>Triangles &amp; Rhombuses</t>
  </si>
  <si>
    <t>Sixtyteen</t>
  </si>
  <si>
    <t>Turqoise Hexagon Sun</t>
  </si>
  <si>
    <t>Kaini Industries</t>
  </si>
  <si>
    <t>Bocuma</t>
  </si>
  <si>
    <t>Roygbiv</t>
  </si>
  <si>
    <t>Rue The Whirl</t>
  </si>
  <si>
    <t>Aquarius</t>
  </si>
  <si>
    <t>Olson</t>
  </si>
  <si>
    <t>Pete Standing Alone</t>
  </si>
  <si>
    <t>Smokes Quantity</t>
  </si>
  <si>
    <t>Open The Light</t>
  </si>
  <si>
    <t>One Very Important Thought</t>
  </si>
  <si>
    <t>Happy Cycling</t>
  </si>
  <si>
    <t>Boards of Canada</t>
  </si>
  <si>
    <t>Music Has The Right To Children</t>
  </si>
  <si>
    <t>Geogaddi</t>
  </si>
  <si>
    <t>Enigma</t>
  </si>
  <si>
    <t>MCMXC a.D.</t>
  </si>
  <si>
    <t>new age, downtempo</t>
  </si>
  <si>
    <t>idm, downtempo</t>
  </si>
  <si>
    <t>10/05/2026</t>
  </si>
  <si>
    <t>…I Care Because You Do, Come To Daddy</t>
  </si>
  <si>
    <t>new age</t>
  </si>
  <si>
    <r>
      <t xml:space="preserve">* Slayyyter - </t>
    </r>
    <r>
      <rPr>
        <b/>
        <sz val="12"/>
        <color rgb="FFFF0000"/>
        <rFont val="Aptos Narrow"/>
        <family val="2"/>
        <scheme val="minor"/>
      </rPr>
      <t>WOR$T GIRL IN AMERICA</t>
    </r>
  </si>
  <si>
    <t>DANCE…</t>
  </si>
  <si>
    <t>BEAT UP CHANEL$</t>
  </si>
  <si>
    <t>CANNIBALISM!</t>
  </si>
  <si>
    <t>OLD TECHNOLOGY</t>
  </si>
  <si>
    <t>CRANK</t>
  </si>
  <si>
    <t>GAS STATION</t>
  </si>
  <si>
    <t>YES GODDD</t>
  </si>
  <si>
    <t>UNKNOWN LOVERZ</t>
  </si>
  <si>
    <t>I'M ACTUALLY KINDA FAMOUS</t>
  </si>
  <si>
    <t>$T. LOSER</t>
  </si>
  <si>
    <t>WHAT IS IT LIKE, TO BE LIKED?</t>
  </si>
  <si>
    <t>BRITTANY MURPHY.</t>
  </si>
  <si>
    <t>OLD FLING$</t>
  </si>
  <si>
    <t>Slayyyter</t>
  </si>
  <si>
    <t>WOR$T GIRL IN AMERICA</t>
  </si>
  <si>
    <t>electropop, electroclash</t>
  </si>
  <si>
    <t>20/05/2026</t>
  </si>
  <si>
    <t>pop rock, psychedelic pop</t>
  </si>
  <si>
    <r>
      <t xml:space="preserve">* The Beatles - </t>
    </r>
    <r>
      <rPr>
        <b/>
        <sz val="14"/>
        <color theme="1"/>
        <rFont val="Aptos Narrow"/>
        <family val="2"/>
        <scheme val="minor"/>
      </rPr>
      <t>Revolver</t>
    </r>
  </si>
  <si>
    <t>Taxman</t>
  </si>
  <si>
    <t>Eleanor Rigby</t>
  </si>
  <si>
    <t>I'm Only Sleeping</t>
  </si>
  <si>
    <t>Love You To</t>
  </si>
  <si>
    <t>Here, There And Everywhere</t>
  </si>
  <si>
    <t>Yellow Submarine</t>
  </si>
  <si>
    <t>She Said She Said</t>
  </si>
  <si>
    <t>Good Day Sunshine</t>
  </si>
  <si>
    <t>And Your Bird Can Sing</t>
  </si>
  <si>
    <t>For No One</t>
  </si>
  <si>
    <t xml:space="preserve">Doctor Robert </t>
  </si>
  <si>
    <t>I Want To Tell You</t>
  </si>
  <si>
    <t>Got To Get You Into My Life</t>
  </si>
  <si>
    <t>Tomorrow Never Knows</t>
  </si>
  <si>
    <t>Revolver</t>
  </si>
  <si>
    <t>21/05/2026</t>
  </si>
  <si>
    <r>
      <t xml:space="preserve">* Pink Floyd - </t>
    </r>
    <r>
      <rPr>
        <b/>
        <sz val="14"/>
        <color rgb="FFDE0000"/>
        <rFont val="Aptos Narrow"/>
        <family val="2"/>
        <scheme val="minor"/>
      </rPr>
      <t>The Wall</t>
    </r>
  </si>
  <si>
    <t>In The Flesh?</t>
  </si>
  <si>
    <t>The Thin Ice</t>
  </si>
  <si>
    <t>Another Brick in the Wall, Pt. 1</t>
  </si>
  <si>
    <t>The Happiest Days of Our Lives</t>
  </si>
  <si>
    <t>Another Brick in the Wall, Pt. 2</t>
  </si>
  <si>
    <t>Mother</t>
  </si>
  <si>
    <t>Goodbye Blue Sky</t>
  </si>
  <si>
    <t>Empty Spaces</t>
  </si>
  <si>
    <t>Young Lust</t>
  </si>
  <si>
    <t>One of My Turns</t>
  </si>
  <si>
    <t>Don't Leave Me Now</t>
  </si>
  <si>
    <t>Another Brick in the Wall, Pt. 3</t>
  </si>
  <si>
    <t>Goodbye Cruel World</t>
  </si>
  <si>
    <t>Hey You</t>
  </si>
  <si>
    <t>Is There Anybody Out There?</t>
  </si>
  <si>
    <t>Nobody Home</t>
  </si>
  <si>
    <t>Vera</t>
  </si>
  <si>
    <t>Bring the Boys Back Home</t>
  </si>
  <si>
    <t>Comfortably Numb</t>
  </si>
  <si>
    <t>The Show Must Go On</t>
  </si>
  <si>
    <t xml:space="preserve">In The Flesh </t>
  </si>
  <si>
    <t>Run Like Hell</t>
  </si>
  <si>
    <t>Waiting for the Worms</t>
  </si>
  <si>
    <t>Stop</t>
  </si>
  <si>
    <t>The Trial</t>
  </si>
  <si>
    <t>Outside the Wall</t>
  </si>
  <si>
    <t>The Wall</t>
  </si>
  <si>
    <t>1966 - 1969</t>
  </si>
  <si>
    <t>TOP  Pop Rock (10 álbumes)</t>
  </si>
  <si>
    <t>Sgt. Pepper's Lonely Hearts Club Band, Abbey Road, Revolver</t>
  </si>
  <si>
    <t>4 álbumes · media 8.89</t>
  </si>
  <si>
    <t>PRAYER</t>
  </si>
  <si>
    <t>rock opera, art rock</t>
  </si>
  <si>
    <t>1h 21m</t>
  </si>
  <si>
    <t>1971 - 1979</t>
  </si>
  <si>
    <t>Wish You Were Here, The Wall</t>
  </si>
  <si>
    <t>rock opera</t>
  </si>
  <si>
    <r>
      <t xml:space="preserve">* Barry B - </t>
    </r>
    <r>
      <rPr>
        <b/>
        <sz val="14"/>
        <color theme="1"/>
        <rFont val="Aptos Narrow"/>
        <family val="2"/>
        <scheme val="minor"/>
      </rPr>
      <t>CHATO</t>
    </r>
  </si>
  <si>
    <t>El efímero arte de perdonar</t>
  </si>
  <si>
    <t>Todo ese dolor</t>
  </si>
  <si>
    <t>TK</t>
  </si>
  <si>
    <t>Joga Bonito</t>
  </si>
  <si>
    <t>Si alguna vez</t>
  </si>
  <si>
    <t>Se hizo complicado</t>
  </si>
  <si>
    <t>Yo pensaba que me había tocado Dios</t>
  </si>
  <si>
    <t>TUSSI</t>
  </si>
  <si>
    <t>Corazón vaquero</t>
  </si>
  <si>
    <t>El lago de mi pena</t>
  </si>
  <si>
    <t>Vis a Vis</t>
  </si>
  <si>
    <t>A tus pies</t>
  </si>
  <si>
    <t>Barry B</t>
  </si>
  <si>
    <t>CHATO</t>
  </si>
  <si>
    <r>
      <t xml:space="preserve">* LSD and the Search for God - </t>
    </r>
    <r>
      <rPr>
        <b/>
        <sz val="9"/>
        <color rgb="FFFEDC0E"/>
        <rFont val="Aptos Narrow"/>
        <family val="2"/>
        <scheme val="minor"/>
      </rPr>
      <t>LSD and the Search for God</t>
    </r>
  </si>
  <si>
    <t>This Time</t>
  </si>
  <si>
    <t>Backwards</t>
  </si>
  <si>
    <t>Starting Over</t>
  </si>
  <si>
    <t>22/05/2026</t>
  </si>
  <si>
    <t>LSD and the Search for God</t>
  </si>
  <si>
    <t>shoegaze, dream pop</t>
  </si>
  <si>
    <t>22m</t>
  </si>
  <si>
    <r>
      <t xml:space="preserve">* black midi - </t>
    </r>
    <r>
      <rPr>
        <b/>
        <sz val="14"/>
        <color rgb="FF000066"/>
        <rFont val="Aptos Narrow"/>
        <family val="2"/>
        <scheme val="minor"/>
      </rPr>
      <t>Hellfire</t>
    </r>
  </si>
  <si>
    <t>Hellfire</t>
  </si>
  <si>
    <t>Sugur/Tzu</t>
  </si>
  <si>
    <t>Eat Men Eat</t>
  </si>
  <si>
    <t>Welcome to Hell</t>
  </si>
  <si>
    <t>Still</t>
  </si>
  <si>
    <t>Half Time</t>
  </si>
  <si>
    <t>The Race Is About To Begin</t>
  </si>
  <si>
    <t>Dangerous Liaisons</t>
  </si>
  <si>
    <t>The Defence</t>
  </si>
  <si>
    <t>27 Questions</t>
  </si>
  <si>
    <t>black midi</t>
  </si>
  <si>
    <t>TOP  Dream Pop (8 álbumes)</t>
  </si>
  <si>
    <t>TOP  Shoegaze (8 álbumes)</t>
  </si>
  <si>
    <t>LSD and the Search for God - LSD and the Search for God (22m)</t>
  </si>
  <si>
    <t>avant prog, brutal prog</t>
  </si>
  <si>
    <t>The Package</t>
  </si>
  <si>
    <t>Weak And Powerless</t>
  </si>
  <si>
    <t>The Noose</t>
  </si>
  <si>
    <t>Blue</t>
  </si>
  <si>
    <t>Vanishing</t>
  </si>
  <si>
    <t>A Stranger</t>
  </si>
  <si>
    <t>The Outsider</t>
  </si>
  <si>
    <t>Crimes</t>
  </si>
  <si>
    <t>The Nurse Who Loved Me</t>
  </si>
  <si>
    <t>Pet</t>
  </si>
  <si>
    <t>Gravity</t>
  </si>
  <si>
    <r>
      <t xml:space="preserve">* A Perfect Circle - </t>
    </r>
    <r>
      <rPr>
        <b/>
        <sz val="14"/>
        <color rgb="FFFFE000"/>
        <rFont val="Aptos Narrow"/>
        <scheme val="minor"/>
      </rPr>
      <t>Thirteenth Step</t>
    </r>
  </si>
  <si>
    <t>A Perfect Circle</t>
  </si>
  <si>
    <t>Thirteenth Step</t>
  </si>
  <si>
    <t>brutal prog</t>
  </si>
  <si>
    <t>alternative rock, alternative metal</t>
  </si>
  <si>
    <t>24/05/2026</t>
  </si>
  <si>
    <t>TOP  Alternative Rock (16 álbumes)</t>
  </si>
  <si>
    <t>Back To School</t>
  </si>
  <si>
    <t>Feiticeira</t>
  </si>
  <si>
    <t>Digital Bath</t>
  </si>
  <si>
    <t>Elite</t>
  </si>
  <si>
    <t>Rx Queen</t>
  </si>
  <si>
    <t>Street Carp</t>
  </si>
  <si>
    <t>Teenager</t>
  </si>
  <si>
    <t>Knife Prty</t>
  </si>
  <si>
    <t>Korea</t>
  </si>
  <si>
    <t>Passenger</t>
  </si>
  <si>
    <t>Change (In The House of Flies)</t>
  </si>
  <si>
    <t>Pink Maggit</t>
  </si>
  <si>
    <r>
      <t xml:space="preserve">* Deftones - </t>
    </r>
    <r>
      <rPr>
        <b/>
        <sz val="14"/>
        <color theme="0"/>
        <rFont val="Aptos Narrow"/>
        <scheme val="minor"/>
      </rPr>
      <t>White Pony</t>
    </r>
  </si>
  <si>
    <t>Deftones</t>
  </si>
  <si>
    <t>White Pony</t>
  </si>
  <si>
    <r>
      <t xml:space="preserve">* Dire Straits - </t>
    </r>
    <r>
      <rPr>
        <b/>
        <sz val="14"/>
        <color rgb="FFABA6FF"/>
        <rFont val="Aptos Narrow"/>
        <family val="2"/>
        <scheme val="minor"/>
      </rPr>
      <t>Love Over Gold</t>
    </r>
  </si>
  <si>
    <t>2000s (54)</t>
  </si>
  <si>
    <t>54 álbumes · media 8.76</t>
  </si>
  <si>
    <r>
      <t xml:space="preserve">* Foreigner - </t>
    </r>
    <r>
      <rPr>
        <b/>
        <sz val="14"/>
        <color theme="1" tint="0.249977111117893"/>
        <rFont val="Aptos Narrow"/>
        <family val="2"/>
        <scheme val="minor"/>
      </rPr>
      <t>4</t>
    </r>
  </si>
  <si>
    <t>Night Life</t>
  </si>
  <si>
    <t>Juke Box Hero</t>
  </si>
  <si>
    <t>Break It Up</t>
  </si>
  <si>
    <t>Waiting for a Girl like You</t>
  </si>
  <si>
    <t>Luanne</t>
  </si>
  <si>
    <t>Urgent</t>
  </si>
  <si>
    <t>I'm Gonna Win</t>
  </si>
  <si>
    <t>Woman in Black</t>
  </si>
  <si>
    <t>Girl on the Moon</t>
  </si>
  <si>
    <t>Don't Let Go</t>
  </si>
  <si>
    <t>Foreigner</t>
  </si>
  <si>
    <t>aor, hard rock</t>
  </si>
  <si>
    <t>25/05/2026</t>
  </si>
  <si>
    <r>
      <t xml:space="preserve">* Rainbow - </t>
    </r>
    <r>
      <rPr>
        <b/>
        <sz val="14"/>
        <color rgb="FFFDEB03"/>
        <rFont val="Aptos Narrow"/>
        <family val="2"/>
        <scheme val="minor"/>
      </rPr>
      <t>Rising</t>
    </r>
  </si>
  <si>
    <t>Tarot Woman</t>
  </si>
  <si>
    <t>Run With The Wolf</t>
  </si>
  <si>
    <t>Starstruck</t>
  </si>
  <si>
    <t>Do You Close Your Eyes</t>
  </si>
  <si>
    <t>A Light In The Black</t>
  </si>
  <si>
    <t>Rainbow</t>
  </si>
  <si>
    <t>Rising</t>
  </si>
  <si>
    <t>aor</t>
  </si>
  <si>
    <t>hard rock, heavy metal</t>
  </si>
  <si>
    <t>TOP  Heavy Metal (5 álbumes)</t>
  </si>
  <si>
    <t>Seventh Son of a Seventh Son, The Number of the Beast</t>
  </si>
  <si>
    <t>1970s (9.02)</t>
  </si>
  <si>
    <t>21 álbumes · media 9.02</t>
  </si>
  <si>
    <t>Pilgrimage</t>
  </si>
  <si>
    <t>Porcelain</t>
  </si>
  <si>
    <t>Horo</t>
  </si>
  <si>
    <t>Easter Lily</t>
  </si>
  <si>
    <t>Parfun d'étoiles</t>
  </si>
  <si>
    <t>Kirinakijima</t>
  </si>
  <si>
    <t>Sagu Palm's Song</t>
  </si>
  <si>
    <t>chinuhaji</t>
  </si>
  <si>
    <t>Red Silence</t>
  </si>
  <si>
    <t>Hagupit</t>
  </si>
  <si>
    <t>Dawn in the Adan</t>
  </si>
  <si>
    <t>ohayashi</t>
  </si>
  <si>
    <t>Adan no Shima no Tanjyosai</t>
  </si>
  <si>
    <r>
      <t>* The Smiths -</t>
    </r>
    <r>
      <rPr>
        <b/>
        <sz val="14"/>
        <color rgb="FFFF6699"/>
        <rFont val="Aptos Narrow"/>
        <family val="2"/>
        <scheme val="minor"/>
      </rPr>
      <t xml:space="preserve"> The Queen Is Dead</t>
    </r>
  </si>
  <si>
    <t>The Queen Is Dead</t>
  </si>
  <si>
    <t>Frankly, Mr. Shankly</t>
  </si>
  <si>
    <t>I Know It's Over</t>
  </si>
  <si>
    <t>Never Had No One Ever</t>
  </si>
  <si>
    <t>Cementary Gates</t>
  </si>
  <si>
    <t>Bigmouth Strikes Again</t>
  </si>
  <si>
    <t>The Boy with the Thorn in His Side</t>
  </si>
  <si>
    <t>Vicar in a Tutu</t>
  </si>
  <si>
    <t>There Is a Light That Never Goes Out</t>
  </si>
  <si>
    <t>Some Girls Are Bigger Than Others</t>
  </si>
  <si>
    <t>Ichiko Aoba</t>
  </si>
  <si>
    <t>Windswept Adan</t>
  </si>
  <si>
    <t>progressive metal, alternative metal, post metal</t>
  </si>
  <si>
    <t>progressive rock, art rock, psychedelic rock, rock opera</t>
  </si>
  <si>
    <t>classic rock, folk rock, hard rock</t>
  </si>
  <si>
    <t>progressive rock, progressive metal, post brit pop</t>
  </si>
  <si>
    <t>classic rock, roots rock, blues rock, art rock</t>
  </si>
  <si>
    <t>trip hop, electronic, experimental rock</t>
  </si>
  <si>
    <t>post metal, folk metal, atmospheric black metal</t>
  </si>
  <si>
    <t>progressive metal, death metal, groove metal</t>
  </si>
  <si>
    <t>french house, mashup, electronic, electroclash, post industrial</t>
  </si>
  <si>
    <t>alternative rock, art pop, electropop, hip hop, neo psychedelia</t>
  </si>
  <si>
    <t>garage rock, indie rock, garage rock revival</t>
  </si>
  <si>
    <t>pop rap, hip hop, chipmunk soul, experimental hip hop</t>
  </si>
  <si>
    <t>thrash metal, heavy metal, alternative metal</t>
  </si>
  <si>
    <t>singer songwriter, chamber folk</t>
  </si>
  <si>
    <t>26/05/2026</t>
  </si>
  <si>
    <r>
      <t xml:space="preserve">* Ichiko Aoba - </t>
    </r>
    <r>
      <rPr>
        <b/>
        <sz val="14"/>
        <color rgb="FFDBFDF1"/>
        <rFont val="Aptos Narrow"/>
        <family val="2"/>
        <scheme val="minor"/>
      </rPr>
      <t>Windswept Adan</t>
    </r>
  </si>
  <si>
    <t>The Smiths</t>
  </si>
  <si>
    <t>chamber folk</t>
  </si>
  <si>
    <t>jangle pop, indie pop</t>
  </si>
  <si>
    <r>
      <t xml:space="preserve">* Morbid Angel - </t>
    </r>
    <r>
      <rPr>
        <b/>
        <sz val="14"/>
        <color rgb="FFEA0000"/>
        <rFont val="Aptos Narrow"/>
        <family val="2"/>
        <scheme val="minor"/>
      </rPr>
      <t>Altars of Madness</t>
    </r>
  </si>
  <si>
    <t>Immortal Rites</t>
  </si>
  <si>
    <t>Suffocation</t>
  </si>
  <si>
    <t>Visions from the Dark Side</t>
  </si>
  <si>
    <t>Maze of Torment</t>
  </si>
  <si>
    <t>Lord of All Fevers &amp; Plague</t>
  </si>
  <si>
    <t>Chapel of Ghouls</t>
  </si>
  <si>
    <t>Bleed for the Devil</t>
  </si>
  <si>
    <t>Blasphemy</t>
  </si>
  <si>
    <t>Evil Spells</t>
  </si>
  <si>
    <t>Morbid Angel</t>
  </si>
  <si>
    <t>Altars of Madness</t>
  </si>
  <si>
    <t>jangle pop</t>
  </si>
  <si>
    <t>TOP  Death Metal (10 álbumes)</t>
  </si>
  <si>
    <t>27/05/2026</t>
  </si>
  <si>
    <r>
      <t xml:space="preserve">* Slayer - </t>
    </r>
    <r>
      <rPr>
        <b/>
        <sz val="14"/>
        <color rgb="FFC00000"/>
        <rFont val="Aptos Narrow"/>
        <family val="2"/>
        <scheme val="minor"/>
      </rPr>
      <t>Reign In Blood</t>
    </r>
  </si>
  <si>
    <t>Angel Of Death</t>
  </si>
  <si>
    <t>Piece By Piece</t>
  </si>
  <si>
    <t>Necrophobic</t>
  </si>
  <si>
    <t>Altar Of Sacrifice</t>
  </si>
  <si>
    <t>Jesus Saves</t>
  </si>
  <si>
    <t>Criminally Insane</t>
  </si>
  <si>
    <t>Epidemic</t>
  </si>
  <si>
    <t>Postmortem</t>
  </si>
  <si>
    <t>Raining Blood</t>
  </si>
  <si>
    <t>Slayer</t>
  </si>
  <si>
    <t>Reign In Blood</t>
  </si>
  <si>
    <t>28m</t>
  </si>
  <si>
    <t>28/05/2026</t>
  </si>
  <si>
    <t>Sweat</t>
  </si>
  <si>
    <t>Hush</t>
  </si>
  <si>
    <t>Part Of Me</t>
  </si>
  <si>
    <t>Cold And Ugly</t>
  </si>
  <si>
    <t>Jerk-Off</t>
  </si>
  <si>
    <t>Opiate</t>
  </si>
  <si>
    <r>
      <t xml:space="preserve">* TOOL - </t>
    </r>
    <r>
      <rPr>
        <b/>
        <sz val="14"/>
        <color rgb="FFC8C364"/>
        <rFont val="Aptos Narrow"/>
        <family val="2"/>
        <scheme val="minor"/>
      </rPr>
      <t>Opiate</t>
    </r>
  </si>
  <si>
    <t>TOP  Thrash Metal (7 álbumes)</t>
  </si>
  <si>
    <t>17 álbumes · media 8.84</t>
  </si>
  <si>
    <t>My Old Man</t>
  </si>
  <si>
    <t>This Old Dog</t>
  </si>
  <si>
    <t>Baby You're Out</t>
  </si>
  <si>
    <t>For the First Time</t>
  </si>
  <si>
    <t>One Another</t>
  </si>
  <si>
    <t>Still Beating</t>
  </si>
  <si>
    <t>Sister</t>
  </si>
  <si>
    <t>Dreams from Yesterday</t>
  </si>
  <si>
    <t>A Wolf Who Wears Sheeps Clothes</t>
  </si>
  <si>
    <t>One More Love Song</t>
  </si>
  <si>
    <t>On the Level</t>
  </si>
  <si>
    <t>Moonlight on the River</t>
  </si>
  <si>
    <t>Watching Him Fade Away</t>
  </si>
  <si>
    <t>Mac DeMarco</t>
  </si>
  <si>
    <t>singer songwriter, indie pop</t>
  </si>
  <si>
    <r>
      <t xml:space="preserve">* Boards of Canada - </t>
    </r>
    <r>
      <rPr>
        <b/>
        <sz val="14"/>
        <color rgb="FFE4C52C"/>
        <rFont val="Aptos Narrow"/>
        <family val="2"/>
        <scheme val="minor"/>
      </rPr>
      <t>Inferno</t>
    </r>
  </si>
  <si>
    <t>Introit</t>
  </si>
  <si>
    <t>Prophecy At 1420 MHz</t>
  </si>
  <si>
    <t>Hydrogen Helium Lithium Leviathan</t>
  </si>
  <si>
    <t>Age Of Capricorn</t>
  </si>
  <si>
    <t>Somewhere Right Now In The Future</t>
  </si>
  <si>
    <t>Naraka</t>
  </si>
  <si>
    <t>Acts Of Magic</t>
  </si>
  <si>
    <t>Memory Death</t>
  </si>
  <si>
    <t>The Word Becomes Flesh</t>
  </si>
  <si>
    <t>Into The Magic Land</t>
  </si>
  <si>
    <t>Blood In The Labyrinth</t>
  </si>
  <si>
    <t>Deep Time</t>
  </si>
  <si>
    <t>All Reason Departs</t>
  </si>
  <si>
    <t>Arena Americanada</t>
  </si>
  <si>
    <t>The Process</t>
  </si>
  <si>
    <t>You Retreat In Time And Space</t>
  </si>
  <si>
    <t>I Saw Through Platonia</t>
  </si>
  <si>
    <t>Inferno</t>
  </si>
  <si>
    <t>1h 9m</t>
  </si>
  <si>
    <t>29/05/2026</t>
  </si>
  <si>
    <t>1998 - 2026</t>
  </si>
  <si>
    <t>TOP  Idm (6 álbumes)</t>
  </si>
  <si>
    <t>Music Has The Right To Children, Geogaddi, Inferno</t>
  </si>
  <si>
    <t>TOP  Downtempo (6 álbumes)</t>
  </si>
  <si>
    <t>Canción</t>
  </si>
  <si>
    <t>33 álbumes · media 8.09</t>
  </si>
  <si>
    <t>1979</t>
  </si>
  <si>
    <t>4</t>
  </si>
  <si>
    <r>
      <t xml:space="preserve">* Helmet - </t>
    </r>
    <r>
      <rPr>
        <b/>
        <sz val="14"/>
        <color rgb="FF0040C0"/>
        <rFont val="Aptos Narrow"/>
        <scheme val="minor"/>
      </rPr>
      <t>Meantime</t>
    </r>
  </si>
  <si>
    <t>In The Meantime</t>
  </si>
  <si>
    <t>Iron Head</t>
  </si>
  <si>
    <t>Give It</t>
  </si>
  <si>
    <t>Unsung</t>
  </si>
  <si>
    <t>Turned Out</t>
  </si>
  <si>
    <t>He Feels Bad</t>
  </si>
  <si>
    <t>Better</t>
  </si>
  <si>
    <t>You Borrowed</t>
  </si>
  <si>
    <t>FBLA II</t>
  </si>
  <si>
    <t>Role Model</t>
  </si>
  <si>
    <t>Helmet</t>
  </si>
  <si>
    <t>Meantime</t>
  </si>
  <si>
    <t>alternative metal, post hardcore</t>
  </si>
  <si>
    <t>30/05/2026</t>
  </si>
  <si>
    <t>Lateralus, 10,000 Days, Ænima, Salival [LIVE], Undertow</t>
  </si>
  <si>
    <r>
      <t xml:space="preserve">* The Prodigy - </t>
    </r>
    <r>
      <rPr>
        <b/>
        <sz val="14"/>
        <color rgb="FFFF4A23"/>
        <rFont val="Aptos Narrow"/>
        <scheme val="minor"/>
      </rPr>
      <t>The Fat of the Land</t>
    </r>
  </si>
  <si>
    <t>Smack My Bitch Up</t>
  </si>
  <si>
    <t>Breathe</t>
  </si>
  <si>
    <t>Diesel Power</t>
  </si>
  <si>
    <t>Funky Shit</t>
  </si>
  <si>
    <t>Serial Thrilla</t>
  </si>
  <si>
    <t>Mindfields</t>
  </si>
  <si>
    <t>Narayan</t>
  </si>
  <si>
    <t>Firestarter</t>
  </si>
  <si>
    <t>Climbatize</t>
  </si>
  <si>
    <t>Fuel My Fire</t>
  </si>
  <si>
    <t>The Prodigy</t>
  </si>
  <si>
    <t>The Fat of the Land</t>
  </si>
  <si>
    <t>big beat</t>
  </si>
  <si>
    <t>31/05/2026</t>
  </si>
  <si>
    <r>
      <t>* Opeth -</t>
    </r>
    <r>
      <rPr>
        <b/>
        <sz val="14"/>
        <color rgb="FFFEDB2A"/>
        <rFont val="Aptos Narrow"/>
        <family val="2"/>
        <scheme val="minor"/>
      </rPr>
      <t xml:space="preserve"> In Cauda Venenum</t>
    </r>
  </si>
  <si>
    <t>Garden of Earthly Delights</t>
  </si>
  <si>
    <t>Dignity</t>
  </si>
  <si>
    <t xml:space="preserve">Heart In Hand </t>
  </si>
  <si>
    <t>Next of Kin</t>
  </si>
  <si>
    <t>Lovelorn Crime</t>
  </si>
  <si>
    <t>Charlatan</t>
  </si>
  <si>
    <t>Universal Truth</t>
  </si>
  <si>
    <t>The Garroter</t>
  </si>
  <si>
    <t>Continuum</t>
  </si>
  <si>
    <t>All Things Will Pass</t>
  </si>
  <si>
    <t>26m</t>
  </si>
  <si>
    <t>In Cauda Venenum</t>
  </si>
  <si>
    <t>1992 - 2019</t>
  </si>
  <si>
    <t>01/06/2026</t>
  </si>
  <si>
    <r>
      <t xml:space="preserve">* Ne Obliviscaris  - </t>
    </r>
    <r>
      <rPr>
        <b/>
        <sz val="14"/>
        <color rgb="FFFF3300"/>
        <rFont val="Aptos Narrow"/>
        <family val="2"/>
        <scheme val="minor"/>
      </rPr>
      <t>Portal of I</t>
    </r>
  </si>
  <si>
    <t>Tapestry of the Starless Abstract</t>
  </si>
  <si>
    <t>Xenoflux</t>
  </si>
  <si>
    <t>Of the Leper Butterflies</t>
  </si>
  <si>
    <t>Forget Not</t>
  </si>
  <si>
    <t>And Plague Flowers the Kaleidoscope</t>
  </si>
  <si>
    <t>As Icicles Fall</t>
  </si>
  <si>
    <t>Of Petrichor Weaves Black Noise</t>
  </si>
  <si>
    <t>Ne Obliviscaris</t>
  </si>
  <si>
    <t>Portal of I</t>
  </si>
  <si>
    <t>TOP  Progressive Rock (21 álbumes)</t>
  </si>
  <si>
    <t>Blackwater Park, Ghost Reveries, Deliverance</t>
  </si>
  <si>
    <t>rock</t>
  </si>
  <si>
    <t>r&amp;b</t>
  </si>
  <si>
    <t>pop</t>
  </si>
  <si>
    <t>folk</t>
  </si>
  <si>
    <t>metal</t>
  </si>
  <si>
    <t>psychedelia</t>
  </si>
  <si>
    <t>singer-songwriter</t>
  </si>
  <si>
    <t>punk</t>
  </si>
  <si>
    <t>jazz</t>
  </si>
  <si>
    <t>industrial &amp; noise</t>
  </si>
  <si>
    <t>SUBGÉNERO</t>
  </si>
  <si>
    <t>GÉNERO PADRE</t>
  </si>
  <si>
    <t>GÉNEROS ÚNICOS</t>
  </si>
  <si>
    <t>Subgéneros</t>
  </si>
  <si>
    <t>TOP Electronic (29 álbumes)</t>
  </si>
  <si>
    <t>TOP Pop (21 álbumes)</t>
  </si>
  <si>
    <t>TOP Hip Hop (19 álbumes)</t>
  </si>
  <si>
    <t>TOP Punk (7 álbumes)</t>
  </si>
  <si>
    <t>TOP Ambient (5 álbumes)</t>
  </si>
  <si>
    <t>TOP R&amp;b (4 álbumes)</t>
  </si>
  <si>
    <t>TOP Psychedelia (2 álbumes)</t>
  </si>
  <si>
    <t>TOP Jazz (2 álbumes)</t>
  </si>
  <si>
    <t>TOP New Age (1 álbumes)</t>
  </si>
  <si>
    <t>TOP Industrial &amp; Noise (1 álbumes)</t>
  </si>
  <si>
    <t>TOP 100 CANCIONES 10.5 + relleno 10 · máx. 1 por álbum</t>
  </si>
  <si>
    <t>Subgénero</t>
  </si>
  <si>
    <t>SUBGÉNEROS</t>
  </si>
  <si>
    <t>Álbumes con subgénero</t>
  </si>
  <si>
    <t>Subgéneros únicos</t>
  </si>
  <si>
    <t>DESGLOSE POR SUBGÉNERO</t>
  </si>
  <si>
    <t>3 · media 9.29 · score 9.46</t>
  </si>
  <si>
    <t>1 · media 9.21 · score 9.34</t>
  </si>
  <si>
    <t>3 · media 9.19 · score 9.21</t>
  </si>
  <si>
    <t>2 · media 9.16 · score 9.28</t>
  </si>
  <si>
    <t>1 · media 9.08 · score 9.17</t>
  </si>
  <si>
    <t>1 · media 9.06 · score 9.1</t>
  </si>
  <si>
    <t>1 · media 9.06 · score 9.02</t>
  </si>
  <si>
    <t>8 · media 9 · score 9.02</t>
  </si>
  <si>
    <t>2 · media 8.91 · score 8.82</t>
  </si>
  <si>
    <t>1 · media 8.9 · score 8.88</t>
  </si>
  <si>
    <t>21 · media 8.89 · score 8.94</t>
  </si>
  <si>
    <t>1 · media 8.89 · score 8.87</t>
  </si>
  <si>
    <t>1 · media 8.88 · score 8.81</t>
  </si>
  <si>
    <t>1 · media 8.88 · score 8.77</t>
  </si>
  <si>
    <t>1 · media 8.86 · score 8.83</t>
  </si>
  <si>
    <t>1 · media 8.85 · score 8.72</t>
  </si>
  <si>
    <t>2 · media 8.84 · score 8.9</t>
  </si>
  <si>
    <t>2 · media 8.84 · score 8.77</t>
  </si>
  <si>
    <t>1 · media 8.83 · score 8.86</t>
  </si>
  <si>
    <t>1 · media 8.83 · score 8.72</t>
  </si>
  <si>
    <t>1 · media 8.8 · score 8.97</t>
  </si>
  <si>
    <t>1 · media 8.8 · score 8.87</t>
  </si>
  <si>
    <t>6 · media 8.79 · score 8.78</t>
  </si>
  <si>
    <t>5 · media 8.79 · score 8.82</t>
  </si>
  <si>
    <t>4 · media 8.77 · score 8.77</t>
  </si>
  <si>
    <t>1 · media 8.77 · score 8.65</t>
  </si>
  <si>
    <t>8 · media 8.76 · score 8.7</t>
  </si>
  <si>
    <t>7 · media 8.76 · score 8.76</t>
  </si>
  <si>
    <t>1 · media 8.75 · score 8.78</t>
  </si>
  <si>
    <t>1 · media 8.75 · score 8.7</t>
  </si>
  <si>
    <t>1 · media 8.75 · score 8.67</t>
  </si>
  <si>
    <t>1 · media 8.75 · score 8.65</t>
  </si>
  <si>
    <t>1 · media 8.75 · score 8.63</t>
  </si>
  <si>
    <t>10 · media 8.74 · score 8.72</t>
  </si>
  <si>
    <t>6 · media 8.73 · score 8.71</t>
  </si>
  <si>
    <t>4 · media 8.73 · score 8.75</t>
  </si>
  <si>
    <t>3 · media 8.73 · score 8.76</t>
  </si>
  <si>
    <t>1 · media 8.73 · score 8.76</t>
  </si>
  <si>
    <t>1 · media 8.73 · score 8.63</t>
  </si>
  <si>
    <t>1 · media 8.73 · score 8.62</t>
  </si>
  <si>
    <t>1 · media 8.71 · score 8.65</t>
  </si>
  <si>
    <t>3 · media 8.7 · score 8.93</t>
  </si>
  <si>
    <t>1 · media 8.7 · score 8.61</t>
  </si>
  <si>
    <t>5 · media 8.69 · score 8.64</t>
  </si>
  <si>
    <t>1 · media 8.69 · score 8.54</t>
  </si>
  <si>
    <t>1 · media 8.69 · score 8.53</t>
  </si>
  <si>
    <t>16 · media 8.68 · score 8.71</t>
  </si>
  <si>
    <t>4 · media 8.68 · score 8.66</t>
  </si>
  <si>
    <t>2 · media 8.68 · score 8.65</t>
  </si>
  <si>
    <t>2 · media 8.67 · score 8.67</t>
  </si>
  <si>
    <t>2 · media 8.67 · score 8.59</t>
  </si>
  <si>
    <t>1 · media 8.67 · score 8.79</t>
  </si>
  <si>
    <t>1 · media 8.67 · score 8.58</t>
  </si>
  <si>
    <t>2 · media 8.64 · score 8.58</t>
  </si>
  <si>
    <t>2 · media 8.64 · score 8.63</t>
  </si>
  <si>
    <t>1 · media 8.63 · score 8.54</t>
  </si>
  <si>
    <t>2 · media 8.62 · score 8.57</t>
  </si>
  <si>
    <t>3 · media 8.61 · score 8.52</t>
  </si>
  <si>
    <t>1 · media 8.6 · score 8.6</t>
  </si>
  <si>
    <t>1 · media 8.6 · score 8.54</t>
  </si>
  <si>
    <t>4 · media 8.59 · score 8.57</t>
  </si>
  <si>
    <t>4 · media 8.59 · score 8.55</t>
  </si>
  <si>
    <t>2 · media 8.59 · score 8.63</t>
  </si>
  <si>
    <t>2 · media 8.59 · score 8.5</t>
  </si>
  <si>
    <t>4 · media 8.58 · score 8.55</t>
  </si>
  <si>
    <t>6 · media 8.56 · score 8.57</t>
  </si>
  <si>
    <t>2 · media 8.56 · score 8.47</t>
  </si>
  <si>
    <t>2 · media 8.56 · score 8.49</t>
  </si>
  <si>
    <t>1 · media 8.55 · score 8.6</t>
  </si>
  <si>
    <t>1 · media 8.55 · score 8.47</t>
  </si>
  <si>
    <t>2 · media 8.53 · score 8.51</t>
  </si>
  <si>
    <t>1 · media 8.5 · score 8.43</t>
  </si>
  <si>
    <t>3 · media 8.45 · score 8.35</t>
  </si>
  <si>
    <t>1 · media 8.45 · score 8.38</t>
  </si>
  <si>
    <t>1 · media 8.44 · score 8.39</t>
  </si>
  <si>
    <t>1 · media 8.44 · score 8.34</t>
  </si>
  <si>
    <t>2 · media 8.43 · score 8.35</t>
  </si>
  <si>
    <t>1 · media 8.43 · score 8.38</t>
  </si>
  <si>
    <t>8 · media 8.41 · score 8.35</t>
  </si>
  <si>
    <t>3 · media 8.41 · score 8.33</t>
  </si>
  <si>
    <t>1 · media 8.4 · score 8.37</t>
  </si>
  <si>
    <t>1 · media 8.38 · score 8.33</t>
  </si>
  <si>
    <t>1 · media 8.38 · score 8.25</t>
  </si>
  <si>
    <t>2 · media 8.32 · score 8.18</t>
  </si>
  <si>
    <t>4 · media 8.22 · score 8.15</t>
  </si>
  <si>
    <t>1 · media 8.18 · score 8.06</t>
  </si>
  <si>
    <t>1 · media 8.11 · score 8</t>
  </si>
  <si>
    <t>1 · media 8 · score 7.79</t>
  </si>
  <si>
    <t>10 · media 7.98 · score 7.93</t>
  </si>
  <si>
    <t>3 · media 7.93 · score 7.81</t>
  </si>
  <si>
    <t>1 · media 7.71 · score 7.61</t>
  </si>
  <si>
    <t>1 · media 7.67 · score 7.66</t>
  </si>
  <si>
    <t>1 · media 7.29 · score 7.16</t>
  </si>
  <si>
    <t>GÉNEROS PADRE</t>
  </si>
  <si>
    <t>Álbumes con género padre</t>
  </si>
  <si>
    <t>Géneros padre únicos</t>
  </si>
  <si>
    <t>r&amp;b (8.82)</t>
  </si>
  <si>
    <t>industrial &amp; noise (8)</t>
  </si>
  <si>
    <t>Mejor 3rd EYE SCORE</t>
  </si>
  <si>
    <t>Peor 3rd EYE SCORE</t>
  </si>
  <si>
    <t>industrial &amp; noise (7.79)</t>
  </si>
  <si>
    <t>Más variado (nº subgéneros)</t>
  </si>
  <si>
    <t>rock (34)</t>
  </si>
  <si>
    <t>DESGLOSE POR GÉNERO PADRE</t>
  </si>
  <si>
    <t>4 álb · 5 subg · media 8.82 · score 8.78</t>
  </si>
  <si>
    <t>29 álb · 15 subg · media 8.64 · score 8.63</t>
  </si>
  <si>
    <t>21 álb · 11 subg · media 8.66 · score 8.62</t>
  </si>
  <si>
    <t>2 álb · 2 subg · media 8.57 · score 8.46</t>
  </si>
  <si>
    <t>1 álb · 1 subg · media 8.4 · score 8.37</t>
  </si>
  <si>
    <t>2 álb · 2 subg · media 8.42 · score 8.32</t>
  </si>
  <si>
    <t>19 álb · 15 subg · media 8.32 · score 8.26</t>
  </si>
  <si>
    <t>1 álb · 1 subg · media 8 · score 7.79</t>
  </si>
  <si>
    <t>MEJOR ÁLBUM POR GÉNERO PADRE</t>
  </si>
  <si>
    <t>Christopher Larkin - Hollow Knight [OST] (9)</t>
  </si>
  <si>
    <t>Marvin Gaye - What's Going On (9.1)</t>
  </si>
  <si>
    <t>Fishmans - LONG SEASON (10.85)</t>
  </si>
  <si>
    <t>Interpol - Turn On The Bright Lights (8.93)</t>
  </si>
  <si>
    <t>TOOL - Lateralus (10.99)</t>
  </si>
  <si>
    <t>Radiohead - Kid A (9.37)</t>
  </si>
  <si>
    <t>Jeff Buckley - Grace (8.74)</t>
  </si>
  <si>
    <t>Ichiko Aoba - Windswept Adan (8.72)</t>
  </si>
  <si>
    <t>Masayoshi Takanaka - SEYCHELLES (8.53)</t>
  </si>
  <si>
    <t>Enigma - MCMXC a.D. (8.37)</t>
  </si>
  <si>
    <t>Magdalena Bay - Imaginal Disk (8.63)</t>
  </si>
  <si>
    <t>Kendrick Lamar - To Pimp A Butterfly (8.88)</t>
  </si>
  <si>
    <t>Daft Punk - Human After All (7.79)</t>
  </si>
  <si>
    <t>NOTA</t>
  </si>
  <si>
    <t>con un subgénero nuevo (que no tiene género padre asignado), se tiene que asignar aquí</t>
  </si>
  <si>
    <t>su género padre.</t>
  </si>
  <si>
    <t>Los géneros padre se rellenan manualmente, es decir, si hay una review que incluye un álbum</t>
  </si>
  <si>
    <t>Swerve City</t>
  </si>
  <si>
    <t>Romantic Dreams</t>
  </si>
  <si>
    <t>Leathers</t>
  </si>
  <si>
    <t>Poltergeist</t>
  </si>
  <si>
    <t>Entombed</t>
  </si>
  <si>
    <t>Graphic Nature</t>
  </si>
  <si>
    <t>Tempest</t>
  </si>
  <si>
    <t>Gauze</t>
  </si>
  <si>
    <t>Rosemary</t>
  </si>
  <si>
    <t>Goon Squad</t>
  </si>
  <si>
    <t>What Happened to You?</t>
  </si>
  <si>
    <r>
      <t xml:space="preserve">* Deftones - </t>
    </r>
    <r>
      <rPr>
        <b/>
        <sz val="14"/>
        <color rgb="FFD82222"/>
        <rFont val="Aptos Narrow"/>
        <family val="2"/>
        <scheme val="minor"/>
      </rPr>
      <t>Koi No Yokan</t>
    </r>
  </si>
  <si>
    <t>Koi No Yokan</t>
  </si>
  <si>
    <t>02/06/2026</t>
  </si>
  <si>
    <t>Speed Trials</t>
  </si>
  <si>
    <t>Alameda</t>
  </si>
  <si>
    <t>Ballad Of Big Nothing</t>
  </si>
  <si>
    <t>Between The Bars</t>
  </si>
  <si>
    <t>Pictures Of Me</t>
  </si>
  <si>
    <t>No Name No. 5</t>
  </si>
  <si>
    <t>Rose Parade</t>
  </si>
  <si>
    <t>Punch And Judy</t>
  </si>
  <si>
    <t>Angeles</t>
  </si>
  <si>
    <t>Cupid's Trick</t>
  </si>
  <si>
    <t>2:45 AM</t>
  </si>
  <si>
    <t>Say Yes</t>
  </si>
  <si>
    <r>
      <t xml:space="preserve">* Mac DeMarco - </t>
    </r>
    <r>
      <rPr>
        <b/>
        <sz val="14"/>
        <color rgb="FF716B00"/>
        <rFont val="Aptos Narrow"/>
        <family val="2"/>
        <scheme val="minor"/>
      </rPr>
      <t>This Old Dog</t>
    </r>
  </si>
  <si>
    <r>
      <t xml:space="preserve">* Elliott Smith - </t>
    </r>
    <r>
      <rPr>
        <b/>
        <sz val="14"/>
        <color rgb="FF392E4C"/>
        <rFont val="Aptos Narrow"/>
        <family val="2"/>
        <scheme val="minor"/>
      </rPr>
      <t>Either/Or</t>
    </r>
  </si>
  <si>
    <r>
      <t xml:space="preserve">* Slint - </t>
    </r>
    <r>
      <rPr>
        <b/>
        <sz val="14"/>
        <color theme="0" tint="-0.249977111117893"/>
        <rFont val="Aptos Narrow"/>
        <family val="2"/>
        <scheme val="minor"/>
      </rPr>
      <t>Spiderland</t>
    </r>
  </si>
  <si>
    <t>Elliott Smith</t>
  </si>
  <si>
    <t>Either/Or</t>
  </si>
  <si>
    <t>2000 - 2012</t>
  </si>
  <si>
    <t>TOP  Alternative Metal (13 álbumes)</t>
  </si>
  <si>
    <t>White Pony, Koi No Yokan</t>
  </si>
  <si>
    <t>17   (0.81%)</t>
  </si>
  <si>
    <t>13 · media 8.47 · score 8.56</t>
  </si>
  <si>
    <t>singer songwriter, indie folk</t>
  </si>
  <si>
    <t>TOP  Singer Songwriter (5 álbumes)</t>
  </si>
  <si>
    <t>indie folk</t>
  </si>
  <si>
    <t>TOP Singer-songwriter (5 álbumes)</t>
  </si>
  <si>
    <t>5 · media 8.69 · score 8.59</t>
  </si>
  <si>
    <t>1 · media 8.58 · score 8.51</t>
  </si>
  <si>
    <t>5 álb · 1 subg · media 8.69 · score 8.59</t>
  </si>
  <si>
    <t>TOP Folk (4 álbumes)</t>
  </si>
  <si>
    <t>4 álb · 4 subg · media 8.65 · score 8.56</t>
  </si>
  <si>
    <t>2 · media 8.76 · score 8.68</t>
  </si>
  <si>
    <t>7 álb · 3 subg · media 8.68 · score 8.66</t>
  </si>
  <si>
    <t>★</t>
  </si>
  <si>
    <t>Tis A Pity She Was A Whore</t>
  </si>
  <si>
    <t>Sue (Or In A Season Of Crime)</t>
  </si>
  <si>
    <t>Girl Loves Me</t>
  </si>
  <si>
    <t>Dollar Days</t>
  </si>
  <si>
    <t>I Can't Give Everything Away</t>
  </si>
  <si>
    <r>
      <t xml:space="preserve">* David Bowie - </t>
    </r>
    <r>
      <rPr>
        <b/>
        <sz val="14"/>
        <color theme="1" tint="0.14999847407452621"/>
        <rFont val="Aptos Narrow"/>
        <family val="2"/>
        <scheme val="minor"/>
      </rPr>
      <t>★ [Blackstar]</t>
    </r>
  </si>
  <si>
    <t>★ [Blackstar]</t>
  </si>
  <si>
    <t>31   (1.48%)</t>
  </si>
  <si>
    <t>4 · media 8.75 · score 8.91</t>
  </si>
  <si>
    <t>ambient (8.89)</t>
  </si>
  <si>
    <t>5 álb · 2 subg · media 8.78 · score 8.89</t>
  </si>
  <si>
    <t>03/06/2026</t>
  </si>
  <si>
    <t>1977 - 2016</t>
  </si>
  <si>
    <t>TOP  Art Rock (19 álbumes)</t>
  </si>
  <si>
    <t>TOP Rock (95 álbumes)</t>
  </si>
  <si>
    <t>19 · media 8.97 · score 9.07</t>
  </si>
  <si>
    <t>7 · media 8.96 · score 8.94</t>
  </si>
  <si>
    <t>6 · media 8.79 · score 8.75</t>
  </si>
  <si>
    <t>rock (95)</t>
  </si>
  <si>
    <t>95 álb · 34 subg · media 8.7 · score 8.7</t>
  </si>
  <si>
    <t>30 álbumes · media 8.52</t>
  </si>
  <si>
    <t>ALIVE 2007</t>
  </si>
  <si>
    <t>GY!BE</t>
  </si>
  <si>
    <t>LYSFLATH</t>
  </si>
  <si>
    <r>
      <t xml:space="preserve">* Opeth - </t>
    </r>
    <r>
      <rPr>
        <b/>
        <sz val="14"/>
        <color rgb="FFFF158A"/>
        <rFont val="Aptos Narrow"/>
        <family val="2"/>
        <scheme val="minor"/>
      </rPr>
      <t>Orchid</t>
    </r>
  </si>
  <si>
    <t>In Mist She Was Standing</t>
  </si>
  <si>
    <t>Under The Weeping Moon</t>
  </si>
  <si>
    <t>Silhouette</t>
  </si>
  <si>
    <t>Forest Of October</t>
  </si>
  <si>
    <t>The Twilight Is My Robe</t>
  </si>
  <si>
    <t>Requiem</t>
  </si>
  <si>
    <t>The Apostle In Triumph</t>
  </si>
  <si>
    <t>Orchid</t>
  </si>
  <si>
    <t>-1.34 ← sesgo alto</t>
  </si>
  <si>
    <t>7.78 ← colas pesadas</t>
  </si>
  <si>
    <t>8 (×483)</t>
  </si>
  <si>
    <t>MEDIA DE NOTAS POR NÚMERO DE CANCIÓN</t>
  </si>
  <si>
    <t>progressive metal, melodic death metal</t>
  </si>
  <si>
    <t>04/06/2026</t>
  </si>
  <si>
    <t>progressive metal, death metal, progressive rock, melodic death metal</t>
  </si>
  <si>
    <t>1995 - 2024</t>
  </si>
  <si>
    <t>TOP  Progressive Metal (28 álbumes)</t>
  </si>
  <si>
    <t>TOP Metal (60 álbumes)</t>
  </si>
  <si>
    <t>204 de 204</t>
  </si>
  <si>
    <t>progressive metal (28)</t>
  </si>
  <si>
    <t>60 álb · 18 subg · media 8.62 · score 8.63</t>
  </si>
  <si>
    <t>45 álbumes · media 8.64</t>
  </si>
  <si>
    <t>r=-0.295 · ↓ débil</t>
  </si>
  <si>
    <t>r=0.133 · ≈ nula</t>
  </si>
  <si>
    <t>Álbumes con al menos 1 cancion: 204</t>
  </si>
  <si>
    <t>Álbumes con al menos 2 canciones: 203</t>
  </si>
  <si>
    <t>Álbumes con al menos 3 canciones: 203</t>
  </si>
  <si>
    <t>Álbumes con al menos 4 canciones: 201</t>
  </si>
  <si>
    <t>Álbumes con al menos 5 canciones: 198</t>
  </si>
  <si>
    <t>Álbumes con al menos 7 canciones: 175</t>
  </si>
  <si>
    <t>Álbumes con al menos 8 canciones: 159</t>
  </si>
  <si>
    <t>Álbumes con al menos 9 canciones: 141</t>
  </si>
  <si>
    <t>Álbumes con al menos 10 canciones: 113</t>
  </si>
  <si>
    <t>Álbumes con al menos 11 canciones: 87</t>
  </si>
  <si>
    <t>Álbumes con al menos 12 canciones: 65</t>
  </si>
  <si>
    <t>Álbumes con al menos 13 canciones: 43</t>
  </si>
  <si>
    <t>Álbumes con al menos 14 canciones: 27</t>
  </si>
  <si>
    <t>Álbumes con al menos 15 canciones: 21</t>
  </si>
  <si>
    <t>261   (12.43%)</t>
  </si>
  <si>
    <t>943   (44.9%)</t>
  </si>
  <si>
    <t>487  (23.19%)</t>
  </si>
  <si>
    <t>361(17.19%)</t>
  </si>
  <si>
    <t>28 · media 8.75 · score 8.81</t>
  </si>
  <si>
    <t>2 · media 8.38 · score 8.29</t>
  </si>
  <si>
    <t>r=-0.092   · ≈ nula</t>
  </si>
  <si>
    <t>r=0.117 · ≈ nula</t>
  </si>
  <si>
    <t>r=0.124 · ≈ nula</t>
  </si>
  <si>
    <t>r=-0.176         · ≈ nula</t>
  </si>
  <si>
    <t>r=0.559      · ↑ moderada</t>
  </si>
  <si>
    <t>Notas ≥10 (r=0.559)</t>
  </si>
  <si>
    <t>Total canciones   (r=-0.092)</t>
  </si>
  <si>
    <t>Álbumes con al menos 6 canciones: 186</t>
  </si>
  <si>
    <t>8.57, [-0.04]</t>
  </si>
  <si>
    <t>8.43, [-0.15]</t>
  </si>
  <si>
    <t>8.44, [-0.14]</t>
  </si>
  <si>
    <t>8.28, [-0.27]</t>
  </si>
  <si>
    <t>8.28, [-0.22]</t>
  </si>
  <si>
    <t>8.33, [-0.21]</t>
  </si>
  <si>
    <t>8.39, [-0.17]</t>
  </si>
  <si>
    <t>8.26, [-0.32]</t>
  </si>
  <si>
    <t>8.41, [-0.09]</t>
  </si>
  <si>
    <t>8.17, [-0.34]</t>
  </si>
  <si>
    <t>MEDIA DE NOTAS POR PORCENTAJE DE CANCIÓN</t>
  </si>
  <si>
    <t>8.49, [-0.14]</t>
  </si>
  <si>
    <t>8.52, [-0.11]</t>
  </si>
  <si>
    <t>8.34, [-0.28]</t>
  </si>
  <si>
    <t>8.47, [-0.14]</t>
  </si>
  <si>
    <t>8.54, [-0.07]</t>
  </si>
  <si>
    <t>Media canciones al 10% del álbum</t>
  </si>
  <si>
    <t>Media canciones al 20% del álbum</t>
  </si>
  <si>
    <t>Media canciones al 30% del álbum</t>
  </si>
  <si>
    <t>Media canciones al 40% del álbum</t>
  </si>
  <si>
    <t>Media canciones al 50% del álbum</t>
  </si>
  <si>
    <t>Media canciones al 60% del álbum</t>
  </si>
  <si>
    <t>Media canciones al 70% del álbum</t>
  </si>
  <si>
    <t>Media canciones al 80% del álbum</t>
  </si>
  <si>
    <t>Media canciones al 90% del álbum</t>
  </si>
  <si>
    <t>Media canciones al 100% del álbum</t>
  </si>
  <si>
    <t>9.00, [+0.36]</t>
  </si>
  <si>
    <t>8.80, [+0.16]</t>
  </si>
  <si>
    <t>8.78, [+0.15]</t>
  </si>
  <si>
    <t>8.72, [+0.09]</t>
  </si>
  <si>
    <t>8.98, [+0.34]</t>
  </si>
  <si>
    <t>8.87, [+0.24]</t>
  </si>
  <si>
    <t>8.81, [+0.19]</t>
  </si>
  <si>
    <t>8.73, [+0.11]</t>
  </si>
  <si>
    <t>8.61, [+0.02]</t>
  </si>
  <si>
    <t>ambient techno, IDM, idm, d&amp;b</t>
  </si>
  <si>
    <t>Supertramp - Even In The Quietest Moments... (9.02)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</si>
</sst>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11" x14ac:knownFonts="1">
    <font>
      <sz val="12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rgb="FFFF0000"/>
      <name val="Aptos Narrow"/>
      <scheme val="minor"/>
    </font>
    <font>
      <b/>
      <sz val="14"/>
      <color theme="1"/>
      <name val="Aptos Narrow"/>
      <scheme val="minor"/>
    </font>
    <font>
      <b/>
      <sz val="14"/>
      <color rgb="FFFFFF00"/>
      <name val="Aptos Narrow"/>
      <scheme val="minor"/>
    </font>
    <font>
      <sz val="14"/>
      <color rgb="FFFFFF00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11"/>
      <color rgb="FFDFB87E"/>
      <name val="Aptos Narrow"/>
      <scheme val="minor"/>
    </font>
    <font>
      <sz val="11"/>
      <color rgb="FFDFB87E"/>
      <name val="Aptos Narrow"/>
      <scheme val="minor"/>
    </font>
    <font>
      <sz val="9.5"/>
      <color rgb="FFFFD100"/>
      <name val="Aptos Narrow"/>
      <scheme val="minor"/>
    </font>
    <font>
      <b/>
      <sz val="9.5"/>
      <color rgb="FFFFD100"/>
      <name val="Aptos Narrow"/>
      <scheme val="minor"/>
    </font>
    <font>
      <b/>
      <sz val="12"/>
      <color theme="1"/>
      <name val="Aptos Narrow"/>
      <family val="2"/>
      <scheme val="minor"/>
    </font>
    <font>
      <b/>
      <sz val="12"/>
      <color rgb="FFFFFFFF"/>
      <name val="Aptos Narrow"/>
      <family val="2"/>
      <scheme val="minor"/>
    </font>
    <font>
      <b/>
      <sz val="12"/>
      <color rgb="FF000000"/>
      <name val="Aptos Narrow"/>
      <family val="2"/>
      <scheme val="minor"/>
    </font>
    <font>
      <b/>
      <sz val="13"/>
      <color rgb="FFE79200"/>
      <name val="Aptos Narrow"/>
      <scheme val="minor"/>
    </font>
    <font>
      <sz val="13"/>
      <color rgb="FFE79200"/>
      <name val="Aptos Narrow"/>
      <scheme val="minor"/>
    </font>
    <font>
      <b/>
      <sz val="13"/>
      <color theme="0"/>
      <name val="Aptos Narrow"/>
      <family val="2"/>
      <scheme val="minor"/>
    </font>
    <font>
      <sz val="13"/>
      <color theme="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theme="0"/>
      <name val="Aptos Narrow"/>
      <family val="2"/>
      <scheme val="minor"/>
    </font>
    <font>
      <b/>
      <sz val="12"/>
      <color theme="5" tint="-0.499984740745262"/>
      <name val="Aptos Narrow"/>
      <scheme val="minor"/>
    </font>
    <font>
      <sz val="12"/>
      <color theme="5" tint="-0.499984740745262"/>
      <name val="Aptos Narrow"/>
      <scheme val="minor"/>
    </font>
    <font>
      <b/>
      <sz val="14"/>
      <color rgb="FFFFD7D6"/>
      <name val="Aptos Narrow"/>
      <scheme val="minor"/>
    </font>
    <font>
      <sz val="14"/>
      <color rgb="FFFFD7D6"/>
      <name val="Aptos Narrow"/>
      <scheme val="minor"/>
    </font>
    <font>
      <b/>
      <sz val="12"/>
      <color rgb="FFFF47CC"/>
      <name val="Aptos Narrow"/>
      <scheme val="minor"/>
    </font>
    <font>
      <sz val="12"/>
      <color rgb="FFFF47CC"/>
      <name val="Aptos Narrow"/>
      <scheme val="minor"/>
    </font>
    <font>
      <b/>
      <sz val="12"/>
      <color rgb="FF2D80D5"/>
      <name val="Aptos Narrow"/>
      <scheme val="minor"/>
    </font>
    <font>
      <sz val="12"/>
      <color rgb="FF2D80D5"/>
      <name val="Aptos Narrow"/>
      <scheme val="minor"/>
    </font>
    <font>
      <b/>
      <sz val="14"/>
      <color theme="1" tint="0.249977111117893"/>
      <name val="Aptos Narrow"/>
      <family val="2"/>
      <scheme val="minor"/>
    </font>
    <font>
      <sz val="14"/>
      <color theme="1" tint="0.249977111117893"/>
      <name val="Aptos Narrow"/>
      <family val="2"/>
      <scheme val="minor"/>
    </font>
    <font>
      <b/>
      <sz val="12"/>
      <color rgb="FF2D80D5"/>
      <name val="Aptos Narrow"/>
      <family val="2"/>
      <scheme val="minor"/>
    </font>
    <font>
      <b/>
      <sz val="13"/>
      <color rgb="FF0070C0"/>
      <name val="Aptos Narrow"/>
      <family val="2"/>
      <scheme val="minor"/>
    </font>
    <font>
      <sz val="13"/>
      <color rgb="FF0070C0"/>
      <name val="Aptos Narrow"/>
      <family val="2"/>
      <scheme val="minor"/>
    </font>
    <font>
      <sz val="12"/>
      <color rgb="FFF7E2AD"/>
      <name val="Aptos Narrow"/>
      <family val="2"/>
      <scheme val="minor"/>
    </font>
    <font>
      <b/>
      <sz val="12"/>
      <color rgb="FFF7E2AD"/>
      <name val="Aptos Narrow"/>
      <family val="2"/>
      <scheme val="minor"/>
    </font>
    <font>
      <b/>
      <sz val="14"/>
      <color rgb="FFFF0000"/>
      <name val="Aptos Narrow"/>
      <scheme val="minor"/>
    </font>
    <font>
      <sz val="14"/>
      <color rgb="FFFF0000"/>
      <name val="Aptos Narrow"/>
      <scheme val="minor"/>
    </font>
    <font>
      <b/>
      <sz val="14"/>
      <color theme="3" tint="0.749992370372631"/>
      <name val="Aptos Narrow"/>
      <scheme val="minor"/>
    </font>
    <font>
      <sz val="14"/>
      <color theme="3" tint="0.749992370372631"/>
      <name val="Aptos Narrow"/>
      <scheme val="minor"/>
    </font>
    <font>
      <b/>
      <sz val="14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sz val="12"/>
      <color rgb="FFF9FF01"/>
      <name val="Aptos Narrow"/>
      <family val="2"/>
      <scheme val="minor"/>
    </font>
    <font>
      <b/>
      <sz val="12"/>
      <color rgb="FFF9FF01"/>
      <name val="Aptos Narrow"/>
      <family val="2"/>
      <scheme val="minor"/>
    </font>
    <font>
      <sz val="10"/>
      <color theme="3" tint="0.249977111117893"/>
      <name val="Aptos Narrow"/>
      <family val="2"/>
      <scheme val="minor"/>
    </font>
    <font>
      <b/>
      <sz val="10"/>
      <color theme="3" tint="0.249977111117893"/>
      <name val="Aptos Narrow"/>
      <family val="2"/>
      <scheme val="minor"/>
    </font>
    <font>
      <sz val="14"/>
      <color theme="3" tint="0.499984740745262"/>
      <name val="Aptos Narrow"/>
      <scheme val="minor"/>
    </font>
    <font>
      <b/>
      <sz val="14"/>
      <color theme="3" tint="0.499984740745262"/>
      <name val="Aptos Narrow"/>
      <scheme val="minor"/>
    </font>
    <font>
      <sz val="14"/>
      <color rgb="FFF23B27"/>
      <name val="Aptos Narrow"/>
      <scheme val="minor"/>
    </font>
    <font>
      <b/>
      <sz val="14"/>
      <color rgb="FFF23B27"/>
      <name val="Aptos Narrow"/>
      <scheme val="minor"/>
    </font>
    <font>
      <sz val="14"/>
      <color theme="0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theme="5" tint="-0.499984740745262"/>
      <name val="Aptos Narrow"/>
      <family val="2"/>
      <scheme val="minor"/>
    </font>
    <font>
      <b/>
      <sz val="14"/>
      <color theme="5" tint="-0.499984740745262"/>
      <name val="Aptos Narrow"/>
      <family val="2"/>
      <scheme val="minor"/>
    </font>
    <font>
      <b/>
      <sz val="14"/>
      <color theme="9" tint="-0.249977111117893"/>
      <name val="Aptos Narrow"/>
      <scheme val="minor"/>
    </font>
    <font>
      <sz val="14"/>
      <color theme="9" tint="-0.249977111117893"/>
      <name val="Aptos Narrow"/>
      <scheme val="minor"/>
    </font>
    <font>
      <b/>
      <sz val="14"/>
      <color rgb="FF273005"/>
      <name val="Aptos Narrow"/>
      <scheme val="minor"/>
    </font>
    <font>
      <sz val="14"/>
      <color rgb="FF273005"/>
      <name val="Aptos Narrow"/>
      <scheme val="minor"/>
    </font>
    <font>
      <b/>
      <sz val="14"/>
      <color theme="0" tint="-0.14999847407452621"/>
      <name val="Aptos Narrow"/>
      <scheme val="minor"/>
    </font>
    <font>
      <sz val="14"/>
      <color theme="0" tint="-0.14999847407452621"/>
      <name val="Aptos Narrow"/>
      <scheme val="minor"/>
    </font>
    <font>
      <b/>
      <sz val="14"/>
      <color rgb="FF360000"/>
      <name val="Aptos Narrow"/>
      <family val="2"/>
      <scheme val="minor"/>
    </font>
    <font>
      <sz val="14"/>
      <color rgb="FF360000"/>
      <name val="Aptos Narrow"/>
      <family val="2"/>
      <scheme val="minor"/>
    </font>
    <font>
      <b/>
      <sz val="14"/>
      <color rgb="FFFFC000"/>
      <name val="Aptos Narrow"/>
      <family val="2"/>
      <scheme val="minor"/>
    </font>
    <font>
      <sz val="14"/>
      <color rgb="FFFFC000"/>
      <name val="Aptos Narrow"/>
      <family val="2"/>
      <scheme val="minor"/>
    </font>
    <font>
      <b/>
      <sz val="14"/>
      <color rgb="FF623FE1"/>
      <name val="Aptos Narrow"/>
      <family val="2"/>
      <scheme val="minor"/>
    </font>
    <font>
      <sz val="14"/>
      <color rgb="FF623FE1"/>
      <name val="Aptos Narrow"/>
      <family val="2"/>
      <scheme val="minor"/>
    </font>
    <font>
      <b/>
      <sz val="14"/>
      <color theme="0" tint="-0.249977111117893"/>
      <name val="Aptos Narrow"/>
      <scheme val="minor"/>
    </font>
    <font>
      <sz val="14"/>
      <color theme="0" tint="-0.249977111117893"/>
      <name val="Aptos Narrow"/>
      <scheme val="minor"/>
    </font>
    <font>
      <b/>
      <sz val="14"/>
      <color theme="8" tint="0.79998168889431442"/>
      <name val="Aptos Narrow"/>
      <family val="2"/>
      <scheme val="minor"/>
    </font>
    <font>
      <sz val="14"/>
      <color theme="8" tint="0.79998168889431442"/>
      <name val="Aptos Narrow"/>
      <family val="2"/>
      <scheme val="minor"/>
    </font>
    <font>
      <b/>
      <sz val="14"/>
      <color theme="8" tint="0.39997558519241921"/>
      <name val="Aptos Narrow"/>
      <scheme val="minor"/>
    </font>
    <font>
      <sz val="14"/>
      <color theme="8" tint="0.39997558519241921"/>
      <name val="Aptos Narrow"/>
      <scheme val="minor"/>
    </font>
    <font>
      <b/>
      <sz val="14"/>
      <color rgb="FF9C0000"/>
      <name val="Aptos Narrow"/>
      <scheme val="minor"/>
    </font>
    <font>
      <sz val="14"/>
      <color rgb="FF9C0000"/>
      <name val="Aptos Narrow"/>
      <scheme val="minor"/>
    </font>
    <font>
      <b/>
      <sz val="14"/>
      <color theme="4"/>
      <name val="Aptos Narrow"/>
      <scheme val="minor"/>
    </font>
    <font>
      <sz val="14"/>
      <color theme="4"/>
      <name val="Aptos Narrow"/>
      <scheme val="minor"/>
    </font>
    <font>
      <b/>
      <sz val="14"/>
      <color rgb="FF00B0F0"/>
      <name val="Aptos Narrow"/>
      <scheme val="minor"/>
    </font>
    <font>
      <sz val="14"/>
      <color rgb="FF00B0F0"/>
      <name val="Aptos Narrow"/>
      <scheme val="minor"/>
    </font>
    <font>
      <b/>
      <sz val="14"/>
      <color theme="5" tint="0.79998168889431442"/>
      <name val="Aptos Narrow"/>
      <scheme val="minor"/>
    </font>
    <font>
      <sz val="14"/>
      <color theme="5" tint="0.79998168889431442"/>
      <name val="Aptos Narrow"/>
      <scheme val="minor"/>
    </font>
    <font>
      <b/>
      <sz val="14"/>
      <color rgb="FF592B22"/>
      <name val="Aptos Narrow"/>
      <scheme val="minor"/>
    </font>
    <font>
      <sz val="14"/>
      <color rgb="FF592B22"/>
      <name val="Aptos Narrow"/>
      <scheme val="minor"/>
    </font>
    <font>
      <b/>
      <sz val="14"/>
      <color theme="8" tint="-0.249977111117893"/>
      <name val="Aptos Narrow"/>
      <scheme val="minor"/>
    </font>
    <font>
      <sz val="14"/>
      <color theme="8" tint="-0.249977111117893"/>
      <name val="Aptos Narrow"/>
      <scheme val="minor"/>
    </font>
    <font>
      <b/>
      <sz val="14"/>
      <color theme="5" tint="-0.499984740745262"/>
      <name val="Aptos Narrow"/>
      <scheme val="minor"/>
    </font>
    <font>
      <sz val="14"/>
      <color theme="5" tint="-0.499984740745262"/>
      <name val="Aptos Narrow"/>
      <scheme val="minor"/>
    </font>
    <font>
      <b/>
      <sz val="14"/>
      <color theme="0"/>
      <name val="Aptos Narrow"/>
      <scheme val="minor"/>
    </font>
    <font>
      <sz val="14"/>
      <color theme="0"/>
      <name val="Aptos Narrow"/>
      <scheme val="minor"/>
    </font>
    <font>
      <b/>
      <sz val="14"/>
      <color theme="1" tint="0.14999847407452621"/>
      <name val="Aptos Narrow"/>
      <scheme val="minor"/>
    </font>
    <font>
      <sz val="14"/>
      <color theme="1" tint="0.14999847407452621"/>
      <name val="Aptos Narrow"/>
      <scheme val="minor"/>
    </font>
    <font>
      <b/>
      <sz val="14"/>
      <color theme="7" tint="-0.249977111117893"/>
      <name val="Aptos Narrow"/>
      <scheme val="minor"/>
    </font>
    <font>
      <sz val="14"/>
      <color theme="7" tint="-0.249977111117893"/>
      <name val="Aptos Narrow"/>
      <scheme val="minor"/>
    </font>
    <font>
      <b/>
      <sz val="14"/>
      <color theme="0" tint="-0.499984740745262"/>
      <name val="Aptos Narrow"/>
      <family val="2"/>
      <scheme val="minor"/>
    </font>
    <font>
      <sz val="14"/>
      <color theme="0" tint="-0.499984740745262"/>
      <name val="Aptos Narrow"/>
      <family val="2"/>
      <scheme val="minor"/>
    </font>
    <font>
      <b/>
      <sz val="14"/>
      <color theme="1" tint="0.249977111117893"/>
      <name val="Aptos Narrow"/>
      <scheme val="minor"/>
    </font>
    <font>
      <sz val="14"/>
      <color theme="1" tint="0.249977111117893"/>
      <name val="Aptos Narrow"/>
      <scheme val="minor"/>
    </font>
    <font>
      <b/>
      <sz val="14"/>
      <color rgb="FF210000"/>
      <name val="Aptos Narrow"/>
      <scheme val="minor"/>
    </font>
    <font>
      <sz val="14"/>
      <color rgb="FF210000"/>
      <name val="Aptos Narrow"/>
      <scheme val="minor"/>
    </font>
    <font>
      <sz val="14"/>
      <color rgb="FFFFCC00"/>
      <name val="Aptos Narrow"/>
      <family val="2"/>
      <scheme val="minor"/>
    </font>
    <font>
      <b/>
      <sz val="14"/>
      <color rgb="FFFFCC00"/>
      <name val="Aptos Narrow"/>
      <family val="2"/>
      <scheme val="minor"/>
    </font>
    <font>
      <sz val="14"/>
      <color theme="0" tint="-0.14999847407452621"/>
      <name val="Aptos Narrow"/>
      <family val="2"/>
      <scheme val="minor"/>
    </font>
    <font>
      <b/>
      <sz val="14"/>
      <color theme="0" tint="-0.14999847407452621"/>
      <name val="Aptos Narrow"/>
      <family val="2"/>
      <scheme val="minor"/>
    </font>
    <font>
      <sz val="14"/>
      <color rgb="FFCC9900"/>
      <name val="Aptos Narrow"/>
      <family val="2"/>
      <scheme val="minor"/>
    </font>
    <font>
      <b/>
      <sz val="14"/>
      <color rgb="FFCC9900"/>
      <name val="Aptos Narrow"/>
      <family val="2"/>
      <scheme val="minor"/>
    </font>
    <font>
      <sz val="14"/>
      <name val="Aptos Narrow"/>
      <family val="2"/>
      <scheme val="minor"/>
    </font>
    <font>
      <b/>
      <sz val="14"/>
      <name val="Aptos Narrow"/>
      <family val="2"/>
      <scheme val="minor"/>
    </font>
    <font>
      <sz val="12"/>
      <color theme="1" tint="0.249977111117893"/>
      <name val="Aptos Narrow"/>
      <scheme val="minor"/>
    </font>
    <font>
      <b/>
      <sz val="12"/>
      <color theme="1" tint="0.249977111117893"/>
      <name val="Aptos Narrow"/>
      <scheme val="minor"/>
    </font>
    <font>
      <sz val="14"/>
      <color rgb="FFFF6A00"/>
      <name val="Aptos Narrow"/>
      <scheme val="minor"/>
    </font>
    <font>
      <b/>
      <sz val="14"/>
      <color rgb="FFFF6A00"/>
      <name val="Aptos Narrow"/>
      <scheme val="minor"/>
    </font>
    <font>
      <b/>
      <sz val="12"/>
      <color rgb="FFFF2905"/>
      <name val="Aptos Narrow"/>
      <family val="2"/>
      <scheme val="minor"/>
    </font>
    <font>
      <sz val="12"/>
      <color rgb="FFFF2905"/>
      <name val="Aptos Narrow"/>
      <family val="2"/>
      <scheme val="minor"/>
    </font>
    <font>
      <sz val="14"/>
      <color rgb="FFB40000"/>
      <name val="Aptos Narrow"/>
      <family val="2"/>
      <scheme val="minor"/>
    </font>
    <font>
      <b/>
      <sz val="14"/>
      <color rgb="FFB40000"/>
      <name val="Aptos Narrow"/>
      <family val="2"/>
      <scheme val="minor"/>
    </font>
    <font>
      <b/>
      <sz val="13"/>
      <color rgb="FFFFFFFF"/>
      <name val="Aptos Narrow"/>
      <family val="2"/>
      <scheme val="minor"/>
    </font>
    <font>
      <b/>
      <sz val="10"/>
      <color rgb="FFFFFFFF"/>
      <name val="Aptos Narrow"/>
      <family val="2"/>
      <scheme val="minor"/>
    </font>
    <font>
      <sz val="14"/>
      <color rgb="FF449010"/>
      <name val="Aptos Narrow"/>
      <family val="2"/>
      <scheme val="minor"/>
    </font>
    <font>
      <b/>
      <sz val="14"/>
      <color rgb="FF449010"/>
      <name val="Aptos Narrow"/>
      <family val="2"/>
      <scheme val="minor"/>
    </font>
    <font>
      <sz val="11"/>
      <color rgb="FFFF6A00"/>
      <name val="Aptos Narrow"/>
      <family val="2"/>
      <scheme val="minor"/>
    </font>
    <font>
      <b/>
      <sz val="11"/>
      <color rgb="FFFF6A00"/>
      <name val="Aptos Narrow"/>
      <family val="2"/>
      <scheme val="minor"/>
    </font>
    <font>
      <sz val="14"/>
      <color rgb="FF663300"/>
      <name val="Aptos Narrow"/>
      <family val="2"/>
      <scheme val="minor"/>
    </font>
    <font>
      <b/>
      <sz val="14"/>
      <color rgb="FF663300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4"/>
      <color rgb="FFFF6A00"/>
      <name val="Aptos Narrow"/>
      <family val="2"/>
      <scheme val="minor"/>
    </font>
    <font>
      <b/>
      <sz val="14"/>
      <color rgb="FFFF6A00"/>
      <name val="Aptos Narrow"/>
      <family val="2"/>
      <scheme val="minor"/>
    </font>
    <font>
      <b/>
      <sz val="11"/>
      <color rgb="FFC00000"/>
      <name val="Aptos Narrow"/>
      <scheme val="minor"/>
    </font>
    <font>
      <sz val="11"/>
      <color rgb="FFC00000"/>
      <name val="Aptos Narrow"/>
      <scheme val="minor"/>
    </font>
    <font>
      <sz val="14"/>
      <color rgb="FFEFC849"/>
      <name val="Aptos Narrow"/>
      <scheme val="minor"/>
    </font>
    <font>
      <b/>
      <sz val="14"/>
      <color rgb="FFEFC849"/>
      <name val="Aptos Narrow"/>
      <scheme val="minor"/>
    </font>
    <font>
      <sz val="10"/>
      <color rgb="FFCCCC00"/>
      <name val="Aptos Narrow"/>
      <family val="2"/>
      <scheme val="minor"/>
    </font>
    <font>
      <b/>
      <sz val="10"/>
      <color rgb="FFCCCC00"/>
      <name val="Aptos Narrow"/>
      <family val="2"/>
      <scheme val="minor"/>
    </font>
    <font>
      <sz val="14"/>
      <color rgb="FFE7442F"/>
      <name val="Aptos Narrow"/>
      <scheme val="minor"/>
    </font>
    <font>
      <b/>
      <sz val="14"/>
      <color rgb="FFE7442F"/>
      <name val="Aptos Narrow"/>
      <scheme val="minor"/>
    </font>
    <font>
      <sz val="10.5"/>
      <color theme="1"/>
      <name val="Aptos Narrow"/>
      <family val="2"/>
      <scheme val="minor"/>
    </font>
    <font>
      <b/>
      <sz val="10.5"/>
      <color theme="1"/>
      <name val="Aptos Narrow"/>
      <family val="2"/>
      <scheme val="minor"/>
    </font>
    <font>
      <sz val="14"/>
      <color rgb="FF97C0E9"/>
      <name val="Aptos Narrow"/>
      <family val="2"/>
      <scheme val="minor"/>
    </font>
    <font>
      <b/>
      <sz val="14"/>
      <color rgb="FF97C0E9"/>
      <name val="Aptos Narrow"/>
      <family val="2"/>
      <scheme val="minor"/>
    </font>
    <font>
      <sz val="14"/>
      <color rgb="FFEA251F"/>
      <name val="Aptos Narrow"/>
      <family val="2"/>
      <scheme val="minor"/>
    </font>
    <font>
      <b/>
      <sz val="14"/>
      <color rgb="FFEA251F"/>
      <name val="Aptos Narrow"/>
      <family val="2"/>
      <scheme val="minor"/>
    </font>
    <font>
      <sz val="14"/>
      <color theme="1" tint="0.34998626667073579"/>
      <name val="Aptos Narrow"/>
      <family val="2"/>
      <scheme val="minor"/>
    </font>
    <font>
      <b/>
      <sz val="14"/>
      <color theme="1" tint="0.34998626667073579"/>
      <name val="Aptos Narrow"/>
      <family val="2"/>
      <scheme val="minor"/>
    </font>
    <font>
      <sz val="12"/>
      <color theme="1" tint="0.14999847407452621"/>
      <name val="Aptos Narrow"/>
      <family val="2"/>
      <scheme val="minor"/>
    </font>
    <font>
      <b/>
      <sz val="12"/>
      <color theme="1" tint="0.14999847407452621"/>
      <name val="Aptos Narrow"/>
      <family val="2"/>
      <scheme val="minor"/>
    </font>
    <font>
      <sz val="14"/>
      <color rgb="FFFCA304"/>
      <name val="Aptos Narrow"/>
      <family val="2"/>
      <scheme val="minor"/>
    </font>
    <font>
      <b/>
      <sz val="14"/>
      <color rgb="FFFCA304"/>
      <name val="Aptos Narrow"/>
      <family val="2"/>
      <scheme val="minor"/>
    </font>
    <font>
      <sz val="12"/>
      <color theme="3" tint="0.499984740745262"/>
      <name val="Aptos Narrow"/>
      <family val="2"/>
      <scheme val="minor"/>
    </font>
    <font>
      <b/>
      <sz val="12"/>
      <color theme="3" tint="0.499984740745262"/>
      <name val="Aptos Narrow"/>
      <family val="2"/>
      <scheme val="minor"/>
    </font>
    <font>
      <sz val="14"/>
      <color rgb="FF40298B"/>
      <name val="Aptos Narrow"/>
      <family val="2"/>
      <scheme val="minor"/>
    </font>
    <font>
      <b/>
      <sz val="14"/>
      <color rgb="FF40298B"/>
      <name val="Aptos Narrow"/>
      <family val="2"/>
      <scheme val="minor"/>
    </font>
    <font>
      <sz val="14"/>
      <color theme="1"/>
      <name val="Aptos Narrow"/>
      <scheme val="minor"/>
    </font>
    <font>
      <sz val="12"/>
      <color rgb="FF663300"/>
      <name val="Aptos Narrow"/>
      <family val="2"/>
      <scheme val="minor"/>
    </font>
    <font>
      <b/>
      <sz val="12"/>
      <color rgb="FF663300"/>
      <name val="Aptos Narrow"/>
      <family val="2"/>
      <scheme val="minor"/>
    </font>
    <font>
      <sz val="14"/>
      <color rgb="FF002E25"/>
      <name val="Aptos Narrow"/>
      <family val="2"/>
      <scheme val="minor"/>
    </font>
    <font>
      <b/>
      <sz val="14"/>
      <color rgb="FF002E25"/>
      <name val="Aptos Narrow"/>
      <family val="2"/>
      <scheme val="minor"/>
    </font>
    <font>
      <sz val="14"/>
      <color rgb="FF3E2A22"/>
      <name val="Aptos Narrow"/>
      <scheme val="minor"/>
    </font>
    <font>
      <b/>
      <sz val="14"/>
      <color rgb="FF3E2A22"/>
      <name val="Aptos Narrow"/>
      <scheme val="minor"/>
    </font>
    <font>
      <sz val="12"/>
      <color rgb="FFFFA800"/>
      <name val="Aptos Narrow"/>
      <scheme val="minor"/>
    </font>
    <font>
      <b/>
      <sz val="12"/>
      <color rgb="FFFFA800"/>
      <name val="Aptos Narrow"/>
      <scheme val="minor"/>
    </font>
    <font>
      <sz val="14"/>
      <color rgb="FFF8D006"/>
      <name val="Aptos Narrow"/>
      <family val="2"/>
      <scheme val="minor"/>
    </font>
    <font>
      <b/>
      <sz val="14"/>
      <color rgb="FFF8D006"/>
      <name val="Aptos Narrow"/>
      <family val="2"/>
      <scheme val="minor"/>
    </font>
    <font>
      <sz val="14"/>
      <color theme="2"/>
      <name val="Aptos Narrow"/>
      <family val="2"/>
      <scheme val="minor"/>
    </font>
    <font>
      <b/>
      <sz val="14"/>
      <color theme="2"/>
      <name val="Aptos Narrow"/>
      <family val="2"/>
      <scheme val="minor"/>
    </font>
    <font>
      <sz val="14"/>
      <color rgb="FFC00000"/>
      <name val="Aptos Narrow"/>
      <family val="2"/>
      <scheme val="minor"/>
    </font>
    <font>
      <b/>
      <sz val="14"/>
      <color rgb="FFC00000"/>
      <name val="Aptos Narrow"/>
      <family val="2"/>
      <scheme val="minor"/>
    </font>
    <font>
      <sz val="12"/>
      <color theme="1" tint="0.249977111117893"/>
      <name val="Aptos Narrow"/>
      <family val="2"/>
      <scheme val="minor"/>
    </font>
    <font>
      <b/>
      <sz val="12"/>
      <color theme="1" tint="0.249977111117893"/>
      <name val="Aptos Narrow"/>
      <family val="2"/>
      <scheme val="minor"/>
    </font>
    <font>
      <sz val="12"/>
      <color rgb="FFFF0000"/>
      <name val="Aptos Narrow"/>
      <family val="2"/>
      <scheme val="minor"/>
    </font>
    <font>
      <b/>
      <sz val="12"/>
      <color rgb="FFFF0000"/>
      <name val="Aptos Narrow"/>
      <family val="2"/>
      <scheme val="minor"/>
    </font>
    <font>
      <sz val="10"/>
      <color rgb="FFFFFF00"/>
      <name val="Aptos Narrow"/>
      <family val="2"/>
      <scheme val="minor"/>
    </font>
    <font>
      <b/>
      <sz val="10"/>
      <color rgb="FFFFFF00"/>
      <name val="Aptos Narrow"/>
      <family val="2"/>
      <scheme val="minor"/>
    </font>
    <font>
      <sz val="14"/>
      <color rgb="FFEACF04"/>
      <name val="Aptos Narrow"/>
      <family val="2"/>
      <scheme val="minor"/>
    </font>
    <font>
      <b/>
      <sz val="14"/>
      <color rgb="FFEACF04"/>
      <name val="Aptos Narrow"/>
      <family val="2"/>
      <scheme val="minor"/>
    </font>
    <font>
      <sz val="14"/>
      <color theme="1" tint="0.14999847407452621"/>
      <name val="Aptos Narrow"/>
      <family val="2"/>
      <scheme val="minor"/>
    </font>
    <font>
      <b/>
      <sz val="14"/>
      <color theme="1" tint="0.14999847407452621"/>
      <name val="Aptos Narrow"/>
      <family val="2"/>
      <scheme val="minor"/>
    </font>
    <font>
      <sz val="14"/>
      <color rgb="FFCC0000"/>
      <name val="Aptos Narrow"/>
      <family val="2"/>
      <scheme val="minor"/>
    </font>
    <font>
      <b/>
      <sz val="14"/>
      <color rgb="FFCC0000"/>
      <name val="Aptos Narrow"/>
      <family val="2"/>
      <scheme val="minor"/>
    </font>
    <font>
      <sz val="14"/>
      <color rgb="FF9B032E"/>
      <name val="Aptos Narrow"/>
      <family val="2"/>
      <scheme val="minor"/>
    </font>
    <font>
      <b/>
      <sz val="14"/>
      <color rgb="FF9B032E"/>
      <name val="Aptos Narrow"/>
      <family val="2"/>
      <scheme val="minor"/>
    </font>
    <font>
      <sz val="12"/>
      <color rgb="FFFF0066"/>
      <name val="Aptos Narrow"/>
      <family val="2"/>
      <scheme val="minor"/>
    </font>
    <font>
      <b/>
      <sz val="12"/>
      <color rgb="FFFF0066"/>
      <name val="Aptos Narrow"/>
      <family val="2"/>
      <scheme val="minor"/>
    </font>
    <font>
      <sz val="14"/>
      <color rgb="FF90AEDA"/>
      <name val="Aptos Narrow"/>
      <scheme val="minor"/>
    </font>
    <font>
      <b/>
      <sz val="14"/>
      <color rgb="FF90AEDA"/>
      <name val="Aptos Narrow"/>
      <scheme val="minor"/>
    </font>
    <font>
      <sz val="12"/>
      <color rgb="FF0070C0"/>
      <name val="Aptos Narrow"/>
      <family val="2"/>
      <scheme val="minor"/>
    </font>
    <font>
      <b/>
      <sz val="12"/>
      <color rgb="FF0070C0"/>
      <name val="Aptos Narrow"/>
      <family val="2"/>
      <scheme val="minor"/>
    </font>
    <font>
      <sz val="12"/>
      <color theme="0" tint="-0.14999847407452621"/>
      <name val="Aptos Narrow"/>
      <family val="2"/>
      <scheme val="minor"/>
    </font>
    <font>
      <b/>
      <sz val="12"/>
      <color theme="0" tint="-0.14999847407452621"/>
      <name val="Aptos Narrow"/>
      <family val="2"/>
      <scheme val="minor"/>
    </font>
    <font>
      <sz val="14"/>
      <color rgb="FF422100"/>
      <name val="Aptos Narrow"/>
      <family val="2"/>
      <scheme val="minor"/>
    </font>
    <font>
      <b/>
      <sz val="14"/>
      <color rgb="FF422100"/>
      <name val="Aptos Narrow"/>
      <family val="2"/>
      <scheme val="minor"/>
    </font>
    <font>
      <sz val="12"/>
      <color rgb="FFE8D4C2"/>
      <name val="Aptos Narrow"/>
      <family val="2"/>
      <scheme val="minor"/>
    </font>
    <font>
      <b/>
      <sz val="12"/>
      <color rgb="FFE8D4C2"/>
      <name val="Aptos Narrow"/>
      <family val="2"/>
      <scheme val="minor"/>
    </font>
    <font>
      <sz val="8"/>
      <name val="Aptos Narrow"/>
      <family val="2"/>
      <scheme val="minor"/>
    </font>
    <font>
      <sz val="10"/>
      <color rgb="FFE8D4C2"/>
      <name val="Aptos Narrow"/>
      <family val="2"/>
      <scheme val="minor"/>
    </font>
    <font>
      <b/>
      <sz val="10"/>
      <color rgb="FFE8D4C2"/>
      <name val="Aptos Narrow"/>
      <family val="2"/>
      <scheme val="minor"/>
    </font>
    <font>
      <sz val="14"/>
      <color rgb="FFFD698C"/>
      <name val="Aptos Narrow"/>
      <family val="2"/>
      <scheme val="minor"/>
    </font>
    <font>
      <b/>
      <sz val="14"/>
      <color rgb="FFFD698C"/>
      <name val="Aptos Narrow"/>
      <family val="2"/>
      <scheme val="minor"/>
    </font>
    <font>
      <b/>
      <sz val="14"/>
      <color rgb="FFD50000"/>
      <name val="Aptos Narrow"/>
      <family val="2"/>
      <scheme val="minor"/>
    </font>
    <font>
      <sz val="14"/>
      <color rgb="FFD50000"/>
      <name val="Aptos Narrow"/>
      <family val="2"/>
      <scheme val="minor"/>
    </font>
    <font>
      <sz val="12"/>
      <color rgb="FFFD5E1F"/>
      <name val="Aptos Narrow"/>
      <family val="2"/>
      <scheme val="minor"/>
    </font>
    <font>
      <b/>
      <sz val="12"/>
      <color rgb="FFFD5E1F"/>
      <name val="Aptos Narrow"/>
      <family val="2"/>
      <scheme val="minor"/>
    </font>
    <font>
      <sz val="11"/>
      <color rgb="FFC00000"/>
      <name val="Aptos Narrow"/>
      <family val="2"/>
      <scheme val="minor"/>
    </font>
    <font>
      <b/>
      <sz val="11"/>
      <color rgb="FFC00000"/>
      <name val="Aptos Narrow"/>
      <family val="2"/>
      <scheme val="minor"/>
    </font>
    <font>
      <sz val="14"/>
      <color rgb="FFFF0066"/>
      <name val="Aptos Narrow"/>
      <family val="2"/>
      <scheme val="minor"/>
    </font>
    <font>
      <b/>
      <sz val="14"/>
      <color rgb="FFFF0066"/>
      <name val="Aptos Narrow"/>
      <family val="2"/>
      <scheme val="minor"/>
    </font>
    <font>
      <sz val="11"/>
      <color rgb="FF00CC99"/>
      <name val="Aptos Narrow"/>
      <family val="2"/>
      <scheme val="minor"/>
    </font>
    <font>
      <b/>
      <sz val="11"/>
      <color rgb="FF00CC99"/>
      <name val="Aptos Narrow"/>
      <family val="2"/>
      <scheme val="minor"/>
    </font>
    <font>
      <sz val="14"/>
      <color rgb="FF61D59E"/>
      <name val="Aptos Narrow"/>
      <family val="2"/>
      <scheme val="minor"/>
    </font>
    <font>
      <b/>
      <sz val="14"/>
      <color rgb="FF61D59E"/>
      <name val="Aptos Narrow"/>
      <family val="2"/>
      <scheme val="minor"/>
    </font>
    <font>
      <sz val="14"/>
      <color rgb="FFFF0000"/>
      <name val="Aptos Narrow"/>
      <family val="2"/>
      <scheme val="minor"/>
    </font>
    <font>
      <b/>
      <sz val="14"/>
      <color rgb="FFFF0000"/>
      <name val="Aptos Narrow"/>
      <family val="2"/>
      <scheme val="minor"/>
    </font>
    <font>
      <sz val="14"/>
      <color rgb="FF533F01"/>
      <name val="Aptos Narrow"/>
      <family val="2"/>
      <scheme val="minor"/>
    </font>
    <font>
      <b/>
      <sz val="14"/>
      <color rgb="FF533F01"/>
      <name val="Aptos Narrow"/>
      <family val="2"/>
      <scheme val="minor"/>
    </font>
    <font>
      <sz val="14"/>
      <color rgb="FF8DF735"/>
      <name val="Aptos Narrow"/>
      <family val="2"/>
      <scheme val="minor"/>
    </font>
    <font>
      <b/>
      <sz val="14"/>
      <color rgb="FF8DF735"/>
      <name val="Aptos Narrow"/>
      <family val="2"/>
      <scheme val="minor"/>
    </font>
    <font>
      <sz val="14"/>
      <color rgb="FF002060"/>
      <name val="Aptos Narrow"/>
      <family val="2"/>
      <scheme val="minor"/>
    </font>
    <font>
      <b/>
      <sz val="14"/>
      <color rgb="FF002060"/>
      <name val="Aptos Narrow"/>
      <family val="2"/>
      <scheme val="minor"/>
    </font>
    <font>
      <sz val="11.5"/>
      <color theme="1"/>
      <name val="Aptos Narrow"/>
      <family val="2"/>
      <scheme val="minor"/>
    </font>
    <font>
      <sz val="14"/>
      <color rgb="FFD0CAC2"/>
      <name val="Aptos Narrow"/>
      <family val="2"/>
      <scheme val="minor"/>
    </font>
    <font>
      <b/>
      <sz val="14"/>
      <color rgb="FFD0CAC2"/>
      <name val="Aptos Narrow"/>
      <family val="2"/>
      <scheme val="minor"/>
    </font>
    <font>
      <sz val="14"/>
      <color theme="8" tint="0.39997558519241921"/>
      <name val="Aptos Narrow"/>
      <family val="2"/>
      <scheme val="minor"/>
    </font>
    <font>
      <b/>
      <sz val="14"/>
      <color theme="8" tint="0.39997558519241921"/>
      <name val="Aptos Narrow"/>
      <family val="2"/>
      <scheme val="minor"/>
    </font>
    <font>
      <sz val="14"/>
      <color rgb="FFCCECFF"/>
      <name val="Aptos Narrow"/>
      <family val="2"/>
      <scheme val="minor"/>
    </font>
    <font>
      <b/>
      <sz val="14"/>
      <color rgb="FFCCECFF"/>
      <name val="Aptos Narrow"/>
      <family val="2"/>
      <scheme val="minor"/>
    </font>
    <font>
      <sz val="12"/>
      <color theme="1"/>
      <name val="High Tower Text"/>
      <family val="1"/>
    </font>
    <font>
      <sz val="13"/>
      <color rgb="FF584F42"/>
      <name val="Aptos Narrow"/>
      <family val="2"/>
      <scheme val="minor"/>
    </font>
    <font>
      <b/>
      <sz val="13"/>
      <color rgb="FF584F42"/>
      <name val="Aptos Narrow"/>
      <family val="2"/>
      <scheme val="minor"/>
    </font>
    <font>
      <sz val="14"/>
      <color rgb="FFEA7204"/>
      <name val="Aptos Narrow"/>
      <family val="2"/>
      <scheme val="minor"/>
    </font>
    <font>
      <b/>
      <sz val="14"/>
      <color rgb="FFEA7204"/>
      <name val="Aptos Narrow"/>
      <family val="2"/>
      <scheme val="minor"/>
    </font>
    <font>
      <sz val="13"/>
      <color rgb="FF3A0000"/>
      <name val="Aptos Narrow"/>
      <scheme val="minor"/>
    </font>
    <font>
      <b/>
      <sz val="13"/>
      <color rgb="FF3A0000"/>
      <name val="Aptos Narrow"/>
      <scheme val="minor"/>
    </font>
    <font>
      <sz val="14"/>
      <color rgb="FFBCDE85"/>
      <name val="Aptos Narrow"/>
      <scheme val="minor"/>
    </font>
    <font>
      <b/>
      <sz val="14"/>
      <color rgb="FFBCDE85"/>
      <name val="Aptos Narrow"/>
      <scheme val="minor"/>
    </font>
    <font>
      <sz val="9.5"/>
      <color rgb="FFFF6699"/>
      <name val="Aptos Narrow"/>
      <family val="2"/>
      <scheme val="minor"/>
    </font>
    <font>
      <b/>
      <sz val="9.5"/>
      <color rgb="FFFF6699"/>
      <name val="Aptos Narrow"/>
      <family val="2"/>
      <scheme val="minor"/>
    </font>
    <font>
      <sz val="14"/>
      <color rgb="FFFE5002"/>
      <name val="Aptos Narrow"/>
      <family val="2"/>
      <scheme val="minor"/>
    </font>
    <font>
      <b/>
      <sz val="14"/>
      <color rgb="FFFE5002"/>
      <name val="Aptos Narrow"/>
      <family val="2"/>
      <scheme val="minor"/>
    </font>
    <font>
      <sz val="14"/>
      <color theme="1" tint="0.499984740745262"/>
      <name val="Aptos Narrow"/>
      <family val="2"/>
      <scheme val="minor"/>
    </font>
    <font>
      <b/>
      <sz val="14"/>
      <color theme="1" tint="0.499984740745262"/>
      <name val="Aptos Narrow"/>
      <family val="2"/>
      <scheme val="minor"/>
    </font>
    <font>
      <sz val="14"/>
      <color rgb="FF00B0F0"/>
      <name val="Aptos Narrow"/>
      <family val="2"/>
      <scheme val="minor"/>
    </font>
    <font>
      <b/>
      <sz val="14"/>
      <color rgb="FF00B0F0"/>
      <name val="Aptos Narrow"/>
      <family val="2"/>
      <scheme val="minor"/>
    </font>
    <font>
      <sz val="14"/>
      <color rgb="FFFF6600"/>
      <name val="Aptos Narrow"/>
      <family val="2"/>
      <scheme val="minor"/>
    </font>
    <font>
      <b/>
      <sz val="14"/>
      <color rgb="FFFF6600"/>
      <name val="Aptos Narrow"/>
      <family val="2"/>
      <scheme val="minor"/>
    </font>
    <font>
      <sz val="12"/>
      <color theme="5" tint="-0.499984740745262"/>
      <name val="Aptos Narrow"/>
      <family val="2"/>
      <scheme val="minor"/>
    </font>
    <font>
      <b/>
      <sz val="12"/>
      <color theme="5" tint="-0.499984740745262"/>
      <name val="Aptos Narrow"/>
      <family val="2"/>
      <scheme val="minor"/>
    </font>
    <font>
      <sz val="14"/>
      <color theme="5" tint="0.79998168889431442"/>
      <name val="Aptos Narrow"/>
      <family val="2"/>
      <scheme val="minor"/>
    </font>
    <font>
      <b/>
      <sz val="14"/>
      <color theme="5" tint="0.79998168889431442"/>
      <name val="Aptos Narrow"/>
      <family val="2"/>
      <scheme val="minor"/>
    </font>
    <font>
      <sz val="14"/>
      <color theme="9" tint="-0.249977111117893"/>
      <name val="Aptos Narrow"/>
      <family val="2"/>
      <scheme val="minor"/>
    </font>
    <font>
      <b/>
      <sz val="14"/>
      <color theme="9" tint="-0.249977111117893"/>
      <name val="Aptos Narrow"/>
      <family val="2"/>
      <scheme val="minor"/>
    </font>
    <font>
      <sz val="14"/>
      <color rgb="FFA3A3A3"/>
      <name val="Aptos Narrow"/>
      <scheme val="minor"/>
    </font>
    <font>
      <b/>
      <sz val="14"/>
      <color rgb="FFA3A3A3"/>
      <name val="Aptos Narrow"/>
      <scheme val="minor"/>
    </font>
    <font>
      <sz val="12"/>
      <color rgb="FFABABAB"/>
      <name val="Aptos Narrow"/>
      <family val="2"/>
      <scheme val="minor"/>
    </font>
    <font>
      <b/>
      <sz val="12"/>
      <color rgb="FFABABAB"/>
      <name val="Aptos Narrow"/>
      <family val="2"/>
      <scheme val="minor"/>
    </font>
    <font>
      <sz val="14"/>
      <color theme="1" tint="0.34998626667073579"/>
      <name val="Aptos Narrow"/>
      <scheme val="minor"/>
    </font>
    <font>
      <b/>
      <sz val="14"/>
      <color theme="1" tint="0.34998626667073579"/>
      <name val="Aptos Narrow"/>
      <scheme val="minor"/>
    </font>
    <font>
      <sz val="14"/>
      <color rgb="FF820041"/>
      <name val="Aptos Narrow"/>
      <family val="2"/>
      <scheme val="minor"/>
    </font>
    <font>
      <b/>
      <sz val="14"/>
      <color rgb="FF820041"/>
      <name val="Aptos Narrow"/>
      <family val="2"/>
      <scheme val="minor"/>
    </font>
    <font>
      <sz val="13"/>
      <color theme="3" tint="0.499984740745262"/>
      <name val="Aptos Narrow"/>
      <family val="2"/>
      <scheme val="minor"/>
    </font>
    <font>
      <b/>
      <sz val="13"/>
      <color theme="3" tint="0.499984740745262"/>
      <name val="Aptos Narrow"/>
      <family val="2"/>
      <scheme val="minor"/>
    </font>
    <font>
      <sz val="14"/>
      <color rgb="FFFDCA0F"/>
      <name val="Aptos Narrow"/>
      <family val="2"/>
      <scheme val="minor"/>
    </font>
    <font>
      <b/>
      <sz val="14"/>
      <color rgb="FFFDCA0F"/>
      <name val="Aptos Narrow"/>
      <family val="2"/>
      <scheme val="minor"/>
    </font>
    <font>
      <sz val="14"/>
      <color rgb="FFF4E71C"/>
      <name val="Aptos Narrow"/>
      <scheme val="minor"/>
    </font>
    <font>
      <b/>
      <sz val="14"/>
      <color rgb="FFF4E71C"/>
      <name val="Aptos Narrow"/>
      <scheme val="minor"/>
    </font>
    <font>
      <sz val="14"/>
      <color rgb="FFE8C80A"/>
      <name val="Aptos Narrow"/>
      <family val="2"/>
      <scheme val="minor"/>
    </font>
    <font>
      <b/>
      <sz val="14"/>
      <color rgb="FFE8C80A"/>
      <name val="Aptos Narrow"/>
      <family val="2"/>
      <scheme val="minor"/>
    </font>
    <font>
      <sz val="14"/>
      <color rgb="FFFEDC0E"/>
      <name val="Aptos Narrow"/>
      <family val="2"/>
      <scheme val="minor"/>
    </font>
    <font>
      <b/>
      <sz val="14"/>
      <color rgb="FFFEDC0E"/>
      <name val="Aptos Narrow"/>
      <family val="2"/>
      <scheme val="minor"/>
    </font>
    <font>
      <sz val="14"/>
      <color rgb="FFCC0066"/>
      <name val="Aptos Narrow"/>
      <family val="2"/>
      <scheme val="minor"/>
    </font>
    <font>
      <b/>
      <sz val="14"/>
      <color rgb="FFCC0066"/>
      <name val="Aptos Narrow"/>
      <family val="2"/>
      <scheme val="minor"/>
    </font>
    <font>
      <sz val="10"/>
      <color rgb="FF007660"/>
      <name val="Aptos Narrow"/>
      <family val="2"/>
      <scheme val="minor"/>
    </font>
    <font>
      <b/>
      <sz val="10"/>
      <color rgb="FF007660"/>
      <name val="Aptos Narrow"/>
      <family val="2"/>
      <scheme val="minor"/>
    </font>
    <font>
      <sz val="14"/>
      <color rgb="FFDE0000"/>
      <name val="Aptos Narrow"/>
      <family val="2"/>
      <scheme val="minor"/>
    </font>
    <font>
      <b/>
      <sz val="14"/>
      <color rgb="FFDE0000"/>
      <name val="Aptos Narrow"/>
      <family val="2"/>
      <scheme val="minor"/>
    </font>
    <font>
      <sz val="9"/>
      <color rgb="FFFEDC0E"/>
      <name val="Aptos Narrow"/>
      <family val="2"/>
      <scheme val="minor"/>
    </font>
    <font>
      <b/>
      <sz val="9"/>
      <color rgb="FFFEDC0E"/>
      <name val="Aptos Narrow"/>
      <family val="2"/>
      <scheme val="minor"/>
    </font>
    <font>
      <sz val="14"/>
      <color rgb="FF000066"/>
      <name val="Aptos Narrow"/>
      <family val="2"/>
      <scheme val="minor"/>
    </font>
    <font>
      <b/>
      <sz val="14"/>
      <color rgb="FF000066"/>
      <name val="Aptos Narrow"/>
      <family val="2"/>
      <scheme val="minor"/>
    </font>
    <font>
      <sz val="14"/>
      <color rgb="FFFFE000"/>
      <name val="Aptos Narrow"/>
      <scheme val="minor"/>
    </font>
    <font>
      <b/>
      <sz val="14"/>
      <color rgb="FFFFE000"/>
      <name val="Aptos Narrow"/>
      <scheme val="minor"/>
    </font>
    <font>
      <sz val="14"/>
      <color rgb="FFABA6FF"/>
      <name val="Aptos Narrow"/>
      <family val="2"/>
      <scheme val="minor"/>
    </font>
    <font>
      <b/>
      <sz val="14"/>
      <color rgb="FFABA6FF"/>
      <name val="Aptos Narrow"/>
      <family val="2"/>
      <scheme val="minor"/>
    </font>
    <font>
      <sz val="14"/>
      <color rgb="FFFDEB03"/>
      <name val="Aptos Narrow"/>
      <family val="2"/>
      <scheme val="minor"/>
    </font>
    <font>
      <b/>
      <sz val="14"/>
      <color rgb="FFFDEB03"/>
      <name val="Aptos Narrow"/>
      <family val="2"/>
      <scheme val="minor"/>
    </font>
    <font>
      <sz val="14"/>
      <color rgb="FFFF6699"/>
      <name val="Aptos Narrow"/>
      <family val="2"/>
      <scheme val="minor"/>
    </font>
    <font>
      <b/>
      <sz val="14"/>
      <color rgb="FFFF6699"/>
      <name val="Aptos Narrow"/>
      <family val="2"/>
      <scheme val="minor"/>
    </font>
    <font>
      <sz val="14"/>
      <color rgb="FFDBFDF1"/>
      <name val="Aptos Narrow"/>
      <family val="2"/>
      <scheme val="minor"/>
    </font>
    <font>
      <b/>
      <sz val="14"/>
      <color rgb="FFDBFDF1"/>
      <name val="Aptos Narrow"/>
      <family val="2"/>
      <scheme val="minor"/>
    </font>
    <font>
      <sz val="14"/>
      <color rgb="FFEA0000"/>
      <name val="Aptos Narrow"/>
      <family val="2"/>
      <scheme val="minor"/>
    </font>
    <font>
      <b/>
      <sz val="14"/>
      <color rgb="FFEA0000"/>
      <name val="Aptos Narrow"/>
      <family val="2"/>
      <scheme val="minor"/>
    </font>
    <font>
      <sz val="14"/>
      <color rgb="FFC8C364"/>
      <name val="Aptos Narrow"/>
      <family val="2"/>
      <scheme val="minor"/>
    </font>
    <font>
      <b/>
      <sz val="14"/>
      <color rgb="FFC8C364"/>
      <name val="Aptos Narrow"/>
      <family val="2"/>
      <scheme val="minor"/>
    </font>
    <font>
      <sz val="14"/>
      <color rgb="FFE4C52C"/>
      <name val="Aptos Narrow"/>
      <family val="2"/>
      <scheme val="minor"/>
    </font>
    <font>
      <b/>
      <sz val="14"/>
      <color rgb="FFE4C52C"/>
      <name val="Aptos Narrow"/>
      <family val="2"/>
      <scheme val="minor"/>
    </font>
    <font>
      <sz val="14"/>
      <color rgb="FF0040C0"/>
      <name val="Aptos Narrow"/>
      <scheme val="minor"/>
    </font>
    <font>
      <b/>
      <sz val="14"/>
      <color rgb="FF0040C0"/>
      <name val="Aptos Narrow"/>
      <scheme val="minor"/>
    </font>
    <font>
      <sz val="14"/>
      <color rgb="FFFF4A23"/>
      <name val="Aptos Narrow"/>
      <scheme val="minor"/>
    </font>
    <font>
      <b/>
      <sz val="14"/>
      <color rgb="FFFF4A23"/>
      <name val="Aptos Narrow"/>
      <scheme val="minor"/>
    </font>
    <font>
      <sz val="14"/>
      <color rgb="FFFEDB2A"/>
      <name val="Aptos Narrow"/>
      <family val="2"/>
      <scheme val="minor"/>
    </font>
    <font>
      <b/>
      <sz val="14"/>
      <color rgb="FFFEDB2A"/>
      <name val="Aptos Narrow"/>
      <family val="2"/>
      <scheme val="minor"/>
    </font>
    <font>
      <sz val="14"/>
      <color rgb="FFFF3300"/>
      <name val="Aptos Narrow"/>
      <family val="2"/>
      <scheme val="minor"/>
    </font>
    <font>
      <b/>
      <sz val="14"/>
      <color rgb="FFFF3300"/>
      <name val="Aptos Narrow"/>
      <family val="2"/>
      <scheme val="minor"/>
    </font>
    <font>
      <sz val="14"/>
      <color rgb="FFD82222"/>
      <name val="Aptos Narrow"/>
      <family val="2"/>
      <scheme val="minor"/>
    </font>
    <font>
      <b/>
      <sz val="14"/>
      <color rgb="FFD82222"/>
      <name val="Aptos Narrow"/>
      <family val="2"/>
      <scheme val="minor"/>
    </font>
    <font>
      <sz val="14"/>
      <color rgb="FF392E4C"/>
      <name val="Aptos Narrow"/>
      <family val="2"/>
      <scheme val="minor"/>
    </font>
    <font>
      <b/>
      <sz val="14"/>
      <color rgb="FF392E4C"/>
      <name val="Aptos Narrow"/>
      <family val="2"/>
      <scheme val="minor"/>
    </font>
    <font>
      <sz val="14"/>
      <color rgb="FF716B00"/>
      <name val="Aptos Narrow"/>
      <family val="2"/>
      <scheme val="minor"/>
    </font>
    <font>
      <b/>
      <sz val="14"/>
      <color rgb="FF716B00"/>
      <name val="Aptos Narrow"/>
      <family val="2"/>
      <scheme val="minor"/>
    </font>
    <font>
      <sz val="14"/>
      <color theme="0" tint="-0.249977111117893"/>
      <name val="Aptos Narrow"/>
      <family val="2"/>
      <scheme val="minor"/>
    </font>
    <font>
      <b/>
      <sz val="14"/>
      <color theme="0" tint="-0.249977111117893"/>
      <name val="Aptos Narrow"/>
      <family val="2"/>
      <scheme val="minor"/>
    </font>
    <font>
      <sz val="14"/>
      <color rgb="FFFF158A"/>
      <name val="Aptos Narrow"/>
      <family val="2"/>
      <scheme val="minor"/>
    </font>
    <font>
      <b/>
      <sz val="14"/>
      <color rgb="FFFF158A"/>
      <name val="Aptos Narrow"/>
      <family val="2"/>
      <scheme val="minor"/>
    </font>
  </fonts>
  <fills count="271">
    <fill>
      <patternFill patternType="none"/>
    </fill>
    <fill>
      <patternFill patternType="gray125"/>
    </fill>
    <fill>
      <patternFill patternType="solid">
        <fgColor theme="0" tint="-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1C9BA"/>
        <bgColor indexed="64"/>
      </patternFill>
    </fill>
    <fill>
      <patternFill patternType="solid">
        <fgColor rgb="FFFF6E74"/>
        <bgColor indexed="64"/>
      </patternFill>
    </fill>
    <fill>
      <patternFill patternType="solid">
        <fgColor rgb="FF592B22"/>
        <bgColor indexed="64"/>
      </patternFill>
    </fill>
    <fill>
      <patternFill patternType="solid">
        <fgColor rgb="FF56EEFF"/>
        <bgColor indexed="64"/>
      </patternFill>
    </fill>
    <fill>
      <patternFill patternType="solid">
        <fgColor rgb="FFDFB87E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6D1F3"/>
        <bgColor indexed="64"/>
      </patternFill>
    </fill>
    <fill>
      <patternFill patternType="solid">
        <fgColor theme="3" tint="9.9978637043366805E-2"/>
        <bgColor indexed="64"/>
      </patternFill>
    </fill>
    <fill>
      <patternFill patternType="solid">
        <fgColor rgb="FFE0325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DF743F"/>
        <bgColor indexed="64"/>
      </patternFill>
    </fill>
    <fill>
      <patternFill patternType="solid">
        <fgColor rgb="FF64E897"/>
        <bgColor indexed="64"/>
      </patternFill>
    </fill>
    <fill>
      <patternFill patternType="solid">
        <fgColor rgb="FF312418"/>
        <bgColor indexed="64"/>
      </patternFill>
    </fill>
    <fill>
      <patternFill patternType="solid">
        <fgColor rgb="FFF8761D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FFD7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EB7A59"/>
        <bgColor indexed="64"/>
      </patternFill>
    </fill>
    <fill>
      <patternFill patternType="solid">
        <fgColor rgb="FF1E4395"/>
        <bgColor indexed="64"/>
      </patternFill>
    </fill>
    <fill>
      <patternFill patternType="solid">
        <fgColor rgb="FF933928"/>
        <bgColor indexed="64"/>
      </patternFill>
    </fill>
    <fill>
      <patternFill patternType="solid">
        <fgColor rgb="FF001119"/>
        <bgColor indexed="64"/>
      </patternFill>
    </fill>
    <fill>
      <patternFill patternType="solid">
        <fgColor rgb="FF000126"/>
        <bgColor indexed="64"/>
      </patternFill>
    </fill>
    <fill>
      <patternFill patternType="solid">
        <fgColor rgb="FF2C3E50"/>
        <bgColor indexed="64"/>
      </patternFill>
    </fill>
    <fill>
      <patternFill patternType="solid">
        <fgColor rgb="FFF5F5F5"/>
        <bgColor indexed="64"/>
      </patternFill>
    </fill>
    <fill>
      <patternFill patternType="solid">
        <fgColor rgb="FF5ECAB0"/>
        <bgColor indexed="64"/>
      </patternFill>
    </fill>
    <fill>
      <patternFill patternType="solid">
        <fgColor rgb="FF5A1809"/>
        <bgColor indexed="64"/>
      </patternFill>
    </fill>
    <fill>
      <patternFill patternType="solid">
        <fgColor rgb="FF0F2A45"/>
        <bgColor indexed="64"/>
      </patternFill>
    </fill>
    <fill>
      <patternFill patternType="solid">
        <fgColor rgb="FFC0C0C0"/>
        <bgColor indexed="64"/>
      </patternFill>
    </fill>
    <fill>
      <patternFill patternType="solid">
        <fgColor rgb="FFCD7F32"/>
        <bgColor indexed="64"/>
      </patternFill>
    </fill>
    <fill>
      <patternFill patternType="solid">
        <fgColor rgb="FFE8E8E8"/>
        <bgColor indexed="64"/>
      </patternFill>
    </fill>
    <fill>
      <patternFill patternType="solid">
        <fgColor rgb="FFE40000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rgb="FFFFD7D6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505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E0000"/>
        <bgColor indexed="64"/>
      </patternFill>
    </fill>
    <fill>
      <patternFill patternType="solid">
        <fgColor rgb="FFC1E130"/>
        <bgColor indexed="64"/>
      </patternFill>
    </fill>
    <fill>
      <patternFill patternType="solid">
        <fgColor rgb="FF360000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F8A44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1132"/>
        <bgColor indexed="64"/>
      </patternFill>
    </fill>
    <fill>
      <patternFill patternType="solid">
        <fgColor rgb="FFEC8C56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008080"/>
        <bgColor indexed="64"/>
      </patternFill>
    </fill>
    <fill>
      <patternFill patternType="solid">
        <fgColor rgb="FF339966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rgb="FF41C2C4"/>
        <bgColor indexed="64"/>
      </patternFill>
    </fill>
    <fill>
      <patternFill patternType="solid">
        <fgColor rgb="FF69CDA8"/>
        <bgColor indexed="64"/>
      </patternFill>
    </fill>
    <fill>
      <patternFill patternType="solid">
        <fgColor rgb="FF7AD19D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1A252F"/>
        <bgColor indexed="64"/>
      </patternFill>
    </fill>
    <fill>
      <patternFill patternType="solid">
        <fgColor rgb="FF34495E"/>
        <bgColor indexed="64"/>
      </patternFill>
    </fill>
    <fill>
      <patternFill patternType="solid">
        <fgColor rgb="FFE7EDE3"/>
        <bgColor indexed="64"/>
      </patternFill>
    </fill>
    <fill>
      <patternFill patternType="solid">
        <fgColor rgb="FF4DC5B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6ECEA6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FFFFAB"/>
        <bgColor indexed="64"/>
      </patternFill>
    </fill>
    <fill>
      <patternFill patternType="solid">
        <fgColor rgb="FF6DCDA6"/>
        <bgColor indexed="64"/>
      </patternFill>
    </fill>
    <fill>
      <patternFill patternType="solid">
        <fgColor rgb="FF6FCEA5"/>
        <bgColor indexed="64"/>
      </patternFill>
    </fill>
    <fill>
      <patternFill patternType="solid">
        <fgColor rgb="FFF69783"/>
        <bgColor indexed="64"/>
      </patternFill>
    </fill>
    <fill>
      <patternFill patternType="solid">
        <fgColor rgb="FF201D54"/>
        <bgColor indexed="64"/>
      </patternFill>
    </fill>
    <fill>
      <patternFill patternType="solid">
        <fgColor rgb="FF9DEC11"/>
        <bgColor indexed="64"/>
      </patternFill>
    </fill>
    <fill>
      <patternFill patternType="solid">
        <fgColor rgb="FFFFF0E5"/>
        <bgColor indexed="64"/>
      </patternFill>
    </fill>
    <fill>
      <patternFill patternType="solid">
        <fgColor rgb="FFF5CC58"/>
        <bgColor indexed="64"/>
      </patternFill>
    </fill>
    <fill>
      <patternFill patternType="solid">
        <fgColor rgb="FFDE204D"/>
        <bgColor indexed="64"/>
      </patternFill>
    </fill>
    <fill>
      <patternFill patternType="solid">
        <fgColor rgb="FF001800"/>
        <bgColor indexed="64"/>
      </patternFill>
    </fill>
    <fill>
      <patternFill patternType="solid">
        <fgColor rgb="FF2A1500"/>
        <bgColor indexed="64"/>
      </patternFill>
    </fill>
    <fill>
      <patternFill patternType="solid">
        <fgColor rgb="FFFCD904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7202B"/>
        <bgColor indexed="64"/>
      </patternFill>
    </fill>
    <fill>
      <patternFill patternType="solid">
        <fgColor rgb="FFCCCC00"/>
        <bgColor indexed="64"/>
      </patternFill>
    </fill>
    <fill>
      <patternFill patternType="solid">
        <fgColor rgb="FF969696"/>
        <bgColor indexed="64"/>
      </patternFill>
    </fill>
    <fill>
      <patternFill patternType="solid">
        <fgColor rgb="FFE8ECE3"/>
        <bgColor indexed="64"/>
      </patternFill>
    </fill>
    <fill>
      <patternFill patternType="solid">
        <fgColor rgb="FF00003E"/>
        <bgColor indexed="64"/>
      </patternFill>
    </fill>
    <fill>
      <patternFill patternType="solid">
        <fgColor rgb="FFB8F6F2"/>
        <bgColor indexed="64"/>
      </patternFill>
    </fill>
    <fill>
      <patternFill patternType="solid">
        <fgColor rgb="FFDAE5E9"/>
        <bgColor indexed="64"/>
      </patternFill>
    </fill>
    <fill>
      <patternFill patternType="solid">
        <fgColor rgb="FFA1DB83"/>
        <bgColor indexed="64"/>
      </patternFill>
    </fill>
    <fill>
      <patternFill patternType="solid">
        <fgColor rgb="FF2EBCD1"/>
        <bgColor indexed="64"/>
      </patternFill>
    </fill>
    <fill>
      <patternFill patternType="solid">
        <fgColor rgb="FF61CAAE"/>
        <bgColor indexed="64"/>
      </patternFill>
    </fill>
    <fill>
      <patternFill patternType="solid">
        <fgColor rgb="FF62CAAE"/>
        <bgColor indexed="64"/>
      </patternFill>
    </fill>
    <fill>
      <patternFill patternType="solid">
        <fgColor rgb="FF67CCAA"/>
        <bgColor indexed="64"/>
      </patternFill>
    </fill>
    <fill>
      <patternFill patternType="solid">
        <fgColor rgb="FF69CCA9"/>
        <bgColor indexed="64"/>
      </patternFill>
    </fill>
    <fill>
      <patternFill patternType="solid">
        <fgColor rgb="FF71CFA3"/>
        <bgColor indexed="64"/>
      </patternFill>
    </fill>
    <fill>
      <patternFill patternType="solid">
        <fgColor rgb="FF79D19E"/>
        <bgColor indexed="64"/>
      </patternFill>
    </fill>
    <fill>
      <patternFill patternType="solid">
        <fgColor rgb="FF7BD19C"/>
        <bgColor indexed="64"/>
      </patternFill>
    </fill>
    <fill>
      <patternFill patternType="solid">
        <fgColor rgb="FF8AD593"/>
        <bgColor indexed="64"/>
      </patternFill>
    </fill>
    <fill>
      <patternFill patternType="solid">
        <fgColor rgb="FF8DD690"/>
        <bgColor indexed="64"/>
      </patternFill>
    </fill>
    <fill>
      <patternFill patternType="solid">
        <fgColor rgb="FF9CDA86"/>
        <bgColor indexed="64"/>
      </patternFill>
    </fill>
    <fill>
      <patternFill patternType="solid">
        <fgColor rgb="FFAADE7D"/>
        <bgColor indexed="64"/>
      </patternFill>
    </fill>
    <fill>
      <patternFill patternType="solid">
        <fgColor rgb="FFAEDF7A"/>
        <bgColor indexed="64"/>
      </patternFill>
    </fill>
    <fill>
      <patternFill patternType="solid">
        <fgColor rgb="FFCBE766"/>
        <bgColor indexed="64"/>
      </patternFill>
    </fill>
    <fill>
      <patternFill patternType="solid">
        <fgColor rgb="FFEDD7B0"/>
        <bgColor indexed="64"/>
      </patternFill>
    </fill>
    <fill>
      <patternFill patternType="solid">
        <fgColor rgb="FFB5E4FF"/>
        <bgColor indexed="64"/>
      </patternFill>
    </fill>
    <fill>
      <patternFill patternType="solid">
        <fgColor rgb="FFF6F9D8"/>
        <bgColor indexed="64"/>
      </patternFill>
    </fill>
    <fill>
      <patternFill patternType="solid">
        <fgColor rgb="FF00261A"/>
        <bgColor indexed="64"/>
      </patternFill>
    </fill>
    <fill>
      <patternFill patternType="solid">
        <fgColor rgb="FF75D0A0"/>
        <bgColor indexed="64"/>
      </patternFill>
    </fill>
    <fill>
      <patternFill patternType="solid">
        <fgColor rgb="FF70CEA4"/>
        <bgColor indexed="64"/>
      </patternFill>
    </fill>
    <fill>
      <patternFill patternType="solid">
        <fgColor rgb="FFFFE09B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rgb="FF73CFA2"/>
        <bgColor indexed="64"/>
      </patternFill>
    </fill>
    <fill>
      <patternFill patternType="solid">
        <fgColor rgb="FF01B0EF"/>
        <bgColor indexed="64"/>
      </patternFill>
    </fill>
    <fill>
      <patternFill patternType="solid">
        <fgColor rgb="FF03B1EE"/>
        <bgColor indexed="64"/>
      </patternFill>
    </fill>
    <fill>
      <patternFill patternType="solid">
        <fgColor rgb="FF17B6E0"/>
        <bgColor indexed="64"/>
      </patternFill>
    </fill>
    <fill>
      <patternFill patternType="solid">
        <fgColor rgb="FF26BAD6"/>
        <bgColor indexed="64"/>
      </patternFill>
    </fill>
    <fill>
      <patternFill patternType="solid">
        <fgColor rgb="FF28BBD5"/>
        <bgColor indexed="64"/>
      </patternFill>
    </fill>
    <fill>
      <patternFill patternType="solid">
        <fgColor rgb="FF36BECC"/>
        <bgColor indexed="64"/>
      </patternFill>
    </fill>
    <fill>
      <patternFill patternType="solid">
        <fgColor rgb="FF36BFCB"/>
        <bgColor indexed="64"/>
      </patternFill>
    </fill>
    <fill>
      <patternFill patternType="solid">
        <fgColor rgb="FF38BFCA"/>
        <bgColor indexed="64"/>
      </patternFill>
    </fill>
    <fill>
      <patternFill patternType="solid">
        <fgColor rgb="FF3DC1C6"/>
        <bgColor indexed="64"/>
      </patternFill>
    </fill>
    <fill>
      <patternFill patternType="solid">
        <fgColor rgb="FF43C2C2"/>
        <bgColor indexed="64"/>
      </patternFill>
    </fill>
    <fill>
      <patternFill patternType="solid">
        <fgColor rgb="FF4EC5BB"/>
        <bgColor indexed="64"/>
      </patternFill>
    </fill>
    <fill>
      <patternFill patternType="solid">
        <fgColor rgb="FF52C6B9"/>
        <bgColor indexed="64"/>
      </patternFill>
    </fill>
    <fill>
      <patternFill patternType="solid">
        <fgColor rgb="FF55C7B6"/>
        <bgColor indexed="64"/>
      </patternFill>
    </fill>
    <fill>
      <patternFill patternType="solid">
        <fgColor rgb="FF59C8B3"/>
        <bgColor indexed="64"/>
      </patternFill>
    </fill>
    <fill>
      <patternFill patternType="solid">
        <fgColor rgb="FF5FCAAF"/>
        <bgColor indexed="64"/>
      </patternFill>
    </fill>
    <fill>
      <patternFill patternType="solid">
        <fgColor rgb="FF60CAAF"/>
        <bgColor indexed="64"/>
      </patternFill>
    </fill>
    <fill>
      <patternFill patternType="solid">
        <fgColor rgb="FF63CBAD"/>
        <bgColor indexed="64"/>
      </patternFill>
    </fill>
    <fill>
      <patternFill patternType="solid">
        <fgColor rgb="FF68CCAA"/>
        <bgColor indexed="64"/>
      </patternFill>
    </fill>
    <fill>
      <patternFill patternType="solid">
        <fgColor rgb="FF6ACDA8"/>
        <bgColor indexed="64"/>
      </patternFill>
    </fill>
    <fill>
      <patternFill patternType="solid">
        <fgColor rgb="FF74D0A1"/>
        <bgColor indexed="64"/>
      </patternFill>
    </fill>
    <fill>
      <patternFill patternType="solid">
        <fgColor rgb="FF77D09F"/>
        <bgColor indexed="64"/>
      </patternFill>
    </fill>
    <fill>
      <patternFill patternType="solid">
        <fgColor rgb="FF7AD19E"/>
        <bgColor indexed="64"/>
      </patternFill>
    </fill>
    <fill>
      <patternFill patternType="solid">
        <fgColor rgb="FF80D39A"/>
        <bgColor indexed="64"/>
      </patternFill>
    </fill>
    <fill>
      <patternFill patternType="solid">
        <fgColor rgb="FF82D398"/>
        <bgColor indexed="64"/>
      </patternFill>
    </fill>
    <fill>
      <patternFill patternType="solid">
        <fgColor rgb="FF85D495"/>
        <bgColor indexed="64"/>
      </patternFill>
    </fill>
    <fill>
      <patternFill patternType="solid">
        <fgColor rgb="FF87D594"/>
        <bgColor indexed="64"/>
      </patternFill>
    </fill>
    <fill>
      <patternFill patternType="solid">
        <fgColor rgb="FF89D593"/>
        <bgColor indexed="64"/>
      </patternFill>
    </fill>
    <fill>
      <patternFill patternType="solid">
        <fgColor rgb="FF8BD592"/>
        <bgColor indexed="64"/>
      </patternFill>
    </fill>
    <fill>
      <patternFill patternType="solid">
        <fgColor rgb="FF93D88C"/>
        <bgColor indexed="64"/>
      </patternFill>
    </fill>
    <fill>
      <patternFill patternType="solid">
        <fgColor rgb="FF95D88B"/>
        <bgColor indexed="64"/>
      </patternFill>
    </fill>
    <fill>
      <patternFill patternType="solid">
        <fgColor rgb="FF97D989"/>
        <bgColor indexed="64"/>
      </patternFill>
    </fill>
    <fill>
      <patternFill patternType="solid">
        <fgColor rgb="FF99D988"/>
        <bgColor indexed="64"/>
      </patternFill>
    </fill>
    <fill>
      <patternFill patternType="solid">
        <fgColor rgb="FFA5DD80"/>
        <bgColor indexed="64"/>
      </patternFill>
    </fill>
    <fill>
      <patternFill patternType="solid">
        <fgColor rgb="FFACDE7C"/>
        <bgColor indexed="64"/>
      </patternFill>
    </fill>
    <fill>
      <patternFill patternType="solid">
        <fgColor rgb="FFBCE371"/>
        <bgColor indexed="64"/>
      </patternFill>
    </fill>
    <fill>
      <patternFill patternType="solid">
        <fgColor rgb="FFC0E46E"/>
        <bgColor indexed="64"/>
      </patternFill>
    </fill>
    <fill>
      <patternFill patternType="solid">
        <fgColor rgb="FFC4E56B"/>
        <bgColor indexed="64"/>
      </patternFill>
    </fill>
    <fill>
      <patternFill patternType="solid">
        <fgColor rgb="FFC7E669"/>
        <bgColor indexed="64"/>
      </patternFill>
    </fill>
    <fill>
      <patternFill patternType="solid">
        <fgColor rgb="FFC9E668"/>
        <bgColor indexed="64"/>
      </patternFill>
    </fill>
    <fill>
      <patternFill patternType="solid">
        <fgColor rgb="FFDDEC5A"/>
        <bgColor indexed="64"/>
      </patternFill>
    </fill>
    <fill>
      <patternFill patternType="solid">
        <fgColor rgb="FFF1F14C"/>
        <bgColor indexed="64"/>
      </patternFill>
    </fill>
    <fill>
      <patternFill patternType="solid">
        <fgColor rgb="FFFFF443"/>
        <bgColor indexed="64"/>
      </patternFill>
    </fill>
    <fill>
      <patternFill patternType="solid">
        <fgColor rgb="FF78D09F"/>
        <bgColor indexed="64"/>
      </patternFill>
    </fill>
    <fill>
      <patternFill patternType="solid">
        <fgColor rgb="FF4360BB"/>
        <bgColor indexed="64"/>
      </patternFill>
    </fill>
    <fill>
      <patternFill patternType="solid">
        <fgColor rgb="FF84D497"/>
        <bgColor indexed="64"/>
      </patternFill>
    </fill>
    <fill>
      <patternFill patternType="solid">
        <fgColor rgb="FF0A3D90"/>
        <bgColor indexed="64"/>
      </patternFill>
    </fill>
    <fill>
      <patternFill patternType="solid">
        <fgColor rgb="FF666633"/>
        <bgColor indexed="64"/>
      </patternFill>
    </fill>
    <fill>
      <patternFill patternType="solid">
        <fgColor rgb="FFFF494D"/>
        <bgColor indexed="64"/>
      </patternFill>
    </fill>
    <fill>
      <patternFill patternType="solid">
        <fgColor rgb="FFAFDF79"/>
        <bgColor indexed="64"/>
      </patternFill>
    </fill>
    <fill>
      <patternFill patternType="solid">
        <fgColor rgb="FF34DCFE"/>
        <bgColor indexed="64"/>
      </patternFill>
    </fill>
    <fill>
      <patternFill patternType="solid">
        <fgColor rgb="FF58C8B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340B04"/>
        <bgColor indexed="64"/>
      </patternFill>
    </fill>
    <fill>
      <patternFill patternType="solid">
        <fgColor rgb="FFEFFFFF"/>
        <bgColor indexed="64"/>
      </patternFill>
    </fill>
    <fill>
      <patternFill patternType="solid">
        <fgColor rgb="FF5BC9B2"/>
        <bgColor indexed="64"/>
      </patternFill>
    </fill>
    <fill>
      <patternFill patternType="solid">
        <fgColor rgb="FF00004C"/>
        <bgColor indexed="64"/>
      </patternFill>
    </fill>
    <fill>
      <patternFill patternType="solid">
        <fgColor rgb="FF7ED29B"/>
        <bgColor indexed="64"/>
      </patternFill>
    </fill>
    <fill>
      <patternFill patternType="solid">
        <fgColor rgb="FFFFF5EB"/>
        <bgColor indexed="64"/>
      </patternFill>
    </fill>
    <fill>
      <patternFill patternType="solid">
        <fgColor rgb="FFEEF04F"/>
        <bgColor indexed="64"/>
      </patternFill>
    </fill>
    <fill>
      <patternFill patternType="solid">
        <fgColor rgb="FF5DC9B1"/>
        <bgColor indexed="64"/>
      </patternFill>
    </fill>
    <fill>
      <patternFill patternType="solid">
        <fgColor rgb="FF302012"/>
        <bgColor indexed="64"/>
      </patternFill>
    </fill>
    <fill>
      <patternFill patternType="solid">
        <fgColor rgb="FF83D397"/>
        <bgColor indexed="64"/>
      </patternFill>
    </fill>
    <fill>
      <patternFill patternType="solid">
        <fgColor rgb="FF534E7E"/>
        <bgColor indexed="64"/>
      </patternFill>
    </fill>
    <fill>
      <patternFill patternType="solid">
        <fgColor rgb="FF76D0A0"/>
        <bgColor indexed="64"/>
      </patternFill>
    </fill>
    <fill>
      <patternFill patternType="solid">
        <fgColor rgb="FFD9A601"/>
        <bgColor indexed="64"/>
      </patternFill>
    </fill>
    <fill>
      <patternFill patternType="solid">
        <fgColor rgb="FF00002E"/>
        <bgColor indexed="64"/>
      </patternFill>
    </fill>
    <fill>
      <patternFill patternType="solid">
        <fgColor rgb="FF30BDCF"/>
        <bgColor indexed="64"/>
      </patternFill>
    </fill>
    <fill>
      <patternFill patternType="solid">
        <fgColor rgb="FF8ED690"/>
        <bgColor indexed="64"/>
      </patternFill>
    </fill>
    <fill>
      <patternFill patternType="solid">
        <fgColor rgb="FFFFFFE7"/>
        <bgColor indexed="64"/>
      </patternFill>
    </fill>
    <fill>
      <patternFill patternType="solid">
        <fgColor rgb="FF7CD29C"/>
        <bgColor indexed="64"/>
      </patternFill>
    </fill>
    <fill>
      <patternFill patternType="solid">
        <fgColor rgb="FF00CC99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E60000"/>
        <bgColor indexed="64"/>
      </patternFill>
    </fill>
    <fill>
      <patternFill patternType="solid">
        <fgColor rgb="FF0F3F55"/>
        <bgColor indexed="64"/>
      </patternFill>
    </fill>
    <fill>
      <patternFill patternType="solid">
        <fgColor rgb="FFFFFFF3"/>
        <bgColor indexed="64"/>
      </patternFill>
    </fill>
    <fill>
      <patternFill patternType="solid">
        <fgColor rgb="FF65CBAB"/>
        <bgColor indexed="64"/>
      </patternFill>
    </fill>
    <fill>
      <patternFill patternType="solid">
        <fgColor rgb="FF6BCDA7"/>
        <bgColor indexed="64"/>
      </patternFill>
    </fill>
    <fill>
      <patternFill patternType="solid">
        <fgColor rgb="FF74CFA2"/>
        <bgColor indexed="64"/>
      </patternFill>
    </fill>
    <fill>
      <patternFill patternType="solid">
        <fgColor rgb="FF80D399"/>
        <bgColor indexed="64"/>
      </patternFill>
    </fill>
    <fill>
      <patternFill patternType="solid">
        <fgColor rgb="FFCFA213"/>
        <bgColor indexed="64"/>
      </patternFill>
    </fill>
    <fill>
      <patternFill patternType="solid">
        <fgColor rgb="FF002E00"/>
        <bgColor indexed="64"/>
      </patternFill>
    </fill>
    <fill>
      <patternFill patternType="solid">
        <fgColor rgb="FFA6DD80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rgb="FF423B32"/>
        <bgColor indexed="64"/>
      </patternFill>
    </fill>
    <fill>
      <patternFill patternType="solid">
        <fgColor rgb="FF53C7B7"/>
        <bgColor indexed="64"/>
      </patternFill>
    </fill>
    <fill>
      <patternFill patternType="solid">
        <fgColor rgb="FF64CBAC"/>
        <bgColor indexed="64"/>
      </patternFill>
    </fill>
    <fill>
      <patternFill patternType="solid">
        <fgColor rgb="FFD0CAC2"/>
        <bgColor indexed="64"/>
      </patternFill>
    </fill>
    <fill>
      <patternFill patternType="solid">
        <fgColor rgb="FF9FDB84"/>
        <bgColor indexed="64"/>
      </patternFill>
    </fill>
    <fill>
      <patternFill patternType="solid">
        <fgColor rgb="FF00102E"/>
        <bgColor indexed="64"/>
      </patternFill>
    </fill>
    <fill>
      <patternFill patternType="solid">
        <fgColor rgb="FFDCEDF8"/>
        <bgColor indexed="64"/>
      </patternFill>
    </fill>
    <fill>
      <patternFill patternType="solid">
        <fgColor rgb="FF7DD29B"/>
        <bgColor indexed="64"/>
      </patternFill>
    </fill>
    <fill>
      <patternFill patternType="solid">
        <fgColor rgb="FF2F2C29"/>
        <bgColor indexed="64"/>
      </patternFill>
    </fill>
    <fill>
      <patternFill patternType="solid">
        <fgColor rgb="FFA9323F"/>
        <bgColor indexed="64"/>
      </patternFill>
    </fill>
    <fill>
      <patternFill patternType="solid">
        <fgColor rgb="FF4CB33F"/>
        <bgColor indexed="64"/>
      </patternFill>
    </fill>
    <fill>
      <patternFill patternType="solid">
        <fgColor rgb="FF009999"/>
        <bgColor indexed="64"/>
      </patternFill>
    </fill>
    <fill>
      <patternFill patternType="solid">
        <fgColor rgb="FFA7DD7E"/>
        <bgColor indexed="64"/>
      </patternFill>
    </fill>
    <fill>
      <patternFill patternType="solid">
        <fgColor rgb="FFFCF445"/>
        <bgColor indexed="64"/>
      </patternFill>
    </fill>
    <fill>
      <patternFill patternType="solid">
        <fgColor rgb="FFDCDCDC"/>
        <bgColor indexed="64"/>
      </patternFill>
    </fill>
    <fill>
      <patternFill patternType="solid">
        <fgColor rgb="FF47C3C0"/>
        <bgColor indexed="64"/>
      </patternFill>
    </fill>
    <fill>
      <patternFill patternType="solid">
        <fgColor rgb="FFF0307E"/>
        <bgColor indexed="64"/>
      </patternFill>
    </fill>
    <fill>
      <patternFill patternType="solid">
        <fgColor rgb="FFFEF2AC"/>
        <bgColor indexed="64"/>
      </patternFill>
    </fill>
    <fill>
      <patternFill patternType="solid">
        <fgColor rgb="FFFEF7CE"/>
        <bgColor indexed="64"/>
      </patternFill>
    </fill>
    <fill>
      <patternFill patternType="solid">
        <fgColor rgb="FF96D98A"/>
        <bgColor indexed="64"/>
      </patternFill>
    </fill>
    <fill>
      <patternFill patternType="solid">
        <fgColor rgb="FF402B15"/>
        <bgColor indexed="64"/>
      </patternFill>
    </fill>
    <fill>
      <patternFill patternType="solid">
        <fgColor rgb="FFC71434"/>
        <bgColor indexed="64"/>
      </patternFill>
    </fill>
    <fill>
      <patternFill patternType="solid">
        <fgColor rgb="FFAE1230"/>
        <bgColor indexed="64"/>
      </patternFill>
    </fill>
    <fill>
      <patternFill patternType="solid">
        <fgColor rgb="FFF9F9F9"/>
        <bgColor indexed="64"/>
      </patternFill>
    </fill>
    <fill>
      <patternFill patternType="solid">
        <fgColor rgb="FF72CFA3"/>
        <bgColor indexed="64"/>
      </patternFill>
    </fill>
    <fill>
      <patternFill patternType="solid">
        <fgColor rgb="FF2E90CC"/>
        <bgColor indexed="64"/>
      </patternFill>
    </fill>
    <fill>
      <patternFill patternType="solid">
        <fgColor rgb="FFFF33CC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AF561C"/>
        <bgColor indexed="64"/>
      </patternFill>
    </fill>
    <fill>
      <patternFill patternType="solid">
        <fgColor rgb="FF32BECE"/>
        <bgColor indexed="64"/>
      </patternFill>
    </fill>
    <fill>
      <patternFill patternType="solid">
        <fgColor rgb="FF4FC5BA"/>
        <bgColor indexed="64"/>
      </patternFill>
    </fill>
    <fill>
      <patternFill patternType="solid">
        <fgColor rgb="FF52C6B8"/>
        <bgColor indexed="64"/>
      </patternFill>
    </fill>
    <fill>
      <patternFill patternType="solid">
        <fgColor rgb="FF49C4BE"/>
        <bgColor indexed="64"/>
      </patternFill>
    </fill>
    <fill>
      <patternFill patternType="solid">
        <fgColor rgb="FF22B9D9"/>
        <bgColor indexed="64"/>
      </patternFill>
    </fill>
    <fill>
      <patternFill patternType="solid">
        <fgColor rgb="FF02778C"/>
        <bgColor indexed="64"/>
      </patternFill>
    </fill>
    <fill>
      <patternFill patternType="solid">
        <fgColor rgb="FF58C8B4"/>
        <bgColor indexed="64"/>
      </patternFill>
    </fill>
    <fill>
      <patternFill patternType="solid">
        <fgColor rgb="FFE3A057"/>
        <bgColor indexed="64"/>
      </patternFill>
    </fill>
    <fill>
      <patternFill patternType="solid">
        <fgColor rgb="FF6D3611"/>
        <bgColor indexed="64"/>
      </patternFill>
    </fill>
    <fill>
      <patternFill patternType="solid">
        <fgColor rgb="FF3E1296"/>
        <bgColor indexed="64"/>
      </patternFill>
    </fill>
    <fill>
      <patternFill patternType="solid">
        <fgColor rgb="FFFD500B"/>
        <bgColor indexed="64"/>
      </patternFill>
    </fill>
    <fill>
      <patternFill patternType="solid">
        <fgColor rgb="FF000054"/>
        <bgColor indexed="64"/>
      </patternFill>
    </fill>
    <fill>
      <patternFill patternType="solid">
        <fgColor rgb="FF00FFCC"/>
        <bgColor indexed="64"/>
      </patternFill>
    </fill>
    <fill>
      <patternFill patternType="solid">
        <fgColor rgb="FF08B2EB"/>
        <bgColor indexed="64"/>
      </patternFill>
    </fill>
    <fill>
      <patternFill patternType="solid">
        <fgColor rgb="FF6FCEA4"/>
        <bgColor indexed="64"/>
      </patternFill>
    </fill>
    <fill>
      <patternFill patternType="solid">
        <fgColor rgb="FF24BAD8"/>
        <bgColor indexed="64"/>
      </patternFill>
    </fill>
    <fill>
      <patternFill patternType="solid">
        <fgColor rgb="FF1BB7DE"/>
        <bgColor indexed="64"/>
      </patternFill>
    </fill>
    <fill>
      <patternFill patternType="solid">
        <fgColor rgb="FF9BDA87"/>
        <bgColor indexed="64"/>
      </patternFill>
    </fill>
    <fill>
      <patternFill patternType="solid">
        <fgColor rgb="FFFF3399"/>
        <bgColor indexed="64"/>
      </patternFill>
    </fill>
    <fill>
      <patternFill patternType="solid">
        <fgColor rgb="FFFFFCDD"/>
        <bgColor indexed="64"/>
      </patternFill>
    </fill>
    <fill>
      <patternFill patternType="solid">
        <fgColor rgb="FF96D88B"/>
        <bgColor indexed="64"/>
      </patternFill>
    </fill>
    <fill>
      <patternFill patternType="solid">
        <fgColor rgb="FF5CC9B2"/>
        <bgColor indexed="64"/>
      </patternFill>
    </fill>
    <fill>
      <patternFill patternType="solid">
        <fgColor rgb="FF05B1ED"/>
        <bgColor indexed="64"/>
      </patternFill>
    </fill>
    <fill>
      <patternFill patternType="solid">
        <fgColor rgb="FFF9F7ED"/>
        <bgColor indexed="64"/>
      </patternFill>
    </fill>
    <fill>
      <patternFill patternType="solid">
        <fgColor rgb="FFC02500"/>
        <bgColor indexed="64"/>
      </patternFill>
    </fill>
    <fill>
      <patternFill patternType="solid">
        <fgColor rgb="FF98E0C6"/>
        <bgColor indexed="64"/>
      </patternFill>
    </fill>
    <fill>
      <patternFill patternType="solid">
        <fgColor rgb="FF379175"/>
        <bgColor indexed="64"/>
      </patternFill>
    </fill>
    <fill>
      <patternFill patternType="solid">
        <fgColor rgb="FF5A29A3"/>
        <bgColor indexed="64"/>
      </patternFill>
    </fill>
    <fill>
      <patternFill patternType="solid">
        <fgColor rgb="FF90D78E"/>
        <bgColor indexed="64"/>
      </patternFill>
    </fill>
    <fill>
      <patternFill patternType="solid">
        <fgColor rgb="FF9A8C36"/>
        <bgColor indexed="64"/>
      </patternFill>
    </fill>
    <fill>
      <patternFill patternType="solid">
        <fgColor rgb="FF365264"/>
        <bgColor indexed="64"/>
      </patternFill>
    </fill>
    <fill>
      <patternFill patternType="solid">
        <fgColor rgb="FFB8E273"/>
        <bgColor indexed="64"/>
      </patternFill>
    </fill>
    <fill>
      <patternFill patternType="solid">
        <fgColor rgb="FF2FBDD0"/>
        <bgColor indexed="64"/>
      </patternFill>
    </fill>
    <fill>
      <patternFill patternType="solid">
        <fgColor rgb="FFFFFED6"/>
        <bgColor indexed="64"/>
      </patternFill>
    </fill>
    <fill>
      <patternFill patternType="solid">
        <fgColor rgb="FF954209"/>
        <bgColor indexed="64"/>
      </patternFill>
    </fill>
    <fill>
      <patternFill patternType="solid">
        <fgColor rgb="FFE30700"/>
        <bgColor indexed="64"/>
      </patternFill>
    </fill>
    <fill>
      <patternFill patternType="solid">
        <fgColor rgb="FF16B6E1"/>
        <bgColor indexed="64"/>
      </patternFill>
    </fill>
    <fill>
      <patternFill patternType="solid">
        <fgColor rgb="FF494068"/>
        <bgColor indexed="64"/>
      </patternFill>
    </fill>
    <fill>
      <patternFill patternType="solid">
        <fgColor rgb="FFB3E176"/>
        <bgColor indexed="64"/>
      </patternFill>
    </fill>
    <fill>
      <patternFill patternType="solid">
        <fgColor rgb="FF4CC4BD"/>
        <bgColor indexed="64"/>
      </patternFill>
    </fill>
    <fill>
      <patternFill patternType="solid">
        <fgColor rgb="FF0D3124"/>
        <bgColor indexed="64"/>
      </patternFill>
    </fill>
    <fill>
      <patternFill patternType="solid">
        <fgColor rgb="FFEFECB7"/>
        <bgColor indexed="64"/>
      </patternFill>
    </fill>
    <fill>
      <patternFill patternType="solid">
        <fgColor rgb="FF7FD29A"/>
        <bgColor indexed="64"/>
      </patternFill>
    </fill>
    <fill>
      <patternFill patternType="solid">
        <fgColor theme="6" tint="0.79998168889431442"/>
        <bgColor indexed="64"/>
      </patternFill>
    </fill>
  </fills>
  <borders count="25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400">
    <xf numFmtId="0" fontId="0" fillId="0" borderId="0" xfId="0"/>
    <xf numFmtId="0" fontId="4" fillId="0" borderId="1" xfId="0" applyFont="1" applyBorder="1" applyAlignment="1">
      <alignment vertical="center"/>
    </xf>
    <xf numFmtId="0" fontId="0" fillId="2" borderId="0" xfId="0" applyFill="1" applyAlignment="1">
      <alignment vertical="center"/>
    </xf>
    <xf numFmtId="0" fontId="0" fillId="0" borderId="0" xfId="0" applyAlignment="1">
      <alignment vertical="center"/>
    </xf>
    <xf numFmtId="0" fontId="0" fillId="0" borderId="2" xfId="0" applyBorder="1" applyAlignment="1">
      <alignment vertical="center"/>
    </xf>
    <xf numFmtId="0" fontId="0" fillId="0" borderId="5" xfId="0" applyBorder="1" applyAlignment="1">
      <alignment vertical="center"/>
    </xf>
    <xf numFmtId="0" fontId="0" fillId="0" borderId="6" xfId="0" applyBorder="1" applyAlignment="1">
      <alignment vertical="center"/>
    </xf>
    <xf numFmtId="0" fontId="0" fillId="0" borderId="3" xfId="0" applyBorder="1" applyAlignment="1">
      <alignment vertical="center"/>
    </xf>
    <xf numFmtId="0" fontId="0" fillId="0" borderId="7" xfId="0" applyBorder="1" applyAlignment="1">
      <alignment vertical="center"/>
    </xf>
    <xf numFmtId="0" fontId="2" fillId="2" borderId="0" xfId="0" applyFont="1" applyFill="1" applyAlignment="1">
      <alignment vertical="center"/>
    </xf>
    <xf numFmtId="0" fontId="3" fillId="2" borderId="0" xfId="0" applyFont="1" applyFill="1" applyAlignment="1">
      <alignment vertical="center"/>
    </xf>
    <xf numFmtId="0" fontId="0" fillId="0" borderId="8" xfId="0" applyBorder="1" applyAlignment="1">
      <alignment vertical="center"/>
    </xf>
    <xf numFmtId="0" fontId="4" fillId="0" borderId="5" xfId="0" applyFont="1" applyBorder="1" applyAlignment="1">
      <alignment vertical="center"/>
    </xf>
    <xf numFmtId="0" fontId="0" fillId="2" borderId="14" xfId="0" applyFill="1" applyBorder="1" applyAlignment="1">
      <alignment vertical="center"/>
    </xf>
    <xf numFmtId="0" fontId="0" fillId="0" borderId="10" xfId="0" applyBorder="1" applyAlignment="1">
      <alignment vertical="center"/>
    </xf>
    <xf numFmtId="0" fontId="0" fillId="2" borderId="12" xfId="0" applyFill="1" applyBorder="1" applyAlignment="1">
      <alignment vertical="center"/>
    </xf>
    <xf numFmtId="0" fontId="0" fillId="2" borderId="10" xfId="0" applyFill="1" applyBorder="1" applyAlignment="1">
      <alignment vertical="center"/>
    </xf>
    <xf numFmtId="0" fontId="2" fillId="2" borderId="10" xfId="0" applyFont="1" applyFill="1" applyBorder="1" applyAlignment="1">
      <alignment vertical="center"/>
    </xf>
    <xf numFmtId="0" fontId="5" fillId="11" borderId="1" xfId="0" applyFont="1" applyFill="1" applyBorder="1" applyAlignment="1">
      <alignment vertical="center"/>
    </xf>
    <xf numFmtId="0" fontId="7" fillId="4" borderId="1" xfId="0" applyFont="1" applyFill="1" applyBorder="1" applyAlignment="1">
      <alignment vertical="center"/>
    </xf>
    <xf numFmtId="0" fontId="9" fillId="18" borderId="1" xfId="0" applyFont="1" applyFill="1" applyBorder="1" applyAlignment="1">
      <alignment vertical="center"/>
    </xf>
    <xf numFmtId="0" fontId="0" fillId="2" borderId="6" xfId="0" applyFill="1" applyBorder="1" applyAlignment="1">
      <alignment vertical="center"/>
    </xf>
    <xf numFmtId="0" fontId="11" fillId="25" borderId="0" xfId="0" applyFont="1" applyFill="1" applyAlignment="1">
      <alignment vertical="center"/>
    </xf>
    <xf numFmtId="0" fontId="0" fillId="0" borderId="12" xfId="0" applyBorder="1" applyAlignment="1">
      <alignment vertical="center"/>
    </xf>
    <xf numFmtId="0" fontId="16" fillId="31" borderId="4" xfId="0" applyFont="1" applyFill="1" applyBorder="1" applyAlignment="1">
      <alignment vertical="center"/>
    </xf>
    <xf numFmtId="0" fontId="0" fillId="0" borderId="11" xfId="0" applyBorder="1" applyAlignment="1">
      <alignment vertical="center"/>
    </xf>
    <xf numFmtId="0" fontId="18" fillId="26" borderId="1" xfId="0" applyFont="1" applyFill="1" applyBorder="1" applyAlignment="1">
      <alignment vertical="center"/>
    </xf>
    <xf numFmtId="0" fontId="22" fillId="17" borderId="1" xfId="0" applyFont="1" applyFill="1" applyBorder="1" applyAlignment="1">
      <alignment vertical="center"/>
    </xf>
    <xf numFmtId="0" fontId="20" fillId="4" borderId="4" xfId="0" applyFont="1" applyFill="1" applyBorder="1" applyAlignment="1">
      <alignment vertical="center"/>
    </xf>
    <xf numFmtId="0" fontId="24" fillId="36" borderId="4" xfId="0" applyFont="1" applyFill="1" applyBorder="1" applyAlignment="1">
      <alignment vertical="center"/>
    </xf>
    <xf numFmtId="0" fontId="26" fillId="38" borderId="4" xfId="0" applyFont="1" applyFill="1" applyBorder="1" applyAlignment="1">
      <alignment vertical="center"/>
    </xf>
    <xf numFmtId="0" fontId="30" fillId="40" borderId="4" xfId="0" applyFont="1" applyFill="1" applyBorder="1" applyAlignment="1">
      <alignment vertical="center"/>
    </xf>
    <xf numFmtId="0" fontId="32" fillId="4" borderId="4" xfId="0" applyFont="1" applyFill="1" applyBorder="1" applyAlignment="1">
      <alignment vertical="center"/>
    </xf>
    <xf numFmtId="0" fontId="33" fillId="42" borderId="4" xfId="0" applyFont="1" applyFill="1" applyBorder="1" applyAlignment="1">
      <alignment vertical="center"/>
    </xf>
    <xf numFmtId="0" fontId="0" fillId="0" borderId="6" xfId="0" quotePrefix="1" applyBorder="1" applyAlignment="1">
      <alignment vertical="center"/>
    </xf>
    <xf numFmtId="0" fontId="35" fillId="4" borderId="0" xfId="0" applyFont="1" applyFill="1" applyAlignment="1">
      <alignment vertical="center"/>
    </xf>
    <xf numFmtId="0" fontId="0" fillId="2" borderId="4" xfId="0" applyFill="1" applyBorder="1" applyAlignment="1">
      <alignment vertical="center"/>
    </xf>
    <xf numFmtId="0" fontId="37" fillId="46" borderId="1" xfId="0" applyFont="1" applyFill="1" applyBorder="1" applyAlignment="1">
      <alignment vertical="center"/>
    </xf>
    <xf numFmtId="0" fontId="39" fillId="48" borderId="1" xfId="0" applyFont="1" applyFill="1" applyBorder="1" applyAlignment="1">
      <alignment vertical="center"/>
    </xf>
    <xf numFmtId="0" fontId="43" fillId="52" borderId="0" xfId="0" applyFont="1" applyFill="1" applyAlignment="1">
      <alignment vertical="center"/>
    </xf>
    <xf numFmtId="0" fontId="45" fillId="41" borderId="8" xfId="0" applyFont="1" applyFill="1" applyBorder="1" applyAlignment="1">
      <alignment vertical="center"/>
    </xf>
    <xf numFmtId="0" fontId="47" fillId="3" borderId="0" xfId="0" applyFont="1" applyFill="1" applyAlignment="1">
      <alignment vertical="center"/>
    </xf>
    <xf numFmtId="0" fontId="38" fillId="46" borderId="0" xfId="0" applyFont="1" applyFill="1" applyAlignment="1">
      <alignment vertical="center"/>
    </xf>
    <xf numFmtId="0" fontId="49" fillId="54" borderId="0" xfId="0" applyFont="1" applyFill="1" applyAlignment="1">
      <alignment vertical="center"/>
    </xf>
    <xf numFmtId="0" fontId="51" fillId="53" borderId="8" xfId="0" applyFont="1" applyFill="1" applyBorder="1" applyAlignment="1">
      <alignment vertical="center"/>
    </xf>
    <xf numFmtId="0" fontId="53" fillId="51" borderId="0" xfId="0" applyFont="1" applyFill="1" applyAlignment="1">
      <alignment vertical="center"/>
    </xf>
    <xf numFmtId="0" fontId="55" fillId="49" borderId="4" xfId="0" applyFont="1" applyFill="1" applyBorder="1" applyAlignment="1">
      <alignment vertical="center"/>
    </xf>
    <xf numFmtId="0" fontId="37" fillId="47" borderId="4" xfId="0" applyFont="1" applyFill="1" applyBorder="1" applyAlignment="1">
      <alignment vertical="center"/>
    </xf>
    <xf numFmtId="0" fontId="57" fillId="45" borderId="4" xfId="0" applyFont="1" applyFill="1" applyBorder="1" applyAlignment="1">
      <alignment vertical="center"/>
    </xf>
    <xf numFmtId="0" fontId="59" fillId="4" borderId="4" xfId="0" applyFont="1" applyFill="1" applyBorder="1" applyAlignment="1">
      <alignment vertical="center"/>
    </xf>
    <xf numFmtId="0" fontId="61" fillId="44" borderId="1" xfId="0" applyFont="1" applyFill="1" applyBorder="1" applyAlignment="1">
      <alignment vertical="center"/>
    </xf>
    <xf numFmtId="0" fontId="63" fillId="43" borderId="1" xfId="0" applyFont="1" applyFill="1" applyBorder="1" applyAlignment="1">
      <alignment vertical="center"/>
    </xf>
    <xf numFmtId="0" fontId="65" fillId="41" borderId="1" xfId="0" applyFont="1" applyFill="1" applyBorder="1" applyAlignment="1">
      <alignment vertical="center"/>
    </xf>
    <xf numFmtId="0" fontId="67" fillId="37" borderId="4" xfId="0" applyFont="1" applyFill="1" applyBorder="1" applyAlignment="1">
      <alignment vertical="center"/>
    </xf>
    <xf numFmtId="0" fontId="69" fillId="27" borderId="4" xfId="0" applyFont="1" applyFill="1" applyBorder="1" applyAlignment="1">
      <alignment vertical="center"/>
    </xf>
    <xf numFmtId="0" fontId="71" fillId="15" borderId="4" xfId="0" applyFont="1" applyFill="1" applyBorder="1" applyAlignment="1">
      <alignment vertical="center"/>
    </xf>
    <xf numFmtId="0" fontId="37" fillId="15" borderId="4" xfId="0" applyFont="1" applyFill="1" applyBorder="1" applyAlignment="1">
      <alignment vertical="center"/>
    </xf>
    <xf numFmtId="0" fontId="63" fillId="24" borderId="4" xfId="0" applyFont="1" applyFill="1" applyBorder="1" applyAlignment="1">
      <alignment vertical="center"/>
    </xf>
    <xf numFmtId="0" fontId="73" fillId="23" borderId="1" xfId="0" applyFont="1" applyFill="1" applyBorder="1" applyAlignment="1">
      <alignment vertical="center"/>
    </xf>
    <xf numFmtId="0" fontId="39" fillId="13" borderId="4" xfId="0" applyFont="1" applyFill="1" applyBorder="1" applyAlignment="1">
      <alignment vertical="center"/>
    </xf>
    <xf numFmtId="0" fontId="75" fillId="9" borderId="4" xfId="0" applyFont="1" applyFill="1" applyBorder="1" applyAlignment="1">
      <alignment vertical="center"/>
    </xf>
    <xf numFmtId="0" fontId="77" fillId="15" borderId="4" xfId="0" applyFont="1" applyFill="1" applyBorder="1" applyAlignment="1">
      <alignment vertical="center"/>
    </xf>
    <xf numFmtId="0" fontId="79" fillId="8" borderId="1" xfId="0" applyFont="1" applyFill="1" applyBorder="1" applyAlignment="1">
      <alignment vertical="center"/>
    </xf>
    <xf numFmtId="0" fontId="81" fillId="19" borderId="1" xfId="0" applyFont="1" applyFill="1" applyBorder="1" applyAlignment="1">
      <alignment vertical="center"/>
    </xf>
    <xf numFmtId="0" fontId="83" fillId="20" borderId="1" xfId="0" applyFont="1" applyFill="1" applyBorder="1" applyAlignment="1">
      <alignment vertical="center"/>
    </xf>
    <xf numFmtId="0" fontId="85" fillId="10" borderId="1" xfId="0" applyFont="1" applyFill="1" applyBorder="1" applyAlignment="1">
      <alignment vertical="center"/>
    </xf>
    <xf numFmtId="0" fontId="59" fillId="4" borderId="1" xfId="0" applyFont="1" applyFill="1" applyBorder="1" applyAlignment="1">
      <alignment vertical="center"/>
    </xf>
    <xf numFmtId="0" fontId="87" fillId="16" borderId="1" xfId="0" applyFont="1" applyFill="1" applyBorder="1" applyAlignment="1">
      <alignment vertical="center"/>
    </xf>
    <xf numFmtId="0" fontId="85" fillId="12" borderId="1" xfId="0" applyFont="1" applyFill="1" applyBorder="1" applyAlignment="1">
      <alignment vertical="center"/>
    </xf>
    <xf numFmtId="0" fontId="89" fillId="6" borderId="1" xfId="0" applyFont="1" applyFill="1" applyBorder="1" applyAlignment="1">
      <alignment vertical="center"/>
    </xf>
    <xf numFmtId="0" fontId="79" fillId="14" borderId="1" xfId="0" applyFont="1" applyFill="1" applyBorder="1" applyAlignment="1">
      <alignment vertical="center"/>
    </xf>
    <xf numFmtId="0" fontId="91" fillId="3" borderId="1" xfId="0" applyFont="1" applyFill="1" applyBorder="1" applyAlignment="1">
      <alignment vertical="center"/>
    </xf>
    <xf numFmtId="0" fontId="93" fillId="15" borderId="4" xfId="0" applyFont="1" applyFill="1" applyBorder="1" applyAlignment="1">
      <alignment vertical="center"/>
    </xf>
    <xf numFmtId="0" fontId="95" fillId="22" borderId="4" xfId="0" applyFont="1" applyFill="1" applyBorder="1" applyAlignment="1">
      <alignment vertical="center"/>
    </xf>
    <xf numFmtId="0" fontId="97" fillId="40" borderId="4" xfId="0" applyFont="1" applyFill="1" applyBorder="1" applyAlignment="1">
      <alignment vertical="center"/>
    </xf>
    <xf numFmtId="0" fontId="99" fillId="55" borderId="0" xfId="0" applyFont="1" applyFill="1" applyAlignment="1">
      <alignment vertical="center"/>
    </xf>
    <xf numFmtId="0" fontId="101" fillId="56" borderId="0" xfId="0" applyFont="1" applyFill="1" applyAlignment="1">
      <alignment vertical="center"/>
    </xf>
    <xf numFmtId="0" fontId="64" fillId="57" borderId="0" xfId="0" applyFont="1" applyFill="1" applyAlignment="1">
      <alignment vertical="center"/>
    </xf>
    <xf numFmtId="0" fontId="51" fillId="13" borderId="0" xfId="0" applyFont="1" applyFill="1" applyAlignment="1">
      <alignment vertical="center"/>
    </xf>
    <xf numFmtId="0" fontId="105" fillId="58" borderId="0" xfId="0" applyFont="1" applyFill="1" applyAlignment="1">
      <alignment vertical="center"/>
    </xf>
    <xf numFmtId="0" fontId="0" fillId="0" borderId="13" xfId="0" applyBorder="1" applyAlignment="1">
      <alignment vertical="center"/>
    </xf>
    <xf numFmtId="0" fontId="107" fillId="0" borderId="0" xfId="0" applyFont="1" applyAlignment="1">
      <alignment vertical="center"/>
    </xf>
    <xf numFmtId="0" fontId="109" fillId="52" borderId="8" xfId="0" applyFont="1" applyFill="1" applyBorder="1" applyAlignment="1">
      <alignment vertical="center"/>
    </xf>
    <xf numFmtId="0" fontId="41" fillId="15" borderId="4" xfId="0" applyFont="1" applyFill="1" applyBorder="1" applyAlignment="1">
      <alignment vertical="center"/>
    </xf>
    <xf numFmtId="0" fontId="48" fillId="15" borderId="4" xfId="0" applyFont="1" applyFill="1" applyBorder="1" applyAlignment="1">
      <alignment vertical="center"/>
    </xf>
    <xf numFmtId="0" fontId="111" fillId="32" borderId="4" xfId="0" applyFont="1" applyFill="1" applyBorder="1" applyAlignment="1">
      <alignment vertical="center"/>
    </xf>
    <xf numFmtId="0" fontId="113" fillId="4" borderId="0" xfId="0" applyFont="1" applyFill="1" applyAlignment="1">
      <alignment vertical="center"/>
    </xf>
    <xf numFmtId="0" fontId="51" fillId="62" borderId="0" xfId="0" applyFont="1" applyFill="1" applyAlignment="1">
      <alignment vertical="center"/>
    </xf>
    <xf numFmtId="0" fontId="117" fillId="65" borderId="0" xfId="0" applyFont="1" applyFill="1" applyAlignment="1">
      <alignment vertical="center"/>
    </xf>
    <xf numFmtId="0" fontId="119" fillId="67" borderId="0" xfId="0" applyFont="1" applyFill="1" applyAlignment="1">
      <alignment vertical="center"/>
    </xf>
    <xf numFmtId="0" fontId="13" fillId="0" borderId="1" xfId="0" applyFont="1" applyBorder="1" applyAlignment="1">
      <alignment vertical="center"/>
    </xf>
    <xf numFmtId="0" fontId="41" fillId="5" borderId="1" xfId="0" applyFont="1" applyFill="1" applyBorder="1" applyAlignment="1">
      <alignment vertical="center"/>
    </xf>
    <xf numFmtId="0" fontId="123" fillId="7" borderId="1" xfId="0" applyFont="1" applyFill="1" applyBorder="1" applyAlignment="1">
      <alignment vertical="center"/>
    </xf>
    <xf numFmtId="0" fontId="125" fillId="70" borderId="0" xfId="0" applyFont="1" applyFill="1" applyAlignment="1">
      <alignment vertical="center"/>
    </xf>
    <xf numFmtId="0" fontId="121" fillId="71" borderId="0" xfId="0" applyFont="1" applyFill="1" applyAlignment="1">
      <alignment vertical="center"/>
    </xf>
    <xf numFmtId="0" fontId="88" fillId="74" borderId="0" xfId="0" applyFont="1" applyFill="1" applyAlignment="1">
      <alignment vertical="center"/>
    </xf>
    <xf numFmtId="0" fontId="129" fillId="75" borderId="0" xfId="0" applyFont="1" applyFill="1" applyAlignment="1">
      <alignment vertical="center"/>
    </xf>
    <xf numFmtId="0" fontId="42" fillId="76" borderId="0" xfId="0" applyFont="1" applyFill="1" applyAlignment="1">
      <alignment vertical="center"/>
    </xf>
    <xf numFmtId="0" fontId="47" fillId="0" borderId="0" xfId="0" applyFont="1" applyAlignment="1">
      <alignment vertical="center"/>
    </xf>
    <xf numFmtId="0" fontId="133" fillId="78" borderId="0" xfId="0" applyFont="1" applyFill="1" applyAlignment="1">
      <alignment vertical="center"/>
    </xf>
    <xf numFmtId="0" fontId="135" fillId="79" borderId="1" xfId="0" applyFont="1" applyFill="1" applyBorder="1" applyAlignment="1">
      <alignment vertical="center"/>
    </xf>
    <xf numFmtId="0" fontId="137" fillId="0" borderId="0" xfId="0" applyFont="1" applyAlignment="1">
      <alignment vertical="center"/>
    </xf>
    <xf numFmtId="0" fontId="139" fillId="77" borderId="0" xfId="0" applyFont="1" applyFill="1" applyAlignment="1">
      <alignment vertical="center"/>
    </xf>
    <xf numFmtId="0" fontId="143" fillId="40" borderId="0" xfId="0" applyFont="1" applyFill="1" applyAlignment="1">
      <alignment vertical="center"/>
    </xf>
    <xf numFmtId="0" fontId="51" fillId="84" borderId="0" xfId="0" applyFont="1" applyFill="1" applyAlignment="1">
      <alignment vertical="center"/>
    </xf>
    <xf numFmtId="0" fontId="31" fillId="83" borderId="0" xfId="0" applyFont="1" applyFill="1" applyAlignment="1">
      <alignment vertical="center"/>
    </xf>
    <xf numFmtId="0" fontId="141" fillId="80" borderId="0" xfId="0" applyFont="1" applyFill="1" applyAlignment="1">
      <alignment vertical="center"/>
    </xf>
    <xf numFmtId="0" fontId="145" fillId="81" borderId="2" xfId="0" applyFont="1" applyFill="1" applyBorder="1" applyAlignment="1">
      <alignment vertical="center"/>
    </xf>
    <xf numFmtId="0" fontId="149" fillId="85" borderId="4" xfId="0" applyFont="1" applyFill="1" applyBorder="1" applyAlignment="1">
      <alignment vertical="center"/>
    </xf>
    <xf numFmtId="0" fontId="90" fillId="86" borderId="0" xfId="0" applyFont="1" applyFill="1" applyAlignment="1">
      <alignment vertical="center"/>
    </xf>
    <xf numFmtId="0" fontId="135" fillId="0" borderId="0" xfId="0" applyFont="1" applyAlignment="1">
      <alignment vertical="center"/>
    </xf>
    <xf numFmtId="0" fontId="51" fillId="62" borderId="1" xfId="0" applyFont="1" applyFill="1" applyBorder="1" applyAlignment="1">
      <alignment vertical="center"/>
    </xf>
    <xf numFmtId="0" fontId="151" fillId="87" borderId="1" xfId="0" applyFont="1" applyFill="1" applyBorder="1" applyAlignment="1">
      <alignment vertical="center"/>
    </xf>
    <xf numFmtId="0" fontId="152" fillId="68" borderId="0" xfId="0" applyFont="1" applyFill="1" applyAlignment="1">
      <alignment vertical="center"/>
    </xf>
    <xf numFmtId="0" fontId="154" fillId="89" borderId="4" xfId="0" applyFont="1" applyFill="1" applyBorder="1" applyAlignment="1">
      <alignment vertical="center"/>
    </xf>
    <xf numFmtId="0" fontId="151" fillId="90" borderId="1" xfId="0" applyFont="1" applyFill="1" applyBorder="1" applyAlignment="1">
      <alignment vertical="center"/>
    </xf>
    <xf numFmtId="0" fontId="156" fillId="106" borderId="1" xfId="0" applyFont="1" applyFill="1" applyBorder="1" applyAlignment="1">
      <alignment vertical="center"/>
    </xf>
    <xf numFmtId="0" fontId="158" fillId="107" borderId="4" xfId="0" applyFont="1" applyFill="1" applyBorder="1" applyAlignment="1">
      <alignment vertical="center"/>
    </xf>
    <xf numFmtId="0" fontId="160" fillId="4" borderId="4" xfId="0" applyFont="1" applyFill="1" applyBorder="1" applyAlignment="1">
      <alignment vertical="center"/>
    </xf>
    <xf numFmtId="0" fontId="151" fillId="108" borderId="1" xfId="0" applyFont="1" applyFill="1" applyBorder="1" applyAlignment="1">
      <alignment vertical="center"/>
    </xf>
    <xf numFmtId="0" fontId="162" fillId="109" borderId="1" xfId="0" applyFont="1" applyFill="1" applyBorder="1" applyAlignment="1">
      <alignment vertical="center"/>
    </xf>
    <xf numFmtId="0" fontId="164" fillId="4" borderId="1" xfId="0" applyFont="1" applyFill="1" applyBorder="1" applyAlignment="1">
      <alignment vertical="center"/>
    </xf>
    <xf numFmtId="0" fontId="51" fillId="112" borderId="4" xfId="0" applyFont="1" applyFill="1" applyBorder="1" applyAlignment="1">
      <alignment vertical="center"/>
    </xf>
    <xf numFmtId="0" fontId="166" fillId="40" borderId="1" xfId="0" applyFont="1" applyFill="1" applyBorder="1" applyAlignment="1">
      <alignment vertical="center"/>
    </xf>
    <xf numFmtId="0" fontId="168" fillId="113" borderId="1" xfId="0" applyFont="1" applyFill="1" applyBorder="1" applyAlignment="1">
      <alignment vertical="center"/>
    </xf>
    <xf numFmtId="0" fontId="96" fillId="83" borderId="1" xfId="0" applyFont="1" applyFill="1" applyBorder="1" applyAlignment="1">
      <alignment vertical="center"/>
    </xf>
    <xf numFmtId="0" fontId="170" fillId="158" borderId="1" xfId="0" applyFont="1" applyFill="1" applyBorder="1" applyAlignment="1">
      <alignment vertical="center"/>
    </xf>
    <xf numFmtId="0" fontId="4" fillId="0" borderId="15" xfId="0" applyFont="1" applyBorder="1" applyAlignment="1">
      <alignment vertical="center"/>
    </xf>
    <xf numFmtId="0" fontId="172" fillId="161" borderId="1" xfId="0" applyFont="1" applyFill="1" applyBorder="1" applyAlignment="1">
      <alignment vertical="center"/>
    </xf>
    <xf numFmtId="0" fontId="174" fillId="0" borderId="1" xfId="0" applyFont="1" applyBorder="1" applyAlignment="1">
      <alignment vertical="center"/>
    </xf>
    <xf numFmtId="0" fontId="176" fillId="3" borderId="1" xfId="0" applyFont="1" applyFill="1" applyBorder="1" applyAlignment="1">
      <alignment vertical="center"/>
    </xf>
    <xf numFmtId="0" fontId="0" fillId="50" borderId="0" xfId="0" applyFill="1" applyAlignment="1">
      <alignment vertical="center"/>
    </xf>
    <xf numFmtId="0" fontId="51" fillId="160" borderId="1" xfId="0" applyFont="1" applyFill="1" applyBorder="1" applyAlignment="1">
      <alignment vertical="center"/>
    </xf>
    <xf numFmtId="0" fontId="2" fillId="0" borderId="5" xfId="0" applyFont="1" applyBorder="1" applyAlignment="1">
      <alignment vertical="center"/>
    </xf>
    <xf numFmtId="0" fontId="2" fillId="0" borderId="6" xfId="0" applyFont="1" applyBorder="1" applyAlignment="1">
      <alignment vertical="center"/>
    </xf>
    <xf numFmtId="0" fontId="2" fillId="0" borderId="7" xfId="0" applyFont="1" applyBorder="1" applyAlignment="1">
      <alignment vertical="center"/>
    </xf>
    <xf numFmtId="0" fontId="13" fillId="0" borderId="6" xfId="0" applyFont="1" applyBorder="1" applyAlignment="1">
      <alignment vertical="center"/>
    </xf>
    <xf numFmtId="0" fontId="2" fillId="0" borderId="9" xfId="0" applyFont="1" applyBorder="1" applyAlignment="1">
      <alignment vertical="center"/>
    </xf>
    <xf numFmtId="0" fontId="131" fillId="37" borderId="0" xfId="0" applyFont="1" applyFill="1" applyAlignment="1">
      <alignment vertical="center"/>
    </xf>
    <xf numFmtId="0" fontId="0" fillId="0" borderId="4" xfId="0" applyBorder="1" applyAlignment="1">
      <alignment vertical="center"/>
    </xf>
    <xf numFmtId="0" fontId="2" fillId="0" borderId="1" xfId="0" applyFont="1" applyBorder="1" applyAlignment="1">
      <alignment vertical="center"/>
    </xf>
    <xf numFmtId="49" fontId="0" fillId="0" borderId="8" xfId="0" applyNumberFormat="1" applyBorder="1" applyAlignment="1">
      <alignment vertical="center"/>
    </xf>
    <xf numFmtId="49" fontId="0" fillId="0" borderId="3" xfId="0" applyNumberFormat="1" applyBorder="1" applyAlignment="1">
      <alignment vertical="center"/>
    </xf>
    <xf numFmtId="0" fontId="147" fillId="0" borderId="4" xfId="0" applyFont="1" applyBorder="1" applyAlignment="1">
      <alignment vertical="center"/>
    </xf>
    <xf numFmtId="0" fontId="21" fillId="88" borderId="1" xfId="0" applyFont="1" applyFill="1" applyBorder="1" applyAlignment="1">
      <alignment vertical="center"/>
    </xf>
    <xf numFmtId="49" fontId="0" fillId="0" borderId="2" xfId="0" applyNumberFormat="1" applyBorder="1" applyAlignment="1">
      <alignment vertical="center"/>
    </xf>
    <xf numFmtId="0" fontId="178" fillId="164" borderId="1" xfId="0" applyFont="1" applyFill="1" applyBorder="1" applyAlignment="1">
      <alignment vertical="center"/>
    </xf>
    <xf numFmtId="0" fontId="180" fillId="166" borderId="1" xfId="0" applyFont="1" applyFill="1" applyBorder="1" applyAlignment="1">
      <alignment vertical="center"/>
    </xf>
    <xf numFmtId="0" fontId="182" fillId="167" borderId="1" xfId="0" applyFont="1" applyFill="1" applyBorder="1" applyAlignment="1">
      <alignment vertical="center"/>
    </xf>
    <xf numFmtId="0" fontId="184" fillId="168" borderId="1" xfId="0" applyFont="1" applyFill="1" applyBorder="1" applyAlignment="1">
      <alignment vertical="center"/>
    </xf>
    <xf numFmtId="0" fontId="186" fillId="170" borderId="1" xfId="0" applyFont="1" applyFill="1" applyBorder="1" applyAlignment="1">
      <alignment vertical="center"/>
    </xf>
    <xf numFmtId="0" fontId="188" fillId="172" borderId="1" xfId="0" applyFont="1" applyFill="1" applyBorder="1" applyAlignment="1">
      <alignment vertical="center"/>
    </xf>
    <xf numFmtId="0" fontId="101" fillId="113" borderId="1" xfId="0" applyFont="1" applyFill="1" applyBorder="1" applyAlignment="1">
      <alignment vertical="center"/>
    </xf>
    <xf numFmtId="0" fontId="190" fillId="175" borderId="1" xfId="0" applyFont="1" applyFill="1" applyBorder="1" applyAlignment="1">
      <alignment vertical="center"/>
    </xf>
    <xf numFmtId="0" fontId="193" fillId="177" borderId="1" xfId="0" applyFont="1" applyFill="1" applyBorder="1" applyAlignment="1">
      <alignment vertical="center"/>
    </xf>
    <xf numFmtId="0" fontId="135" fillId="179" borderId="1" xfId="0" applyFont="1" applyFill="1" applyBorder="1" applyAlignment="1">
      <alignment vertical="center"/>
    </xf>
    <xf numFmtId="0" fontId="195" fillId="180" borderId="1" xfId="0" applyFont="1" applyFill="1" applyBorder="1" applyAlignment="1">
      <alignment vertical="center"/>
    </xf>
    <xf numFmtId="0" fontId="168" fillId="0" borderId="1" xfId="0" applyFont="1" applyBorder="1" applyAlignment="1">
      <alignment vertical="center"/>
    </xf>
    <xf numFmtId="0" fontId="197" fillId="27" borderId="4" xfId="0" applyFont="1" applyFill="1" applyBorder="1" applyAlignment="1">
      <alignment vertical="center"/>
    </xf>
    <xf numFmtId="0" fontId="199" fillId="4" borderId="1" xfId="0" applyFont="1" applyFill="1" applyBorder="1" applyAlignment="1">
      <alignment vertical="center"/>
    </xf>
    <xf numFmtId="0" fontId="201" fillId="20" borderId="1" xfId="0" applyFont="1" applyFill="1" applyBorder="1" applyAlignment="1">
      <alignment vertical="center"/>
    </xf>
    <xf numFmtId="0" fontId="42" fillId="183" borderId="1" xfId="0" applyFont="1" applyFill="1" applyBorder="1" applyAlignment="1">
      <alignment vertical="center"/>
    </xf>
    <xf numFmtId="0" fontId="203" fillId="185" borderId="1" xfId="0" applyFont="1" applyFill="1" applyBorder="1" applyAlignment="1">
      <alignment vertical="center"/>
    </xf>
    <xf numFmtId="0" fontId="51" fillId="186" borderId="1" xfId="0" applyFont="1" applyFill="1" applyBorder="1" applyAlignment="1">
      <alignment vertical="center"/>
    </xf>
    <xf numFmtId="0" fontId="62" fillId="187" borderId="1" xfId="0" applyFont="1" applyFill="1" applyBorder="1" applyAlignment="1">
      <alignment vertical="center"/>
    </xf>
    <xf numFmtId="0" fontId="205" fillId="4" borderId="1" xfId="0" applyFont="1" applyFill="1" applyBorder="1" applyAlignment="1">
      <alignment vertical="center"/>
    </xf>
    <xf numFmtId="0" fontId="41" fillId="188" borderId="4" xfId="0" applyFont="1" applyFill="1" applyBorder="1" applyAlignment="1">
      <alignment vertical="center"/>
    </xf>
    <xf numFmtId="0" fontId="207" fillId="189" borderId="1" xfId="0" applyFont="1" applyFill="1" applyBorder="1" applyAlignment="1">
      <alignment vertical="center"/>
    </xf>
    <xf numFmtId="0" fontId="209" fillId="15" borderId="1" xfId="0" applyFont="1" applyFill="1" applyBorder="1" applyAlignment="1">
      <alignment vertical="center"/>
    </xf>
    <xf numFmtId="0" fontId="211" fillId="194" borderId="1" xfId="0" applyFont="1" applyFill="1" applyBorder="1" applyAlignment="1">
      <alignment vertical="center"/>
    </xf>
    <xf numFmtId="0" fontId="213" fillId="195" borderId="1" xfId="0" applyFont="1" applyFill="1" applyBorder="1" applyAlignment="1">
      <alignment vertical="center"/>
    </xf>
    <xf numFmtId="0" fontId="215" fillId="197" borderId="1" xfId="0" applyFont="1" applyFill="1" applyBorder="1" applyAlignment="1">
      <alignment vertical="center"/>
    </xf>
    <xf numFmtId="0" fontId="217" fillId="0" borderId="2" xfId="0" applyFont="1" applyBorder="1" applyAlignment="1">
      <alignment vertical="center"/>
    </xf>
    <xf numFmtId="0" fontId="218" fillId="198" borderId="1" xfId="0" applyFont="1" applyFill="1" applyBorder="1" applyAlignment="1">
      <alignment vertical="center"/>
    </xf>
    <xf numFmtId="0" fontId="124" fillId="197" borderId="1" xfId="0" applyFont="1" applyFill="1" applyBorder="1" applyAlignment="1">
      <alignment vertical="center"/>
    </xf>
    <xf numFmtId="0" fontId="42" fillId="201" borderId="1" xfId="0" applyFont="1" applyFill="1" applyBorder="1" applyAlignment="1">
      <alignment vertical="center"/>
    </xf>
    <xf numFmtId="0" fontId="220" fillId="67" borderId="1" xfId="0" applyFont="1" applyFill="1" applyBorder="1" applyAlignment="1">
      <alignment vertical="center"/>
    </xf>
    <xf numFmtId="0" fontId="222" fillId="203" borderId="1" xfId="0" applyFont="1" applyFill="1" applyBorder="1" applyAlignment="1">
      <alignment vertical="center"/>
    </xf>
    <xf numFmtId="0" fontId="225" fillId="204" borderId="1" xfId="0" applyFont="1" applyFill="1" applyBorder="1" applyAlignment="1">
      <alignment vertical="center"/>
    </xf>
    <xf numFmtId="0" fontId="227" fillId="206" borderId="1" xfId="0" applyFont="1" applyFill="1" applyBorder="1" applyAlignment="1">
      <alignment vertical="center"/>
    </xf>
    <xf numFmtId="0" fontId="229" fillId="207" borderId="1" xfId="0" applyFont="1" applyFill="1" applyBorder="1" applyAlignment="1">
      <alignment vertical="center"/>
    </xf>
    <xf numFmtId="0" fontId="231" fillId="208" borderId="1" xfId="0" applyFont="1" applyFill="1" applyBorder="1" applyAlignment="1">
      <alignment vertical="center"/>
    </xf>
    <xf numFmtId="0" fontId="215" fillId="209" borderId="4" xfId="0" applyFont="1" applyFill="1" applyBorder="1" applyAlignment="1">
      <alignment vertical="center"/>
    </xf>
    <xf numFmtId="0" fontId="51" fillId="4" borderId="1" xfId="0" applyFont="1" applyFill="1" applyBorder="1" applyAlignment="1">
      <alignment vertical="center"/>
    </xf>
    <xf numFmtId="0" fontId="233" fillId="197" borderId="1" xfId="0" applyFont="1" applyFill="1" applyBorder="1" applyAlignment="1">
      <alignment vertical="center"/>
    </xf>
    <xf numFmtId="0" fontId="235" fillId="212" borderId="1" xfId="0" applyFont="1" applyFill="1" applyBorder="1" applyAlignment="1">
      <alignment vertical="center"/>
    </xf>
    <xf numFmtId="0" fontId="237" fillId="37" borderId="1" xfId="0" applyFont="1" applyFill="1" applyBorder="1" applyAlignment="1">
      <alignment vertical="center"/>
    </xf>
    <xf numFmtId="0" fontId="51" fillId="214" borderId="1" xfId="0" applyFont="1" applyFill="1" applyBorder="1" applyAlignment="1">
      <alignment vertical="center"/>
    </xf>
    <xf numFmtId="0" fontId="241" fillId="215" borderId="1" xfId="0" applyFont="1" applyFill="1" applyBorder="1" applyAlignment="1">
      <alignment vertical="center"/>
    </xf>
    <xf numFmtId="0" fontId="243" fillId="216" borderId="1" xfId="0" applyFont="1" applyFill="1" applyBorder="1" applyAlignment="1">
      <alignment vertical="center"/>
    </xf>
    <xf numFmtId="0" fontId="13" fillId="0" borderId="5" xfId="0" applyFont="1" applyBorder="1" applyAlignment="1">
      <alignment vertical="center"/>
    </xf>
    <xf numFmtId="0" fontId="13" fillId="0" borderId="7" xfId="0" applyFont="1" applyBorder="1" applyAlignment="1">
      <alignment vertical="center"/>
    </xf>
    <xf numFmtId="0" fontId="247" fillId="0" borderId="1" xfId="0" applyFont="1" applyBorder="1" applyAlignment="1">
      <alignment vertical="center"/>
    </xf>
    <xf numFmtId="0" fontId="103" fillId="218" borderId="0" xfId="0" applyFont="1" applyFill="1" applyAlignment="1">
      <alignment vertical="center"/>
    </xf>
    <xf numFmtId="0" fontId="245" fillId="37" borderId="1" xfId="0" applyFont="1" applyFill="1" applyBorder="1" applyAlignment="1">
      <alignment vertical="center"/>
    </xf>
    <xf numFmtId="0" fontId="249" fillId="219" borderId="1" xfId="0" applyFont="1" applyFill="1" applyBorder="1" applyAlignment="1">
      <alignment vertical="center"/>
    </xf>
    <xf numFmtId="0" fontId="239" fillId="4" borderId="1" xfId="0" applyFont="1" applyFill="1" applyBorder="1" applyAlignment="1">
      <alignment vertical="center"/>
    </xf>
    <xf numFmtId="0" fontId="2" fillId="2" borderId="13" xfId="0" applyFont="1" applyFill="1" applyBorder="1" applyAlignment="1">
      <alignment vertical="center"/>
    </xf>
    <xf numFmtId="0" fontId="2" fillId="2" borderId="9" xfId="0" applyFont="1" applyFill="1" applyBorder="1" applyAlignment="1">
      <alignment vertical="center"/>
    </xf>
    <xf numFmtId="0" fontId="224" fillId="0" borderId="2" xfId="0" applyFont="1" applyBorder="1" applyAlignment="1">
      <alignment vertical="center"/>
    </xf>
    <xf numFmtId="0" fontId="0" fillId="0" borderId="0" xfId="0" applyAlignment="1">
      <alignment horizontal="center" vertical="center"/>
    </xf>
    <xf numFmtId="0" fontId="251" fillId="220" borderId="5" xfId="0" applyFont="1" applyFill="1" applyBorder="1" applyAlignment="1">
      <alignment vertical="center"/>
    </xf>
    <xf numFmtId="0" fontId="202" fillId="42" borderId="1" xfId="0" applyFont="1" applyFill="1" applyBorder="1" applyAlignment="1">
      <alignment vertical="center"/>
    </xf>
    <xf numFmtId="0" fontId="253" fillId="221" borderId="1" xfId="0" applyFont="1" applyFill="1" applyBorder="1" applyAlignment="1">
      <alignment vertical="center"/>
    </xf>
    <xf numFmtId="0" fontId="51" fillId="223" borderId="8" xfId="0" applyFont="1" applyFill="1" applyBorder="1" applyAlignment="1">
      <alignment vertical="center"/>
    </xf>
    <xf numFmtId="0" fontId="255" fillId="224" borderId="1" xfId="0" applyFont="1" applyFill="1" applyBorder="1" applyAlignment="1">
      <alignment vertical="center"/>
    </xf>
    <xf numFmtId="0" fontId="257" fillId="225" borderId="1" xfId="0" applyFont="1" applyFill="1" applyBorder="1" applyAlignment="1">
      <alignment vertical="center"/>
    </xf>
    <xf numFmtId="0" fontId="147" fillId="197" borderId="1" xfId="0" applyFont="1" applyFill="1" applyBorder="1" applyAlignment="1">
      <alignment vertical="center"/>
    </xf>
    <xf numFmtId="0" fontId="259" fillId="4" borderId="1" xfId="0" applyFont="1" applyFill="1" applyBorder="1" applyAlignment="1">
      <alignment vertical="center"/>
    </xf>
    <xf numFmtId="0" fontId="261" fillId="226" borderId="1" xfId="0" applyFont="1" applyFill="1" applyBorder="1" applyAlignment="1">
      <alignment vertical="center"/>
    </xf>
    <xf numFmtId="0" fontId="88" fillId="232" borderId="1" xfId="0" applyFont="1" applyFill="1" applyBorder="1" applyAlignment="1">
      <alignment vertical="center"/>
    </xf>
    <xf numFmtId="0" fontId="263" fillId="4" borderId="1" xfId="0" applyFont="1" applyFill="1" applyBorder="1" applyAlignment="1">
      <alignment vertical="center"/>
    </xf>
    <xf numFmtId="0" fontId="209" fillId="234" borderId="1" xfId="0" applyFont="1" applyFill="1" applyBorder="1" applyAlignment="1">
      <alignment vertical="center"/>
    </xf>
    <xf numFmtId="0" fontId="263" fillId="235" borderId="1" xfId="0" applyFont="1" applyFill="1" applyBorder="1" applyAlignment="1">
      <alignment vertical="center"/>
    </xf>
    <xf numFmtId="0" fontId="265" fillId="237" borderId="1" xfId="0" applyFont="1" applyFill="1" applyBorder="1" applyAlignment="1">
      <alignment vertical="center"/>
    </xf>
    <xf numFmtId="0" fontId="267" fillId="238" borderId="1" xfId="0" applyFont="1" applyFill="1" applyBorder="1" applyAlignment="1">
      <alignment vertical="center"/>
    </xf>
    <xf numFmtId="0" fontId="269" fillId="239" borderId="1" xfId="0" applyFont="1" applyFill="1" applyBorder="1" applyAlignment="1">
      <alignment vertical="center"/>
    </xf>
    <xf numFmtId="0" fontId="168" fillId="197" borderId="1" xfId="0" applyFont="1" applyFill="1" applyBorder="1" applyAlignment="1">
      <alignment vertical="center"/>
    </xf>
    <xf numFmtId="0" fontId="42" fillId="0" borderId="1" xfId="0" applyFont="1" applyBorder="1" applyAlignment="1">
      <alignment vertical="center"/>
    </xf>
    <xf numFmtId="0" fontId="271" fillId="0" borderId="1" xfId="0" applyFont="1" applyBorder="1" applyAlignment="1">
      <alignment vertical="center"/>
    </xf>
    <xf numFmtId="0" fontId="42" fillId="40" borderId="1" xfId="0" applyFont="1" applyFill="1" applyBorder="1" applyAlignment="1">
      <alignment vertical="center"/>
    </xf>
    <xf numFmtId="0" fontId="273" fillId="4" borderId="1" xfId="0" applyFont="1" applyFill="1" applyBorder="1" applyAlignment="1">
      <alignment vertical="center"/>
    </xf>
    <xf numFmtId="0" fontId="275" fillId="245" borderId="1" xfId="0" applyFont="1" applyFill="1" applyBorder="1" applyAlignment="1">
      <alignment vertical="center"/>
    </xf>
    <xf numFmtId="0" fontId="147" fillId="82" borderId="1" xfId="0" applyFont="1" applyFill="1" applyBorder="1" applyAlignment="1">
      <alignment vertical="center"/>
    </xf>
    <xf numFmtId="0" fontId="277" fillId="246" borderId="1" xfId="0" applyFont="1" applyFill="1" applyBorder="1" applyAlignment="1">
      <alignment vertical="center"/>
    </xf>
    <xf numFmtId="0" fontId="88" fillId="5" borderId="1" xfId="0" applyFont="1" applyFill="1" applyBorder="1" applyAlignment="1">
      <alignment vertical="center"/>
    </xf>
    <xf numFmtId="0" fontId="279" fillId="236" borderId="1" xfId="0" applyFont="1" applyFill="1" applyBorder="1" applyAlignment="1">
      <alignment vertical="center"/>
    </xf>
    <xf numFmtId="0" fontId="14" fillId="28" borderId="0" xfId="0" applyFont="1" applyFill="1" applyAlignment="1">
      <alignment horizontal="center"/>
    </xf>
    <xf numFmtId="0" fontId="0" fillId="29" borderId="0" xfId="0" applyFill="1"/>
    <xf numFmtId="0" fontId="0" fillId="29" borderId="0" xfId="0" applyFill="1" applyAlignment="1">
      <alignment horizontal="center"/>
    </xf>
    <xf numFmtId="49" fontId="0" fillId="29" borderId="0" xfId="0" applyNumberFormat="1" applyFill="1" applyAlignment="1">
      <alignment horizontal="center"/>
    </xf>
    <xf numFmtId="0" fontId="0" fillId="39" borderId="0" xfId="0" applyFill="1"/>
    <xf numFmtId="0" fontId="0" fillId="39" borderId="0" xfId="0" applyFill="1" applyAlignment="1">
      <alignment horizontal="center"/>
    </xf>
    <xf numFmtId="49" fontId="0" fillId="39" borderId="0" xfId="0" applyNumberFormat="1" applyFill="1" applyAlignment="1">
      <alignment horizontal="center"/>
    </xf>
    <xf numFmtId="0" fontId="13" fillId="21" borderId="0" xfId="0" applyFont="1" applyFill="1" applyAlignment="1">
      <alignment horizontal="center"/>
    </xf>
    <xf numFmtId="0" fontId="15" fillId="11" borderId="0" xfId="0" applyFont="1" applyFill="1" applyAlignment="1">
      <alignment horizontal="center"/>
    </xf>
    <xf numFmtId="0" fontId="13" fillId="33" borderId="0" xfId="0" applyFont="1" applyFill="1" applyAlignment="1">
      <alignment horizontal="center"/>
    </xf>
    <xf numFmtId="0" fontId="13" fillId="34" borderId="0" xfId="0" applyFont="1" applyFill="1" applyAlignment="1">
      <alignment horizontal="center"/>
    </xf>
    <xf numFmtId="0" fontId="13" fillId="35" borderId="0" xfId="0" applyFont="1" applyFill="1" applyAlignment="1">
      <alignment horizontal="center"/>
    </xf>
    <xf numFmtId="0" fontId="15" fillId="115" borderId="0" xfId="0" applyFont="1" applyFill="1" applyAlignment="1">
      <alignment horizontal="center"/>
    </xf>
    <xf numFmtId="0" fontId="15" fillId="116" borderId="0" xfId="0" applyFont="1" applyFill="1" applyAlignment="1">
      <alignment horizontal="center"/>
    </xf>
    <xf numFmtId="0" fontId="15" fillId="240" borderId="0" xfId="0" applyFont="1" applyFill="1" applyAlignment="1">
      <alignment horizontal="center"/>
    </xf>
    <xf numFmtId="0" fontId="15" fillId="231" borderId="0" xfId="0" applyFont="1" applyFill="1" applyAlignment="1">
      <alignment horizontal="center"/>
    </xf>
    <xf numFmtId="0" fontId="15" fillId="118" borderId="0" xfId="0" applyFont="1" applyFill="1" applyAlignment="1">
      <alignment horizontal="center"/>
    </xf>
    <xf numFmtId="0" fontId="15" fillId="119" borderId="0" xfId="0" applyFont="1" applyFill="1" applyAlignment="1">
      <alignment horizontal="center"/>
    </xf>
    <xf numFmtId="0" fontId="15" fillId="92" borderId="0" xfId="0" applyFont="1" applyFill="1" applyAlignment="1">
      <alignment horizontal="center"/>
    </xf>
    <xf numFmtId="0" fontId="15" fillId="181" borderId="0" xfId="0" applyFont="1" applyFill="1" applyAlignment="1">
      <alignment horizontal="center"/>
    </xf>
    <xf numFmtId="0" fontId="15" fillId="120" borderId="0" xfId="0" applyFont="1" applyFill="1" applyAlignment="1">
      <alignment horizontal="center"/>
    </xf>
    <xf numFmtId="0" fontId="15" fillId="121" borderId="0" xfId="0" applyFont="1" applyFill="1" applyAlignment="1">
      <alignment horizontal="center"/>
    </xf>
    <xf numFmtId="0" fontId="15" fillId="122" borderId="0" xfId="0" applyFont="1" applyFill="1" applyAlignment="1">
      <alignment horizontal="center"/>
    </xf>
    <xf numFmtId="0" fontId="15" fillId="123" borderId="0" xfId="0" applyFont="1" applyFill="1" applyAlignment="1">
      <alignment horizontal="center"/>
    </xf>
    <xf numFmtId="0" fontId="15" fillId="59" borderId="0" xfId="0" applyFont="1" applyFill="1" applyAlignment="1">
      <alignment horizontal="center"/>
    </xf>
    <xf numFmtId="0" fontId="15" fillId="124" borderId="0" xfId="0" applyFont="1" applyFill="1" applyAlignment="1">
      <alignment horizontal="center"/>
    </xf>
    <xf numFmtId="0" fontId="15" fillId="213" borderId="0" xfId="0" applyFont="1" applyFill="1" applyAlignment="1">
      <alignment horizontal="center"/>
    </xf>
    <xf numFmtId="0" fontId="15" fillId="230" borderId="0" xfId="0" applyFont="1" applyFill="1" applyAlignment="1">
      <alignment horizontal="center"/>
    </xf>
    <xf numFmtId="0" fontId="15" fillId="66" borderId="0" xfId="0" applyFont="1" applyFill="1" applyAlignment="1">
      <alignment horizontal="center"/>
    </xf>
    <xf numFmtId="0" fontId="15" fillId="125" borderId="0" xfId="0" applyFont="1" applyFill="1" applyAlignment="1">
      <alignment horizontal="center"/>
    </xf>
    <xf numFmtId="0" fontId="15" fillId="126" borderId="0" xfId="0" applyFont="1" applyFill="1" applyAlignment="1">
      <alignment horizontal="center"/>
    </xf>
    <xf numFmtId="0" fontId="15" fillId="229" borderId="0" xfId="0" applyFont="1" applyFill="1" applyAlignment="1">
      <alignment horizontal="center"/>
    </xf>
    <xf numFmtId="0" fontId="15" fillId="199" borderId="0" xfId="0" applyFont="1" applyFill="1" applyAlignment="1">
      <alignment horizontal="center"/>
    </xf>
    <xf numFmtId="0" fontId="15" fillId="127" borderId="0" xfId="0" applyFont="1" applyFill="1" applyAlignment="1">
      <alignment horizontal="center"/>
    </xf>
    <xf numFmtId="0" fontId="15" fillId="165" borderId="0" xfId="0" applyFont="1" applyFill="1" applyAlignment="1">
      <alignment horizontal="center"/>
    </xf>
    <xf numFmtId="0" fontId="15" fillId="233" borderId="0" xfId="0" applyFont="1" applyFill="1" applyAlignment="1">
      <alignment horizontal="center"/>
    </xf>
    <xf numFmtId="0" fontId="15" fillId="128" borderId="0" xfId="0" applyFont="1" applyFill="1" applyAlignment="1">
      <alignment horizontal="center"/>
    </xf>
    <xf numFmtId="0" fontId="15" fillId="169" borderId="0" xfId="0" applyFont="1" applyFill="1" applyAlignment="1">
      <alignment horizontal="center"/>
    </xf>
    <xf numFmtId="0" fontId="15" fillId="248" borderId="0" xfId="0" applyFont="1" applyFill="1" applyAlignment="1">
      <alignment horizontal="center"/>
    </xf>
    <xf numFmtId="0" fontId="15" fillId="174" borderId="0" xfId="0" applyFont="1" applyFill="1" applyAlignment="1">
      <alignment horizontal="center"/>
    </xf>
    <xf numFmtId="0" fontId="15" fillId="30" borderId="0" xfId="0" applyFont="1" applyFill="1" applyAlignment="1">
      <alignment horizontal="center"/>
    </xf>
    <xf numFmtId="0" fontId="15" fillId="129" borderId="0" xfId="0" applyFont="1" applyFill="1" applyAlignment="1">
      <alignment horizontal="center"/>
    </xf>
    <xf numFmtId="0" fontId="15" fillId="130" borderId="0" xfId="0" applyFont="1" applyFill="1" applyAlignment="1">
      <alignment horizontal="center"/>
    </xf>
    <xf numFmtId="0" fontId="15" fillId="93" borderId="0" xfId="0" applyFont="1" applyFill="1" applyAlignment="1">
      <alignment horizontal="center"/>
    </xf>
    <xf numFmtId="0" fontId="15" fillId="94" borderId="0" xfId="0" applyFont="1" applyFill="1" applyAlignment="1">
      <alignment horizontal="center"/>
    </xf>
    <xf numFmtId="0" fontId="15" fillId="131" borderId="0" xfId="0" applyFont="1" applyFill="1" applyAlignment="1">
      <alignment horizontal="center"/>
    </xf>
    <xf numFmtId="0" fontId="15" fillId="200" borderId="0" xfId="0" applyFont="1" applyFill="1" applyAlignment="1">
      <alignment horizontal="center"/>
    </xf>
    <xf numFmtId="0" fontId="15" fillId="190" borderId="0" xfId="0" applyFont="1" applyFill="1" applyAlignment="1">
      <alignment horizontal="center"/>
    </xf>
    <xf numFmtId="0" fontId="15" fillId="95" borderId="0" xfId="0" applyFont="1" applyFill="1" applyAlignment="1">
      <alignment horizontal="center"/>
    </xf>
    <xf numFmtId="0" fontId="15" fillId="132" borderId="0" xfId="0" applyFont="1" applyFill="1" applyAlignment="1">
      <alignment horizontal="center"/>
    </xf>
    <xf numFmtId="0" fontId="15" fillId="96" borderId="0" xfId="0" applyFont="1" applyFill="1" applyAlignment="1">
      <alignment horizontal="center"/>
    </xf>
    <xf numFmtId="0" fontId="15" fillId="60" borderId="0" xfId="0" applyFont="1" applyFill="1" applyAlignment="1">
      <alignment horizontal="center"/>
    </xf>
    <xf numFmtId="0" fontId="15" fillId="133" borderId="0" xfId="0" applyFont="1" applyFill="1" applyAlignment="1">
      <alignment horizontal="center"/>
    </xf>
    <xf numFmtId="0" fontId="15" fillId="191" borderId="0" xfId="0" applyFont="1" applyFill="1" applyAlignment="1">
      <alignment horizontal="center"/>
    </xf>
    <xf numFmtId="0" fontId="15" fillId="72" borderId="0" xfId="0" applyFont="1" applyFill="1" applyAlignment="1">
      <alignment horizontal="center"/>
    </xf>
    <xf numFmtId="0" fontId="15" fillId="69" borderId="0" xfId="0" applyFont="1" applyFill="1" applyAlignment="1">
      <alignment horizontal="center"/>
    </xf>
    <xf numFmtId="0" fontId="15" fillId="73" borderId="0" xfId="0" applyFont="1" applyFill="1" applyAlignment="1">
      <alignment horizontal="center"/>
    </xf>
    <xf numFmtId="0" fontId="15" fillId="111" borderId="0" xfId="0" applyFont="1" applyFill="1" applyAlignment="1">
      <alignment horizontal="center"/>
    </xf>
    <xf numFmtId="0" fontId="15" fillId="97" borderId="0" xfId="0" applyFont="1" applyFill="1" applyAlignment="1">
      <alignment horizontal="center"/>
    </xf>
    <xf numFmtId="0" fontId="15" fillId="222" borderId="0" xfId="0" applyFont="1" applyFill="1" applyAlignment="1">
      <alignment horizontal="center"/>
    </xf>
    <xf numFmtId="0" fontId="15" fillId="114" borderId="0" xfId="0" applyFont="1" applyFill="1" applyAlignment="1">
      <alignment horizontal="center"/>
    </xf>
    <xf numFmtId="0" fontId="15" fillId="192" borderId="0" xfId="0" applyFont="1" applyFill="1" applyAlignment="1">
      <alignment horizontal="center"/>
    </xf>
    <xf numFmtId="0" fontId="15" fillId="134" borderId="0" xfId="0" applyFont="1" applyFill="1" applyAlignment="1">
      <alignment horizontal="center"/>
    </xf>
    <xf numFmtId="0" fontId="15" fillId="110" borderId="0" xfId="0" applyFont="1" applyFill="1" applyAlignment="1">
      <alignment horizontal="center"/>
    </xf>
    <xf numFmtId="0" fontId="15" fillId="178" borderId="0" xfId="0" applyFont="1" applyFill="1" applyAlignment="1">
      <alignment horizontal="center"/>
    </xf>
    <xf numFmtId="0" fontId="15" fillId="135" borderId="0" xfId="0" applyFont="1" applyFill="1" applyAlignment="1">
      <alignment horizontal="center"/>
    </xf>
    <xf numFmtId="0" fontId="15" fillId="98" borderId="0" xfId="0" applyFont="1" applyFill="1" applyAlignment="1">
      <alignment horizontal="center"/>
    </xf>
    <xf numFmtId="0" fontId="15" fillId="136" borderId="0" xfId="0" applyFont="1" applyFill="1" applyAlignment="1">
      <alignment horizontal="center"/>
    </xf>
    <xf numFmtId="0" fontId="15" fillId="61" borderId="0" xfId="0" applyFont="1" applyFill="1" applyAlignment="1">
      <alignment horizontal="center"/>
    </xf>
    <xf numFmtId="0" fontId="15" fillId="99" borderId="0" xfId="0" applyFont="1" applyFill="1" applyAlignment="1">
      <alignment horizontal="center"/>
    </xf>
    <xf numFmtId="0" fontId="15" fillId="184" borderId="0" xfId="0" applyFont="1" applyFill="1" applyAlignment="1">
      <alignment horizontal="center"/>
    </xf>
    <xf numFmtId="0" fontId="15" fillId="205" borderId="0" xfId="0" applyFont="1" applyFill="1" applyAlignment="1">
      <alignment horizontal="center"/>
    </xf>
    <xf numFmtId="0" fontId="15" fillId="171" borderId="0" xfId="0" applyFont="1" applyFill="1" applyAlignment="1">
      <alignment horizontal="center"/>
    </xf>
    <xf numFmtId="0" fontId="15" fillId="137" borderId="0" xfId="0" applyFont="1" applyFill="1" applyAlignment="1">
      <alignment horizontal="center"/>
    </xf>
    <xf numFmtId="0" fontId="15" fillId="193" borderId="0" xfId="0" applyFont="1" applyFill="1" applyAlignment="1">
      <alignment horizontal="center"/>
    </xf>
    <xf numFmtId="0" fontId="15" fillId="138" borderId="0" xfId="0" applyFont="1" applyFill="1" applyAlignment="1">
      <alignment horizontal="center"/>
    </xf>
    <xf numFmtId="0" fontId="15" fillId="176" borderId="0" xfId="0" applyFont="1" applyFill="1" applyAlignment="1">
      <alignment horizontal="center"/>
    </xf>
    <xf numFmtId="0" fontId="15" fillId="159" borderId="0" xfId="0" applyFont="1" applyFill="1" applyAlignment="1">
      <alignment horizontal="center"/>
    </xf>
    <xf numFmtId="0" fontId="15" fillId="139" borderId="0" xfId="0" applyFont="1" applyFill="1" applyAlignment="1">
      <alignment horizontal="center"/>
    </xf>
    <xf numFmtId="0" fontId="15" fillId="140" borderId="0" xfId="0" applyFont="1" applyFill="1" applyAlignment="1">
      <alignment horizontal="center"/>
    </xf>
    <xf numFmtId="0" fontId="15" fillId="141" borderId="0" xfId="0" applyFont="1" applyFill="1" applyAlignment="1">
      <alignment horizontal="center"/>
    </xf>
    <xf numFmtId="0" fontId="15" fillId="100" borderId="0" xfId="0" applyFont="1" applyFill="1" applyAlignment="1">
      <alignment horizontal="center"/>
    </xf>
    <xf numFmtId="0" fontId="15" fillId="142" borderId="0" xfId="0" applyFont="1" applyFill="1" applyAlignment="1">
      <alignment horizontal="center"/>
    </xf>
    <xf numFmtId="0" fontId="15" fillId="101" borderId="0" xfId="0" applyFont="1" applyFill="1" applyAlignment="1">
      <alignment horizontal="center"/>
    </xf>
    <xf numFmtId="0" fontId="15" fillId="182" borderId="0" xfId="0" applyFont="1" applyFill="1" applyAlignment="1">
      <alignment horizontal="center"/>
    </xf>
    <xf numFmtId="0" fontId="15" fillId="143" borderId="0" xfId="0" applyFont="1" applyFill="1" applyAlignment="1">
      <alignment horizontal="center"/>
    </xf>
    <xf numFmtId="0" fontId="15" fillId="144" borderId="0" xfId="0" applyFont="1" applyFill="1" applyAlignment="1">
      <alignment horizontal="center"/>
    </xf>
    <xf numFmtId="0" fontId="15" fillId="247" borderId="0" xfId="0" applyFont="1" applyFill="1" applyAlignment="1">
      <alignment horizontal="center"/>
    </xf>
    <xf numFmtId="0" fontId="15" fillId="217" borderId="0" xfId="0" applyFont="1" applyFill="1" applyAlignment="1">
      <alignment horizontal="center"/>
    </xf>
    <xf numFmtId="0" fontId="15" fillId="145" borderId="0" xfId="0" applyFont="1" applyFill="1" applyAlignment="1">
      <alignment horizontal="center"/>
    </xf>
    <xf numFmtId="0" fontId="15" fillId="146" borderId="0" xfId="0" applyFont="1" applyFill="1" applyAlignment="1">
      <alignment horizontal="center"/>
    </xf>
    <xf numFmtId="0" fontId="15" fillId="244" borderId="0" xfId="0" applyFont="1" applyFill="1" applyAlignment="1">
      <alignment horizontal="center"/>
    </xf>
    <xf numFmtId="0" fontId="15" fillId="102" borderId="0" xfId="0" applyFont="1" applyFill="1" applyAlignment="1">
      <alignment horizontal="center"/>
    </xf>
    <xf numFmtId="0" fontId="15" fillId="202" borderId="0" xfId="0" applyFont="1" applyFill="1" applyAlignment="1">
      <alignment horizontal="center"/>
    </xf>
    <xf numFmtId="0" fontId="15" fillId="91" borderId="0" xfId="0" applyFont="1" applyFill="1" applyAlignment="1">
      <alignment horizontal="center"/>
    </xf>
    <xf numFmtId="0" fontId="15" fillId="147" borderId="0" xfId="0" applyFont="1" applyFill="1" applyAlignment="1">
      <alignment horizontal="center"/>
    </xf>
    <xf numFmtId="0" fontId="15" fillId="210" borderId="0" xfId="0" applyFont="1" applyFill="1" applyAlignment="1">
      <alignment horizontal="center"/>
    </xf>
    <xf numFmtId="0" fontId="15" fillId="103" borderId="0" xfId="0" applyFont="1" applyFill="1" applyAlignment="1">
      <alignment horizontal="center"/>
    </xf>
    <xf numFmtId="0" fontId="15" fillId="148" borderId="0" xfId="0" applyFont="1" applyFill="1" applyAlignment="1">
      <alignment horizontal="center"/>
    </xf>
    <xf numFmtId="0" fontId="15" fillId="104" borderId="0" xfId="0" applyFont="1" applyFill="1" applyAlignment="1">
      <alignment horizontal="center"/>
    </xf>
    <xf numFmtId="0" fontId="15" fillId="163" borderId="0" xfId="0" applyFont="1" applyFill="1" applyAlignment="1">
      <alignment horizontal="center"/>
    </xf>
    <xf numFmtId="0" fontId="15" fillId="149" borderId="0" xfId="0" applyFont="1" applyFill="1" applyAlignment="1">
      <alignment horizontal="center"/>
    </xf>
    <xf numFmtId="0" fontId="15" fillId="150" borderId="0" xfId="0" applyFont="1" applyFill="1" applyAlignment="1">
      <alignment horizontal="center"/>
    </xf>
    <xf numFmtId="0" fontId="15" fillId="151" borderId="0" xfId="0" applyFont="1" applyFill="1" applyAlignment="1">
      <alignment horizontal="center"/>
    </xf>
    <xf numFmtId="0" fontId="15" fillId="152" borderId="0" xfId="0" applyFont="1" applyFill="1" applyAlignment="1">
      <alignment horizontal="center"/>
    </xf>
    <xf numFmtId="0" fontId="15" fillId="153" borderId="0" xfId="0" applyFont="1" applyFill="1" applyAlignment="1">
      <alignment horizontal="center"/>
    </xf>
    <xf numFmtId="0" fontId="15" fillId="105" borderId="0" xfId="0" applyFont="1" applyFill="1" applyAlignment="1">
      <alignment horizontal="center"/>
    </xf>
    <xf numFmtId="0" fontId="15" fillId="154" borderId="0" xfId="0" applyFont="1" applyFill="1" applyAlignment="1">
      <alignment horizontal="center"/>
    </xf>
    <xf numFmtId="0" fontId="15" fillId="173" borderId="0" xfId="0" applyFont="1" applyFill="1" applyAlignment="1">
      <alignment horizontal="center"/>
    </xf>
    <xf numFmtId="0" fontId="15" fillId="155" borderId="0" xfId="0" applyFont="1" applyFill="1" applyAlignment="1">
      <alignment horizontal="center"/>
    </xf>
    <xf numFmtId="0" fontId="15" fillId="211" borderId="0" xfId="0" applyFont="1" applyFill="1" applyAlignment="1">
      <alignment horizontal="center"/>
    </xf>
    <xf numFmtId="0" fontId="15" fillId="156" borderId="0" xfId="0" applyFont="1" applyFill="1" applyAlignment="1">
      <alignment horizontal="center"/>
    </xf>
    <xf numFmtId="0" fontId="15" fillId="162" borderId="0" xfId="0" applyFont="1" applyFill="1" applyAlignment="1">
      <alignment horizontal="center"/>
    </xf>
    <xf numFmtId="0" fontId="15" fillId="242" borderId="0" xfId="0" applyFont="1" applyFill="1" applyAlignment="1">
      <alignment horizontal="center"/>
    </xf>
    <xf numFmtId="0" fontId="15" fillId="241" borderId="0" xfId="0" applyFont="1" applyFill="1" applyAlignment="1">
      <alignment horizontal="center"/>
    </xf>
    <xf numFmtId="0" fontId="15" fillId="157" borderId="0" xfId="0" applyFont="1" applyFill="1" applyAlignment="1">
      <alignment horizontal="center"/>
    </xf>
    <xf numFmtId="0" fontId="15" fillId="196" borderId="0" xfId="0" applyFont="1" applyFill="1" applyAlignment="1">
      <alignment horizontal="center"/>
    </xf>
    <xf numFmtId="0" fontId="15" fillId="117" borderId="0" xfId="0" applyFont="1" applyFill="1" applyAlignment="1">
      <alignment horizontal="center"/>
    </xf>
    <xf numFmtId="0" fontId="15" fillId="227" borderId="0" xfId="0" applyFont="1" applyFill="1" applyAlignment="1">
      <alignment horizontal="center"/>
    </xf>
    <xf numFmtId="0" fontId="15" fillId="243" borderId="0" xfId="0" applyFont="1" applyFill="1" applyAlignment="1">
      <alignment horizontal="center"/>
    </xf>
    <xf numFmtId="0" fontId="15" fillId="249" borderId="0" xfId="0" applyFont="1" applyFill="1" applyAlignment="1">
      <alignment horizontal="center"/>
    </xf>
    <xf numFmtId="0" fontId="15" fillId="228" borderId="0" xfId="0" applyFont="1" applyFill="1" applyAlignment="1">
      <alignment horizontal="center"/>
    </xf>
    <xf numFmtId="0" fontId="116" fillId="64" borderId="0" xfId="0" applyFont="1" applyFill="1"/>
    <xf numFmtId="0" fontId="0" fillId="39" borderId="0" xfId="0" applyFill="1" applyAlignment="1">
      <alignment horizontal="right"/>
    </xf>
    <xf numFmtId="0" fontId="0" fillId="29" borderId="0" xfId="0" applyFill="1" applyAlignment="1">
      <alignment horizontal="right"/>
    </xf>
    <xf numFmtId="10" fontId="0" fillId="39" borderId="0" xfId="0" applyNumberFormat="1" applyFill="1" applyAlignment="1">
      <alignment horizontal="right"/>
    </xf>
    <xf numFmtId="10" fontId="0" fillId="29" borderId="0" xfId="0" applyNumberFormat="1" applyFill="1" applyAlignment="1">
      <alignment horizontal="right"/>
    </xf>
    <xf numFmtId="0" fontId="31" fillId="250" borderId="1" xfId="0" applyFont="1" applyFill="1" applyBorder="1" applyAlignment="1">
      <alignment vertical="center"/>
    </xf>
    <xf numFmtId="0" fontId="281" fillId="251" borderId="1" xfId="0" applyFont="1" applyFill="1" applyBorder="1" applyAlignment="1">
      <alignment vertical="center"/>
    </xf>
    <xf numFmtId="0" fontId="283" fillId="253" borderId="1" xfId="0" applyFont="1" applyFill="1" applyBorder="1" applyAlignment="1">
      <alignment vertical="center"/>
    </xf>
    <xf numFmtId="0" fontId="285" fillId="252" borderId="1" xfId="0" applyFont="1" applyFill="1" applyBorder="1" applyAlignment="1">
      <alignment vertical="center"/>
    </xf>
    <xf numFmtId="0" fontId="287" fillId="254" borderId="1" xfId="0" applyFont="1" applyFill="1" applyBorder="1" applyAlignment="1">
      <alignment vertical="center"/>
    </xf>
    <xf numFmtId="0" fontId="15" fillId="255" borderId="0" xfId="0" applyFont="1" applyFill="1" applyAlignment="1">
      <alignment horizontal="center"/>
    </xf>
    <xf numFmtId="0" fontId="164" fillId="256" borderId="1" xfId="0" applyFont="1" applyFill="1" applyBorder="1" applyAlignment="1">
      <alignment vertical="center"/>
    </xf>
    <xf numFmtId="0" fontId="15" fillId="258" borderId="0" xfId="0" applyFont="1" applyFill="1" applyAlignment="1">
      <alignment horizontal="center"/>
    </xf>
    <xf numFmtId="0" fontId="15" fillId="259" borderId="0" xfId="0" applyFont="1" applyFill="1" applyAlignment="1">
      <alignment horizontal="center"/>
    </xf>
    <xf numFmtId="49" fontId="0" fillId="39" borderId="0" xfId="0" applyNumberFormat="1" applyFill="1"/>
    <xf numFmtId="49" fontId="0" fillId="29" borderId="0" xfId="0" applyNumberFormat="1" applyFill="1"/>
    <xf numFmtId="0" fontId="291" fillId="261" borderId="1" xfId="0" applyFont="1" applyFill="1" applyBorder="1" applyAlignment="1">
      <alignment vertical="center"/>
    </xf>
    <xf numFmtId="0" fontId="289" fillId="257" borderId="1" xfId="0" applyFont="1" applyFill="1" applyBorder="1" applyAlignment="1">
      <alignment vertical="center"/>
    </xf>
    <xf numFmtId="0" fontId="293" fillId="262" borderId="1" xfId="0" applyFont="1" applyFill="1" applyBorder="1" applyAlignment="1">
      <alignment vertical="center"/>
    </xf>
    <xf numFmtId="0" fontId="15" fillId="263" borderId="0" xfId="0" applyFont="1" applyFill="1" applyAlignment="1">
      <alignment horizontal="center"/>
    </xf>
    <xf numFmtId="0" fontId="295" fillId="186" borderId="1" xfId="0" applyFont="1" applyFill="1" applyBorder="1" applyAlignment="1">
      <alignment vertical="center"/>
    </xf>
    <xf numFmtId="0" fontId="297" fillId="264" borderId="1" xfId="0" applyFont="1" applyFill="1" applyBorder="1" applyAlignment="1">
      <alignment vertical="center"/>
    </xf>
    <xf numFmtId="0" fontId="15" fillId="265" borderId="0" xfId="0" applyFont="1" applyFill="1" applyAlignment="1">
      <alignment horizontal="center"/>
    </xf>
    <xf numFmtId="0" fontId="299" fillId="40" borderId="1" xfId="0" applyFont="1" applyFill="1" applyBorder="1" applyAlignment="1">
      <alignment vertical="center"/>
    </xf>
    <xf numFmtId="0" fontId="15" fillId="266" borderId="0" xfId="0" applyFont="1" applyFill="1" applyAlignment="1">
      <alignment horizontal="center"/>
    </xf>
    <xf numFmtId="0" fontId="116" fillId="64" borderId="0" xfId="0" applyFont="1" applyFill="1" applyAlignment="1">
      <alignment horizontal="center"/>
    </xf>
    <xf numFmtId="0" fontId="301" fillId="267" borderId="1" xfId="0" applyFont="1" applyFill="1" applyBorder="1" applyAlignment="1">
      <alignment vertical="center"/>
    </xf>
    <xf numFmtId="0" fontId="305" fillId="260" borderId="1" xfId="0" applyFont="1" applyFill="1" applyBorder="1" applyAlignment="1">
      <alignment vertical="center"/>
    </xf>
    <xf numFmtId="0" fontId="303" fillId="268" borderId="1" xfId="0" applyFont="1" applyFill="1" applyBorder="1" applyAlignment="1">
      <alignment vertical="center"/>
    </xf>
    <xf numFmtId="0" fontId="307" fillId="37" borderId="1" xfId="0" applyFont="1" applyFill="1" applyBorder="1" applyAlignment="1">
      <alignment vertical="center"/>
    </xf>
    <xf numFmtId="0" fontId="15" fillId="269" borderId="0" xfId="0" applyFont="1" applyFill="1" applyAlignment="1">
      <alignment horizontal="center"/>
    </xf>
    <xf numFmtId="0" fontId="0" fillId="0" borderId="8" xfId="0" applyBorder="1" applyAlignment="1">
      <alignment vertical="center" wrapText="1"/>
    </xf>
    <xf numFmtId="0" fontId="0" fillId="0" borderId="2" xfId="0" quotePrefix="1" applyBorder="1" applyAlignment="1">
      <alignment vertical="center"/>
    </xf>
    <xf numFmtId="0" fontId="0" fillId="270" borderId="8" xfId="0" applyFill="1" applyBorder="1"/>
    <xf numFmtId="0" fontId="0" fillId="270" borderId="2" xfId="0" applyFill="1" applyBorder="1"/>
    <xf numFmtId="0" fontId="0" fillId="270" borderId="3" xfId="0" applyFill="1" applyBorder="1"/>
    <xf numFmtId="0" fontId="0" fillId="0" borderId="12" xfId="0" applyBorder="1"/>
    <xf numFmtId="0" fontId="13" fillId="270" borderId="16" xfId="0" applyFont="1" applyFill="1" applyBorder="1"/>
    <xf numFmtId="0" fontId="0" fillId="0" borderId="16" xfId="0" applyBorder="1"/>
    <xf numFmtId="0" fontId="13" fillId="270" borderId="17" xfId="0" applyFont="1" applyFill="1" applyBorder="1"/>
    <xf numFmtId="0" fontId="0" fillId="0" borderId="17" xfId="0" applyBorder="1"/>
    <xf numFmtId="0" fontId="0" fillId="0" borderId="18" xfId="0" applyBorder="1"/>
    <xf numFmtId="0" fontId="0" fillId="0" borderId="19" xfId="0" applyBorder="1"/>
    <xf numFmtId="0" fontId="13" fillId="270" borderId="20" xfId="0" applyFont="1" applyFill="1" applyBorder="1"/>
    <xf numFmtId="0" fontId="0" fillId="0" borderId="20" xfId="0" applyBorder="1"/>
    <xf numFmtId="0" fontId="0" fillId="0" borderId="21" xfId="0" applyBorder="1"/>
    <xf numFmtId="0" fontId="0" fillId="0" borderId="22" xfId="0" applyBorder="1"/>
    <xf numFmtId="0" fontId="0" fillId="0" borderId="23" xfId="0" applyBorder="1"/>
    <xf numFmtId="0" fontId="13" fillId="270" borderId="24" xfId="0" applyFont="1" applyFill="1" applyBorder="1"/>
    <xf numFmtId="0" fontId="309" fillId="4" borderId="1" xfId="0" applyFont="1" applyFill="1" applyBorder="1" applyAlignment="1">
      <alignment vertical="center"/>
    </xf>
    <xf numFmtId="0" fontId="115" fillId="63" borderId="0" xfId="0" applyFont="1" applyFill="1" applyAlignment="1">
      <alignment horizontal="center"/>
    </xf>
  </cellXfs>
  <cellStyles count="2">
    <cellStyle name="Normal" xfId="0" builtinId="0"/>
    <cellStyle name="Normal 2" xfId="1" xr:uid="{A3973AD4-1F27-4CDB-8343-B3F4ADA8FA37}"/>
  </cellStyles>
  <dxfs count="1533"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00BC04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E60000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9F4A03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9F4A03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59FFBB"/>
        </patternFill>
      </fill>
    </dxf>
    <dxf>
      <fill>
        <patternFill>
          <bgColor rgb="FF9F4A03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A744D8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9F4A03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7BD1FF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E60000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E60000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9F4A03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C000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9F4A03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9F4A03"/>
        </patternFill>
      </fill>
    </dxf>
    <dxf>
      <fill>
        <patternFill>
          <bgColor rgb="FF59FFBB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9F4A03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</dxfs>
  <tableStyles count="0" defaultTableStyle="TableStyleMedium2" defaultPivotStyle="PivotStyleLight16"/>
  <colors>
    <mruColors>
      <color rgb="FFFF158A"/>
      <color rgb="FF392E4C"/>
      <color rgb="FFEFECB7"/>
      <color rgb="FFD82222"/>
      <color rgb="FF0D3124"/>
      <color rgb="FF103C2C"/>
      <color rgb="FFC01E1E"/>
      <color rgb="FF3C1010"/>
      <color rgb="FFF5A300"/>
      <color rgb="FFFF33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AC1144-513A-CB48-A218-A302FC3F4F77}">
  <sheetPr>
    <pageSetUpPr fitToPage="1"/>
  </sheetPr>
  <dimension ref="A1:AI1000"/>
  <sheetViews>
    <sheetView topLeftCell="E1" zoomScale="80" zoomScaleNormal="80" workbookViewId="0">
      <pane ySplit="1" topLeftCell="A332" activePane="bottomLeft" state="frozen"/>
      <selection pane="bottomLeft" activeCell="S344" sqref="S344"/>
    </sheetView>
  </sheetViews>
  <sheetFormatPr defaultColWidth="11.19921875" defaultRowHeight="15.6" x14ac:dyDescent="0.3"/>
  <cols>
    <col min="1" max="1" width="35.19921875" style="3" customWidth="1"/>
    <col min="2" max="2" width="11.296875" style="3" customWidth="1"/>
    <col min="3" max="3" width="3.796875" style="3" customWidth="1"/>
    <col min="4" max="4" width="35.19921875" style="3" customWidth="1"/>
    <col min="5" max="5" width="11.19921875" style="3"/>
    <col min="6" max="6" width="3.796875" style="3" customWidth="1"/>
    <col min="7" max="7" width="35.19921875" style="3" customWidth="1"/>
    <col min="8" max="8" width="11.19921875" style="3"/>
    <col min="9" max="9" width="3.796875" style="3" customWidth="1"/>
    <col min="10" max="10" width="35.19921875" style="3" customWidth="1"/>
    <col min="11" max="11" width="11.19921875" style="3"/>
    <col min="12" max="12" width="3.796875" style="3" customWidth="1"/>
    <col min="13" max="13" width="35.19921875" style="3" customWidth="1"/>
    <col min="14" max="14" width="12" style="3" customWidth="1"/>
    <col min="15" max="15" width="3.796875" style="3" customWidth="1"/>
    <col min="16" max="17" width="3.69921875" style="3" customWidth="1"/>
    <col min="18" max="18" width="4.19921875" style="3" bestFit="1" customWidth="1"/>
    <col min="19" max="19" width="25.69921875" style="3" bestFit="1" customWidth="1"/>
    <col min="20" max="20" width="42.296875" style="3" bestFit="1" customWidth="1"/>
    <col min="21" max="21" width="6.19921875" style="3" bestFit="1" customWidth="1"/>
    <col min="22" max="22" width="14.69921875" style="200" bestFit="1" customWidth="1"/>
    <col min="23" max="23" width="8.19921875" style="200" bestFit="1" customWidth="1"/>
    <col min="24" max="24" width="11.19921875" style="200" bestFit="1" customWidth="1"/>
    <col min="25" max="25" width="9.5" style="200" bestFit="1" customWidth="1"/>
    <col min="26" max="26" width="14.296875" style="200" bestFit="1" customWidth="1"/>
    <col min="27" max="27" width="10" style="3" bestFit="1" customWidth="1"/>
    <col min="28" max="28" width="8.19921875" style="3" bestFit="1" customWidth="1"/>
    <col min="29" max="29" width="4.296875" style="3" bestFit="1" customWidth="1"/>
    <col min="30" max="30" width="8.69921875" style="3" bestFit="1" customWidth="1"/>
    <col min="31" max="31" width="14.19921875" style="3" bestFit="1" customWidth="1"/>
    <col min="32" max="32" width="28.296875" style="3" bestFit="1" customWidth="1"/>
    <col min="33" max="33" width="29.19921875" style="3" bestFit="1" customWidth="1"/>
    <col min="34" max="34" width="29.5" style="3" bestFit="1" customWidth="1"/>
    <col min="35" max="35" width="42.19921875" style="3" bestFit="1" customWidth="1"/>
    <col min="36" max="36" width="13.296875" style="3" customWidth="1"/>
    <col min="37" max="37" width="11" style="3" bestFit="1" customWidth="1"/>
    <col min="38" max="38" width="9.69921875" style="3" bestFit="1" customWidth="1"/>
    <col min="39" max="39" width="14.69921875" style="3" bestFit="1" customWidth="1"/>
    <col min="40" max="40" width="10.5" style="3" bestFit="1" customWidth="1"/>
    <col min="41" max="44" width="11.19921875" style="3"/>
    <col min="45" max="45" width="13" style="3" bestFit="1" customWidth="1"/>
    <col min="46" max="16384" width="11.19921875" style="3"/>
  </cols>
  <sheetData>
    <row r="1" spans="1:35" ht="16.05" customHeight="1" thickBot="1" x14ac:dyDescent="0.35">
      <c r="A1" s="197"/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8"/>
      <c r="R1"/>
      <c r="S1"/>
      <c r="T1"/>
      <c r="U1"/>
      <c r="V1"/>
      <c r="W1"/>
      <c r="X1"/>
      <c r="Y1"/>
      <c r="Z1"/>
      <c r="AA1"/>
      <c r="AB1"/>
      <c r="AC1"/>
      <c r="AD1"/>
      <c r="AE1"/>
      <c r="AF1"/>
      <c r="AG1"/>
      <c r="AH1"/>
      <c r="AI1"/>
    </row>
    <row r="2" spans="1:35" ht="16.05" customHeight="1" thickBot="1" x14ac:dyDescent="0.35">
      <c r="A2" s="70" t="s">
        <v>849</v>
      </c>
      <c r="B2" s="1">
        <f>ROUND(SUM(B3:B14)/COUNT(B3:B14), 2)</f>
        <v>10.11</v>
      </c>
      <c r="C2" s="2"/>
      <c r="D2" s="71" t="s">
        <v>850</v>
      </c>
      <c r="E2" s="12">
        <f>ROUND(SUM(E3:E12)/COUNT(E3:E12), 2)</f>
        <v>9.6999999999999993</v>
      </c>
      <c r="F2" s="2"/>
      <c r="G2" s="90" t="s">
        <v>1115</v>
      </c>
      <c r="H2" s="1">
        <f>ROUND(SUM(H3:H15)/COUNT(H3:H15), 2)</f>
        <v>8.77</v>
      </c>
      <c r="I2" s="2"/>
      <c r="J2" s="27" t="s">
        <v>404</v>
      </c>
      <c r="K2" s="1">
        <f>ROUND(SUM(K3:K12)/COUNT(K3:K12), 2)</f>
        <v>9.15</v>
      </c>
      <c r="L2" s="2"/>
      <c r="M2" s="19" t="s">
        <v>282</v>
      </c>
      <c r="N2" s="1">
        <f>ROUND(SUM(N3:N12)/COUNT(N3:N12), 2)</f>
        <v>9.61</v>
      </c>
      <c r="O2" s="16"/>
      <c r="R2"/>
      <c r="S2"/>
      <c r="T2"/>
      <c r="U2"/>
      <c r="V2"/>
      <c r="W2"/>
      <c r="X2"/>
      <c r="Y2"/>
      <c r="Z2"/>
      <c r="AA2"/>
      <c r="AB2"/>
      <c r="AC2"/>
      <c r="AD2"/>
      <c r="AE2"/>
      <c r="AF2"/>
      <c r="AG2"/>
      <c r="AH2"/>
      <c r="AI2"/>
    </row>
    <row r="3" spans="1:35" ht="16.05" customHeight="1" x14ac:dyDescent="0.3">
      <c r="A3" s="4" t="s">
        <v>0</v>
      </c>
      <c r="B3" s="133">
        <v>10.5</v>
      </c>
      <c r="C3" s="2"/>
      <c r="D3" s="4" t="s">
        <v>12</v>
      </c>
      <c r="E3" s="133">
        <v>10</v>
      </c>
      <c r="F3" s="2"/>
      <c r="G3" s="4" t="s">
        <v>22</v>
      </c>
      <c r="H3" s="133">
        <v>9</v>
      </c>
      <c r="I3" s="2"/>
      <c r="J3" s="4" t="s">
        <v>35</v>
      </c>
      <c r="K3" s="133">
        <v>9.5</v>
      </c>
      <c r="L3" s="2"/>
      <c r="M3" s="4" t="s">
        <v>45</v>
      </c>
      <c r="N3" s="133"/>
      <c r="O3" s="16"/>
      <c r="R3"/>
      <c r="S3"/>
      <c r="T3"/>
      <c r="U3"/>
      <c r="V3"/>
      <c r="W3"/>
      <c r="X3"/>
      <c r="Y3"/>
      <c r="Z3"/>
      <c r="AA3"/>
      <c r="AB3"/>
      <c r="AC3"/>
      <c r="AD3"/>
      <c r="AE3"/>
      <c r="AF3"/>
      <c r="AG3"/>
      <c r="AH3"/>
      <c r="AI3"/>
    </row>
    <row r="4" spans="1:35" ht="16.05" customHeight="1" x14ac:dyDescent="0.3">
      <c r="A4" s="4" t="s">
        <v>1</v>
      </c>
      <c r="B4" s="134"/>
      <c r="C4" s="2"/>
      <c r="D4" s="4" t="s">
        <v>13</v>
      </c>
      <c r="E4" s="134">
        <v>9</v>
      </c>
      <c r="F4" s="2"/>
      <c r="G4" s="4" t="s">
        <v>23</v>
      </c>
      <c r="H4" s="134">
        <v>9</v>
      </c>
      <c r="I4" s="2"/>
      <c r="J4" s="4" t="s">
        <v>36</v>
      </c>
      <c r="K4" s="134">
        <v>10</v>
      </c>
      <c r="L4" s="2"/>
      <c r="M4" s="4" t="s">
        <v>46</v>
      </c>
      <c r="N4" s="134">
        <v>9</v>
      </c>
      <c r="O4" s="16"/>
      <c r="R4"/>
      <c r="S4"/>
      <c r="T4"/>
      <c r="U4"/>
      <c r="V4"/>
      <c r="W4"/>
      <c r="X4"/>
      <c r="Y4"/>
      <c r="Z4"/>
      <c r="AA4"/>
      <c r="AB4"/>
      <c r="AC4"/>
      <c r="AD4"/>
      <c r="AE4"/>
      <c r="AF4"/>
      <c r="AG4"/>
      <c r="AH4"/>
      <c r="AI4"/>
    </row>
    <row r="5" spans="1:35" ht="16.05" customHeight="1" x14ac:dyDescent="0.3">
      <c r="A5" s="4" t="s">
        <v>2</v>
      </c>
      <c r="B5" s="134">
        <v>10</v>
      </c>
      <c r="C5" s="2"/>
      <c r="D5" s="4" t="s">
        <v>14</v>
      </c>
      <c r="E5" s="134">
        <v>10.5</v>
      </c>
      <c r="F5" s="2"/>
      <c r="G5" s="4" t="s">
        <v>24</v>
      </c>
      <c r="H5" s="134">
        <v>8</v>
      </c>
      <c r="I5" s="2"/>
      <c r="J5" s="4" t="s">
        <v>37</v>
      </c>
      <c r="K5" s="134">
        <v>8.5</v>
      </c>
      <c r="L5" s="2"/>
      <c r="M5" s="4" t="s">
        <v>47</v>
      </c>
      <c r="N5" s="134">
        <v>7.5</v>
      </c>
      <c r="O5" s="16"/>
      <c r="R5"/>
      <c r="S5"/>
      <c r="T5"/>
      <c r="U5"/>
      <c r="V5"/>
      <c r="W5"/>
      <c r="X5"/>
      <c r="Y5"/>
      <c r="Z5"/>
      <c r="AA5"/>
      <c r="AB5"/>
      <c r="AC5"/>
      <c r="AD5"/>
      <c r="AE5"/>
      <c r="AF5"/>
      <c r="AG5"/>
      <c r="AH5"/>
      <c r="AI5"/>
    </row>
    <row r="6" spans="1:35" ht="16.05" customHeight="1" x14ac:dyDescent="0.3">
      <c r="A6" s="4" t="s">
        <v>3</v>
      </c>
      <c r="B6" s="134"/>
      <c r="C6" s="2"/>
      <c r="D6" s="4" t="s">
        <v>16</v>
      </c>
      <c r="E6" s="134">
        <v>10.5</v>
      </c>
      <c r="F6" s="2"/>
      <c r="G6" s="4" t="s">
        <v>25</v>
      </c>
      <c r="H6" s="134">
        <v>9.5</v>
      </c>
      <c r="I6" s="2"/>
      <c r="J6" s="4" t="s">
        <v>38</v>
      </c>
      <c r="K6" s="134">
        <v>8</v>
      </c>
      <c r="L6" s="2"/>
      <c r="M6" s="4" t="s">
        <v>48</v>
      </c>
      <c r="N6" s="134">
        <v>10.5</v>
      </c>
      <c r="O6" s="16"/>
      <c r="R6"/>
      <c r="S6"/>
      <c r="T6"/>
      <c r="U6"/>
      <c r="V6"/>
      <c r="W6"/>
      <c r="X6"/>
      <c r="Y6"/>
      <c r="Z6"/>
      <c r="AA6"/>
      <c r="AB6"/>
      <c r="AC6"/>
      <c r="AD6"/>
      <c r="AE6"/>
      <c r="AF6"/>
      <c r="AG6"/>
      <c r="AH6"/>
      <c r="AI6"/>
    </row>
    <row r="7" spans="1:35" ht="16.05" customHeight="1" x14ac:dyDescent="0.3">
      <c r="A7" s="4" t="s">
        <v>4</v>
      </c>
      <c r="B7" s="134">
        <v>10.5</v>
      </c>
      <c r="C7" s="2"/>
      <c r="D7" s="4" t="s">
        <v>15</v>
      </c>
      <c r="E7" s="134">
        <v>10</v>
      </c>
      <c r="F7" s="2"/>
      <c r="G7" s="4" t="s">
        <v>26</v>
      </c>
      <c r="H7" s="134">
        <v>10.5</v>
      </c>
      <c r="I7" s="2"/>
      <c r="J7" s="4" t="s">
        <v>39</v>
      </c>
      <c r="K7" s="134">
        <v>10.5</v>
      </c>
      <c r="L7" s="2"/>
      <c r="M7" s="4" t="s">
        <v>49</v>
      </c>
      <c r="N7" s="134">
        <v>10.5</v>
      </c>
      <c r="O7" s="16"/>
      <c r="R7"/>
      <c r="S7"/>
      <c r="T7"/>
      <c r="U7"/>
      <c r="V7"/>
      <c r="W7"/>
      <c r="X7"/>
      <c r="Y7"/>
      <c r="Z7"/>
      <c r="AA7"/>
      <c r="AB7"/>
      <c r="AC7"/>
      <c r="AD7"/>
      <c r="AE7"/>
      <c r="AF7"/>
      <c r="AG7"/>
      <c r="AH7"/>
      <c r="AI7"/>
    </row>
    <row r="8" spans="1:35" ht="16.05" customHeight="1" x14ac:dyDescent="0.3">
      <c r="A8" s="4" t="s">
        <v>5</v>
      </c>
      <c r="B8" s="134">
        <v>10.5</v>
      </c>
      <c r="C8" s="2"/>
      <c r="D8" s="4" t="s">
        <v>17</v>
      </c>
      <c r="E8" s="134">
        <v>8.5</v>
      </c>
      <c r="F8" s="2"/>
      <c r="G8" s="4" t="s">
        <v>27</v>
      </c>
      <c r="H8" s="134">
        <v>10</v>
      </c>
      <c r="I8" s="2"/>
      <c r="J8" s="4" t="s">
        <v>40</v>
      </c>
      <c r="K8" s="134">
        <v>8.5</v>
      </c>
      <c r="L8" s="2"/>
      <c r="M8" s="4" t="s">
        <v>50</v>
      </c>
      <c r="N8" s="134">
        <v>10</v>
      </c>
      <c r="O8" s="16"/>
      <c r="R8"/>
      <c r="S8"/>
      <c r="T8"/>
      <c r="U8"/>
      <c r="V8"/>
      <c r="W8"/>
      <c r="X8"/>
      <c r="Y8"/>
      <c r="Z8"/>
      <c r="AA8"/>
      <c r="AB8"/>
      <c r="AC8"/>
      <c r="AD8"/>
      <c r="AE8"/>
      <c r="AF8"/>
      <c r="AG8"/>
      <c r="AH8"/>
      <c r="AI8"/>
    </row>
    <row r="9" spans="1:35" ht="16.05" customHeight="1" x14ac:dyDescent="0.3">
      <c r="A9" s="4" t="s">
        <v>6</v>
      </c>
      <c r="B9" s="134">
        <v>9.5</v>
      </c>
      <c r="C9" s="2"/>
      <c r="D9" s="4" t="s">
        <v>18</v>
      </c>
      <c r="E9" s="134">
        <v>10.5</v>
      </c>
      <c r="F9" s="2"/>
      <c r="G9" s="4" t="s">
        <v>28</v>
      </c>
      <c r="H9" s="134">
        <v>9</v>
      </c>
      <c r="I9" s="2"/>
      <c r="J9" s="4" t="s">
        <v>41</v>
      </c>
      <c r="K9" s="134">
        <v>9</v>
      </c>
      <c r="L9" s="2"/>
      <c r="M9" s="4" t="s">
        <v>51</v>
      </c>
      <c r="N9" s="134">
        <v>10</v>
      </c>
      <c r="O9" s="16"/>
      <c r="R9"/>
      <c r="S9"/>
      <c r="T9"/>
      <c r="U9"/>
      <c r="V9"/>
      <c r="W9"/>
      <c r="X9"/>
      <c r="Y9"/>
      <c r="Z9"/>
      <c r="AA9"/>
      <c r="AB9"/>
      <c r="AC9"/>
      <c r="AD9"/>
      <c r="AE9"/>
      <c r="AF9"/>
      <c r="AG9"/>
      <c r="AH9"/>
      <c r="AI9"/>
    </row>
    <row r="10" spans="1:35" ht="16.05" customHeight="1" x14ac:dyDescent="0.3">
      <c r="A10" s="4" t="s">
        <v>7</v>
      </c>
      <c r="B10" s="134">
        <v>10.5</v>
      </c>
      <c r="C10" s="2"/>
      <c r="D10" s="4" t="s">
        <v>19</v>
      </c>
      <c r="E10" s="134">
        <v>9.5</v>
      </c>
      <c r="F10" s="2"/>
      <c r="G10" s="4" t="s">
        <v>29</v>
      </c>
      <c r="H10" s="134">
        <v>7.5</v>
      </c>
      <c r="I10" s="2"/>
      <c r="J10" s="4" t="s">
        <v>42</v>
      </c>
      <c r="K10" s="134">
        <v>9</v>
      </c>
      <c r="L10" s="2"/>
      <c r="M10" s="4" t="s">
        <v>52</v>
      </c>
      <c r="N10" s="134">
        <v>9</v>
      </c>
      <c r="O10" s="16"/>
      <c r="R10"/>
      <c r="S10"/>
      <c r="T10"/>
      <c r="U10"/>
      <c r="V10"/>
      <c r="W10"/>
      <c r="X10"/>
      <c r="Y10"/>
      <c r="Z10"/>
      <c r="AA10"/>
      <c r="AB10"/>
      <c r="AC10"/>
      <c r="AD10"/>
      <c r="AE10"/>
      <c r="AF10"/>
      <c r="AG10"/>
      <c r="AH10"/>
      <c r="AI10"/>
    </row>
    <row r="11" spans="1:35" ht="16.05" customHeight="1" x14ac:dyDescent="0.3">
      <c r="A11" s="4" t="s">
        <v>8</v>
      </c>
      <c r="B11" s="134">
        <v>9</v>
      </c>
      <c r="C11" s="2"/>
      <c r="D11" s="4" t="s">
        <v>20</v>
      </c>
      <c r="E11" s="134">
        <v>10.5</v>
      </c>
      <c r="F11" s="2"/>
      <c r="G11" s="4" t="s">
        <v>30</v>
      </c>
      <c r="H11" s="134">
        <v>7.5</v>
      </c>
      <c r="I11" s="2"/>
      <c r="J11" s="4" t="s">
        <v>43</v>
      </c>
      <c r="K11" s="134">
        <v>8.5</v>
      </c>
      <c r="L11" s="2"/>
      <c r="M11" s="4" t="s">
        <v>53</v>
      </c>
      <c r="N11" s="134">
        <v>10</v>
      </c>
      <c r="O11" s="16"/>
      <c r="R11"/>
      <c r="S11"/>
      <c r="T11"/>
      <c r="U11"/>
      <c r="V11"/>
      <c r="W11"/>
      <c r="X11"/>
      <c r="Y11"/>
      <c r="Z11"/>
      <c r="AA11"/>
      <c r="AB11"/>
      <c r="AC11"/>
      <c r="AD11"/>
      <c r="AE11"/>
      <c r="AF11"/>
      <c r="AG11"/>
      <c r="AH11"/>
      <c r="AI11"/>
    </row>
    <row r="12" spans="1:35" ht="16.05" customHeight="1" thickBot="1" x14ac:dyDescent="0.35">
      <c r="A12" s="4" t="s">
        <v>9</v>
      </c>
      <c r="B12" s="134">
        <v>10.5</v>
      </c>
      <c r="C12" s="2"/>
      <c r="D12" s="7" t="s">
        <v>21</v>
      </c>
      <c r="E12" s="135">
        <v>8</v>
      </c>
      <c r="F12" s="2"/>
      <c r="G12" s="4" t="s">
        <v>31</v>
      </c>
      <c r="H12" s="134">
        <v>8</v>
      </c>
      <c r="I12" s="2"/>
      <c r="J12" s="7" t="s">
        <v>44</v>
      </c>
      <c r="K12" s="135">
        <v>10</v>
      </c>
      <c r="L12" s="2"/>
      <c r="M12" s="7" t="s">
        <v>54</v>
      </c>
      <c r="N12" s="135">
        <v>10</v>
      </c>
      <c r="O12" s="16"/>
      <c r="R12"/>
      <c r="S12"/>
      <c r="T12"/>
      <c r="U12"/>
      <c r="V12"/>
      <c r="W12"/>
      <c r="X12"/>
      <c r="Y12"/>
      <c r="Z12"/>
      <c r="AA12"/>
      <c r="AB12"/>
      <c r="AC12"/>
      <c r="AD12"/>
      <c r="AE12"/>
      <c r="AF12"/>
      <c r="AG12"/>
      <c r="AH12"/>
      <c r="AI12"/>
    </row>
    <row r="13" spans="1:35" ht="16.05" customHeight="1" thickBot="1" x14ac:dyDescent="0.35">
      <c r="A13" s="4" t="s">
        <v>10</v>
      </c>
      <c r="B13" s="134">
        <v>10</v>
      </c>
      <c r="C13" s="2"/>
      <c r="D13" s="2"/>
      <c r="E13" s="2"/>
      <c r="F13" s="2"/>
      <c r="G13" s="4" t="s">
        <v>32</v>
      </c>
      <c r="H13" s="134">
        <v>9</v>
      </c>
      <c r="I13" s="9"/>
      <c r="J13" s="9"/>
      <c r="K13" s="9"/>
      <c r="L13" s="9"/>
      <c r="M13" s="9"/>
      <c r="N13" s="9"/>
      <c r="O13" s="17"/>
      <c r="R13"/>
      <c r="S13"/>
      <c r="T13"/>
      <c r="U13"/>
      <c r="V13"/>
      <c r="W13"/>
      <c r="X13"/>
      <c r="Y13"/>
      <c r="Z13"/>
      <c r="AA13"/>
      <c r="AB13"/>
      <c r="AC13"/>
      <c r="AD13"/>
      <c r="AE13"/>
      <c r="AF13"/>
      <c r="AG13"/>
      <c r="AH13"/>
      <c r="AI13"/>
    </row>
    <row r="14" spans="1:35" ht="16.05" customHeight="1" thickBot="1" x14ac:dyDescent="0.35">
      <c r="A14" s="4" t="s">
        <v>11</v>
      </c>
      <c r="B14" s="135"/>
      <c r="C14" s="2"/>
      <c r="D14" s="66" t="s">
        <v>845</v>
      </c>
      <c r="E14" s="1">
        <f>ROUND(SUM(E15:E28)/COUNT(E15:E28), 2)</f>
        <v>9</v>
      </c>
      <c r="F14" s="2"/>
      <c r="G14" s="4" t="s">
        <v>33</v>
      </c>
      <c r="H14" s="134">
        <v>8.5</v>
      </c>
      <c r="I14" s="9"/>
      <c r="J14" s="68" t="s">
        <v>847</v>
      </c>
      <c r="K14" s="1">
        <f>ROUND(SUM(K15:K23)/COUNT(K15:K23), 2)</f>
        <v>8.94</v>
      </c>
      <c r="L14" s="2"/>
      <c r="M14" s="69" t="s">
        <v>848</v>
      </c>
      <c r="N14" s="1">
        <f>ROUND(SUM(N15:N26)/COUNT(N15:N26), 2)</f>
        <v>8.7100000000000009</v>
      </c>
      <c r="O14" s="16"/>
      <c r="R14"/>
      <c r="S14"/>
      <c r="T14"/>
      <c r="U14"/>
      <c r="V14"/>
      <c r="W14"/>
      <c r="X14"/>
      <c r="Y14"/>
      <c r="Z14"/>
      <c r="AA14"/>
      <c r="AB14"/>
      <c r="AC14"/>
      <c r="AD14"/>
      <c r="AE14"/>
      <c r="AF14"/>
      <c r="AG14"/>
      <c r="AH14"/>
      <c r="AI14"/>
    </row>
    <row r="15" spans="1:35" ht="16.05" customHeight="1" thickBot="1" x14ac:dyDescent="0.35">
      <c r="A15" s="9"/>
      <c r="B15" s="9"/>
      <c r="C15" s="2"/>
      <c r="D15" s="11" t="s">
        <v>63</v>
      </c>
      <c r="E15" s="133">
        <v>9</v>
      </c>
      <c r="F15" s="2"/>
      <c r="G15" s="7" t="s">
        <v>34</v>
      </c>
      <c r="H15" s="135">
        <v>8.5</v>
      </c>
      <c r="I15" s="9"/>
      <c r="J15" s="4" t="s">
        <v>87</v>
      </c>
      <c r="K15" s="133">
        <v>9.5</v>
      </c>
      <c r="L15" s="2"/>
      <c r="M15" s="4" t="s">
        <v>96</v>
      </c>
      <c r="N15" s="133">
        <v>9</v>
      </c>
      <c r="O15" s="16"/>
      <c r="R15"/>
      <c r="S15"/>
      <c r="T15"/>
      <c r="U15"/>
      <c r="V15"/>
      <c r="W15"/>
      <c r="X15"/>
      <c r="Y15"/>
      <c r="Z15"/>
      <c r="AA15"/>
      <c r="AB15"/>
      <c r="AC15"/>
      <c r="AD15"/>
      <c r="AE15"/>
      <c r="AF15"/>
      <c r="AG15"/>
      <c r="AH15"/>
      <c r="AI15"/>
    </row>
    <row r="16" spans="1:35" ht="16.05" customHeight="1" thickBot="1" x14ac:dyDescent="0.35">
      <c r="A16" s="67" t="s">
        <v>846</v>
      </c>
      <c r="B16" s="1">
        <f>ROUND(SUM(B17:B24)/COUNT(B17:B24), 2)</f>
        <v>9.25</v>
      </c>
      <c r="C16" s="2"/>
      <c r="D16" s="4" t="s">
        <v>64</v>
      </c>
      <c r="E16" s="134">
        <v>10.5</v>
      </c>
      <c r="F16" s="9"/>
      <c r="G16" s="9"/>
      <c r="H16" s="9"/>
      <c r="I16" s="9"/>
      <c r="J16" s="4" t="s">
        <v>88</v>
      </c>
      <c r="K16" s="134">
        <v>10</v>
      </c>
      <c r="L16" s="2"/>
      <c r="M16" s="4" t="s">
        <v>97</v>
      </c>
      <c r="N16" s="134">
        <v>10</v>
      </c>
      <c r="O16" s="16"/>
      <c r="R16"/>
      <c r="S16"/>
      <c r="T16"/>
      <c r="U16"/>
      <c r="V16"/>
      <c r="W16"/>
      <c r="X16"/>
      <c r="Y16"/>
      <c r="Z16"/>
      <c r="AA16"/>
      <c r="AB16"/>
      <c r="AC16"/>
      <c r="AD16"/>
      <c r="AE16"/>
      <c r="AF16"/>
      <c r="AG16"/>
      <c r="AH16"/>
      <c r="AI16"/>
    </row>
    <row r="17" spans="1:35" ht="16.05" customHeight="1" thickBot="1" x14ac:dyDescent="0.35">
      <c r="A17" s="4" t="s">
        <v>55</v>
      </c>
      <c r="B17" s="133">
        <v>9.5</v>
      </c>
      <c r="C17" s="2"/>
      <c r="D17" s="4" t="s">
        <v>65</v>
      </c>
      <c r="E17" s="134">
        <v>10</v>
      </c>
      <c r="F17" s="10"/>
      <c r="G17" s="91" t="s">
        <v>1116</v>
      </c>
      <c r="H17" s="1">
        <f>ROUND(SUM(H18:H28)/COUNT(H18:H28), 2)</f>
        <v>8.77</v>
      </c>
      <c r="I17" s="9"/>
      <c r="J17" s="4" t="s">
        <v>89</v>
      </c>
      <c r="K17" s="134">
        <v>9.5</v>
      </c>
      <c r="L17" s="2"/>
      <c r="M17" s="4" t="s">
        <v>98</v>
      </c>
      <c r="N17" s="134">
        <v>8</v>
      </c>
      <c r="O17" s="16"/>
      <c r="R17"/>
      <c r="S17"/>
      <c r="T17"/>
      <c r="U17"/>
      <c r="V17"/>
      <c r="W17"/>
      <c r="X17"/>
      <c r="Y17"/>
      <c r="Z17"/>
      <c r="AA17"/>
      <c r="AB17"/>
      <c r="AC17"/>
      <c r="AD17"/>
      <c r="AE17"/>
      <c r="AF17"/>
      <c r="AG17"/>
      <c r="AH17"/>
      <c r="AI17"/>
    </row>
    <row r="18" spans="1:35" ht="16.05" customHeight="1" x14ac:dyDescent="0.3">
      <c r="A18" s="4" t="s">
        <v>56</v>
      </c>
      <c r="B18" s="134">
        <v>10</v>
      </c>
      <c r="C18" s="2"/>
      <c r="D18" s="4" t="s">
        <v>66</v>
      </c>
      <c r="E18" s="134">
        <v>9.5</v>
      </c>
      <c r="F18" s="10"/>
      <c r="G18" s="4" t="s">
        <v>76</v>
      </c>
      <c r="H18" s="133">
        <v>10</v>
      </c>
      <c r="I18" s="9"/>
      <c r="J18" s="4" t="s">
        <v>90</v>
      </c>
      <c r="K18" s="134">
        <v>9</v>
      </c>
      <c r="L18" s="2"/>
      <c r="M18" s="4" t="s">
        <v>99</v>
      </c>
      <c r="N18" s="134">
        <v>8.5</v>
      </c>
      <c r="O18" s="16"/>
      <c r="R18"/>
      <c r="S18"/>
      <c r="T18"/>
      <c r="U18"/>
      <c r="V18"/>
      <c r="W18"/>
      <c r="X18"/>
      <c r="Y18"/>
      <c r="Z18"/>
      <c r="AA18"/>
      <c r="AB18"/>
      <c r="AC18"/>
      <c r="AD18"/>
      <c r="AE18"/>
      <c r="AF18"/>
      <c r="AG18"/>
      <c r="AH18"/>
      <c r="AI18"/>
    </row>
    <row r="19" spans="1:35" ht="16.05" customHeight="1" x14ac:dyDescent="0.3">
      <c r="A19" s="4" t="s">
        <v>57</v>
      </c>
      <c r="B19" s="134">
        <v>8.5</v>
      </c>
      <c r="C19" s="2"/>
      <c r="D19" s="4" t="s">
        <v>67</v>
      </c>
      <c r="E19" s="134">
        <v>8.5</v>
      </c>
      <c r="F19" s="10"/>
      <c r="G19" s="4" t="s">
        <v>77</v>
      </c>
      <c r="H19" s="134">
        <v>9</v>
      </c>
      <c r="I19" s="9"/>
      <c r="J19" s="4" t="s">
        <v>91</v>
      </c>
      <c r="K19" s="134">
        <v>7.5</v>
      </c>
      <c r="L19" s="2"/>
      <c r="M19" s="4" t="s">
        <v>100</v>
      </c>
      <c r="N19" s="134">
        <v>8.5</v>
      </c>
      <c r="O19" s="16"/>
      <c r="R19"/>
      <c r="S19"/>
      <c r="T19"/>
      <c r="U19"/>
      <c r="V19"/>
      <c r="W19"/>
      <c r="X19"/>
      <c r="Y19"/>
      <c r="Z19"/>
      <c r="AA19"/>
      <c r="AB19"/>
      <c r="AC19"/>
      <c r="AD19"/>
      <c r="AE19"/>
      <c r="AF19"/>
      <c r="AG19"/>
      <c r="AH19"/>
      <c r="AI19"/>
    </row>
    <row r="20" spans="1:35" ht="16.05" customHeight="1" x14ac:dyDescent="0.3">
      <c r="A20" s="4" t="s">
        <v>58</v>
      </c>
      <c r="B20" s="134">
        <v>10</v>
      </c>
      <c r="C20" s="2"/>
      <c r="D20" s="4" t="s">
        <v>68</v>
      </c>
      <c r="E20" s="134"/>
      <c r="F20" s="10"/>
      <c r="G20" s="4" t="s">
        <v>78</v>
      </c>
      <c r="H20" s="134">
        <v>10</v>
      </c>
      <c r="I20" s="9"/>
      <c r="J20" s="4" t="s">
        <v>92</v>
      </c>
      <c r="K20" s="134">
        <v>8</v>
      </c>
      <c r="L20" s="2"/>
      <c r="M20" s="4" t="s">
        <v>101</v>
      </c>
      <c r="N20" s="134">
        <v>7.5</v>
      </c>
      <c r="O20" s="16"/>
      <c r="R20"/>
      <c r="S20"/>
      <c r="T20"/>
      <c r="U20"/>
      <c r="V20"/>
      <c r="W20"/>
      <c r="X20"/>
      <c r="Y20"/>
      <c r="Z20"/>
      <c r="AA20"/>
      <c r="AB20"/>
      <c r="AC20"/>
      <c r="AD20"/>
      <c r="AE20"/>
      <c r="AF20"/>
      <c r="AG20"/>
      <c r="AH20"/>
      <c r="AI20"/>
    </row>
    <row r="21" spans="1:35" ht="16.05" customHeight="1" x14ac:dyDescent="0.3">
      <c r="A21" s="4" t="s">
        <v>59</v>
      </c>
      <c r="B21" s="134">
        <v>8.5</v>
      </c>
      <c r="C21" s="2"/>
      <c r="D21" s="4" t="s">
        <v>69</v>
      </c>
      <c r="E21" s="134">
        <v>9</v>
      </c>
      <c r="F21" s="10"/>
      <c r="G21" s="4" t="s">
        <v>79</v>
      </c>
      <c r="H21" s="134">
        <v>9</v>
      </c>
      <c r="I21" s="9"/>
      <c r="J21" s="4" t="s">
        <v>93</v>
      </c>
      <c r="K21" s="134">
        <v>8.5</v>
      </c>
      <c r="L21" s="2"/>
      <c r="M21" s="4" t="s">
        <v>102</v>
      </c>
      <c r="N21" s="134">
        <v>10</v>
      </c>
      <c r="O21" s="16"/>
      <c r="R21"/>
      <c r="S21"/>
      <c r="T21"/>
      <c r="U21"/>
      <c r="V21"/>
      <c r="W21"/>
      <c r="X21"/>
      <c r="Y21"/>
      <c r="Z21"/>
      <c r="AA21"/>
      <c r="AB21"/>
      <c r="AC21"/>
      <c r="AD21"/>
      <c r="AE21"/>
      <c r="AF21"/>
      <c r="AG21"/>
      <c r="AH21"/>
      <c r="AI21"/>
    </row>
    <row r="22" spans="1:35" ht="16.05" customHeight="1" x14ac:dyDescent="0.3">
      <c r="A22" s="4" t="s">
        <v>60</v>
      </c>
      <c r="B22" s="134">
        <v>9</v>
      </c>
      <c r="C22" s="2"/>
      <c r="D22" s="4" t="s">
        <v>70</v>
      </c>
      <c r="E22" s="134">
        <v>8</v>
      </c>
      <c r="F22" s="10"/>
      <c r="G22" s="4" t="s">
        <v>80</v>
      </c>
      <c r="H22" s="134">
        <v>8</v>
      </c>
      <c r="I22" s="9"/>
      <c r="J22" s="4" t="s">
        <v>94</v>
      </c>
      <c r="K22" s="134">
        <v>8</v>
      </c>
      <c r="L22" s="2"/>
      <c r="M22" s="4" t="s">
        <v>103</v>
      </c>
      <c r="N22" s="134">
        <v>9</v>
      </c>
      <c r="O22" s="16"/>
      <c r="R22"/>
      <c r="S22"/>
      <c r="T22"/>
      <c r="U22"/>
      <c r="V22"/>
      <c r="W22"/>
      <c r="X22"/>
      <c r="Y22"/>
      <c r="Z22"/>
      <c r="AA22"/>
      <c r="AB22"/>
      <c r="AC22"/>
      <c r="AD22"/>
      <c r="AE22"/>
      <c r="AF22"/>
      <c r="AG22"/>
      <c r="AH22"/>
      <c r="AI22"/>
    </row>
    <row r="23" spans="1:35" ht="16.05" customHeight="1" thickBot="1" x14ac:dyDescent="0.35">
      <c r="A23" s="4" t="s">
        <v>61</v>
      </c>
      <c r="B23" s="134">
        <v>10.5</v>
      </c>
      <c r="C23" s="2"/>
      <c r="D23" s="4" t="s">
        <v>71</v>
      </c>
      <c r="E23" s="134">
        <v>10</v>
      </c>
      <c r="F23" s="10"/>
      <c r="G23" s="4" t="s">
        <v>81</v>
      </c>
      <c r="H23" s="134">
        <v>8.5</v>
      </c>
      <c r="I23" s="9"/>
      <c r="J23" s="7" t="s">
        <v>95</v>
      </c>
      <c r="K23" s="135">
        <v>10.5</v>
      </c>
      <c r="L23" s="2"/>
      <c r="M23" s="4" t="s">
        <v>104</v>
      </c>
      <c r="N23" s="134">
        <v>8.5</v>
      </c>
      <c r="O23" s="16"/>
      <c r="R23"/>
      <c r="S23"/>
      <c r="T23"/>
      <c r="U23"/>
      <c r="V23"/>
      <c r="W23"/>
      <c r="X23"/>
      <c r="Y23"/>
      <c r="Z23"/>
      <c r="AA23"/>
      <c r="AB23"/>
      <c r="AC23"/>
      <c r="AD23"/>
      <c r="AE23"/>
      <c r="AF23"/>
      <c r="AG23"/>
      <c r="AH23"/>
      <c r="AI23"/>
    </row>
    <row r="24" spans="1:35" ht="16.05" customHeight="1" thickBot="1" x14ac:dyDescent="0.35">
      <c r="A24" s="7" t="s">
        <v>62</v>
      </c>
      <c r="B24" s="135">
        <v>8</v>
      </c>
      <c r="C24" s="2"/>
      <c r="D24" s="4" t="s">
        <v>72</v>
      </c>
      <c r="E24" s="134">
        <v>8.5</v>
      </c>
      <c r="F24" s="10"/>
      <c r="G24" s="4" t="s">
        <v>82</v>
      </c>
      <c r="H24" s="134">
        <v>8</v>
      </c>
      <c r="I24" s="9"/>
      <c r="J24" s="9"/>
      <c r="K24" s="9"/>
      <c r="L24" s="9"/>
      <c r="M24" s="4" t="s">
        <v>105</v>
      </c>
      <c r="N24" s="134">
        <v>7.5</v>
      </c>
      <c r="O24" s="16"/>
      <c r="R24"/>
      <c r="S24"/>
      <c r="T24"/>
      <c r="U24"/>
      <c r="V24"/>
      <c r="W24"/>
      <c r="X24"/>
      <c r="Y24"/>
      <c r="Z24"/>
      <c r="AA24"/>
      <c r="AB24"/>
      <c r="AC24"/>
      <c r="AD24"/>
      <c r="AE24"/>
      <c r="AF24"/>
      <c r="AG24"/>
      <c r="AH24"/>
      <c r="AI24"/>
    </row>
    <row r="25" spans="1:35" ht="16.05" customHeight="1" thickBot="1" x14ac:dyDescent="0.35">
      <c r="A25" s="2"/>
      <c r="B25" s="2"/>
      <c r="C25" s="2"/>
      <c r="D25" s="4" t="s">
        <v>73</v>
      </c>
      <c r="E25" s="134">
        <v>9.5</v>
      </c>
      <c r="F25" s="10"/>
      <c r="G25" s="4" t="s">
        <v>83</v>
      </c>
      <c r="H25" s="134">
        <v>10</v>
      </c>
      <c r="I25" s="9"/>
      <c r="J25" s="65" t="s">
        <v>844</v>
      </c>
      <c r="K25" s="1">
        <f>ROUND(SUM(K26:K38)/COUNT(K26:K38), 2)</f>
        <v>8.42</v>
      </c>
      <c r="L25" s="2"/>
      <c r="M25" s="4" t="s">
        <v>106</v>
      </c>
      <c r="N25" s="134">
        <v>9</v>
      </c>
      <c r="O25" s="16"/>
      <c r="R25"/>
      <c r="S25"/>
      <c r="T25"/>
      <c r="U25"/>
      <c r="V25"/>
      <c r="W25"/>
      <c r="X25"/>
      <c r="Y25"/>
      <c r="Z25"/>
      <c r="AA25"/>
      <c r="AB25"/>
      <c r="AC25"/>
      <c r="AD25"/>
      <c r="AE25"/>
      <c r="AF25"/>
      <c r="AG25"/>
      <c r="AH25"/>
      <c r="AI25"/>
    </row>
    <row r="26" spans="1:35" ht="16.05" customHeight="1" thickBot="1" x14ac:dyDescent="0.35">
      <c r="A26" s="92" t="s">
        <v>1117</v>
      </c>
      <c r="B26" s="1">
        <f>ROUND(SUM(B27:B31)/COUNT(B27:B31), 2)</f>
        <v>9.4</v>
      </c>
      <c r="C26" s="2"/>
      <c r="D26" s="4" t="s">
        <v>74</v>
      </c>
      <c r="E26" s="134">
        <v>8</v>
      </c>
      <c r="F26" s="10"/>
      <c r="G26" s="4" t="s">
        <v>84</v>
      </c>
      <c r="H26" s="134">
        <v>7.5</v>
      </c>
      <c r="I26" s="9"/>
      <c r="J26" s="4" t="s">
        <v>112</v>
      </c>
      <c r="K26" s="133">
        <v>10</v>
      </c>
      <c r="L26" s="2"/>
      <c r="M26" s="7" t="s">
        <v>107</v>
      </c>
      <c r="N26" s="135">
        <v>9</v>
      </c>
      <c r="O26" s="16"/>
      <c r="R26"/>
      <c r="S26"/>
      <c r="T26"/>
      <c r="U26"/>
      <c r="V26"/>
      <c r="W26"/>
      <c r="X26"/>
      <c r="Y26"/>
      <c r="Z26"/>
      <c r="AA26"/>
      <c r="AB26"/>
      <c r="AC26"/>
      <c r="AD26"/>
      <c r="AE26"/>
      <c r="AF26"/>
      <c r="AG26"/>
      <c r="AH26"/>
      <c r="AI26"/>
    </row>
    <row r="27" spans="1:35" ht="16.05" customHeight="1" thickBot="1" x14ac:dyDescent="0.35">
      <c r="A27" s="4" t="s">
        <v>108</v>
      </c>
      <c r="B27" s="133">
        <v>10</v>
      </c>
      <c r="C27" s="2"/>
      <c r="D27" s="4" t="s">
        <v>75</v>
      </c>
      <c r="E27" s="134">
        <v>9</v>
      </c>
      <c r="F27" s="10"/>
      <c r="G27" s="4" t="s">
        <v>85</v>
      </c>
      <c r="H27" s="134">
        <v>8.5</v>
      </c>
      <c r="I27" s="9"/>
      <c r="J27" s="4" t="s">
        <v>113</v>
      </c>
      <c r="K27" s="134">
        <v>9.5</v>
      </c>
      <c r="L27" s="2"/>
      <c r="M27" s="2"/>
      <c r="N27" s="2"/>
      <c r="O27" s="16"/>
      <c r="R27"/>
      <c r="S27"/>
      <c r="T27"/>
      <c r="U27"/>
      <c r="V27"/>
      <c r="W27"/>
      <c r="X27"/>
      <c r="Y27"/>
      <c r="Z27"/>
      <c r="AA27"/>
      <c r="AB27"/>
      <c r="AC27"/>
      <c r="AD27"/>
      <c r="AE27"/>
      <c r="AF27"/>
      <c r="AG27"/>
      <c r="AH27"/>
      <c r="AI27"/>
    </row>
    <row r="28" spans="1:35" ht="16.05" customHeight="1" thickBot="1" x14ac:dyDescent="0.35">
      <c r="A28" s="4" t="s">
        <v>109</v>
      </c>
      <c r="B28" s="134">
        <v>9</v>
      </c>
      <c r="C28" s="9"/>
      <c r="D28" s="7" t="s">
        <v>1776</v>
      </c>
      <c r="E28" s="135">
        <v>7.5</v>
      </c>
      <c r="F28" s="9"/>
      <c r="G28" s="7" t="s">
        <v>86</v>
      </c>
      <c r="H28" s="135">
        <v>8</v>
      </c>
      <c r="I28" s="9"/>
      <c r="J28" s="4" t="s">
        <v>114</v>
      </c>
      <c r="K28" s="134">
        <v>8.5</v>
      </c>
      <c r="L28" s="2"/>
      <c r="M28" s="18" t="s">
        <v>283</v>
      </c>
      <c r="N28" s="12">
        <f>ROUND(SUM(N29:N37)/COUNT(N29:N37), 2)</f>
        <v>8.89</v>
      </c>
      <c r="O28" s="16"/>
      <c r="R28"/>
      <c r="S28"/>
      <c r="T28"/>
      <c r="U28"/>
      <c r="V28"/>
      <c r="W28"/>
      <c r="X28"/>
      <c r="Y28"/>
      <c r="Z28"/>
      <c r="AA28"/>
      <c r="AB28"/>
      <c r="AC28"/>
      <c r="AD28"/>
      <c r="AE28"/>
      <c r="AF28"/>
      <c r="AG28"/>
      <c r="AH28"/>
      <c r="AI28"/>
    </row>
    <row r="29" spans="1:35" ht="16.05" customHeight="1" thickBot="1" x14ac:dyDescent="0.35">
      <c r="A29" s="4" t="s">
        <v>391</v>
      </c>
      <c r="B29" s="134">
        <v>10.5</v>
      </c>
      <c r="C29" s="9"/>
      <c r="D29" s="9"/>
      <c r="E29" s="9"/>
      <c r="F29" s="2"/>
      <c r="G29" s="10"/>
      <c r="H29" s="10"/>
      <c r="I29" s="9"/>
      <c r="J29" s="4" t="s">
        <v>115</v>
      </c>
      <c r="K29" s="134">
        <v>8.5</v>
      </c>
      <c r="L29" s="2"/>
      <c r="M29" s="5" t="s">
        <v>132</v>
      </c>
      <c r="N29" s="133">
        <v>10</v>
      </c>
      <c r="O29" s="16"/>
      <c r="R29"/>
      <c r="S29"/>
      <c r="T29"/>
      <c r="U29"/>
      <c r="V29"/>
      <c r="W29"/>
      <c r="X29"/>
      <c r="Y29"/>
      <c r="Z29"/>
      <c r="AA29"/>
      <c r="AB29"/>
      <c r="AC29"/>
      <c r="AD29"/>
      <c r="AE29"/>
      <c r="AF29"/>
      <c r="AG29"/>
      <c r="AH29"/>
      <c r="AI29"/>
    </row>
    <row r="30" spans="1:35" ht="16.05" customHeight="1" thickBot="1" x14ac:dyDescent="0.35">
      <c r="A30" s="4" t="s">
        <v>110</v>
      </c>
      <c r="B30" s="134">
        <v>8.5</v>
      </c>
      <c r="C30" s="9"/>
      <c r="D30" s="62" t="s">
        <v>841</v>
      </c>
      <c r="E30" s="1">
        <f>ROUND(SUM(E31:E37)/COUNT(E31:E37), 2)</f>
        <v>9.2100000000000009</v>
      </c>
      <c r="F30" s="2"/>
      <c r="G30" s="60" t="s">
        <v>839</v>
      </c>
      <c r="H30" s="1">
        <f>ROUND(SUM(H31:H45)/COUNT(H31:H45), 2)</f>
        <v>9.61</v>
      </c>
      <c r="I30" s="9"/>
      <c r="J30" s="4" t="s">
        <v>116</v>
      </c>
      <c r="K30" s="134">
        <v>9.5</v>
      </c>
      <c r="L30" s="2"/>
      <c r="M30" s="6" t="s">
        <v>133</v>
      </c>
      <c r="N30" s="134">
        <v>9</v>
      </c>
      <c r="O30" s="16"/>
      <c r="R30"/>
      <c r="S30"/>
      <c r="T30"/>
      <c r="U30"/>
      <c r="V30"/>
      <c r="W30"/>
      <c r="X30"/>
      <c r="Y30"/>
      <c r="Z30"/>
      <c r="AA30"/>
      <c r="AB30"/>
      <c r="AC30"/>
      <c r="AD30"/>
      <c r="AE30"/>
      <c r="AF30"/>
      <c r="AG30"/>
      <c r="AH30"/>
      <c r="AI30"/>
    </row>
    <row r="31" spans="1:35" ht="16.05" customHeight="1" thickBot="1" x14ac:dyDescent="0.35">
      <c r="A31" s="7" t="s">
        <v>111</v>
      </c>
      <c r="B31" s="135">
        <v>9</v>
      </c>
      <c r="C31" s="9"/>
      <c r="D31" s="4" t="s">
        <v>125</v>
      </c>
      <c r="E31" s="133">
        <v>9</v>
      </c>
      <c r="F31" s="2"/>
      <c r="G31" s="5" t="s">
        <v>141</v>
      </c>
      <c r="H31" s="133">
        <v>10</v>
      </c>
      <c r="I31" s="9"/>
      <c r="J31" s="4" t="s">
        <v>117</v>
      </c>
      <c r="K31" s="134">
        <v>8.5</v>
      </c>
      <c r="L31" s="2"/>
      <c r="M31" s="6" t="s">
        <v>134</v>
      </c>
      <c r="N31" s="134">
        <v>8</v>
      </c>
      <c r="O31" s="16"/>
      <c r="R31"/>
      <c r="S31"/>
      <c r="T31"/>
      <c r="U31"/>
      <c r="V31"/>
      <c r="W31"/>
      <c r="X31"/>
      <c r="Y31"/>
      <c r="Z31"/>
      <c r="AA31"/>
      <c r="AB31"/>
      <c r="AC31"/>
      <c r="AD31"/>
      <c r="AE31"/>
      <c r="AF31"/>
      <c r="AG31"/>
      <c r="AH31"/>
      <c r="AI31"/>
    </row>
    <row r="32" spans="1:35" ht="16.05" customHeight="1" thickBot="1" x14ac:dyDescent="0.35">
      <c r="A32" s="2"/>
      <c r="B32" s="2"/>
      <c r="C32" s="9"/>
      <c r="D32" s="4" t="s">
        <v>126</v>
      </c>
      <c r="E32" s="134">
        <v>10</v>
      </c>
      <c r="F32" s="2"/>
      <c r="G32" s="6" t="s">
        <v>142</v>
      </c>
      <c r="H32" s="134">
        <v>10.5</v>
      </c>
      <c r="I32" s="2"/>
      <c r="J32" s="4" t="s">
        <v>118</v>
      </c>
      <c r="K32" s="134">
        <v>7.5</v>
      </c>
      <c r="L32" s="2"/>
      <c r="M32" s="6" t="s">
        <v>135</v>
      </c>
      <c r="N32" s="134">
        <v>8.5</v>
      </c>
      <c r="O32" s="16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  <c r="AG32"/>
      <c r="AH32"/>
      <c r="AI32"/>
    </row>
    <row r="33" spans="1:35" ht="16.05" customHeight="1" thickBot="1" x14ac:dyDescent="0.35">
      <c r="A33" s="61" t="s">
        <v>840</v>
      </c>
      <c r="B33" s="12">
        <f>ROUND(SUM(B34:B45)/COUNT(B34:B45), 2)</f>
        <v>9.68</v>
      </c>
      <c r="C33" s="9"/>
      <c r="D33" s="4" t="s">
        <v>127</v>
      </c>
      <c r="E33" s="134">
        <v>9</v>
      </c>
      <c r="F33" s="2"/>
      <c r="G33" s="4" t="s">
        <v>143</v>
      </c>
      <c r="H33" s="134">
        <v>10</v>
      </c>
      <c r="I33" s="2"/>
      <c r="J33" s="4" t="s">
        <v>119</v>
      </c>
      <c r="K33" s="134">
        <v>9</v>
      </c>
      <c r="L33" s="2"/>
      <c r="M33" s="6" t="s">
        <v>136</v>
      </c>
      <c r="N33" s="134">
        <v>9</v>
      </c>
      <c r="O33" s="16"/>
      <c r="R33"/>
      <c r="S33"/>
      <c r="T33"/>
      <c r="U33"/>
      <c r="V33"/>
      <c r="W33"/>
      <c r="X33"/>
      <c r="Y33"/>
      <c r="Z33"/>
      <c r="AA33"/>
      <c r="AB33"/>
      <c r="AC33"/>
      <c r="AD33"/>
      <c r="AE33"/>
      <c r="AF33"/>
      <c r="AG33"/>
      <c r="AH33"/>
      <c r="AI33"/>
    </row>
    <row r="34" spans="1:35" ht="16.05" customHeight="1" x14ac:dyDescent="0.3">
      <c r="A34" s="11" t="s">
        <v>144</v>
      </c>
      <c r="B34" s="133">
        <v>9</v>
      </c>
      <c r="C34" s="9"/>
      <c r="D34" s="4" t="s">
        <v>128</v>
      </c>
      <c r="E34" s="134">
        <v>10.5</v>
      </c>
      <c r="F34" s="2"/>
      <c r="G34" s="4" t="s">
        <v>198</v>
      </c>
      <c r="H34" s="134"/>
      <c r="I34" s="2"/>
      <c r="J34" s="4" t="s">
        <v>120</v>
      </c>
      <c r="K34" s="134">
        <v>8</v>
      </c>
      <c r="L34" s="2"/>
      <c r="M34" s="6" t="s">
        <v>137</v>
      </c>
      <c r="N34" s="134">
        <v>8</v>
      </c>
      <c r="O34" s="16"/>
      <c r="R34"/>
      <c r="S34"/>
      <c r="T34"/>
      <c r="U34"/>
      <c r="V34"/>
      <c r="W34"/>
      <c r="X34"/>
      <c r="Y34"/>
      <c r="Z34"/>
      <c r="AA34"/>
      <c r="AB34"/>
      <c r="AC34"/>
      <c r="AD34"/>
      <c r="AE34"/>
      <c r="AF34"/>
      <c r="AG34"/>
      <c r="AH34"/>
      <c r="AI34"/>
    </row>
    <row r="35" spans="1:35" ht="16.05" customHeight="1" x14ac:dyDescent="0.3">
      <c r="A35" s="4" t="s">
        <v>145</v>
      </c>
      <c r="B35" s="134">
        <v>10.5</v>
      </c>
      <c r="C35" s="9"/>
      <c r="D35" s="4" t="s">
        <v>129</v>
      </c>
      <c r="E35" s="134">
        <v>9.5</v>
      </c>
      <c r="F35" s="2"/>
      <c r="G35" s="4" t="s">
        <v>199</v>
      </c>
      <c r="H35" s="134">
        <v>10.5</v>
      </c>
      <c r="I35" s="2"/>
      <c r="J35" s="4" t="s">
        <v>121</v>
      </c>
      <c r="K35" s="134">
        <v>7</v>
      </c>
      <c r="L35" s="2"/>
      <c r="M35" s="6" t="s">
        <v>138</v>
      </c>
      <c r="N35" s="134">
        <v>9</v>
      </c>
      <c r="O35" s="16"/>
      <c r="R35"/>
      <c r="S35"/>
      <c r="T35"/>
      <c r="U35"/>
      <c r="V35"/>
      <c r="W35"/>
      <c r="X35"/>
      <c r="Y35"/>
      <c r="Z35"/>
      <c r="AA35"/>
      <c r="AB35"/>
      <c r="AC35"/>
      <c r="AD35"/>
      <c r="AE35"/>
      <c r="AF35"/>
      <c r="AG35"/>
      <c r="AH35"/>
      <c r="AI35"/>
    </row>
    <row r="36" spans="1:35" ht="16.05" customHeight="1" x14ac:dyDescent="0.3">
      <c r="A36" s="4" t="s">
        <v>146</v>
      </c>
      <c r="B36" s="134">
        <v>9.5</v>
      </c>
      <c r="C36" s="9"/>
      <c r="D36" s="4" t="s">
        <v>130</v>
      </c>
      <c r="E36" s="134">
        <v>8</v>
      </c>
      <c r="F36" s="2"/>
      <c r="G36" s="4" t="s">
        <v>200</v>
      </c>
      <c r="H36" s="134"/>
      <c r="I36" s="2"/>
      <c r="J36" s="4" t="s">
        <v>122</v>
      </c>
      <c r="K36" s="134"/>
      <c r="L36" s="2"/>
      <c r="M36" s="6" t="s">
        <v>139</v>
      </c>
      <c r="N36" s="134">
        <v>8.5</v>
      </c>
      <c r="O36" s="16"/>
      <c r="R36"/>
      <c r="S36"/>
      <c r="T36"/>
      <c r="U36"/>
      <c r="V36"/>
      <c r="W36"/>
      <c r="X36"/>
      <c r="Y36"/>
      <c r="Z36"/>
      <c r="AA36"/>
      <c r="AB36"/>
      <c r="AC36"/>
      <c r="AD36"/>
      <c r="AE36"/>
      <c r="AF36"/>
      <c r="AG36"/>
      <c r="AH36"/>
      <c r="AI36"/>
    </row>
    <row r="37" spans="1:35" ht="16.05" customHeight="1" thickBot="1" x14ac:dyDescent="0.35">
      <c r="A37" s="4" t="s">
        <v>147</v>
      </c>
      <c r="B37" s="134">
        <v>10</v>
      </c>
      <c r="C37" s="9"/>
      <c r="D37" s="7" t="s">
        <v>131</v>
      </c>
      <c r="E37" s="135">
        <v>8.5</v>
      </c>
      <c r="F37" s="2"/>
      <c r="G37" s="4" t="s">
        <v>201</v>
      </c>
      <c r="H37" s="134">
        <v>8.5</v>
      </c>
      <c r="I37" s="2"/>
      <c r="J37" s="4" t="s">
        <v>123</v>
      </c>
      <c r="K37" s="134">
        <v>7.5</v>
      </c>
      <c r="L37" s="2"/>
      <c r="M37" s="8" t="s">
        <v>140</v>
      </c>
      <c r="N37" s="135">
        <v>10</v>
      </c>
      <c r="O37" s="16"/>
      <c r="R37"/>
      <c r="S37"/>
      <c r="T37"/>
      <c r="U37"/>
      <c r="V37"/>
      <c r="W37"/>
      <c r="X37"/>
      <c r="Y37"/>
      <c r="Z37"/>
      <c r="AA37"/>
      <c r="AB37"/>
      <c r="AC37"/>
      <c r="AD37"/>
      <c r="AE37"/>
      <c r="AF37"/>
      <c r="AG37"/>
      <c r="AH37"/>
      <c r="AI37"/>
    </row>
    <row r="38" spans="1:35" ht="16.05" customHeight="1" thickBot="1" x14ac:dyDescent="0.35">
      <c r="A38" s="4" t="s">
        <v>148</v>
      </c>
      <c r="B38" s="134">
        <v>10.5</v>
      </c>
      <c r="C38" s="2"/>
      <c r="D38" s="2"/>
      <c r="E38" s="2"/>
      <c r="F38" s="2"/>
      <c r="G38" s="4" t="s">
        <v>202</v>
      </c>
      <c r="H38" s="134"/>
      <c r="I38" s="2"/>
      <c r="J38" s="7" t="s">
        <v>124</v>
      </c>
      <c r="K38" s="135">
        <v>7.5</v>
      </c>
      <c r="L38" s="2"/>
      <c r="M38" s="15"/>
      <c r="N38" s="15"/>
      <c r="O38" s="16"/>
      <c r="R38"/>
      <c r="S38"/>
      <c r="T38"/>
      <c r="U38"/>
      <c r="V38"/>
      <c r="W38"/>
      <c r="X38"/>
      <c r="Y38"/>
      <c r="Z38"/>
      <c r="AA38"/>
      <c r="AB38"/>
      <c r="AC38"/>
      <c r="AD38"/>
      <c r="AE38"/>
      <c r="AF38"/>
      <c r="AG38"/>
      <c r="AH38"/>
      <c r="AI38"/>
    </row>
    <row r="39" spans="1:35" ht="16.05" customHeight="1" thickBot="1" x14ac:dyDescent="0.35">
      <c r="A39" s="4" t="s">
        <v>149</v>
      </c>
      <c r="B39" s="134">
        <v>9.5</v>
      </c>
      <c r="C39" s="2"/>
      <c r="D39" s="59" t="s">
        <v>838</v>
      </c>
      <c r="E39" s="1">
        <f>ROUND(SUM(E40:E52)/COUNT(E40:E52), 2)</f>
        <v>8.65</v>
      </c>
      <c r="F39" s="2"/>
      <c r="G39" s="4" t="s">
        <v>203</v>
      </c>
      <c r="H39" s="134">
        <v>9</v>
      </c>
      <c r="I39" s="2"/>
      <c r="J39" s="15"/>
      <c r="K39" s="15"/>
      <c r="L39" s="2"/>
      <c r="M39" s="20" t="s">
        <v>284</v>
      </c>
      <c r="N39" s="12">
        <f>ROUND(SUM(N40:N52)/COUNT(N40:N52), 2)</f>
        <v>9.2100000000000009</v>
      </c>
      <c r="O39" s="16"/>
      <c r="R39"/>
      <c r="S39"/>
      <c r="T39"/>
      <c r="U39"/>
      <c r="V39"/>
      <c r="W39"/>
      <c r="X39"/>
      <c r="Y39"/>
      <c r="Z39"/>
      <c r="AA39"/>
      <c r="AB39"/>
      <c r="AC39"/>
      <c r="AD39"/>
      <c r="AE39"/>
      <c r="AF39"/>
      <c r="AG39"/>
      <c r="AH39"/>
      <c r="AI39"/>
    </row>
    <row r="40" spans="1:35" ht="16.05" customHeight="1" thickBot="1" x14ac:dyDescent="0.35">
      <c r="A40" s="4" t="s">
        <v>150</v>
      </c>
      <c r="B40" s="134"/>
      <c r="C40" s="2"/>
      <c r="D40" s="5" t="s">
        <v>161</v>
      </c>
      <c r="E40" s="133">
        <v>8.5</v>
      </c>
      <c r="F40" s="2"/>
      <c r="G40" s="4" t="s">
        <v>204</v>
      </c>
      <c r="H40" s="134"/>
      <c r="I40" s="2"/>
      <c r="J40" s="63" t="s">
        <v>842</v>
      </c>
      <c r="K40" s="12">
        <f>ROUND(SUM(K41:K52)/COUNT(K41:K52), 2)</f>
        <v>8.3800000000000008</v>
      </c>
      <c r="L40" s="2"/>
      <c r="M40" s="4" t="s">
        <v>173</v>
      </c>
      <c r="N40" s="133">
        <v>10</v>
      </c>
      <c r="O40" s="16"/>
      <c r="R40"/>
      <c r="S40"/>
      <c r="T40"/>
      <c r="U40"/>
      <c r="V40"/>
      <c r="W40"/>
      <c r="X40"/>
      <c r="Y40"/>
      <c r="Z40"/>
      <c r="AA40"/>
      <c r="AB40"/>
      <c r="AC40"/>
      <c r="AD40"/>
      <c r="AE40"/>
      <c r="AF40"/>
      <c r="AG40"/>
      <c r="AH40"/>
      <c r="AI40"/>
    </row>
    <row r="41" spans="1:35" ht="16.05" customHeight="1" x14ac:dyDescent="0.3">
      <c r="A41" s="4" t="s">
        <v>151</v>
      </c>
      <c r="B41" s="134">
        <v>9</v>
      </c>
      <c r="C41" s="2"/>
      <c r="D41" s="6" t="s">
        <v>162</v>
      </c>
      <c r="E41" s="134">
        <v>9</v>
      </c>
      <c r="F41" s="2"/>
      <c r="G41" s="4" t="s">
        <v>205</v>
      </c>
      <c r="H41" s="134">
        <v>10</v>
      </c>
      <c r="I41" s="2"/>
      <c r="J41" s="11" t="s">
        <v>187</v>
      </c>
      <c r="K41" s="133">
        <v>9</v>
      </c>
      <c r="L41" s="2"/>
      <c r="M41" s="4" t="s">
        <v>174</v>
      </c>
      <c r="N41" s="134">
        <v>9.5</v>
      </c>
      <c r="O41" s="16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  <c r="AG41"/>
      <c r="AH41"/>
      <c r="AI41"/>
    </row>
    <row r="42" spans="1:35" ht="16.05" customHeight="1" x14ac:dyDescent="0.3">
      <c r="A42" s="4" t="s">
        <v>152</v>
      </c>
      <c r="B42" s="134">
        <v>10</v>
      </c>
      <c r="C42" s="2"/>
      <c r="D42" s="6" t="s">
        <v>163</v>
      </c>
      <c r="E42" s="134">
        <v>8.5</v>
      </c>
      <c r="F42" s="2"/>
      <c r="G42" s="4" t="s">
        <v>206</v>
      </c>
      <c r="H42" s="134"/>
      <c r="I42" s="2"/>
      <c r="J42" s="4" t="s">
        <v>188</v>
      </c>
      <c r="K42" s="134">
        <v>8.5</v>
      </c>
      <c r="L42" s="2"/>
      <c r="M42" s="4" t="s">
        <v>175</v>
      </c>
      <c r="N42" s="134">
        <v>9</v>
      </c>
      <c r="O42" s="16"/>
      <c r="R42"/>
      <c r="S42"/>
      <c r="T42"/>
      <c r="U42"/>
      <c r="V42"/>
      <c r="W42"/>
      <c r="X42"/>
      <c r="Y42"/>
      <c r="Z42"/>
      <c r="AA42"/>
      <c r="AB42"/>
      <c r="AC42"/>
      <c r="AD42"/>
      <c r="AE42"/>
      <c r="AF42"/>
      <c r="AG42"/>
      <c r="AH42"/>
      <c r="AI42"/>
    </row>
    <row r="43" spans="1:35" ht="16.05" customHeight="1" x14ac:dyDescent="0.3">
      <c r="A43" s="4" t="s">
        <v>153</v>
      </c>
      <c r="B43" s="134">
        <v>10</v>
      </c>
      <c r="C43" s="2"/>
      <c r="D43" s="6" t="s">
        <v>164</v>
      </c>
      <c r="E43" s="134">
        <v>10</v>
      </c>
      <c r="F43" s="2"/>
      <c r="G43" s="4" t="s">
        <v>207</v>
      </c>
      <c r="H43" s="134">
        <v>9.5</v>
      </c>
      <c r="I43" s="2"/>
      <c r="J43" s="4" t="s">
        <v>189</v>
      </c>
      <c r="K43" s="134">
        <v>9</v>
      </c>
      <c r="L43" s="2"/>
      <c r="M43" s="4" t="s">
        <v>176</v>
      </c>
      <c r="N43" s="134">
        <v>10.5</v>
      </c>
      <c r="O43" s="16"/>
      <c r="R43"/>
      <c r="S43"/>
      <c r="T43"/>
      <c r="U43"/>
      <c r="V43"/>
      <c r="W43"/>
      <c r="X43"/>
      <c r="Y43"/>
      <c r="Z43"/>
      <c r="AA43"/>
      <c r="AB43"/>
      <c r="AC43"/>
      <c r="AD43"/>
      <c r="AE43"/>
      <c r="AF43"/>
      <c r="AG43"/>
      <c r="AH43"/>
      <c r="AI43"/>
    </row>
    <row r="44" spans="1:35" ht="16.05" customHeight="1" x14ac:dyDescent="0.3">
      <c r="A44" s="4" t="s">
        <v>154</v>
      </c>
      <c r="B44" s="134">
        <v>10</v>
      </c>
      <c r="C44" s="2"/>
      <c r="D44" s="6" t="s">
        <v>165</v>
      </c>
      <c r="E44" s="134">
        <v>9</v>
      </c>
      <c r="F44" s="2"/>
      <c r="G44" s="4" t="s">
        <v>208</v>
      </c>
      <c r="H44" s="134"/>
      <c r="I44" s="2"/>
      <c r="J44" s="4" t="s">
        <v>190</v>
      </c>
      <c r="K44" s="134">
        <v>9.5</v>
      </c>
      <c r="L44" s="2"/>
      <c r="M44" s="4" t="s">
        <v>177</v>
      </c>
      <c r="N44" s="134">
        <v>8.5</v>
      </c>
      <c r="O44" s="16"/>
      <c r="R44"/>
      <c r="S44"/>
      <c r="T44"/>
      <c r="U44"/>
      <c r="V44"/>
      <c r="W44"/>
      <c r="X44"/>
      <c r="Y44"/>
      <c r="Z44"/>
      <c r="AA44"/>
      <c r="AB44"/>
      <c r="AC44"/>
      <c r="AD44"/>
      <c r="AE44"/>
      <c r="AF44"/>
      <c r="AG44"/>
      <c r="AH44"/>
      <c r="AI44"/>
    </row>
    <row r="45" spans="1:35" ht="16.05" customHeight="1" thickBot="1" x14ac:dyDescent="0.35">
      <c r="A45" s="7" t="s">
        <v>155</v>
      </c>
      <c r="B45" s="135">
        <v>8.5</v>
      </c>
      <c r="C45" s="2"/>
      <c r="D45" s="6" t="s">
        <v>158</v>
      </c>
      <c r="E45" s="134">
        <v>8</v>
      </c>
      <c r="F45" s="2"/>
      <c r="G45" s="4" t="s">
        <v>209</v>
      </c>
      <c r="H45" s="135">
        <v>8.5</v>
      </c>
      <c r="I45" s="2"/>
      <c r="J45" s="4" t="s">
        <v>191</v>
      </c>
      <c r="K45" s="134">
        <v>7.5</v>
      </c>
      <c r="L45" s="2"/>
      <c r="M45" s="4" t="s">
        <v>178</v>
      </c>
      <c r="N45" s="134">
        <v>8</v>
      </c>
      <c r="O45" s="16"/>
      <c r="R45"/>
      <c r="S45"/>
      <c r="T45"/>
      <c r="U45"/>
      <c r="V45"/>
      <c r="W45"/>
      <c r="X45"/>
      <c r="Y45"/>
      <c r="Z45"/>
      <c r="AA45"/>
      <c r="AB45"/>
      <c r="AC45"/>
      <c r="AD45"/>
      <c r="AE45"/>
      <c r="AF45"/>
      <c r="AG45"/>
      <c r="AH45"/>
      <c r="AI45"/>
    </row>
    <row r="46" spans="1:35" ht="16.05" customHeight="1" thickBot="1" x14ac:dyDescent="0.35">
      <c r="A46" s="13"/>
      <c r="B46" s="13"/>
      <c r="C46" s="2"/>
      <c r="D46" s="6" t="s">
        <v>166</v>
      </c>
      <c r="E46" s="134">
        <v>9</v>
      </c>
      <c r="F46" s="2"/>
      <c r="G46" s="13"/>
      <c r="H46" s="13"/>
      <c r="I46" s="2"/>
      <c r="J46" s="4" t="s">
        <v>192</v>
      </c>
      <c r="K46" s="134">
        <v>10</v>
      </c>
      <c r="L46" s="2"/>
      <c r="M46" s="4" t="s">
        <v>179</v>
      </c>
      <c r="N46" s="134">
        <v>8.5</v>
      </c>
      <c r="O46" s="16"/>
      <c r="R46"/>
      <c r="S46"/>
      <c r="T46"/>
      <c r="U46"/>
      <c r="V46"/>
      <c r="W46"/>
      <c r="X46"/>
      <c r="Y46"/>
      <c r="Z46"/>
      <c r="AA46"/>
      <c r="AB46"/>
      <c r="AC46"/>
      <c r="AD46"/>
      <c r="AE46"/>
      <c r="AF46"/>
      <c r="AG46"/>
      <c r="AH46"/>
      <c r="AI46"/>
    </row>
    <row r="47" spans="1:35" ht="16.05" customHeight="1" thickBot="1" x14ac:dyDescent="0.35">
      <c r="A47" s="58" t="s">
        <v>837</v>
      </c>
      <c r="B47" s="12">
        <f>ROUND(SUM(B48:B57)/COUNT(B48:B57), 2)</f>
        <v>8.7799999999999994</v>
      </c>
      <c r="C47" s="2"/>
      <c r="D47" s="6" t="s">
        <v>167</v>
      </c>
      <c r="E47" s="134">
        <v>8.5</v>
      </c>
      <c r="F47" s="16"/>
      <c r="G47" s="64" t="s">
        <v>843</v>
      </c>
      <c r="H47" s="1">
        <f>ROUND(SUM(H48:H55)/COUNT(H48:H55), 2)</f>
        <v>9.3800000000000008</v>
      </c>
      <c r="I47" s="2"/>
      <c r="J47" s="4" t="s">
        <v>193</v>
      </c>
      <c r="K47" s="134">
        <v>8</v>
      </c>
      <c r="L47" s="2"/>
      <c r="M47" s="4" t="s">
        <v>180</v>
      </c>
      <c r="N47" s="134">
        <v>8.5</v>
      </c>
      <c r="O47" s="16"/>
      <c r="R47"/>
      <c r="S47"/>
      <c r="T47"/>
      <c r="U47"/>
      <c r="V47"/>
      <c r="W47"/>
      <c r="X47"/>
      <c r="Y47"/>
      <c r="Z47"/>
      <c r="AA47"/>
      <c r="AB47"/>
      <c r="AC47"/>
      <c r="AD47"/>
      <c r="AE47"/>
      <c r="AF47"/>
      <c r="AG47"/>
      <c r="AH47"/>
      <c r="AI47"/>
    </row>
    <row r="48" spans="1:35" ht="16.05" customHeight="1" x14ac:dyDescent="0.3">
      <c r="A48" s="5" t="s">
        <v>219</v>
      </c>
      <c r="B48" s="133"/>
      <c r="C48" s="2"/>
      <c r="D48" s="6" t="s">
        <v>168</v>
      </c>
      <c r="E48" s="134">
        <v>8</v>
      </c>
      <c r="F48" s="2"/>
      <c r="G48" s="5" t="s">
        <v>210</v>
      </c>
      <c r="H48" s="133">
        <v>10</v>
      </c>
      <c r="I48" s="2"/>
      <c r="J48" s="4" t="s">
        <v>160</v>
      </c>
      <c r="K48" s="134">
        <v>7.5</v>
      </c>
      <c r="L48" s="2"/>
      <c r="M48" s="4" t="s">
        <v>181</v>
      </c>
      <c r="N48" s="134">
        <v>10</v>
      </c>
      <c r="O48" s="16"/>
      <c r="R48"/>
      <c r="S48"/>
      <c r="T48"/>
      <c r="U48"/>
      <c r="V48"/>
      <c r="W48"/>
      <c r="X48"/>
      <c r="Y48"/>
      <c r="Z48"/>
      <c r="AA48"/>
      <c r="AB48"/>
      <c r="AC48"/>
      <c r="AD48"/>
      <c r="AE48"/>
      <c r="AF48"/>
      <c r="AG48"/>
      <c r="AH48"/>
      <c r="AI48"/>
    </row>
    <row r="49" spans="1:35" ht="16.05" customHeight="1" x14ac:dyDescent="0.3">
      <c r="A49" s="6" t="s">
        <v>220</v>
      </c>
      <c r="B49" s="134">
        <v>10</v>
      </c>
      <c r="C49" s="2"/>
      <c r="D49" s="6" t="s">
        <v>169</v>
      </c>
      <c r="E49" s="134">
        <v>10</v>
      </c>
      <c r="F49" s="2"/>
      <c r="G49" s="6" t="s">
        <v>211</v>
      </c>
      <c r="H49" s="134">
        <v>9.5</v>
      </c>
      <c r="I49" s="2"/>
      <c r="J49" s="4" t="s">
        <v>194</v>
      </c>
      <c r="K49" s="134">
        <v>7</v>
      </c>
      <c r="L49" s="2"/>
      <c r="M49" s="4" t="s">
        <v>182</v>
      </c>
      <c r="N49" s="134"/>
      <c r="O49" s="16"/>
      <c r="R49"/>
      <c r="S49"/>
      <c r="T49"/>
      <c r="U49"/>
      <c r="V49"/>
      <c r="W49"/>
      <c r="X49"/>
      <c r="Y49"/>
      <c r="Z49"/>
      <c r="AA49"/>
      <c r="AB49"/>
      <c r="AC49"/>
      <c r="AD49"/>
      <c r="AE49"/>
      <c r="AF49"/>
      <c r="AG49"/>
      <c r="AH49"/>
      <c r="AI49"/>
    </row>
    <row r="50" spans="1:35" ht="16.05" customHeight="1" x14ac:dyDescent="0.3">
      <c r="A50" s="6" t="s">
        <v>221</v>
      </c>
      <c r="B50" s="134">
        <v>9</v>
      </c>
      <c r="C50" s="2"/>
      <c r="D50" s="6" t="s">
        <v>170</v>
      </c>
      <c r="E50" s="134">
        <v>8.5</v>
      </c>
      <c r="F50" s="2"/>
      <c r="G50" s="6" t="s">
        <v>212</v>
      </c>
      <c r="H50" s="134">
        <v>9.5</v>
      </c>
      <c r="I50" s="2"/>
      <c r="J50" s="4" t="s">
        <v>195</v>
      </c>
      <c r="K50" s="134">
        <v>7</v>
      </c>
      <c r="L50" s="2"/>
      <c r="M50" s="4" t="s">
        <v>183</v>
      </c>
      <c r="N50" s="134">
        <v>8</v>
      </c>
      <c r="O50" s="16"/>
      <c r="R50"/>
      <c r="S50"/>
      <c r="T50"/>
      <c r="U50"/>
      <c r="V50"/>
      <c r="W50"/>
      <c r="X50"/>
      <c r="Y50"/>
      <c r="Z50"/>
      <c r="AA50"/>
      <c r="AB50"/>
      <c r="AC50"/>
      <c r="AD50"/>
      <c r="AE50"/>
      <c r="AF50"/>
      <c r="AG50"/>
      <c r="AH50"/>
      <c r="AI50"/>
    </row>
    <row r="51" spans="1:35" ht="16.05" customHeight="1" x14ac:dyDescent="0.3">
      <c r="A51" s="6" t="s">
        <v>222</v>
      </c>
      <c r="B51" s="134">
        <v>9</v>
      </c>
      <c r="C51" s="2"/>
      <c r="D51" s="6" t="s">
        <v>171</v>
      </c>
      <c r="E51" s="134">
        <v>8</v>
      </c>
      <c r="F51" s="2"/>
      <c r="G51" s="6" t="s">
        <v>213</v>
      </c>
      <c r="H51" s="134">
        <v>10.5</v>
      </c>
      <c r="I51" s="2"/>
      <c r="J51" s="4" t="s">
        <v>196</v>
      </c>
      <c r="K51" s="134">
        <v>7.5</v>
      </c>
      <c r="L51" s="2"/>
      <c r="M51" s="4" t="s">
        <v>184</v>
      </c>
      <c r="N51" s="134">
        <v>10</v>
      </c>
      <c r="O51" s="16"/>
      <c r="R51"/>
      <c r="S51"/>
      <c r="T51"/>
      <c r="U51"/>
      <c r="V51"/>
      <c r="W51"/>
      <c r="X51"/>
      <c r="Y51"/>
      <c r="Z51"/>
      <c r="AA51"/>
      <c r="AB51"/>
      <c r="AC51"/>
      <c r="AD51"/>
      <c r="AE51"/>
      <c r="AF51"/>
      <c r="AG51"/>
      <c r="AH51"/>
      <c r="AI51"/>
    </row>
    <row r="52" spans="1:35" ht="16.05" customHeight="1" thickBot="1" x14ac:dyDescent="0.35">
      <c r="A52" s="6" t="s">
        <v>223</v>
      </c>
      <c r="B52" s="134">
        <v>8</v>
      </c>
      <c r="C52" s="2"/>
      <c r="D52" s="8" t="s">
        <v>172</v>
      </c>
      <c r="E52" s="135">
        <v>7.5</v>
      </c>
      <c r="F52" s="2"/>
      <c r="G52" s="6" t="s">
        <v>214</v>
      </c>
      <c r="H52" s="134">
        <v>8.5</v>
      </c>
      <c r="I52" s="2"/>
      <c r="J52" s="7" t="s">
        <v>197</v>
      </c>
      <c r="K52" s="135">
        <v>10</v>
      </c>
      <c r="L52" s="2"/>
      <c r="M52" s="7" t="s">
        <v>185</v>
      </c>
      <c r="N52" s="135">
        <v>10</v>
      </c>
      <c r="O52" s="16"/>
      <c r="R52"/>
      <c r="S52"/>
      <c r="T52"/>
      <c r="U52"/>
      <c r="V52"/>
      <c r="W52"/>
      <c r="X52"/>
      <c r="Y52"/>
      <c r="Z52"/>
      <c r="AA52"/>
      <c r="AB52"/>
      <c r="AC52"/>
      <c r="AD52"/>
      <c r="AE52"/>
      <c r="AF52"/>
      <c r="AG52"/>
      <c r="AH52"/>
      <c r="AI52"/>
    </row>
    <row r="53" spans="1:35" ht="16.05" customHeight="1" thickBot="1" x14ac:dyDescent="0.35">
      <c r="A53" s="6" t="s">
        <v>224</v>
      </c>
      <c r="B53" s="134">
        <v>8</v>
      </c>
      <c r="C53" s="2"/>
      <c r="D53" s="13"/>
      <c r="E53" s="15"/>
      <c r="F53" s="2"/>
      <c r="G53" s="6" t="s">
        <v>215</v>
      </c>
      <c r="H53" s="134">
        <v>8</v>
      </c>
      <c r="I53" s="2"/>
      <c r="J53" s="15"/>
      <c r="K53" s="15"/>
      <c r="L53" s="2"/>
      <c r="M53" s="15"/>
      <c r="N53" s="15"/>
      <c r="O53" s="16"/>
      <c r="R53"/>
      <c r="S53"/>
      <c r="T53"/>
      <c r="U53"/>
      <c r="V53"/>
      <c r="W53"/>
      <c r="X53"/>
      <c r="Y53"/>
      <c r="Z53"/>
      <c r="AA53"/>
      <c r="AB53"/>
      <c r="AC53"/>
      <c r="AD53"/>
      <c r="AE53"/>
      <c r="AF53"/>
      <c r="AG53"/>
      <c r="AH53"/>
      <c r="AI53"/>
    </row>
    <row r="54" spans="1:35" ht="16.05" customHeight="1" thickBot="1" x14ac:dyDescent="0.35">
      <c r="A54" s="6" t="s">
        <v>225</v>
      </c>
      <c r="B54" s="134">
        <v>8</v>
      </c>
      <c r="C54" s="2"/>
      <c r="D54" s="57" t="s">
        <v>836</v>
      </c>
      <c r="E54" s="12">
        <f>ROUND(SUM(E55:E63)/COUNT(E55:E63), 2)</f>
        <v>9</v>
      </c>
      <c r="F54" s="2"/>
      <c r="G54" s="6" t="s">
        <v>216</v>
      </c>
      <c r="H54" s="134">
        <v>9</v>
      </c>
      <c r="I54" s="16"/>
      <c r="J54" s="26" t="s">
        <v>358</v>
      </c>
      <c r="K54" s="1">
        <f>ROUND(SUM(K55:K64)/COUNT(K55:K64), 2)</f>
        <v>8.35</v>
      </c>
      <c r="L54" s="2"/>
      <c r="M54" s="56" t="s">
        <v>835</v>
      </c>
      <c r="N54" s="12">
        <f>ROUND(SUM(N55:N65)/COUNT(N55:N65), 2)</f>
        <v>9.15</v>
      </c>
      <c r="O54" s="16"/>
      <c r="R54"/>
      <c r="S54"/>
      <c r="T54"/>
      <c r="U54"/>
      <c r="V54"/>
      <c r="W54"/>
      <c r="X54"/>
      <c r="Y54"/>
      <c r="Z54"/>
      <c r="AA54"/>
      <c r="AB54"/>
      <c r="AC54"/>
      <c r="AD54"/>
      <c r="AE54"/>
      <c r="AF54"/>
      <c r="AG54"/>
      <c r="AH54"/>
      <c r="AI54"/>
    </row>
    <row r="55" spans="1:35" ht="16.05" customHeight="1" thickBot="1" x14ac:dyDescent="0.35">
      <c r="A55" s="6" t="s">
        <v>226</v>
      </c>
      <c r="B55" s="134">
        <v>8</v>
      </c>
      <c r="C55" s="2"/>
      <c r="D55" s="5" t="s">
        <v>230</v>
      </c>
      <c r="E55" s="133">
        <v>10</v>
      </c>
      <c r="F55" s="2"/>
      <c r="G55" s="8" t="s">
        <v>217</v>
      </c>
      <c r="H55" s="135">
        <v>10</v>
      </c>
      <c r="I55" s="2"/>
      <c r="J55" s="5" t="s">
        <v>261</v>
      </c>
      <c r="K55" s="133">
        <v>10</v>
      </c>
      <c r="L55" s="2"/>
      <c r="M55" s="5" t="s">
        <v>250</v>
      </c>
      <c r="N55" s="133">
        <v>10</v>
      </c>
      <c r="O55" s="16"/>
      <c r="R55"/>
      <c r="S55"/>
      <c r="T55"/>
      <c r="U55"/>
      <c r="V55"/>
      <c r="W55"/>
      <c r="X55"/>
      <c r="Y55"/>
      <c r="Z55"/>
      <c r="AA55"/>
      <c r="AB55"/>
      <c r="AC55"/>
      <c r="AD55"/>
      <c r="AE55"/>
      <c r="AF55"/>
      <c r="AG55"/>
      <c r="AH55"/>
      <c r="AI55"/>
    </row>
    <row r="56" spans="1:35" ht="16.05" customHeight="1" thickBot="1" x14ac:dyDescent="0.35">
      <c r="A56" s="6" t="s">
        <v>227</v>
      </c>
      <c r="B56" s="134">
        <v>10</v>
      </c>
      <c r="C56" s="2"/>
      <c r="D56" s="6" t="s">
        <v>231</v>
      </c>
      <c r="E56" s="134">
        <v>9.5</v>
      </c>
      <c r="F56" s="2"/>
      <c r="G56" s="15"/>
      <c r="H56" s="15"/>
      <c r="I56" s="2"/>
      <c r="J56" s="6" t="s">
        <v>262</v>
      </c>
      <c r="K56" s="134">
        <v>9</v>
      </c>
      <c r="L56" s="2"/>
      <c r="M56" s="6" t="s">
        <v>251</v>
      </c>
      <c r="N56" s="134">
        <v>8.5</v>
      </c>
      <c r="O56" s="16"/>
      <c r="R56"/>
      <c r="S56"/>
      <c r="T56"/>
      <c r="U56"/>
      <c r="V56"/>
      <c r="W56"/>
      <c r="X56"/>
      <c r="Y56"/>
      <c r="Z56"/>
      <c r="AA56"/>
      <c r="AB56"/>
      <c r="AC56"/>
      <c r="AD56"/>
      <c r="AE56"/>
      <c r="AF56"/>
      <c r="AG56"/>
      <c r="AH56"/>
      <c r="AI56"/>
    </row>
    <row r="57" spans="1:35" ht="16.05" customHeight="1" thickBot="1" x14ac:dyDescent="0.35">
      <c r="A57" s="8" t="s">
        <v>228</v>
      </c>
      <c r="B57" s="135">
        <v>9</v>
      </c>
      <c r="C57" s="2"/>
      <c r="D57" s="6" t="s">
        <v>232</v>
      </c>
      <c r="E57" s="134">
        <v>8</v>
      </c>
      <c r="F57" s="16"/>
      <c r="G57" s="158" t="s">
        <v>1962</v>
      </c>
      <c r="H57" s="1">
        <f>ROUND(SUM(H58:H67)/COUNT(H58:H67), 2)</f>
        <v>8.35</v>
      </c>
      <c r="I57" s="2"/>
      <c r="J57" s="6" t="s">
        <v>263</v>
      </c>
      <c r="K57" s="134">
        <v>8</v>
      </c>
      <c r="L57" s="2"/>
      <c r="M57" s="6" t="s">
        <v>252</v>
      </c>
      <c r="N57" s="134">
        <v>9</v>
      </c>
      <c r="O57" s="16"/>
      <c r="R57"/>
      <c r="S57"/>
      <c r="T57"/>
      <c r="U57"/>
      <c r="V57"/>
      <c r="W57"/>
      <c r="X57"/>
      <c r="Y57"/>
      <c r="Z57"/>
      <c r="AA57"/>
      <c r="AB57"/>
      <c r="AC57"/>
      <c r="AD57"/>
      <c r="AE57"/>
      <c r="AF57"/>
      <c r="AG57"/>
      <c r="AH57"/>
      <c r="AI57"/>
    </row>
    <row r="58" spans="1:35" ht="16.05" customHeight="1" thickBot="1" x14ac:dyDescent="0.35">
      <c r="A58" s="15"/>
      <c r="B58" s="15"/>
      <c r="C58" s="2"/>
      <c r="D58" s="6" t="s">
        <v>233</v>
      </c>
      <c r="E58" s="134">
        <v>8.5</v>
      </c>
      <c r="F58" s="2"/>
      <c r="G58" s="5" t="s">
        <v>272</v>
      </c>
      <c r="H58" s="133">
        <v>8</v>
      </c>
      <c r="I58" s="2"/>
      <c r="J58" s="6" t="s">
        <v>264</v>
      </c>
      <c r="K58" s="134">
        <v>7</v>
      </c>
      <c r="L58" s="2"/>
      <c r="M58" s="6" t="s">
        <v>253</v>
      </c>
      <c r="N58" s="134">
        <v>10.5</v>
      </c>
      <c r="O58" s="16"/>
      <c r="R58"/>
      <c r="S58"/>
      <c r="T58"/>
      <c r="U58"/>
      <c r="V58"/>
      <c r="W58"/>
      <c r="X58"/>
      <c r="Y58"/>
      <c r="Z58"/>
      <c r="AA58"/>
      <c r="AB58"/>
      <c r="AC58"/>
      <c r="AD58"/>
      <c r="AE58"/>
      <c r="AF58"/>
      <c r="AG58"/>
      <c r="AH58"/>
      <c r="AI58"/>
    </row>
    <row r="59" spans="1:35" ht="16.05" customHeight="1" thickBot="1" x14ac:dyDescent="0.35">
      <c r="A59" s="22" t="s">
        <v>317</v>
      </c>
      <c r="B59" s="12">
        <f>ROUND(SUM(B60:B69)/COUNT(B60:B69), 2)</f>
        <v>8.33</v>
      </c>
      <c r="C59" s="2"/>
      <c r="D59" s="6" t="s">
        <v>234</v>
      </c>
      <c r="E59" s="134">
        <v>9</v>
      </c>
      <c r="F59" s="2"/>
      <c r="G59" s="6" t="s">
        <v>273</v>
      </c>
      <c r="H59" s="134">
        <v>10</v>
      </c>
      <c r="I59" s="2"/>
      <c r="J59" s="6" t="s">
        <v>265</v>
      </c>
      <c r="K59" s="134">
        <v>8</v>
      </c>
      <c r="L59" s="2"/>
      <c r="M59" s="6" t="s">
        <v>254</v>
      </c>
      <c r="N59" s="134">
        <v>8</v>
      </c>
      <c r="O59" s="16"/>
      <c r="R59"/>
      <c r="S59"/>
      <c r="T59"/>
      <c r="U59"/>
      <c r="V59"/>
      <c r="W59"/>
      <c r="X59"/>
      <c r="Y59"/>
      <c r="Z59"/>
      <c r="AA59"/>
      <c r="AB59"/>
      <c r="AC59"/>
      <c r="AD59"/>
      <c r="AE59"/>
      <c r="AF59"/>
      <c r="AG59"/>
      <c r="AH59"/>
      <c r="AI59"/>
    </row>
    <row r="60" spans="1:35" ht="16.05" customHeight="1" x14ac:dyDescent="0.3">
      <c r="A60" s="5" t="s">
        <v>241</v>
      </c>
      <c r="B60" s="133">
        <v>8</v>
      </c>
      <c r="C60" s="2"/>
      <c r="D60" s="6" t="s">
        <v>235</v>
      </c>
      <c r="E60" s="134">
        <v>9</v>
      </c>
      <c r="F60" s="2"/>
      <c r="G60" s="6" t="s">
        <v>274</v>
      </c>
      <c r="H60" s="134">
        <v>10</v>
      </c>
      <c r="I60" s="2"/>
      <c r="J60" s="6" t="s">
        <v>266</v>
      </c>
      <c r="K60" s="134">
        <v>8</v>
      </c>
      <c r="L60" s="2"/>
      <c r="M60" s="6" t="s">
        <v>255</v>
      </c>
      <c r="N60" s="134">
        <v>8.5</v>
      </c>
      <c r="O60" s="16"/>
      <c r="R60"/>
      <c r="S60"/>
      <c r="T60"/>
      <c r="U60"/>
      <c r="V60"/>
      <c r="W60"/>
      <c r="X60"/>
      <c r="Y60"/>
      <c r="Z60"/>
      <c r="AA60"/>
      <c r="AB60"/>
      <c r="AC60"/>
      <c r="AD60"/>
      <c r="AE60"/>
      <c r="AF60"/>
      <c r="AG60"/>
      <c r="AH60"/>
      <c r="AI60"/>
    </row>
    <row r="61" spans="1:35" ht="16.05" customHeight="1" x14ac:dyDescent="0.3">
      <c r="A61" s="6" t="s">
        <v>242</v>
      </c>
      <c r="B61" s="134">
        <v>7</v>
      </c>
      <c r="C61" s="2"/>
      <c r="D61" s="6" t="s">
        <v>236</v>
      </c>
      <c r="E61" s="134">
        <v>10.5</v>
      </c>
      <c r="F61" s="2"/>
      <c r="G61" s="6" t="s">
        <v>275</v>
      </c>
      <c r="H61" s="134">
        <v>9</v>
      </c>
      <c r="I61" s="2"/>
      <c r="J61" s="6" t="s">
        <v>267</v>
      </c>
      <c r="K61" s="134">
        <v>9</v>
      </c>
      <c r="L61" s="2"/>
      <c r="M61" s="6" t="s">
        <v>256</v>
      </c>
      <c r="N61" s="134">
        <v>7.5</v>
      </c>
      <c r="O61" s="16"/>
      <c r="R61"/>
      <c r="S61"/>
      <c r="T61"/>
      <c r="U61"/>
      <c r="V61"/>
      <c r="W61"/>
      <c r="X61"/>
      <c r="Y61"/>
      <c r="Z61"/>
      <c r="AA61"/>
      <c r="AB61"/>
      <c r="AC61"/>
      <c r="AD61"/>
      <c r="AE61"/>
      <c r="AF61"/>
      <c r="AG61"/>
      <c r="AH61"/>
      <c r="AI61"/>
    </row>
    <row r="62" spans="1:35" ht="16.05" customHeight="1" x14ac:dyDescent="0.3">
      <c r="A62" s="6" t="s">
        <v>243</v>
      </c>
      <c r="B62" s="134">
        <v>7.5</v>
      </c>
      <c r="C62" s="2"/>
      <c r="D62" s="6" t="s">
        <v>237</v>
      </c>
      <c r="E62" s="134">
        <v>8</v>
      </c>
      <c r="F62" s="2"/>
      <c r="G62" s="6" t="s">
        <v>276</v>
      </c>
      <c r="H62" s="134">
        <v>7</v>
      </c>
      <c r="I62" s="2"/>
      <c r="J62" s="6" t="s">
        <v>268</v>
      </c>
      <c r="K62" s="134">
        <v>8</v>
      </c>
      <c r="L62" s="2"/>
      <c r="M62" s="6" t="s">
        <v>257</v>
      </c>
      <c r="N62" s="134">
        <v>10</v>
      </c>
      <c r="O62" s="16"/>
      <c r="R62"/>
      <c r="S62"/>
      <c r="T62"/>
      <c r="U62"/>
      <c r="V62"/>
      <c r="W62"/>
      <c r="X62"/>
      <c r="Y62"/>
      <c r="Z62"/>
      <c r="AA62"/>
      <c r="AB62"/>
      <c r="AC62"/>
      <c r="AD62"/>
      <c r="AE62"/>
      <c r="AF62"/>
      <c r="AG62"/>
      <c r="AH62"/>
      <c r="AI62"/>
    </row>
    <row r="63" spans="1:35" ht="16.05" customHeight="1" thickBot="1" x14ac:dyDescent="0.35">
      <c r="A63" s="6" t="s">
        <v>244</v>
      </c>
      <c r="B63" s="134">
        <v>8.5</v>
      </c>
      <c r="C63" s="2"/>
      <c r="D63" s="8" t="s">
        <v>238</v>
      </c>
      <c r="E63" s="135">
        <v>8.5</v>
      </c>
      <c r="F63" s="2"/>
      <c r="G63" s="6" t="s">
        <v>277</v>
      </c>
      <c r="H63" s="134">
        <v>8.5</v>
      </c>
      <c r="I63" s="2"/>
      <c r="J63" s="6" t="s">
        <v>269</v>
      </c>
      <c r="K63" s="134">
        <v>8.5</v>
      </c>
      <c r="L63" s="2"/>
      <c r="M63" s="6" t="s">
        <v>258</v>
      </c>
      <c r="N63" s="134">
        <v>9</v>
      </c>
      <c r="O63" s="16"/>
      <c r="R63"/>
      <c r="S63"/>
      <c r="T63"/>
      <c r="U63"/>
      <c r="V63"/>
      <c r="W63"/>
      <c r="X63"/>
      <c r="Y63"/>
      <c r="Z63"/>
      <c r="AA63"/>
      <c r="AB63"/>
      <c r="AC63"/>
      <c r="AD63"/>
      <c r="AE63"/>
      <c r="AF63"/>
      <c r="AG63"/>
      <c r="AH63"/>
      <c r="AI63"/>
    </row>
    <row r="64" spans="1:35" ht="16.05" customHeight="1" thickBot="1" x14ac:dyDescent="0.35">
      <c r="A64" s="6" t="s">
        <v>245</v>
      </c>
      <c r="B64" s="134">
        <v>9</v>
      </c>
      <c r="C64" s="2"/>
      <c r="D64" s="13"/>
      <c r="E64" s="15"/>
      <c r="F64" s="2"/>
      <c r="G64" s="6" t="s">
        <v>278</v>
      </c>
      <c r="H64" s="134">
        <v>7.5</v>
      </c>
      <c r="I64" s="2"/>
      <c r="J64" s="8" t="s">
        <v>270</v>
      </c>
      <c r="K64" s="135">
        <v>8</v>
      </c>
      <c r="L64" s="2"/>
      <c r="M64" s="6" t="s">
        <v>259</v>
      </c>
      <c r="N64" s="134">
        <v>10.5</v>
      </c>
      <c r="O64" s="16"/>
      <c r="R64"/>
      <c r="S64"/>
      <c r="T64"/>
      <c r="U64"/>
      <c r="V64"/>
      <c r="W64"/>
      <c r="X64"/>
      <c r="Y64"/>
      <c r="Z64"/>
      <c r="AA64"/>
      <c r="AB64"/>
      <c r="AC64"/>
      <c r="AD64"/>
      <c r="AE64"/>
      <c r="AF64"/>
      <c r="AG64"/>
      <c r="AH64"/>
      <c r="AI64"/>
    </row>
    <row r="65" spans="1:35" ht="16.05" customHeight="1" thickBot="1" x14ac:dyDescent="0.35">
      <c r="A65" s="6" t="s">
        <v>246</v>
      </c>
      <c r="B65" s="134">
        <v>9.5</v>
      </c>
      <c r="C65" s="16"/>
      <c r="D65" s="55" t="s">
        <v>834</v>
      </c>
      <c r="E65" s="1">
        <f>ROUND(SUM(E66:E78)/COUNT(E66:E78), 2)</f>
        <v>8.4600000000000009</v>
      </c>
      <c r="F65" s="2"/>
      <c r="G65" s="6" t="s">
        <v>279</v>
      </c>
      <c r="H65" s="134">
        <v>10</v>
      </c>
      <c r="I65" s="2"/>
      <c r="J65" s="15"/>
      <c r="K65" s="15"/>
      <c r="L65" s="2"/>
      <c r="M65" s="8" t="s">
        <v>260</v>
      </c>
      <c r="N65" s="135"/>
      <c r="O65" s="16"/>
      <c r="R65"/>
      <c r="S65"/>
      <c r="T65"/>
      <c r="U65"/>
      <c r="V65"/>
      <c r="W65"/>
      <c r="X65"/>
      <c r="Y65"/>
      <c r="Z65"/>
      <c r="AA65"/>
      <c r="AB65"/>
      <c r="AC65"/>
      <c r="AD65"/>
      <c r="AE65"/>
      <c r="AF65"/>
      <c r="AG65"/>
      <c r="AH65"/>
      <c r="AI65"/>
    </row>
    <row r="66" spans="1:35" ht="16.05" customHeight="1" thickBot="1" x14ac:dyDescent="0.35">
      <c r="A66" s="6" t="s">
        <v>247</v>
      </c>
      <c r="B66" s="134">
        <v>10</v>
      </c>
      <c r="C66" s="16"/>
      <c r="D66" s="3" t="s">
        <v>321</v>
      </c>
      <c r="E66" s="134">
        <v>8</v>
      </c>
      <c r="F66" s="2"/>
      <c r="G66" s="6" t="s">
        <v>280</v>
      </c>
      <c r="H66" s="134">
        <v>7.5</v>
      </c>
      <c r="I66" s="16"/>
      <c r="J66" s="24" t="s">
        <v>345</v>
      </c>
      <c r="K66" s="1">
        <f>ROUND(SUM(K67:K75)/COUNT(K67:K75), 2)</f>
        <v>8</v>
      </c>
      <c r="L66" s="2"/>
      <c r="M66" s="15"/>
      <c r="N66" s="15"/>
      <c r="O66" s="16"/>
      <c r="R66"/>
      <c r="S66"/>
      <c r="T66"/>
      <c r="U66"/>
      <c r="V66"/>
      <c r="W66"/>
      <c r="X66"/>
      <c r="Y66"/>
      <c r="Z66"/>
      <c r="AA66"/>
      <c r="AB66"/>
      <c r="AC66"/>
      <c r="AD66"/>
      <c r="AE66"/>
      <c r="AF66"/>
      <c r="AG66"/>
      <c r="AH66"/>
      <c r="AI66"/>
    </row>
    <row r="67" spans="1:35" ht="16.05" customHeight="1" thickBot="1" x14ac:dyDescent="0.35">
      <c r="A67" s="6" t="s">
        <v>248</v>
      </c>
      <c r="B67" s="134">
        <v>8</v>
      </c>
      <c r="C67" s="16"/>
      <c r="D67" s="3" t="s">
        <v>322</v>
      </c>
      <c r="E67" s="134">
        <v>10</v>
      </c>
      <c r="F67" s="2"/>
      <c r="G67" s="8" t="s">
        <v>281</v>
      </c>
      <c r="H67" s="135">
        <v>6</v>
      </c>
      <c r="I67" s="2"/>
      <c r="J67" s="5" t="s">
        <v>336</v>
      </c>
      <c r="K67" s="133"/>
      <c r="L67" s="16"/>
      <c r="M67" s="85" t="s">
        <v>958</v>
      </c>
      <c r="N67" s="1">
        <f>ROUND(SUM(N68:N77)/COUNT(N68:N77), 2)</f>
        <v>8.8000000000000007</v>
      </c>
      <c r="O67" s="16"/>
      <c r="R67"/>
      <c r="S67"/>
      <c r="T67"/>
      <c r="U67"/>
      <c r="V67"/>
      <c r="W67"/>
      <c r="X67"/>
      <c r="Y67"/>
      <c r="Z67"/>
      <c r="AA67"/>
      <c r="AB67"/>
      <c r="AC67"/>
      <c r="AD67"/>
      <c r="AE67"/>
      <c r="AF67"/>
      <c r="AG67"/>
      <c r="AH67"/>
      <c r="AI67"/>
    </row>
    <row r="68" spans="1:35" ht="16.05" customHeight="1" thickBot="1" x14ac:dyDescent="0.35">
      <c r="A68" s="8" t="s">
        <v>249</v>
      </c>
      <c r="B68" s="135">
        <v>7.5</v>
      </c>
      <c r="C68" s="16"/>
      <c r="D68" s="3" t="s">
        <v>323</v>
      </c>
      <c r="E68" s="134">
        <v>9</v>
      </c>
      <c r="F68" s="2"/>
      <c r="G68" s="15"/>
      <c r="H68" s="15"/>
      <c r="I68" s="2"/>
      <c r="J68" s="6" t="s">
        <v>337</v>
      </c>
      <c r="K68" s="134">
        <v>7</v>
      </c>
      <c r="L68" s="16"/>
      <c r="M68" s="3" t="s">
        <v>347</v>
      </c>
      <c r="N68" s="134">
        <v>10.5</v>
      </c>
      <c r="O68" s="16"/>
      <c r="R68"/>
      <c r="S68"/>
      <c r="T68"/>
      <c r="U68"/>
      <c r="V68"/>
      <c r="W68"/>
      <c r="X68"/>
      <c r="Y68"/>
      <c r="Z68"/>
      <c r="AA68"/>
      <c r="AB68"/>
      <c r="AC68"/>
      <c r="AD68"/>
      <c r="AE68"/>
      <c r="AF68"/>
      <c r="AG68"/>
      <c r="AH68"/>
      <c r="AI68"/>
    </row>
    <row r="69" spans="1:35" ht="16.05" customHeight="1" thickBot="1" x14ac:dyDescent="0.35">
      <c r="A69" s="15"/>
      <c r="B69" s="15"/>
      <c r="C69" s="16"/>
      <c r="D69" s="3" t="s">
        <v>324</v>
      </c>
      <c r="E69" s="134">
        <v>8.5</v>
      </c>
      <c r="F69" s="16"/>
      <c r="G69" s="54" t="s">
        <v>833</v>
      </c>
      <c r="H69" s="1">
        <f>ROUND(SUM(H70:H81)/COUNT(H70:H81), 2)</f>
        <v>8.67</v>
      </c>
      <c r="I69" s="2"/>
      <c r="J69" s="6" t="s">
        <v>338</v>
      </c>
      <c r="K69" s="134">
        <v>8.5</v>
      </c>
      <c r="L69" s="16"/>
      <c r="M69" s="3" t="s">
        <v>348</v>
      </c>
      <c r="N69" s="134">
        <v>9.5</v>
      </c>
      <c r="O69" s="16"/>
      <c r="R69"/>
      <c r="S69"/>
      <c r="T69"/>
      <c r="U69"/>
      <c r="V69"/>
      <c r="W69"/>
      <c r="X69"/>
      <c r="Y69"/>
      <c r="Z69"/>
      <c r="AA69"/>
      <c r="AB69"/>
      <c r="AC69"/>
      <c r="AD69"/>
      <c r="AE69"/>
      <c r="AF69"/>
      <c r="AG69"/>
      <c r="AH69"/>
      <c r="AI69"/>
    </row>
    <row r="70" spans="1:35" ht="16.05" customHeight="1" thickBot="1" x14ac:dyDescent="0.35">
      <c r="A70" s="28" t="s">
        <v>425</v>
      </c>
      <c r="B70" s="1">
        <f>ROUND(SUM(B71:B77)/COUNT(B71:B77), 2)</f>
        <v>7.29</v>
      </c>
      <c r="C70" s="16"/>
      <c r="D70" s="3" t="s">
        <v>325</v>
      </c>
      <c r="E70" s="134">
        <v>10</v>
      </c>
      <c r="F70" s="16"/>
      <c r="G70" s="3" t="s">
        <v>359</v>
      </c>
      <c r="H70" s="134">
        <v>8.5</v>
      </c>
      <c r="I70" s="2"/>
      <c r="J70" s="6" t="s">
        <v>339</v>
      </c>
      <c r="K70" s="134">
        <v>8.5</v>
      </c>
      <c r="L70" s="16"/>
      <c r="M70" s="3" t="s">
        <v>349</v>
      </c>
      <c r="N70" s="134">
        <v>8</v>
      </c>
      <c r="O70" s="16"/>
      <c r="R70"/>
      <c r="S70"/>
      <c r="T70"/>
      <c r="U70"/>
      <c r="V70"/>
      <c r="W70"/>
      <c r="X70"/>
      <c r="Y70"/>
      <c r="Z70"/>
      <c r="AA70"/>
      <c r="AB70"/>
      <c r="AC70"/>
      <c r="AD70"/>
      <c r="AE70"/>
      <c r="AF70"/>
      <c r="AG70"/>
      <c r="AH70"/>
      <c r="AI70"/>
    </row>
    <row r="71" spans="1:35" ht="16.05" customHeight="1" x14ac:dyDescent="0.3">
      <c r="A71" s="11" t="s">
        <v>371</v>
      </c>
      <c r="B71" s="133">
        <v>8</v>
      </c>
      <c r="C71" s="16"/>
      <c r="D71" s="3" t="s">
        <v>326</v>
      </c>
      <c r="E71" s="134">
        <v>8</v>
      </c>
      <c r="F71" s="16"/>
      <c r="G71" s="3" t="s">
        <v>360</v>
      </c>
      <c r="H71" s="134">
        <v>9</v>
      </c>
      <c r="I71" s="2"/>
      <c r="J71" s="6" t="s">
        <v>340</v>
      </c>
      <c r="K71" s="134">
        <v>8</v>
      </c>
      <c r="L71" s="16"/>
      <c r="M71" s="3" t="s">
        <v>350</v>
      </c>
      <c r="N71" s="134">
        <v>8.5</v>
      </c>
      <c r="O71" s="16"/>
      <c r="R71"/>
      <c r="S71"/>
      <c r="T71"/>
      <c r="U71"/>
      <c r="V71"/>
      <c r="W71"/>
      <c r="X71"/>
      <c r="Y71"/>
      <c r="Z71"/>
      <c r="AA71"/>
      <c r="AB71"/>
      <c r="AC71"/>
      <c r="AD71"/>
      <c r="AE71"/>
      <c r="AF71"/>
      <c r="AG71"/>
      <c r="AH71"/>
      <c r="AI71"/>
    </row>
    <row r="72" spans="1:35" ht="16.05" customHeight="1" x14ac:dyDescent="0.3">
      <c r="A72" s="4" t="s">
        <v>372</v>
      </c>
      <c r="B72" s="134">
        <v>7</v>
      </c>
      <c r="C72" s="16"/>
      <c r="D72" s="3" t="s">
        <v>327</v>
      </c>
      <c r="E72" s="134">
        <v>7.5</v>
      </c>
      <c r="F72" s="16"/>
      <c r="G72" s="3" t="s">
        <v>361</v>
      </c>
      <c r="H72" s="134">
        <v>8.5</v>
      </c>
      <c r="I72" s="2"/>
      <c r="J72" s="6" t="s">
        <v>341</v>
      </c>
      <c r="K72" s="134">
        <v>8.5</v>
      </c>
      <c r="L72" s="16"/>
      <c r="M72" s="3" t="s">
        <v>351</v>
      </c>
      <c r="N72" s="134">
        <v>10</v>
      </c>
      <c r="O72" s="16"/>
      <c r="R72"/>
      <c r="S72"/>
      <c r="T72"/>
      <c r="U72"/>
      <c r="V72"/>
      <c r="W72"/>
      <c r="X72"/>
      <c r="Y72"/>
      <c r="Z72"/>
      <c r="AA72"/>
      <c r="AB72"/>
      <c r="AC72"/>
      <c r="AD72"/>
      <c r="AE72"/>
      <c r="AF72"/>
      <c r="AG72"/>
      <c r="AH72"/>
      <c r="AI72"/>
    </row>
    <row r="73" spans="1:35" ht="16.05" customHeight="1" x14ac:dyDescent="0.3">
      <c r="A73" s="4" t="s">
        <v>373</v>
      </c>
      <c r="B73" s="134">
        <v>6.5</v>
      </c>
      <c r="C73" s="16"/>
      <c r="D73" s="3" t="s">
        <v>328</v>
      </c>
      <c r="E73" s="134">
        <v>9</v>
      </c>
      <c r="F73" s="16"/>
      <c r="G73" s="3" t="s">
        <v>362</v>
      </c>
      <c r="H73" s="134">
        <v>10</v>
      </c>
      <c r="I73" s="2"/>
      <c r="J73" s="6" t="s">
        <v>342</v>
      </c>
      <c r="K73" s="134">
        <v>8.5</v>
      </c>
      <c r="L73" s="16"/>
      <c r="M73" s="3" t="s">
        <v>352</v>
      </c>
      <c r="N73" s="134">
        <v>8.5</v>
      </c>
      <c r="O73" s="16"/>
      <c r="R73"/>
      <c r="S73"/>
      <c r="T73"/>
      <c r="U73"/>
      <c r="V73"/>
      <c r="W73"/>
      <c r="X73"/>
      <c r="Y73"/>
      <c r="Z73"/>
      <c r="AA73"/>
      <c r="AB73"/>
      <c r="AC73"/>
      <c r="AD73"/>
      <c r="AE73"/>
      <c r="AF73"/>
      <c r="AG73"/>
      <c r="AH73"/>
      <c r="AI73"/>
    </row>
    <row r="74" spans="1:35" ht="16.05" customHeight="1" x14ac:dyDescent="0.3">
      <c r="A74" s="4" t="s">
        <v>374</v>
      </c>
      <c r="B74" s="134">
        <v>7</v>
      </c>
      <c r="C74" s="16"/>
      <c r="D74" s="3" t="s">
        <v>329</v>
      </c>
      <c r="E74" s="134">
        <v>7</v>
      </c>
      <c r="F74" s="16"/>
      <c r="G74" s="3" t="s">
        <v>363</v>
      </c>
      <c r="H74" s="134">
        <v>8.5</v>
      </c>
      <c r="I74" s="2"/>
      <c r="J74" s="6" t="s">
        <v>343</v>
      </c>
      <c r="K74" s="134">
        <v>7.5</v>
      </c>
      <c r="L74" s="16"/>
      <c r="M74" s="3" t="s">
        <v>353</v>
      </c>
      <c r="N74" s="134">
        <v>7.5</v>
      </c>
      <c r="O74" s="16"/>
      <c r="R74"/>
      <c r="S74"/>
      <c r="T74"/>
      <c r="U74"/>
      <c r="V74"/>
      <c r="W74"/>
      <c r="X74"/>
      <c r="Y74"/>
      <c r="Z74"/>
      <c r="AA74"/>
      <c r="AB74"/>
      <c r="AC74"/>
      <c r="AD74"/>
      <c r="AE74"/>
      <c r="AF74"/>
      <c r="AG74"/>
      <c r="AH74"/>
      <c r="AI74"/>
    </row>
    <row r="75" spans="1:35" ht="16.05" customHeight="1" thickBot="1" x14ac:dyDescent="0.35">
      <c r="A75" s="4" t="s">
        <v>375</v>
      </c>
      <c r="B75" s="134">
        <v>8</v>
      </c>
      <c r="C75" s="16"/>
      <c r="D75" s="3" t="s">
        <v>330</v>
      </c>
      <c r="E75" s="134">
        <v>8.5</v>
      </c>
      <c r="F75" s="16"/>
      <c r="G75" s="3" t="s">
        <v>364</v>
      </c>
      <c r="H75" s="134">
        <v>10.5</v>
      </c>
      <c r="I75" s="2"/>
      <c r="J75" s="8" t="s">
        <v>344</v>
      </c>
      <c r="K75" s="135">
        <v>7.5</v>
      </c>
      <c r="L75" s="16"/>
      <c r="M75" s="3" t="s">
        <v>354</v>
      </c>
      <c r="N75" s="134">
        <v>8.5</v>
      </c>
      <c r="O75" s="16"/>
      <c r="R75"/>
      <c r="S75"/>
      <c r="T75"/>
      <c r="U75"/>
      <c r="V75"/>
      <c r="W75"/>
      <c r="X75"/>
      <c r="Y75"/>
      <c r="Z75"/>
      <c r="AA75"/>
      <c r="AB75"/>
      <c r="AC75"/>
      <c r="AD75"/>
      <c r="AE75"/>
      <c r="AF75"/>
      <c r="AG75"/>
      <c r="AH75"/>
      <c r="AI75"/>
    </row>
    <row r="76" spans="1:35" ht="16.05" customHeight="1" thickBot="1" x14ac:dyDescent="0.35">
      <c r="A76" s="4" t="s">
        <v>376</v>
      </c>
      <c r="B76" s="134">
        <v>7.5</v>
      </c>
      <c r="C76" s="16"/>
      <c r="D76" s="3" t="s">
        <v>331</v>
      </c>
      <c r="E76" s="134">
        <v>8</v>
      </c>
      <c r="F76" s="16"/>
      <c r="G76" s="3" t="s">
        <v>365</v>
      </c>
      <c r="H76" s="134">
        <v>9</v>
      </c>
      <c r="I76" s="2"/>
      <c r="J76" s="15"/>
      <c r="K76" s="15"/>
      <c r="L76" s="16"/>
      <c r="M76" s="3" t="s">
        <v>355</v>
      </c>
      <c r="N76" s="134">
        <v>7.5</v>
      </c>
      <c r="O76" s="16"/>
      <c r="R76"/>
      <c r="S76"/>
      <c r="T76"/>
      <c r="U76"/>
      <c r="V76"/>
      <c r="W76"/>
      <c r="X76"/>
      <c r="Y76"/>
      <c r="Z76"/>
      <c r="AA76"/>
      <c r="AB76"/>
      <c r="AC76"/>
      <c r="AD76"/>
      <c r="AE76"/>
      <c r="AF76"/>
      <c r="AG76"/>
      <c r="AH76"/>
      <c r="AI76"/>
    </row>
    <row r="77" spans="1:35" ht="16.05" customHeight="1" thickBot="1" x14ac:dyDescent="0.35">
      <c r="A77" s="7" t="s">
        <v>377</v>
      </c>
      <c r="B77" s="135">
        <v>7</v>
      </c>
      <c r="C77" s="16"/>
      <c r="D77" s="3" t="s">
        <v>333</v>
      </c>
      <c r="E77" s="134">
        <v>8.5</v>
      </c>
      <c r="F77" s="16"/>
      <c r="G77" s="3" t="s">
        <v>366</v>
      </c>
      <c r="H77" s="134">
        <v>8.5</v>
      </c>
      <c r="I77" s="16"/>
      <c r="J77" s="72" t="s">
        <v>851</v>
      </c>
      <c r="K77" s="1">
        <f>ROUND(SUM(K78:K88)/COUNT(K78:K88), 2)</f>
        <v>7.77</v>
      </c>
      <c r="L77" s="16"/>
      <c r="M77" s="25" t="s">
        <v>356</v>
      </c>
      <c r="N77" s="135">
        <v>9.5</v>
      </c>
      <c r="O77" s="16"/>
      <c r="R77"/>
      <c r="S77"/>
      <c r="T77"/>
      <c r="U77"/>
      <c r="V77"/>
      <c r="W77"/>
      <c r="X77"/>
      <c r="Y77"/>
      <c r="Z77"/>
      <c r="AA77"/>
      <c r="AB77"/>
      <c r="AC77"/>
      <c r="AD77"/>
      <c r="AE77"/>
      <c r="AF77"/>
      <c r="AG77"/>
      <c r="AH77"/>
      <c r="AI77"/>
    </row>
    <row r="78" spans="1:35" ht="16.05" customHeight="1" thickBot="1" x14ac:dyDescent="0.35">
      <c r="A78" s="15"/>
      <c r="B78" s="15"/>
      <c r="C78" s="16"/>
      <c r="D78" s="23" t="s">
        <v>332</v>
      </c>
      <c r="E78" s="135">
        <v>8</v>
      </c>
      <c r="F78" s="16"/>
      <c r="G78" s="3" t="s">
        <v>367</v>
      </c>
      <c r="H78" s="136">
        <v>7.5</v>
      </c>
      <c r="I78" s="2"/>
      <c r="J78" s="5" t="s">
        <v>380</v>
      </c>
      <c r="K78" s="133">
        <v>8.5</v>
      </c>
      <c r="L78" s="2"/>
      <c r="M78" s="15"/>
      <c r="N78" s="15"/>
      <c r="O78" s="16"/>
      <c r="R78"/>
      <c r="S78"/>
      <c r="T78"/>
      <c r="U78"/>
      <c r="V78"/>
      <c r="W78"/>
      <c r="X78"/>
      <c r="Y78"/>
      <c r="Z78"/>
      <c r="AA78"/>
      <c r="AB78"/>
      <c r="AC78"/>
      <c r="AD78"/>
      <c r="AE78"/>
      <c r="AF78"/>
      <c r="AG78"/>
      <c r="AH78"/>
      <c r="AI78"/>
    </row>
    <row r="79" spans="1:35" ht="16.05" customHeight="1" thickBot="1" x14ac:dyDescent="0.35">
      <c r="A79" s="29" t="s">
        <v>440</v>
      </c>
      <c r="B79" s="1">
        <f>ROUND(SUM(B80:B91)/COUNT(B80:B91), 2)</f>
        <v>9.0399999999999991</v>
      </c>
      <c r="C79" s="2"/>
      <c r="D79" s="13"/>
      <c r="E79" s="15"/>
      <c r="F79" s="16"/>
      <c r="G79" s="3" t="s">
        <v>368</v>
      </c>
      <c r="H79" s="134">
        <v>8.5</v>
      </c>
      <c r="I79" s="2"/>
      <c r="J79" s="6" t="s">
        <v>381</v>
      </c>
      <c r="K79" s="134">
        <v>8.5</v>
      </c>
      <c r="L79" s="16"/>
      <c r="M79" s="84" t="s">
        <v>957</v>
      </c>
      <c r="N79" s="1">
        <f>ROUND(SUM(N80:N91)/COUNT(N80:N91), 2)</f>
        <v>8.7899999999999991</v>
      </c>
      <c r="O79" s="16"/>
      <c r="R79"/>
      <c r="S79"/>
      <c r="T79"/>
      <c r="U79"/>
      <c r="V79"/>
      <c r="W79"/>
      <c r="X79"/>
      <c r="Y79"/>
      <c r="Z79"/>
      <c r="AA79"/>
      <c r="AB79"/>
      <c r="AC79"/>
      <c r="AD79"/>
      <c r="AE79"/>
      <c r="AF79"/>
      <c r="AG79"/>
      <c r="AH79"/>
      <c r="AI79"/>
    </row>
    <row r="80" spans="1:35" ht="16.05" customHeight="1" thickBot="1" x14ac:dyDescent="0.35">
      <c r="A80" s="5" t="s">
        <v>392</v>
      </c>
      <c r="B80" s="133">
        <v>9</v>
      </c>
      <c r="C80" s="2"/>
      <c r="D80" s="53" t="s">
        <v>832</v>
      </c>
      <c r="E80" s="1">
        <f>ROUND(SUM(E81:E99)/COUNT(E81:E99), 2)</f>
        <v>8.18</v>
      </c>
      <c r="F80" s="16"/>
      <c r="G80" s="3" t="s">
        <v>369</v>
      </c>
      <c r="H80" s="134">
        <v>8</v>
      </c>
      <c r="I80" s="2"/>
      <c r="J80" s="6" t="s">
        <v>382</v>
      </c>
      <c r="K80" s="134">
        <v>7.5</v>
      </c>
      <c r="L80" s="16"/>
      <c r="M80" s="3" t="s">
        <v>428</v>
      </c>
      <c r="N80" s="134">
        <v>10</v>
      </c>
      <c r="O80" s="16"/>
      <c r="R80"/>
      <c r="S80"/>
      <c r="T80"/>
      <c r="U80"/>
      <c r="V80"/>
      <c r="W80"/>
      <c r="X80"/>
      <c r="Y80"/>
      <c r="Z80"/>
      <c r="AA80"/>
      <c r="AB80"/>
      <c r="AC80"/>
      <c r="AD80"/>
      <c r="AE80"/>
      <c r="AF80"/>
      <c r="AG80"/>
      <c r="AH80"/>
      <c r="AI80"/>
    </row>
    <row r="81" spans="1:35" ht="16.05" customHeight="1" thickBot="1" x14ac:dyDescent="0.35">
      <c r="A81" s="6" t="s">
        <v>393</v>
      </c>
      <c r="B81" s="134">
        <v>9</v>
      </c>
      <c r="C81" s="2"/>
      <c r="D81" s="11" t="s">
        <v>406</v>
      </c>
      <c r="E81" s="133">
        <v>10</v>
      </c>
      <c r="F81" s="16"/>
      <c r="G81" s="23" t="s">
        <v>260</v>
      </c>
      <c r="H81" s="135">
        <v>7.5</v>
      </c>
      <c r="I81" s="2"/>
      <c r="J81" s="6" t="s">
        <v>383</v>
      </c>
      <c r="K81" s="134">
        <v>7</v>
      </c>
      <c r="L81" s="16"/>
      <c r="M81" s="3" t="s">
        <v>429</v>
      </c>
      <c r="N81" s="134">
        <v>10.5</v>
      </c>
      <c r="O81" s="16"/>
      <c r="R81"/>
      <c r="S81"/>
      <c r="T81"/>
      <c r="U81"/>
      <c r="V81"/>
      <c r="W81"/>
      <c r="X81"/>
      <c r="Y81"/>
      <c r="Z81"/>
      <c r="AA81"/>
      <c r="AB81"/>
      <c r="AC81"/>
      <c r="AD81"/>
      <c r="AE81"/>
      <c r="AF81"/>
      <c r="AG81"/>
      <c r="AH81"/>
      <c r="AI81"/>
    </row>
    <row r="82" spans="1:35" ht="16.05" customHeight="1" thickBot="1" x14ac:dyDescent="0.35">
      <c r="A82" s="6" t="s">
        <v>394</v>
      </c>
      <c r="B82" s="134">
        <v>10</v>
      </c>
      <c r="C82" s="2"/>
      <c r="D82" s="4" t="s">
        <v>407</v>
      </c>
      <c r="E82" s="134">
        <v>8</v>
      </c>
      <c r="F82" s="2"/>
      <c r="G82" s="15"/>
      <c r="H82" s="15"/>
      <c r="I82" s="2"/>
      <c r="J82" s="6" t="s">
        <v>384</v>
      </c>
      <c r="K82" s="134">
        <v>8</v>
      </c>
      <c r="L82" s="16"/>
      <c r="M82" s="3" t="s">
        <v>430</v>
      </c>
      <c r="N82" s="134">
        <v>8.5</v>
      </c>
      <c r="O82" s="16"/>
      <c r="R82"/>
      <c r="S82"/>
      <c r="T82"/>
      <c r="U82"/>
      <c r="V82"/>
      <c r="W82"/>
      <c r="X82"/>
      <c r="Y82"/>
      <c r="Z82"/>
      <c r="AA82"/>
      <c r="AB82"/>
      <c r="AC82"/>
      <c r="AD82"/>
      <c r="AE82"/>
      <c r="AF82"/>
      <c r="AG82"/>
      <c r="AH82"/>
      <c r="AI82"/>
    </row>
    <row r="83" spans="1:35" ht="16.05" customHeight="1" thickBot="1" x14ac:dyDescent="0.35">
      <c r="A83" s="6" t="s">
        <v>395</v>
      </c>
      <c r="B83" s="134">
        <v>10.5</v>
      </c>
      <c r="C83" s="2"/>
      <c r="D83" s="4" t="s">
        <v>408</v>
      </c>
      <c r="E83" s="134">
        <v>8.5</v>
      </c>
      <c r="F83" s="16"/>
      <c r="G83" s="30" t="s">
        <v>443</v>
      </c>
      <c r="H83" s="1">
        <f>ROUND(SUM(H84:H95)/COUNT(H84:H95), 2)</f>
        <v>7.67</v>
      </c>
      <c r="I83" s="2"/>
      <c r="J83" s="6" t="s">
        <v>385</v>
      </c>
      <c r="K83" s="134">
        <v>7.5</v>
      </c>
      <c r="L83" s="16"/>
      <c r="M83" s="3" t="s">
        <v>431</v>
      </c>
      <c r="N83" s="134">
        <v>9.5</v>
      </c>
      <c r="O83" s="16"/>
      <c r="R83"/>
      <c r="S83"/>
      <c r="T83"/>
      <c r="U83"/>
      <c r="V83"/>
      <c r="W83"/>
      <c r="X83"/>
      <c r="Y83"/>
      <c r="Z83"/>
      <c r="AA83"/>
      <c r="AB83"/>
      <c r="AC83"/>
      <c r="AD83"/>
      <c r="AE83"/>
      <c r="AF83"/>
      <c r="AG83"/>
      <c r="AH83"/>
      <c r="AI83"/>
    </row>
    <row r="84" spans="1:35" ht="16.05" customHeight="1" x14ac:dyDescent="0.3">
      <c r="A84" s="6" t="s">
        <v>396</v>
      </c>
      <c r="B84" s="134">
        <v>8.5</v>
      </c>
      <c r="C84" s="2"/>
      <c r="D84" s="4" t="s">
        <v>409</v>
      </c>
      <c r="E84" s="134">
        <v>10</v>
      </c>
      <c r="F84" s="16"/>
      <c r="G84" s="3" t="s">
        <v>444</v>
      </c>
      <c r="H84" s="133">
        <v>8</v>
      </c>
      <c r="I84" s="2"/>
      <c r="J84" s="6" t="s">
        <v>386</v>
      </c>
      <c r="K84" s="134">
        <v>7.5</v>
      </c>
      <c r="L84" s="16"/>
      <c r="M84" s="3" t="s">
        <v>432</v>
      </c>
      <c r="N84" s="134">
        <v>8</v>
      </c>
      <c r="O84" s="16"/>
      <c r="R84"/>
      <c r="S84"/>
      <c r="T84"/>
      <c r="U84"/>
      <c r="V84"/>
      <c r="W84"/>
      <c r="X84"/>
      <c r="Y84"/>
      <c r="Z84"/>
      <c r="AA84"/>
      <c r="AB84"/>
      <c r="AC84"/>
      <c r="AD84"/>
      <c r="AE84"/>
      <c r="AF84"/>
      <c r="AG84"/>
      <c r="AH84"/>
      <c r="AI84"/>
    </row>
    <row r="85" spans="1:35" ht="16.05" customHeight="1" x14ac:dyDescent="0.3">
      <c r="A85" s="6" t="s">
        <v>397</v>
      </c>
      <c r="B85" s="134">
        <v>8.5</v>
      </c>
      <c r="C85" s="2"/>
      <c r="D85" s="4" t="s">
        <v>410</v>
      </c>
      <c r="E85" s="134">
        <v>8.5</v>
      </c>
      <c r="F85" s="16"/>
      <c r="G85" s="3" t="s">
        <v>445</v>
      </c>
      <c r="H85" s="134">
        <v>8</v>
      </c>
      <c r="I85" s="2"/>
      <c r="J85" s="6" t="s">
        <v>387</v>
      </c>
      <c r="K85" s="134">
        <v>7.5</v>
      </c>
      <c r="L85" s="16"/>
      <c r="M85" s="3" t="s">
        <v>433</v>
      </c>
      <c r="N85" s="134">
        <v>8</v>
      </c>
      <c r="O85" s="16"/>
      <c r="R85"/>
      <c r="S85"/>
      <c r="T85"/>
      <c r="U85"/>
      <c r="V85"/>
      <c r="W85"/>
      <c r="X85"/>
      <c r="Y85"/>
      <c r="Z85"/>
      <c r="AA85"/>
      <c r="AB85"/>
      <c r="AC85"/>
      <c r="AD85"/>
      <c r="AE85"/>
      <c r="AF85"/>
      <c r="AG85"/>
      <c r="AH85"/>
      <c r="AI85"/>
    </row>
    <row r="86" spans="1:35" ht="16.05" customHeight="1" x14ac:dyDescent="0.3">
      <c r="A86" s="6" t="s">
        <v>398</v>
      </c>
      <c r="B86" s="134">
        <v>9</v>
      </c>
      <c r="C86" s="2"/>
      <c r="D86" s="4" t="s">
        <v>411</v>
      </c>
      <c r="E86" s="134">
        <v>7</v>
      </c>
      <c r="F86" s="16"/>
      <c r="G86" s="3" t="s">
        <v>446</v>
      </c>
      <c r="H86" s="134">
        <v>8</v>
      </c>
      <c r="I86" s="2"/>
      <c r="J86" s="6" t="s">
        <v>388</v>
      </c>
      <c r="K86" s="134">
        <v>7</v>
      </c>
      <c r="L86" s="16"/>
      <c r="M86" s="3" t="s">
        <v>434</v>
      </c>
      <c r="N86" s="134">
        <v>8.5</v>
      </c>
      <c r="O86" s="16"/>
      <c r="R86"/>
      <c r="S86"/>
      <c r="T86"/>
      <c r="U86"/>
      <c r="V86"/>
      <c r="W86"/>
      <c r="X86"/>
      <c r="Y86"/>
      <c r="Z86"/>
      <c r="AA86"/>
      <c r="AB86"/>
      <c r="AC86"/>
      <c r="AD86"/>
      <c r="AE86"/>
      <c r="AF86"/>
      <c r="AG86"/>
      <c r="AH86"/>
      <c r="AI86"/>
    </row>
    <row r="87" spans="1:35" ht="16.05" customHeight="1" x14ac:dyDescent="0.3">
      <c r="A87" s="6" t="s">
        <v>399</v>
      </c>
      <c r="B87" s="134">
        <v>8</v>
      </c>
      <c r="C87" s="2"/>
      <c r="D87" s="4" t="s">
        <v>412</v>
      </c>
      <c r="E87" s="134">
        <v>7.5</v>
      </c>
      <c r="F87" s="16"/>
      <c r="G87" s="3" t="s">
        <v>447</v>
      </c>
      <c r="H87" s="134">
        <v>8.5</v>
      </c>
      <c r="I87" s="2"/>
      <c r="J87" s="6" t="s">
        <v>389</v>
      </c>
      <c r="K87" s="134">
        <v>7.5</v>
      </c>
      <c r="L87" s="16"/>
      <c r="M87" s="3" t="s">
        <v>435</v>
      </c>
      <c r="N87" s="134">
        <v>9</v>
      </c>
      <c r="O87" s="16"/>
      <c r="R87"/>
      <c r="S87"/>
      <c r="T87"/>
      <c r="U87"/>
      <c r="V87"/>
      <c r="W87"/>
      <c r="X87"/>
      <c r="Y87"/>
      <c r="Z87"/>
      <c r="AA87"/>
      <c r="AB87"/>
      <c r="AC87"/>
      <c r="AD87"/>
      <c r="AE87"/>
      <c r="AF87"/>
      <c r="AG87"/>
      <c r="AH87"/>
      <c r="AI87"/>
    </row>
    <row r="88" spans="1:35" ht="16.05" customHeight="1" thickBot="1" x14ac:dyDescent="0.35">
      <c r="A88" s="6" t="s">
        <v>400</v>
      </c>
      <c r="B88" s="134">
        <v>8.5</v>
      </c>
      <c r="C88" s="2"/>
      <c r="D88" s="4" t="s">
        <v>413</v>
      </c>
      <c r="E88" s="134">
        <v>9</v>
      </c>
      <c r="F88" s="16"/>
      <c r="G88" s="3" t="s">
        <v>448</v>
      </c>
      <c r="H88" s="134">
        <v>7</v>
      </c>
      <c r="I88" s="2"/>
      <c r="J88" s="8" t="s">
        <v>390</v>
      </c>
      <c r="K88" s="135">
        <v>9</v>
      </c>
      <c r="L88" s="16"/>
      <c r="M88" s="3" t="s">
        <v>436</v>
      </c>
      <c r="N88" s="134">
        <v>8</v>
      </c>
      <c r="O88" s="16"/>
      <c r="R88"/>
      <c r="S88"/>
      <c r="T88"/>
      <c r="U88"/>
      <c r="V88"/>
      <c r="W88"/>
      <c r="X88"/>
      <c r="Y88"/>
      <c r="Z88"/>
      <c r="AA88"/>
      <c r="AB88"/>
      <c r="AC88"/>
      <c r="AD88"/>
      <c r="AE88"/>
      <c r="AF88"/>
      <c r="AG88"/>
      <c r="AH88"/>
      <c r="AI88"/>
    </row>
    <row r="89" spans="1:35" ht="16.05" customHeight="1" thickBot="1" x14ac:dyDescent="0.35">
      <c r="A89" s="6" t="s">
        <v>401</v>
      </c>
      <c r="B89" s="134">
        <v>9.5</v>
      </c>
      <c r="C89" s="2"/>
      <c r="D89" s="4" t="s">
        <v>414</v>
      </c>
      <c r="E89" s="134">
        <v>7</v>
      </c>
      <c r="F89" s="16"/>
      <c r="G89" s="3" t="s">
        <v>449</v>
      </c>
      <c r="H89" s="134">
        <v>8</v>
      </c>
      <c r="I89" s="2"/>
      <c r="J89" s="15"/>
      <c r="K89" s="15"/>
      <c r="L89" s="16"/>
      <c r="M89" s="3" t="s">
        <v>437</v>
      </c>
      <c r="N89" s="134">
        <v>7</v>
      </c>
      <c r="O89" s="16"/>
      <c r="R89"/>
      <c r="S89"/>
      <c r="T89"/>
      <c r="U89"/>
      <c r="V89"/>
      <c r="W89"/>
      <c r="X89"/>
      <c r="Y89"/>
      <c r="Z89"/>
      <c r="AA89"/>
      <c r="AB89"/>
      <c r="AC89"/>
      <c r="AD89"/>
      <c r="AE89"/>
      <c r="AF89"/>
      <c r="AG89"/>
      <c r="AH89"/>
      <c r="AI89"/>
    </row>
    <row r="90" spans="1:35" ht="16.05" customHeight="1" thickBot="1" x14ac:dyDescent="0.35">
      <c r="A90" s="6" t="s">
        <v>402</v>
      </c>
      <c r="B90" s="134">
        <v>8</v>
      </c>
      <c r="C90" s="2"/>
      <c r="D90" s="4" t="s">
        <v>415</v>
      </c>
      <c r="E90" s="134">
        <v>8</v>
      </c>
      <c r="F90" s="16"/>
      <c r="G90" s="3" t="s">
        <v>450</v>
      </c>
      <c r="H90" s="134">
        <v>7</v>
      </c>
      <c r="I90" s="16"/>
      <c r="J90" s="32" t="s">
        <v>458</v>
      </c>
      <c r="K90" s="1">
        <f>ROUND(SUM(K91:K96)/COUNT(K91:K96), 2)</f>
        <v>9.17</v>
      </c>
      <c r="L90" s="16"/>
      <c r="M90" s="3" t="s">
        <v>438</v>
      </c>
      <c r="N90" s="134">
        <v>8.5</v>
      </c>
      <c r="O90" s="16"/>
      <c r="R90"/>
      <c r="S90"/>
      <c r="T90"/>
      <c r="U90"/>
      <c r="V90"/>
      <c r="W90"/>
      <c r="X90"/>
      <c r="Y90"/>
      <c r="Z90"/>
      <c r="AA90"/>
      <c r="AB90"/>
      <c r="AC90"/>
      <c r="AD90"/>
      <c r="AE90"/>
      <c r="AF90"/>
      <c r="AG90"/>
      <c r="AH90"/>
      <c r="AI90"/>
    </row>
    <row r="91" spans="1:35" ht="16.05" customHeight="1" thickBot="1" x14ac:dyDescent="0.35">
      <c r="A91" s="8" t="s">
        <v>403</v>
      </c>
      <c r="B91" s="135">
        <v>10</v>
      </c>
      <c r="C91" s="2"/>
      <c r="D91" s="4" t="s">
        <v>416</v>
      </c>
      <c r="E91" s="134">
        <v>7.5</v>
      </c>
      <c r="F91" s="16"/>
      <c r="G91" s="3" t="s">
        <v>451</v>
      </c>
      <c r="H91" s="134">
        <v>8</v>
      </c>
      <c r="I91" s="2"/>
      <c r="J91" s="5" t="s">
        <v>459</v>
      </c>
      <c r="K91" s="133">
        <v>9.5</v>
      </c>
      <c r="L91" s="16"/>
      <c r="M91" s="23" t="s">
        <v>439</v>
      </c>
      <c r="N91" s="135">
        <v>10</v>
      </c>
      <c r="O91" s="16"/>
      <c r="R91"/>
      <c r="S91"/>
      <c r="T91"/>
      <c r="U91"/>
      <c r="V91"/>
      <c r="W91"/>
      <c r="X91"/>
      <c r="Y91"/>
      <c r="Z91"/>
      <c r="AA91"/>
      <c r="AB91"/>
      <c r="AC91"/>
      <c r="AD91"/>
      <c r="AE91"/>
      <c r="AF91"/>
      <c r="AG91"/>
      <c r="AH91"/>
      <c r="AI91"/>
    </row>
    <row r="92" spans="1:35" ht="16.05" customHeight="1" thickBot="1" x14ac:dyDescent="0.35">
      <c r="A92" s="15"/>
      <c r="B92" s="15"/>
      <c r="C92" s="2"/>
      <c r="D92" s="4" t="s">
        <v>417</v>
      </c>
      <c r="E92" s="134">
        <v>8.5</v>
      </c>
      <c r="F92" s="16"/>
      <c r="G92" s="3" t="s">
        <v>452</v>
      </c>
      <c r="H92" s="134">
        <v>7</v>
      </c>
      <c r="I92" s="2"/>
      <c r="J92" s="6" t="s">
        <v>460</v>
      </c>
      <c r="K92" s="134">
        <v>8.5</v>
      </c>
      <c r="L92" s="2"/>
      <c r="M92" s="15"/>
      <c r="N92" s="15"/>
      <c r="O92" s="16"/>
      <c r="R92"/>
      <c r="S92"/>
      <c r="T92"/>
      <c r="U92"/>
      <c r="V92"/>
      <c r="W92"/>
      <c r="X92"/>
      <c r="Y92"/>
      <c r="Z92"/>
      <c r="AA92"/>
      <c r="AB92"/>
      <c r="AC92"/>
      <c r="AD92"/>
      <c r="AE92"/>
      <c r="AF92"/>
      <c r="AG92"/>
      <c r="AH92"/>
      <c r="AI92"/>
    </row>
    <row r="93" spans="1:35" ht="16.05" customHeight="1" thickBot="1" x14ac:dyDescent="0.35">
      <c r="A93" s="73" t="s">
        <v>852</v>
      </c>
      <c r="B93" s="12">
        <f>ROUND(SUM(B94:B101)/COUNT(B94:B101), 2)</f>
        <v>8.69</v>
      </c>
      <c r="C93" s="2"/>
      <c r="D93" s="4" t="s">
        <v>418</v>
      </c>
      <c r="E93" s="134">
        <v>8</v>
      </c>
      <c r="F93" s="16"/>
      <c r="G93" s="3" t="s">
        <v>453</v>
      </c>
      <c r="H93" s="134">
        <v>8</v>
      </c>
      <c r="I93" s="2"/>
      <c r="J93" s="6" t="s">
        <v>461</v>
      </c>
      <c r="K93" s="134">
        <v>10.5</v>
      </c>
      <c r="L93" s="16"/>
      <c r="M93" s="83" t="s">
        <v>956</v>
      </c>
      <c r="N93" s="1">
        <f>ROUND(SUM(N94:N110)/COUNT(N94:N110), 2)</f>
        <v>8.5</v>
      </c>
      <c r="O93" s="16"/>
      <c r="R93"/>
      <c r="S93"/>
      <c r="T93"/>
      <c r="U93"/>
      <c r="V93"/>
      <c r="W93"/>
      <c r="X93"/>
      <c r="Y93"/>
      <c r="Z93"/>
      <c r="AA93"/>
      <c r="AB93"/>
      <c r="AC93"/>
      <c r="AD93"/>
      <c r="AE93"/>
      <c r="AF93"/>
      <c r="AG93"/>
      <c r="AH93"/>
      <c r="AI93"/>
    </row>
    <row r="94" spans="1:35" ht="16.05" customHeight="1" x14ac:dyDescent="0.3">
      <c r="A94" s="11" t="s">
        <v>465</v>
      </c>
      <c r="B94" s="133">
        <v>10</v>
      </c>
      <c r="C94" s="2"/>
      <c r="D94" s="4" t="s">
        <v>419</v>
      </c>
      <c r="E94" s="134">
        <v>8</v>
      </c>
      <c r="F94" s="16"/>
      <c r="G94" s="3" t="s">
        <v>454</v>
      </c>
      <c r="H94" s="134">
        <v>6.5</v>
      </c>
      <c r="I94" s="2"/>
      <c r="J94" s="6" t="s">
        <v>462</v>
      </c>
      <c r="K94" s="134">
        <v>9</v>
      </c>
      <c r="L94" s="2"/>
      <c r="M94" s="5" t="s">
        <v>476</v>
      </c>
      <c r="N94" s="133">
        <v>8</v>
      </c>
      <c r="O94" s="16"/>
      <c r="R94"/>
      <c r="S94"/>
      <c r="T94"/>
      <c r="U94"/>
      <c r="V94"/>
      <c r="W94"/>
      <c r="X94"/>
      <c r="Y94"/>
      <c r="Z94"/>
      <c r="AA94"/>
      <c r="AB94"/>
      <c r="AC94"/>
      <c r="AD94"/>
      <c r="AE94"/>
      <c r="AF94"/>
      <c r="AG94"/>
      <c r="AH94"/>
      <c r="AI94"/>
    </row>
    <row r="95" spans="1:35" ht="16.05" customHeight="1" thickBot="1" x14ac:dyDescent="0.35">
      <c r="A95" s="4" t="s">
        <v>466</v>
      </c>
      <c r="B95" s="134">
        <v>9.5</v>
      </c>
      <c r="C95" s="2"/>
      <c r="D95" s="4" t="s">
        <v>420</v>
      </c>
      <c r="E95" s="134">
        <v>7</v>
      </c>
      <c r="F95" s="16"/>
      <c r="G95" s="7" t="s">
        <v>455</v>
      </c>
      <c r="H95" s="135">
        <v>8</v>
      </c>
      <c r="I95" s="2"/>
      <c r="J95" s="6" t="s">
        <v>463</v>
      </c>
      <c r="K95" s="134">
        <v>9</v>
      </c>
      <c r="L95" s="2"/>
      <c r="M95" s="6" t="s">
        <v>477</v>
      </c>
      <c r="N95" s="134">
        <v>8</v>
      </c>
      <c r="O95" s="16"/>
      <c r="R95"/>
      <c r="S95"/>
      <c r="T95"/>
      <c r="U95"/>
      <c r="V95"/>
      <c r="W95"/>
      <c r="X95"/>
      <c r="Y95"/>
      <c r="Z95"/>
      <c r="AA95"/>
      <c r="AB95"/>
      <c r="AC95"/>
      <c r="AD95"/>
      <c r="AE95"/>
      <c r="AF95"/>
      <c r="AG95"/>
      <c r="AH95"/>
      <c r="AI95"/>
    </row>
    <row r="96" spans="1:35" ht="16.05" customHeight="1" thickBot="1" x14ac:dyDescent="0.35">
      <c r="A96" s="4" t="s">
        <v>467</v>
      </c>
      <c r="B96" s="134">
        <v>8.5</v>
      </c>
      <c r="C96" s="2"/>
      <c r="D96" s="4" t="s">
        <v>421</v>
      </c>
      <c r="E96" s="134">
        <v>8.5</v>
      </c>
      <c r="F96" s="2"/>
      <c r="G96" s="15"/>
      <c r="H96" s="15"/>
      <c r="I96" s="2"/>
      <c r="J96" s="8" t="s">
        <v>464</v>
      </c>
      <c r="K96" s="135">
        <v>8.5</v>
      </c>
      <c r="L96" s="2"/>
      <c r="M96" s="6" t="s">
        <v>478</v>
      </c>
      <c r="N96" s="134">
        <v>9</v>
      </c>
      <c r="O96" s="16"/>
      <c r="R96"/>
      <c r="S96"/>
      <c r="T96"/>
      <c r="U96"/>
      <c r="V96"/>
      <c r="W96"/>
      <c r="X96"/>
      <c r="Y96"/>
      <c r="Z96"/>
      <c r="AA96"/>
      <c r="AB96"/>
      <c r="AC96"/>
      <c r="AD96"/>
      <c r="AE96"/>
      <c r="AF96"/>
      <c r="AG96"/>
      <c r="AH96"/>
      <c r="AI96"/>
    </row>
    <row r="97" spans="1:35" ht="16.05" customHeight="1" thickBot="1" x14ac:dyDescent="0.35">
      <c r="A97" s="4" t="s">
        <v>468</v>
      </c>
      <c r="B97" s="134">
        <v>8</v>
      </c>
      <c r="C97" s="2"/>
      <c r="D97" s="4" t="s">
        <v>422</v>
      </c>
      <c r="E97" s="134">
        <v>8.5</v>
      </c>
      <c r="F97" s="16"/>
      <c r="G97" s="31" t="s">
        <v>505</v>
      </c>
      <c r="H97" s="1">
        <f>ROUND(SUM(H98:H108)/COUNT(H98:H109), 2)</f>
        <v>8.77</v>
      </c>
      <c r="I97" s="2"/>
      <c r="J97" s="15"/>
      <c r="K97" s="15"/>
      <c r="L97" s="2"/>
      <c r="M97" s="6" t="s">
        <v>479</v>
      </c>
      <c r="N97" s="134"/>
      <c r="O97" s="16"/>
      <c r="R97"/>
      <c r="S97"/>
      <c r="T97"/>
      <c r="U97"/>
      <c r="V97"/>
      <c r="W97"/>
      <c r="X97"/>
      <c r="Y97"/>
      <c r="Z97"/>
      <c r="AA97"/>
      <c r="AB97"/>
      <c r="AC97"/>
      <c r="AD97"/>
      <c r="AE97"/>
      <c r="AF97"/>
      <c r="AG97"/>
      <c r="AH97"/>
      <c r="AI97"/>
    </row>
    <row r="98" spans="1:35" ht="16.05" customHeight="1" thickBot="1" x14ac:dyDescent="0.35">
      <c r="A98" s="4" t="s">
        <v>469</v>
      </c>
      <c r="B98" s="134">
        <v>9</v>
      </c>
      <c r="C98" s="2"/>
      <c r="D98" s="4" t="s">
        <v>423</v>
      </c>
      <c r="E98" s="134">
        <v>7</v>
      </c>
      <c r="F98" s="2"/>
      <c r="G98" s="5" t="s">
        <v>495</v>
      </c>
      <c r="H98" s="133">
        <v>9.5</v>
      </c>
      <c r="I98" s="16"/>
      <c r="J98" s="166" t="s">
        <v>2163</v>
      </c>
      <c r="K98" s="1">
        <f>ROUND(SUM(K99:K109)/COUNT(K99:K109), 2)</f>
        <v>9.61</v>
      </c>
      <c r="L98" s="2"/>
      <c r="M98" s="6" t="s">
        <v>480</v>
      </c>
      <c r="N98" s="134">
        <v>8.5</v>
      </c>
      <c r="O98" s="16"/>
      <c r="R98"/>
      <c r="S98"/>
      <c r="T98"/>
      <c r="U98"/>
      <c r="V98"/>
      <c r="W98"/>
      <c r="X98"/>
      <c r="Y98"/>
      <c r="Z98"/>
      <c r="AA98"/>
      <c r="AB98"/>
      <c r="AC98"/>
      <c r="AD98"/>
      <c r="AE98"/>
      <c r="AF98"/>
      <c r="AG98"/>
      <c r="AH98"/>
      <c r="AI98"/>
    </row>
    <row r="99" spans="1:35" ht="16.05" customHeight="1" thickBot="1" x14ac:dyDescent="0.35">
      <c r="A99" s="4" t="s">
        <v>470</v>
      </c>
      <c r="B99" s="134">
        <v>8</v>
      </c>
      <c r="C99" s="2"/>
      <c r="D99" s="7" t="s">
        <v>424</v>
      </c>
      <c r="E99" s="135">
        <v>9</v>
      </c>
      <c r="F99" s="2"/>
      <c r="G99" s="6" t="s">
        <v>496</v>
      </c>
      <c r="H99" s="134">
        <v>8.5</v>
      </c>
      <c r="I99" s="2"/>
      <c r="J99" s="5" t="s">
        <v>506</v>
      </c>
      <c r="K99" s="133">
        <v>10.5</v>
      </c>
      <c r="L99" s="2"/>
      <c r="M99" s="6" t="s">
        <v>481</v>
      </c>
      <c r="N99" s="134">
        <v>7.5</v>
      </c>
      <c r="O99" s="16"/>
      <c r="R99"/>
      <c r="S99"/>
      <c r="T99"/>
      <c r="U99"/>
      <c r="V99"/>
      <c r="W99"/>
      <c r="X99"/>
      <c r="Y99"/>
      <c r="Z99"/>
      <c r="AA99"/>
      <c r="AB99"/>
      <c r="AC99"/>
      <c r="AD99"/>
      <c r="AE99"/>
      <c r="AF99"/>
      <c r="AG99"/>
      <c r="AH99"/>
      <c r="AI99"/>
    </row>
    <row r="100" spans="1:35" ht="16.05" customHeight="1" thickBot="1" x14ac:dyDescent="0.35">
      <c r="A100" s="4" t="s">
        <v>471</v>
      </c>
      <c r="B100" s="134">
        <v>9</v>
      </c>
      <c r="C100" s="2"/>
      <c r="D100" s="13"/>
      <c r="E100" s="15"/>
      <c r="F100" s="2"/>
      <c r="G100" s="6" t="s">
        <v>497</v>
      </c>
      <c r="H100" s="134">
        <v>8.5</v>
      </c>
      <c r="I100" s="2"/>
      <c r="J100" s="6" t="s">
        <v>507</v>
      </c>
      <c r="K100" s="134">
        <v>10</v>
      </c>
      <c r="L100" s="2"/>
      <c r="M100" s="6" t="s">
        <v>482</v>
      </c>
      <c r="N100" s="134">
        <v>9.5</v>
      </c>
      <c r="O100" s="16"/>
      <c r="R100"/>
      <c r="S100"/>
      <c r="T100"/>
      <c r="U100"/>
      <c r="V100"/>
      <c r="W100"/>
      <c r="X100"/>
      <c r="Y100"/>
      <c r="Z100"/>
      <c r="AA100"/>
      <c r="AB100"/>
      <c r="AC100"/>
      <c r="AD100"/>
      <c r="AE100"/>
      <c r="AF100"/>
      <c r="AG100"/>
      <c r="AH100"/>
      <c r="AI100"/>
    </row>
    <row r="101" spans="1:35" ht="16.05" customHeight="1" thickBot="1" x14ac:dyDescent="0.35">
      <c r="A101" s="7" t="s">
        <v>472</v>
      </c>
      <c r="B101" s="135">
        <v>7.5</v>
      </c>
      <c r="C101" s="2"/>
      <c r="D101" s="52" t="s">
        <v>831</v>
      </c>
      <c r="E101" s="1">
        <f>ROUND(SUM(E102:E115)/COUNT(E102:E115), 2)</f>
        <v>8.31</v>
      </c>
      <c r="F101" s="2"/>
      <c r="G101" s="6" t="s">
        <v>498</v>
      </c>
      <c r="H101" s="134">
        <v>8</v>
      </c>
      <c r="I101" s="2"/>
      <c r="J101" s="6" t="s">
        <v>508</v>
      </c>
      <c r="K101" s="134">
        <v>8.5</v>
      </c>
      <c r="L101" s="2"/>
      <c r="M101" s="6" t="s">
        <v>492</v>
      </c>
      <c r="N101" s="134"/>
      <c r="O101" s="16"/>
      <c r="R101"/>
      <c r="S101"/>
      <c r="T101"/>
      <c r="U101"/>
      <c r="V101"/>
      <c r="W101"/>
      <c r="X101"/>
      <c r="Y101"/>
      <c r="Z101"/>
      <c r="AA101"/>
      <c r="AB101"/>
      <c r="AC101"/>
      <c r="AD101"/>
      <c r="AE101"/>
      <c r="AF101"/>
      <c r="AG101"/>
      <c r="AH101"/>
      <c r="AI101"/>
    </row>
    <row r="102" spans="1:35" ht="16.05" customHeight="1" thickBot="1" x14ac:dyDescent="0.35">
      <c r="A102" s="15"/>
      <c r="B102" s="15"/>
      <c r="C102" s="16"/>
      <c r="D102" s="5" t="s">
        <v>520</v>
      </c>
      <c r="E102" s="137"/>
      <c r="F102" s="2"/>
      <c r="G102" s="6" t="s">
        <v>499</v>
      </c>
      <c r="H102" s="134">
        <v>9</v>
      </c>
      <c r="I102" s="2"/>
      <c r="J102" s="6" t="s">
        <v>509</v>
      </c>
      <c r="K102" s="134">
        <v>9.5</v>
      </c>
      <c r="L102" s="2"/>
      <c r="M102" s="6" t="s">
        <v>483</v>
      </c>
      <c r="N102" s="134">
        <v>9</v>
      </c>
      <c r="O102" s="16"/>
      <c r="R102"/>
      <c r="S102"/>
      <c r="T102"/>
      <c r="U102"/>
      <c r="V102"/>
      <c r="W102"/>
      <c r="X102"/>
      <c r="Y102"/>
      <c r="Z102"/>
      <c r="AA102"/>
      <c r="AB102"/>
      <c r="AC102"/>
      <c r="AD102"/>
      <c r="AE102"/>
      <c r="AF102"/>
      <c r="AG102"/>
      <c r="AH102"/>
      <c r="AI102"/>
    </row>
    <row r="103" spans="1:35" ht="16.05" customHeight="1" thickBot="1" x14ac:dyDescent="0.35">
      <c r="A103" s="33" t="s">
        <v>535</v>
      </c>
      <c r="B103" s="1">
        <f>ROUND(SUM(B104:B112)/COUNT(B104:B112), 2)</f>
        <v>8.7799999999999994</v>
      </c>
      <c r="C103" s="16"/>
      <c r="D103" s="14" t="s">
        <v>521</v>
      </c>
      <c r="E103" s="134">
        <v>8</v>
      </c>
      <c r="F103" s="2"/>
      <c r="G103" s="6" t="s">
        <v>500</v>
      </c>
      <c r="H103" s="134">
        <v>8</v>
      </c>
      <c r="I103" s="2"/>
      <c r="J103" s="6" t="s">
        <v>510</v>
      </c>
      <c r="K103" s="134">
        <v>10</v>
      </c>
      <c r="L103" s="2"/>
      <c r="M103" s="6" t="s">
        <v>484</v>
      </c>
      <c r="N103" s="134"/>
      <c r="O103" s="16"/>
      <c r="R103"/>
      <c r="S103"/>
      <c r="T103"/>
      <c r="U103"/>
      <c r="V103"/>
      <c r="W103"/>
      <c r="X103"/>
      <c r="Y103"/>
      <c r="Z103"/>
      <c r="AA103"/>
      <c r="AB103"/>
      <c r="AC103"/>
      <c r="AD103"/>
      <c r="AE103"/>
      <c r="AF103"/>
      <c r="AG103"/>
      <c r="AH103"/>
      <c r="AI103"/>
    </row>
    <row r="104" spans="1:35" ht="16.05" customHeight="1" x14ac:dyDescent="0.3">
      <c r="A104" s="3" t="s">
        <v>536</v>
      </c>
      <c r="B104" s="134">
        <v>9.5</v>
      </c>
      <c r="C104" s="21"/>
      <c r="D104" s="14" t="s">
        <v>522</v>
      </c>
      <c r="E104" s="134">
        <v>9</v>
      </c>
      <c r="F104" s="2"/>
      <c r="G104" s="6" t="s">
        <v>501</v>
      </c>
      <c r="H104" s="134">
        <v>9.5</v>
      </c>
      <c r="I104" s="2"/>
      <c r="J104" s="6" t="s">
        <v>511</v>
      </c>
      <c r="K104" s="134"/>
      <c r="L104" s="2"/>
      <c r="M104" s="6" t="s">
        <v>485</v>
      </c>
      <c r="N104" s="134">
        <v>8</v>
      </c>
      <c r="O104" s="16"/>
      <c r="R104"/>
      <c r="S104"/>
      <c r="T104"/>
      <c r="U104"/>
      <c r="V104"/>
      <c r="W104"/>
      <c r="X104"/>
      <c r="Y104"/>
      <c r="Z104"/>
      <c r="AA104"/>
      <c r="AB104"/>
      <c r="AC104"/>
      <c r="AD104"/>
      <c r="AE104"/>
      <c r="AF104"/>
      <c r="AG104"/>
      <c r="AH104"/>
      <c r="AI104"/>
    </row>
    <row r="105" spans="1:35" ht="16.05" customHeight="1" x14ac:dyDescent="0.3">
      <c r="A105" s="3" t="s">
        <v>537</v>
      </c>
      <c r="B105" s="134">
        <v>9</v>
      </c>
      <c r="C105" s="2"/>
      <c r="D105" s="6" t="s">
        <v>523</v>
      </c>
      <c r="E105" s="134">
        <v>8.5</v>
      </c>
      <c r="F105" s="2"/>
      <c r="G105" s="6" t="s">
        <v>502</v>
      </c>
      <c r="H105" s="134">
        <v>10</v>
      </c>
      <c r="I105" s="2"/>
      <c r="J105" s="6" t="s">
        <v>512</v>
      </c>
      <c r="K105" s="134">
        <v>9</v>
      </c>
      <c r="L105" s="2"/>
      <c r="M105" s="6" t="s">
        <v>486</v>
      </c>
      <c r="N105" s="134"/>
      <c r="O105" s="16"/>
      <c r="R105"/>
      <c r="S105"/>
      <c r="T105"/>
      <c r="U105"/>
      <c r="V105"/>
      <c r="W105"/>
      <c r="X105"/>
      <c r="Y105"/>
      <c r="Z105"/>
      <c r="AA105"/>
      <c r="AB105"/>
      <c r="AC105"/>
      <c r="AD105"/>
      <c r="AE105"/>
      <c r="AF105"/>
      <c r="AG105"/>
      <c r="AH105"/>
      <c r="AI105"/>
    </row>
    <row r="106" spans="1:35" ht="16.05" customHeight="1" x14ac:dyDescent="0.3">
      <c r="A106" s="3" t="s">
        <v>538</v>
      </c>
      <c r="B106" s="134">
        <v>10</v>
      </c>
      <c r="C106" s="2"/>
      <c r="D106" s="6" t="s">
        <v>524</v>
      </c>
      <c r="E106" s="134">
        <v>7.5</v>
      </c>
      <c r="F106" s="2"/>
      <c r="G106" s="6" t="s">
        <v>503</v>
      </c>
      <c r="H106" s="134">
        <v>9</v>
      </c>
      <c r="I106" s="2"/>
      <c r="J106" s="6" t="s">
        <v>513</v>
      </c>
      <c r="K106" s="134">
        <v>10.5</v>
      </c>
      <c r="L106" s="2"/>
      <c r="M106" s="6" t="s">
        <v>487</v>
      </c>
      <c r="N106" s="134">
        <v>8</v>
      </c>
      <c r="O106" s="16"/>
      <c r="R106"/>
      <c r="S106"/>
      <c r="T106"/>
      <c r="U106"/>
      <c r="V106"/>
      <c r="W106"/>
      <c r="X106"/>
      <c r="Y106"/>
      <c r="Z106"/>
      <c r="AA106"/>
      <c r="AB106"/>
      <c r="AC106"/>
      <c r="AD106"/>
      <c r="AE106"/>
      <c r="AF106"/>
      <c r="AG106"/>
      <c r="AH106"/>
      <c r="AI106"/>
    </row>
    <row r="107" spans="1:35" ht="16.05" customHeight="1" x14ac:dyDescent="0.3">
      <c r="A107" s="3" t="s">
        <v>539</v>
      </c>
      <c r="B107" s="134">
        <v>8.5</v>
      </c>
      <c r="C107" s="2"/>
      <c r="D107" s="6" t="s">
        <v>525</v>
      </c>
      <c r="E107" s="134">
        <v>7.5</v>
      </c>
      <c r="F107" s="2"/>
      <c r="G107" s="6" t="s">
        <v>504</v>
      </c>
      <c r="H107" s="134">
        <v>7.5</v>
      </c>
      <c r="I107" s="2"/>
      <c r="J107" s="6" t="s">
        <v>514</v>
      </c>
      <c r="K107" s="136">
        <v>8.5</v>
      </c>
      <c r="L107" s="2"/>
      <c r="M107" s="6" t="s">
        <v>488</v>
      </c>
      <c r="N107" s="134">
        <v>9</v>
      </c>
      <c r="O107" s="16"/>
      <c r="R107"/>
      <c r="S107"/>
      <c r="T107"/>
      <c r="U107"/>
      <c r="V107"/>
      <c r="W107"/>
      <c r="X107"/>
      <c r="Y107"/>
      <c r="Z107"/>
      <c r="AA107"/>
      <c r="AB107"/>
      <c r="AC107"/>
      <c r="AD107"/>
      <c r="AE107"/>
      <c r="AF107"/>
      <c r="AG107"/>
      <c r="AH107"/>
      <c r="AI107"/>
    </row>
    <row r="108" spans="1:35" ht="16.05" customHeight="1" thickBot="1" x14ac:dyDescent="0.35">
      <c r="A108" s="3" t="s">
        <v>540</v>
      </c>
      <c r="B108" s="134">
        <v>8</v>
      </c>
      <c r="C108" s="2"/>
      <c r="D108" s="6" t="s">
        <v>526</v>
      </c>
      <c r="E108" s="134">
        <v>10</v>
      </c>
      <c r="F108" s="2"/>
      <c r="G108" s="8" t="s">
        <v>519</v>
      </c>
      <c r="H108" s="135">
        <v>9</v>
      </c>
      <c r="I108" s="2"/>
      <c r="J108" s="6" t="s">
        <v>515</v>
      </c>
      <c r="K108" s="134">
        <v>10</v>
      </c>
      <c r="L108" s="2"/>
      <c r="M108" s="6" t="s">
        <v>489</v>
      </c>
      <c r="N108" s="134">
        <v>9</v>
      </c>
      <c r="O108" s="16"/>
      <c r="R108"/>
      <c r="S108"/>
      <c r="T108"/>
      <c r="U108"/>
      <c r="V108"/>
      <c r="W108"/>
      <c r="X108"/>
      <c r="Y108"/>
      <c r="Z108"/>
      <c r="AA108"/>
      <c r="AB108"/>
      <c r="AC108"/>
      <c r="AD108"/>
      <c r="AE108"/>
      <c r="AF108"/>
      <c r="AG108"/>
      <c r="AH108"/>
      <c r="AI108"/>
    </row>
    <row r="109" spans="1:35" ht="16.05" customHeight="1" thickBot="1" x14ac:dyDescent="0.35">
      <c r="A109" s="3" t="s">
        <v>541</v>
      </c>
      <c r="B109" s="134">
        <v>7.5</v>
      </c>
      <c r="C109" s="2"/>
      <c r="D109" s="6" t="s">
        <v>50</v>
      </c>
      <c r="E109" s="134">
        <v>9</v>
      </c>
      <c r="F109" s="2"/>
      <c r="G109" s="15"/>
      <c r="H109" s="15"/>
      <c r="I109" s="2"/>
      <c r="J109" s="8" t="s">
        <v>516</v>
      </c>
      <c r="K109" s="135"/>
      <c r="L109" s="2"/>
      <c r="M109" s="6" t="s">
        <v>490</v>
      </c>
      <c r="N109" s="134">
        <v>9</v>
      </c>
      <c r="O109" s="16"/>
      <c r="R109"/>
      <c r="S109"/>
      <c r="T109"/>
      <c r="U109"/>
      <c r="V109"/>
      <c r="W109"/>
      <c r="X109"/>
      <c r="Y109"/>
      <c r="Z109"/>
      <c r="AA109"/>
      <c r="AB109"/>
      <c r="AC109"/>
      <c r="AD109"/>
      <c r="AE109"/>
      <c r="AF109"/>
      <c r="AG109"/>
      <c r="AH109"/>
      <c r="AI109"/>
    </row>
    <row r="110" spans="1:35" ht="16.05" customHeight="1" thickBot="1" x14ac:dyDescent="0.35">
      <c r="A110" s="3" t="s">
        <v>542</v>
      </c>
      <c r="B110" s="134">
        <v>8</v>
      </c>
      <c r="C110" s="2"/>
      <c r="D110" s="6" t="s">
        <v>527</v>
      </c>
      <c r="E110" s="134">
        <v>8</v>
      </c>
      <c r="F110" s="16"/>
      <c r="G110" s="51" t="s">
        <v>830</v>
      </c>
      <c r="H110" s="1">
        <f>ROUND(SUM(H111:H124)/COUNT(H111:H124), 2)</f>
        <v>8.73</v>
      </c>
      <c r="I110" s="2"/>
      <c r="J110" s="15"/>
      <c r="K110" s="15"/>
      <c r="L110" s="2"/>
      <c r="M110" s="8" t="s">
        <v>491</v>
      </c>
      <c r="N110" s="135">
        <v>8</v>
      </c>
      <c r="O110" s="16"/>
      <c r="R110"/>
      <c r="S110"/>
      <c r="T110"/>
      <c r="U110"/>
      <c r="V110"/>
      <c r="W110"/>
      <c r="X110"/>
      <c r="Y110"/>
      <c r="Z110"/>
      <c r="AA110"/>
      <c r="AB110"/>
      <c r="AC110"/>
      <c r="AD110"/>
      <c r="AE110"/>
      <c r="AF110"/>
      <c r="AG110"/>
      <c r="AH110"/>
      <c r="AI110"/>
    </row>
    <row r="111" spans="1:35" ht="16.05" customHeight="1" thickBot="1" x14ac:dyDescent="0.35">
      <c r="A111" s="3" t="s">
        <v>543</v>
      </c>
      <c r="B111" s="134">
        <v>8</v>
      </c>
      <c r="C111" s="2"/>
      <c r="D111" s="6" t="s">
        <v>528</v>
      </c>
      <c r="E111" s="134">
        <v>7.5</v>
      </c>
      <c r="F111" s="2"/>
      <c r="G111" s="5" t="s">
        <v>547</v>
      </c>
      <c r="H111" s="133">
        <v>10</v>
      </c>
      <c r="I111" s="16"/>
      <c r="J111" s="50" t="s">
        <v>829</v>
      </c>
      <c r="K111" s="1">
        <f>ROUND(SUM(K112:K125)/COUNT(K112:K125), 2)</f>
        <v>7.96</v>
      </c>
      <c r="L111" s="2"/>
      <c r="M111" s="15"/>
      <c r="N111" s="15"/>
      <c r="O111" s="16"/>
      <c r="R111"/>
      <c r="S111"/>
      <c r="T111"/>
      <c r="U111"/>
      <c r="V111"/>
      <c r="W111"/>
      <c r="X111"/>
      <c r="Y111"/>
      <c r="Z111"/>
      <c r="AA111"/>
      <c r="AB111"/>
      <c r="AC111"/>
      <c r="AD111"/>
      <c r="AE111"/>
      <c r="AF111"/>
      <c r="AG111"/>
      <c r="AH111"/>
      <c r="AI111"/>
    </row>
    <row r="112" spans="1:35" ht="16.05" customHeight="1" thickBot="1" x14ac:dyDescent="0.35">
      <c r="A112" s="25" t="s">
        <v>544</v>
      </c>
      <c r="B112" s="135">
        <v>10.5</v>
      </c>
      <c r="C112" s="2"/>
      <c r="D112" s="6" t="s">
        <v>529</v>
      </c>
      <c r="E112" s="134">
        <v>7.5</v>
      </c>
      <c r="F112" s="2"/>
      <c r="G112" s="6" t="s">
        <v>548</v>
      </c>
      <c r="H112" s="134">
        <v>8</v>
      </c>
      <c r="I112" s="16"/>
      <c r="J112" s="3" t="s">
        <v>562</v>
      </c>
      <c r="K112" s="134">
        <v>8</v>
      </c>
      <c r="L112" s="16"/>
      <c r="M112" s="35" t="s">
        <v>574</v>
      </c>
      <c r="N112" s="1">
        <f>ROUND(SUM(N113:N125)/COUNT(N113:N125), 2)</f>
        <v>8.77</v>
      </c>
      <c r="O112" s="16"/>
      <c r="R112"/>
      <c r="S112"/>
      <c r="T112"/>
      <c r="U112"/>
      <c r="V112"/>
      <c r="W112"/>
      <c r="X112"/>
      <c r="Y112"/>
      <c r="Z112"/>
      <c r="AA112"/>
      <c r="AB112"/>
      <c r="AC112"/>
      <c r="AD112"/>
      <c r="AE112"/>
      <c r="AF112"/>
      <c r="AG112"/>
      <c r="AH112"/>
      <c r="AI112"/>
    </row>
    <row r="113" spans="1:35" ht="16.05" customHeight="1" thickBot="1" x14ac:dyDescent="0.35">
      <c r="A113" s="15"/>
      <c r="B113" s="15"/>
      <c r="C113" s="16"/>
      <c r="D113" s="14" t="s">
        <v>530</v>
      </c>
      <c r="E113" s="134">
        <v>8</v>
      </c>
      <c r="F113" s="2"/>
      <c r="G113" s="6" t="s">
        <v>549</v>
      </c>
      <c r="H113" s="134">
        <v>8.5</v>
      </c>
      <c r="I113" s="16"/>
      <c r="J113" s="3" t="s">
        <v>563</v>
      </c>
      <c r="K113" s="134">
        <v>10.5</v>
      </c>
      <c r="L113" s="16"/>
      <c r="M113" s="3" t="s">
        <v>575</v>
      </c>
      <c r="N113" s="134">
        <v>9</v>
      </c>
      <c r="O113" s="16"/>
      <c r="R113"/>
      <c r="S113"/>
      <c r="T113"/>
      <c r="U113"/>
      <c r="V113"/>
      <c r="W113"/>
      <c r="X113"/>
      <c r="Y113"/>
      <c r="Z113"/>
      <c r="AA113"/>
      <c r="AB113"/>
      <c r="AC113"/>
      <c r="AD113"/>
      <c r="AE113"/>
      <c r="AF113"/>
      <c r="AG113"/>
      <c r="AH113"/>
      <c r="AI113"/>
    </row>
    <row r="114" spans="1:35" ht="16.05" customHeight="1" thickBot="1" x14ac:dyDescent="0.35">
      <c r="A114" s="49" t="s">
        <v>828</v>
      </c>
      <c r="B114" s="1">
        <f>ROUND(SUM(B115:B132)/COUNT(B115:B132), 2)</f>
        <v>7.72</v>
      </c>
      <c r="C114" s="16"/>
      <c r="D114" s="14" t="s">
        <v>531</v>
      </c>
      <c r="E114" s="134">
        <v>7.5</v>
      </c>
      <c r="F114" s="2"/>
      <c r="G114" s="6" t="s">
        <v>550</v>
      </c>
      <c r="H114" s="134">
        <v>9</v>
      </c>
      <c r="I114" s="16"/>
      <c r="J114" s="3" t="s">
        <v>564</v>
      </c>
      <c r="K114" s="134">
        <v>6</v>
      </c>
      <c r="L114" s="16"/>
      <c r="M114" s="3" t="s">
        <v>576</v>
      </c>
      <c r="N114" s="134">
        <v>8.5</v>
      </c>
      <c r="O114" s="16"/>
      <c r="R114"/>
      <c r="S114"/>
      <c r="T114"/>
      <c r="U114"/>
      <c r="V114"/>
      <c r="W114"/>
      <c r="X114"/>
      <c r="Y114"/>
      <c r="Z114"/>
      <c r="AA114"/>
      <c r="AB114"/>
      <c r="AC114"/>
      <c r="AD114"/>
      <c r="AE114"/>
      <c r="AF114"/>
      <c r="AG114"/>
      <c r="AH114"/>
      <c r="AI114"/>
    </row>
    <row r="115" spans="1:35" ht="16.05" customHeight="1" thickBot="1" x14ac:dyDescent="0.35">
      <c r="A115" s="5" t="s">
        <v>589</v>
      </c>
      <c r="B115" s="134">
        <v>7.5</v>
      </c>
      <c r="C115" s="2"/>
      <c r="D115" s="8" t="s">
        <v>532</v>
      </c>
      <c r="E115" s="135">
        <v>10</v>
      </c>
      <c r="F115" s="2"/>
      <c r="G115" s="6" t="s">
        <v>551</v>
      </c>
      <c r="H115" s="134">
        <v>10</v>
      </c>
      <c r="I115" s="16"/>
      <c r="J115" s="3" t="s">
        <v>565</v>
      </c>
      <c r="K115" s="134">
        <v>9</v>
      </c>
      <c r="L115" s="16"/>
      <c r="M115" s="3" t="s">
        <v>577</v>
      </c>
      <c r="N115" s="134">
        <v>9</v>
      </c>
      <c r="O115" s="16"/>
      <c r="R115"/>
      <c r="S115"/>
      <c r="T115"/>
      <c r="U115"/>
      <c r="V115"/>
      <c r="W115"/>
      <c r="X115"/>
      <c r="Y115"/>
      <c r="Z115"/>
      <c r="AA115"/>
      <c r="AB115"/>
      <c r="AC115"/>
      <c r="AD115"/>
      <c r="AE115"/>
      <c r="AF115"/>
      <c r="AG115"/>
      <c r="AH115"/>
      <c r="AI115"/>
    </row>
    <row r="116" spans="1:35" ht="16.05" customHeight="1" thickBot="1" x14ac:dyDescent="0.35">
      <c r="A116" s="6" t="s">
        <v>590</v>
      </c>
      <c r="B116" s="134">
        <v>8</v>
      </c>
      <c r="C116" s="2"/>
      <c r="D116" s="13"/>
      <c r="E116" s="13"/>
      <c r="F116" s="2"/>
      <c r="G116" s="6" t="s">
        <v>552</v>
      </c>
      <c r="H116" s="134"/>
      <c r="I116" s="16"/>
      <c r="J116" s="3" t="s">
        <v>566</v>
      </c>
      <c r="K116" s="134">
        <v>8.5</v>
      </c>
      <c r="L116" s="16"/>
      <c r="M116" s="3" t="s">
        <v>578</v>
      </c>
      <c r="N116" s="134">
        <v>8</v>
      </c>
      <c r="O116" s="16"/>
      <c r="R116"/>
      <c r="S116"/>
      <c r="T116"/>
      <c r="U116"/>
      <c r="V116"/>
      <c r="W116"/>
      <c r="X116"/>
      <c r="Y116"/>
      <c r="Z116"/>
      <c r="AA116"/>
      <c r="AB116"/>
      <c r="AC116"/>
      <c r="AD116"/>
      <c r="AE116"/>
      <c r="AF116"/>
      <c r="AG116"/>
      <c r="AH116"/>
      <c r="AI116"/>
    </row>
    <row r="117" spans="1:35" ht="16.05" customHeight="1" thickBot="1" x14ac:dyDescent="0.35">
      <c r="A117" s="6" t="s">
        <v>591</v>
      </c>
      <c r="B117" s="134">
        <v>8</v>
      </c>
      <c r="C117" s="16"/>
      <c r="D117" s="48" t="s">
        <v>827</v>
      </c>
      <c r="E117" s="1">
        <f>ROUND(SUM(E118:E131)/COUNT(E118:E131), 2)</f>
        <v>8.76</v>
      </c>
      <c r="F117" s="2"/>
      <c r="G117" s="6" t="s">
        <v>553</v>
      </c>
      <c r="H117" s="134">
        <v>10</v>
      </c>
      <c r="I117" s="16"/>
      <c r="J117" s="3" t="s">
        <v>567</v>
      </c>
      <c r="K117" s="134">
        <v>8.5</v>
      </c>
      <c r="L117" s="16"/>
      <c r="M117" s="3" t="s">
        <v>579</v>
      </c>
      <c r="N117" s="134">
        <v>10</v>
      </c>
      <c r="O117" s="16"/>
      <c r="R117"/>
      <c r="S117"/>
      <c r="T117"/>
      <c r="U117"/>
      <c r="V117"/>
      <c r="W117"/>
      <c r="X117"/>
      <c r="Y117"/>
      <c r="Z117"/>
      <c r="AA117"/>
      <c r="AB117"/>
      <c r="AC117"/>
      <c r="AD117"/>
      <c r="AE117"/>
      <c r="AF117"/>
      <c r="AG117"/>
      <c r="AH117"/>
      <c r="AI117"/>
    </row>
    <row r="118" spans="1:35" ht="16.05" customHeight="1" x14ac:dyDescent="0.3">
      <c r="A118" s="6" t="s">
        <v>592</v>
      </c>
      <c r="B118" s="134">
        <v>7</v>
      </c>
      <c r="C118" s="16"/>
      <c r="D118" s="3" t="s">
        <v>609</v>
      </c>
      <c r="E118" s="134">
        <v>9</v>
      </c>
      <c r="F118" s="2"/>
      <c r="G118" s="6" t="s">
        <v>554</v>
      </c>
      <c r="H118" s="134">
        <v>7.5</v>
      </c>
      <c r="I118" s="16"/>
      <c r="J118" s="3" t="s">
        <v>568</v>
      </c>
      <c r="K118" s="134">
        <v>7.5</v>
      </c>
      <c r="L118" s="16"/>
      <c r="M118" s="3" t="s">
        <v>580</v>
      </c>
      <c r="N118" s="134">
        <v>9.5</v>
      </c>
      <c r="O118" s="16"/>
      <c r="R118"/>
      <c r="S118"/>
      <c r="T118"/>
      <c r="U118"/>
      <c r="V118"/>
      <c r="W118"/>
      <c r="X118"/>
      <c r="Y118"/>
      <c r="Z118"/>
      <c r="AA118"/>
      <c r="AB118"/>
      <c r="AC118"/>
      <c r="AD118"/>
      <c r="AE118"/>
      <c r="AF118"/>
      <c r="AG118"/>
      <c r="AH118"/>
      <c r="AI118"/>
    </row>
    <row r="119" spans="1:35" ht="16.05" customHeight="1" x14ac:dyDescent="0.3">
      <c r="A119" s="6" t="s">
        <v>593</v>
      </c>
      <c r="B119" s="134">
        <v>7.5</v>
      </c>
      <c r="C119" s="16"/>
      <c r="D119" s="3" t="s">
        <v>610</v>
      </c>
      <c r="E119" s="134">
        <v>9.5</v>
      </c>
      <c r="F119" s="2"/>
      <c r="G119" s="6" t="s">
        <v>555</v>
      </c>
      <c r="H119" s="134"/>
      <c r="I119" s="16"/>
      <c r="J119" s="3" t="s">
        <v>569</v>
      </c>
      <c r="K119" s="134">
        <v>7</v>
      </c>
      <c r="L119" s="16"/>
      <c r="M119" s="3" t="s">
        <v>581</v>
      </c>
      <c r="N119" s="134">
        <v>10.5</v>
      </c>
      <c r="O119" s="16"/>
      <c r="R119"/>
      <c r="S119"/>
      <c r="T119"/>
      <c r="U119"/>
      <c r="V119"/>
      <c r="W119"/>
      <c r="X119"/>
      <c r="Y119"/>
      <c r="Z119"/>
      <c r="AA119"/>
      <c r="AB119"/>
      <c r="AC119"/>
      <c r="AD119"/>
      <c r="AE119"/>
      <c r="AF119"/>
      <c r="AG119"/>
      <c r="AH119"/>
      <c r="AI119"/>
    </row>
    <row r="120" spans="1:35" ht="16.05" customHeight="1" x14ac:dyDescent="0.3">
      <c r="A120" s="6" t="s">
        <v>594</v>
      </c>
      <c r="B120" s="134">
        <v>8</v>
      </c>
      <c r="C120" s="16"/>
      <c r="D120" s="3" t="s">
        <v>450</v>
      </c>
      <c r="E120" s="134">
        <v>10</v>
      </c>
      <c r="F120" s="2"/>
      <c r="G120" s="34" t="s">
        <v>556</v>
      </c>
      <c r="H120" s="134">
        <v>8</v>
      </c>
      <c r="I120" s="16"/>
      <c r="J120" s="3" t="s">
        <v>570</v>
      </c>
      <c r="K120" s="134"/>
      <c r="L120" s="16"/>
      <c r="M120" s="3" t="s">
        <v>582</v>
      </c>
      <c r="N120" s="134">
        <v>10</v>
      </c>
      <c r="O120" s="16"/>
      <c r="R120"/>
      <c r="S120"/>
      <c r="T120"/>
      <c r="U120"/>
      <c r="V120"/>
      <c r="W120"/>
      <c r="X120"/>
      <c r="Y120"/>
      <c r="Z120"/>
      <c r="AA120"/>
      <c r="AB120"/>
      <c r="AC120"/>
      <c r="AD120"/>
      <c r="AE120"/>
      <c r="AF120"/>
      <c r="AG120"/>
      <c r="AH120"/>
      <c r="AI120"/>
    </row>
    <row r="121" spans="1:35" ht="16.05" customHeight="1" x14ac:dyDescent="0.3">
      <c r="A121" s="6" t="s">
        <v>595</v>
      </c>
      <c r="B121" s="134">
        <v>8</v>
      </c>
      <c r="C121" s="16"/>
      <c r="D121" s="3" t="s">
        <v>611</v>
      </c>
      <c r="E121" s="134">
        <v>8</v>
      </c>
      <c r="F121" s="2"/>
      <c r="G121" s="6" t="s">
        <v>557</v>
      </c>
      <c r="H121" s="134">
        <v>8</v>
      </c>
      <c r="I121" s="16"/>
      <c r="J121" s="3" t="s">
        <v>571</v>
      </c>
      <c r="K121" s="134">
        <v>7</v>
      </c>
      <c r="L121" s="16"/>
      <c r="M121" s="3" t="s">
        <v>583</v>
      </c>
      <c r="N121" s="134">
        <v>8.5</v>
      </c>
      <c r="O121" s="16"/>
      <c r="R121"/>
      <c r="S121"/>
      <c r="T121"/>
      <c r="U121"/>
      <c r="V121"/>
      <c r="W121"/>
      <c r="X121"/>
      <c r="Y121"/>
      <c r="Z121"/>
      <c r="AA121"/>
      <c r="AB121"/>
      <c r="AC121"/>
      <c r="AD121"/>
      <c r="AE121"/>
      <c r="AF121"/>
      <c r="AG121"/>
      <c r="AH121"/>
      <c r="AI121"/>
    </row>
    <row r="122" spans="1:35" ht="16.05" customHeight="1" thickBot="1" x14ac:dyDescent="0.35">
      <c r="A122" s="6" t="s">
        <v>596</v>
      </c>
      <c r="B122" s="134">
        <v>8</v>
      </c>
      <c r="C122" s="16"/>
      <c r="D122" s="3" t="s">
        <v>612</v>
      </c>
      <c r="E122" s="134">
        <v>10.5</v>
      </c>
      <c r="F122" s="2"/>
      <c r="G122" s="6" t="s">
        <v>558</v>
      </c>
      <c r="H122" s="134">
        <v>8</v>
      </c>
      <c r="I122" s="16"/>
      <c r="J122" s="7" t="s">
        <v>572</v>
      </c>
      <c r="K122" s="135">
        <v>8.5</v>
      </c>
      <c r="L122" s="16"/>
      <c r="M122" s="3" t="s">
        <v>584</v>
      </c>
      <c r="N122" s="134">
        <v>7.5</v>
      </c>
      <c r="O122" s="16"/>
      <c r="R122"/>
      <c r="S122"/>
      <c r="T122"/>
      <c r="U122"/>
      <c r="V122"/>
      <c r="W122"/>
      <c r="X122"/>
      <c r="Y122"/>
      <c r="Z122"/>
      <c r="AA122"/>
      <c r="AB122"/>
      <c r="AC122"/>
      <c r="AD122"/>
      <c r="AE122"/>
      <c r="AF122"/>
      <c r="AG122"/>
      <c r="AH122"/>
      <c r="AI122"/>
    </row>
    <row r="123" spans="1:35" ht="16.05" customHeight="1" thickBot="1" x14ac:dyDescent="0.35">
      <c r="A123" s="6" t="s">
        <v>597</v>
      </c>
      <c r="B123" s="134">
        <v>6.5</v>
      </c>
      <c r="C123" s="16"/>
      <c r="D123" s="3" t="s">
        <v>613</v>
      </c>
      <c r="E123" s="134">
        <v>8</v>
      </c>
      <c r="F123" s="2"/>
      <c r="G123" s="8" t="s">
        <v>559</v>
      </c>
      <c r="H123" s="135">
        <v>9</v>
      </c>
      <c r="I123" s="2"/>
      <c r="J123" s="15"/>
      <c r="K123" s="15"/>
      <c r="L123" s="16"/>
      <c r="M123" s="3" t="s">
        <v>585</v>
      </c>
      <c r="N123" s="134">
        <v>8</v>
      </c>
      <c r="O123" s="16"/>
      <c r="R123"/>
      <c r="S123"/>
      <c r="T123"/>
      <c r="U123"/>
      <c r="V123"/>
      <c r="W123"/>
      <c r="X123"/>
      <c r="Y123"/>
      <c r="Z123"/>
      <c r="AA123"/>
      <c r="AB123"/>
      <c r="AC123"/>
      <c r="AD123"/>
      <c r="AE123"/>
      <c r="AF123"/>
      <c r="AG123"/>
      <c r="AH123"/>
      <c r="AI123"/>
    </row>
    <row r="124" spans="1:35" ht="16.05" customHeight="1" thickBot="1" x14ac:dyDescent="0.35">
      <c r="A124" s="6" t="s">
        <v>598</v>
      </c>
      <c r="B124" s="134">
        <v>7.5</v>
      </c>
      <c r="C124" s="16"/>
      <c r="D124" s="3" t="s">
        <v>614</v>
      </c>
      <c r="E124" s="134">
        <v>9</v>
      </c>
      <c r="F124" s="2"/>
      <c r="G124" s="15"/>
      <c r="H124" s="15"/>
      <c r="I124" s="2"/>
      <c r="J124" s="37" t="s">
        <v>627</v>
      </c>
      <c r="K124" s="1">
        <f>ROUND(SUM(K125:K134)/COUNT(K125:K134), 2)</f>
        <v>7.06</v>
      </c>
      <c r="L124" s="16"/>
      <c r="M124" s="3" t="s">
        <v>586</v>
      </c>
      <c r="N124" s="134">
        <v>8.5</v>
      </c>
      <c r="O124" s="16"/>
      <c r="R124"/>
      <c r="S124"/>
      <c r="T124"/>
      <c r="U124"/>
      <c r="V124"/>
      <c r="W124"/>
      <c r="X124"/>
      <c r="Y124"/>
      <c r="Z124"/>
      <c r="AA124"/>
      <c r="AB124"/>
      <c r="AC124"/>
      <c r="AD124"/>
      <c r="AE124"/>
      <c r="AF124"/>
      <c r="AG124"/>
      <c r="AH124"/>
      <c r="AI124"/>
    </row>
    <row r="125" spans="1:35" ht="16.05" customHeight="1" thickBot="1" x14ac:dyDescent="0.35">
      <c r="A125" s="6" t="s">
        <v>599</v>
      </c>
      <c r="B125" s="134">
        <v>7</v>
      </c>
      <c r="C125" s="16"/>
      <c r="D125" s="3" t="s">
        <v>615</v>
      </c>
      <c r="E125" s="134">
        <v>8.5</v>
      </c>
      <c r="F125" s="16"/>
      <c r="G125" s="202" t="s">
        <v>2541</v>
      </c>
      <c r="H125" s="1">
        <f>ROUND(SUM(H126:H129)/COUNT(H126:H129), 2)</f>
        <v>9.8800000000000008</v>
      </c>
      <c r="I125" s="2"/>
      <c r="J125" s="11" t="s">
        <v>617</v>
      </c>
      <c r="K125" s="134"/>
      <c r="L125" s="16"/>
      <c r="M125" s="23" t="s">
        <v>587</v>
      </c>
      <c r="N125" s="135">
        <v>7</v>
      </c>
      <c r="O125" s="16"/>
      <c r="R125"/>
      <c r="S125"/>
      <c r="T125"/>
      <c r="U125"/>
      <c r="V125"/>
      <c r="W125"/>
      <c r="X125"/>
      <c r="Y125"/>
      <c r="Z125"/>
      <c r="AA125"/>
      <c r="AB125"/>
      <c r="AC125"/>
      <c r="AD125"/>
      <c r="AE125"/>
      <c r="AF125"/>
      <c r="AG125"/>
      <c r="AH125"/>
      <c r="AI125"/>
    </row>
    <row r="126" spans="1:35" ht="16.05" customHeight="1" thickBot="1" x14ac:dyDescent="0.35">
      <c r="A126" s="6" t="s">
        <v>600</v>
      </c>
      <c r="B126" s="134">
        <v>8</v>
      </c>
      <c r="C126" s="2"/>
      <c r="D126" s="7" t="s">
        <v>616</v>
      </c>
      <c r="E126" s="135">
        <v>8</v>
      </c>
      <c r="F126" s="2"/>
      <c r="G126" s="11" t="s">
        <v>630</v>
      </c>
      <c r="H126" s="133">
        <v>10.5</v>
      </c>
      <c r="I126" s="2"/>
      <c r="J126" s="4" t="s">
        <v>618</v>
      </c>
      <c r="K126" s="134">
        <v>7.5</v>
      </c>
      <c r="L126" s="2"/>
      <c r="M126" s="15"/>
      <c r="N126" s="15"/>
      <c r="O126" s="16"/>
      <c r="R126"/>
      <c r="S126"/>
      <c r="T126"/>
      <c r="U126"/>
      <c r="V126"/>
      <c r="W126"/>
      <c r="X126"/>
      <c r="Y126"/>
      <c r="Z126"/>
      <c r="AA126"/>
      <c r="AB126"/>
      <c r="AC126"/>
      <c r="AD126"/>
      <c r="AE126"/>
      <c r="AF126"/>
      <c r="AG126"/>
      <c r="AH126"/>
      <c r="AI126"/>
    </row>
    <row r="127" spans="1:35" ht="16.05" customHeight="1" thickBot="1" x14ac:dyDescent="0.35">
      <c r="A127" s="6" t="s">
        <v>601</v>
      </c>
      <c r="B127" s="134">
        <v>7</v>
      </c>
      <c r="C127" s="2"/>
      <c r="D127" s="13"/>
      <c r="E127" s="15"/>
      <c r="F127" s="2"/>
      <c r="G127" s="4" t="s">
        <v>631</v>
      </c>
      <c r="H127" s="134">
        <v>9.5</v>
      </c>
      <c r="I127" s="21"/>
      <c r="J127" s="4" t="s">
        <v>619</v>
      </c>
      <c r="K127" s="134">
        <v>7</v>
      </c>
      <c r="L127" s="16"/>
      <c r="M127" s="38" t="s">
        <v>660</v>
      </c>
      <c r="N127" s="1">
        <f>ROUND(SUM(N128:N135)/COUNT(N128:N135), 2)</f>
        <v>9.1300000000000008</v>
      </c>
      <c r="O127" s="16"/>
      <c r="R127"/>
      <c r="S127"/>
      <c r="T127"/>
      <c r="U127"/>
      <c r="V127"/>
      <c r="W127"/>
      <c r="X127"/>
      <c r="Y127"/>
      <c r="Z127"/>
      <c r="AA127"/>
      <c r="AB127"/>
      <c r="AC127"/>
      <c r="AD127"/>
      <c r="AE127"/>
      <c r="AF127"/>
      <c r="AG127"/>
      <c r="AH127"/>
      <c r="AI127"/>
    </row>
    <row r="128" spans="1:35" ht="16.05" customHeight="1" thickBot="1" x14ac:dyDescent="0.35">
      <c r="A128" s="6" t="s">
        <v>602</v>
      </c>
      <c r="B128" s="134">
        <v>8</v>
      </c>
      <c r="C128" s="2"/>
      <c r="D128" s="47" t="s">
        <v>826</v>
      </c>
      <c r="E128" s="1">
        <f>ROUND(SUM(E129:E144)/COUNT(E129:E144), 2)</f>
        <v>8.07</v>
      </c>
      <c r="F128" s="2"/>
      <c r="G128" s="4" t="s">
        <v>632</v>
      </c>
      <c r="H128" s="134">
        <v>10.5</v>
      </c>
      <c r="I128" s="2"/>
      <c r="J128" s="4" t="s">
        <v>620</v>
      </c>
      <c r="K128" s="134">
        <v>7</v>
      </c>
      <c r="L128" s="2"/>
      <c r="M128" s="11" t="s">
        <v>652</v>
      </c>
      <c r="N128" s="133">
        <v>8.5</v>
      </c>
      <c r="O128" s="16"/>
      <c r="R128"/>
      <c r="S128"/>
      <c r="T128"/>
      <c r="U128"/>
      <c r="V128"/>
      <c r="W128"/>
      <c r="X128"/>
      <c r="Y128"/>
      <c r="Z128"/>
      <c r="AA128"/>
      <c r="AB128"/>
      <c r="AC128"/>
      <c r="AD128"/>
      <c r="AE128"/>
      <c r="AF128"/>
      <c r="AG128"/>
      <c r="AH128"/>
      <c r="AI128"/>
    </row>
    <row r="129" spans="1:35" ht="16.05" customHeight="1" thickBot="1" x14ac:dyDescent="0.35">
      <c r="A129" s="6" t="s">
        <v>603</v>
      </c>
      <c r="B129" s="134">
        <v>8.5</v>
      </c>
      <c r="C129" s="2"/>
      <c r="D129" s="11" t="s">
        <v>635</v>
      </c>
      <c r="E129" s="133">
        <v>7.5</v>
      </c>
      <c r="F129" s="2"/>
      <c r="G129" s="7" t="s">
        <v>633</v>
      </c>
      <c r="H129" s="135">
        <v>9</v>
      </c>
      <c r="I129" s="2"/>
      <c r="J129" s="4" t="s">
        <v>621</v>
      </c>
      <c r="K129" s="134">
        <v>6.5</v>
      </c>
      <c r="L129" s="2"/>
      <c r="M129" s="4" t="s">
        <v>653</v>
      </c>
      <c r="N129" s="134">
        <v>10</v>
      </c>
      <c r="O129" s="16"/>
      <c r="R129"/>
      <c r="S129"/>
      <c r="T129"/>
      <c r="U129"/>
      <c r="V129"/>
      <c r="W129"/>
      <c r="X129"/>
      <c r="Y129"/>
      <c r="Z129"/>
      <c r="AA129"/>
      <c r="AB129"/>
      <c r="AC129"/>
      <c r="AD129"/>
      <c r="AE129"/>
      <c r="AF129"/>
      <c r="AG129"/>
      <c r="AH129"/>
      <c r="AI129"/>
    </row>
    <row r="130" spans="1:35" ht="16.05" customHeight="1" thickBot="1" x14ac:dyDescent="0.35">
      <c r="A130" s="6" t="s">
        <v>604</v>
      </c>
      <c r="B130" s="134">
        <v>8</v>
      </c>
      <c r="C130" s="2"/>
      <c r="D130" s="4" t="s">
        <v>636</v>
      </c>
      <c r="E130" s="134"/>
      <c r="F130" s="2"/>
      <c r="G130" s="15"/>
      <c r="H130" s="15"/>
      <c r="I130" s="2"/>
      <c r="J130" s="4" t="s">
        <v>622</v>
      </c>
      <c r="K130" s="134">
        <v>8</v>
      </c>
      <c r="L130" s="2"/>
      <c r="M130" s="4" t="s">
        <v>654</v>
      </c>
      <c r="N130" s="134">
        <v>10</v>
      </c>
      <c r="O130" s="16"/>
      <c r="R130"/>
      <c r="S130"/>
      <c r="T130"/>
      <c r="U130"/>
      <c r="V130"/>
      <c r="W130"/>
      <c r="X130"/>
      <c r="Y130"/>
      <c r="Z130"/>
      <c r="AA130"/>
      <c r="AB130"/>
      <c r="AC130"/>
      <c r="AD130"/>
      <c r="AE130"/>
      <c r="AF130"/>
      <c r="AG130"/>
      <c r="AH130"/>
      <c r="AI130"/>
    </row>
    <row r="131" spans="1:35" ht="16.05" customHeight="1" thickBot="1" x14ac:dyDescent="0.35">
      <c r="A131" s="6" t="s">
        <v>605</v>
      </c>
      <c r="B131" s="134">
        <v>9</v>
      </c>
      <c r="C131" s="2"/>
      <c r="D131" s="4" t="s">
        <v>637</v>
      </c>
      <c r="E131" s="134">
        <v>9</v>
      </c>
      <c r="F131" s="16"/>
      <c r="G131" s="46" t="s">
        <v>825</v>
      </c>
      <c r="H131" s="1">
        <f>ROUND(SUM(H132:H147)/COUNT(H132:H147), 2)</f>
        <v>8.67</v>
      </c>
      <c r="I131" s="2"/>
      <c r="J131" s="4" t="s">
        <v>623</v>
      </c>
      <c r="K131" s="134">
        <v>6.5</v>
      </c>
      <c r="L131" s="2"/>
      <c r="M131" s="4" t="s">
        <v>655</v>
      </c>
      <c r="N131" s="134">
        <v>10.5</v>
      </c>
      <c r="O131" s="16"/>
      <c r="R131"/>
      <c r="S131"/>
      <c r="T131"/>
      <c r="U131"/>
      <c r="V131"/>
      <c r="W131"/>
      <c r="X131"/>
      <c r="Y131"/>
      <c r="Z131"/>
      <c r="AA131"/>
      <c r="AB131"/>
      <c r="AC131"/>
      <c r="AD131"/>
      <c r="AE131"/>
      <c r="AF131"/>
      <c r="AG131"/>
      <c r="AH131"/>
      <c r="AI131"/>
    </row>
    <row r="132" spans="1:35" ht="16.05" customHeight="1" thickBot="1" x14ac:dyDescent="0.35">
      <c r="A132" s="6" t="s">
        <v>606</v>
      </c>
      <c r="B132" s="134">
        <v>7.5</v>
      </c>
      <c r="C132" s="2"/>
      <c r="D132" s="4" t="s">
        <v>638</v>
      </c>
      <c r="E132" s="134">
        <v>10</v>
      </c>
      <c r="F132" s="2"/>
      <c r="G132" s="11" t="s">
        <v>661</v>
      </c>
      <c r="H132" s="133"/>
      <c r="I132" s="2"/>
      <c r="J132" s="4" t="s">
        <v>624</v>
      </c>
      <c r="K132" s="134">
        <v>7</v>
      </c>
      <c r="L132" s="2"/>
      <c r="M132" s="4" t="s">
        <v>656</v>
      </c>
      <c r="N132" s="134">
        <v>8.5</v>
      </c>
      <c r="O132" s="16"/>
      <c r="R132"/>
      <c r="S132"/>
      <c r="T132"/>
      <c r="U132"/>
      <c r="V132"/>
      <c r="W132"/>
      <c r="X132"/>
      <c r="Y132"/>
      <c r="Z132"/>
      <c r="AA132"/>
      <c r="AB132"/>
      <c r="AC132"/>
      <c r="AD132"/>
      <c r="AE132"/>
      <c r="AF132"/>
      <c r="AG132"/>
      <c r="AH132"/>
      <c r="AI132"/>
    </row>
    <row r="133" spans="1:35" ht="16.05" customHeight="1" thickBot="1" x14ac:dyDescent="0.35">
      <c r="A133" s="36"/>
      <c r="B133" s="13"/>
      <c r="C133" s="2"/>
      <c r="D133" s="4" t="s">
        <v>639</v>
      </c>
      <c r="E133" s="134">
        <v>8</v>
      </c>
      <c r="F133" s="2"/>
      <c r="G133" s="4" t="s">
        <v>662</v>
      </c>
      <c r="H133" s="134">
        <v>8</v>
      </c>
      <c r="I133" s="2"/>
      <c r="J133" s="4" t="s">
        <v>625</v>
      </c>
      <c r="K133" s="134">
        <v>7</v>
      </c>
      <c r="L133" s="2"/>
      <c r="M133" s="4" t="s">
        <v>657</v>
      </c>
      <c r="N133" s="134">
        <v>7.5</v>
      </c>
      <c r="O133" s="16"/>
      <c r="R133"/>
      <c r="S133"/>
      <c r="T133"/>
      <c r="U133"/>
      <c r="V133"/>
      <c r="W133"/>
      <c r="X133"/>
      <c r="Y133"/>
      <c r="Z133"/>
      <c r="AA133"/>
      <c r="AB133"/>
      <c r="AC133"/>
      <c r="AD133"/>
      <c r="AE133"/>
      <c r="AF133"/>
      <c r="AG133"/>
      <c r="AH133"/>
      <c r="AI133"/>
    </row>
    <row r="134" spans="1:35" ht="16.05" customHeight="1" thickBot="1" x14ac:dyDescent="0.35">
      <c r="A134" s="74" t="s">
        <v>853</v>
      </c>
      <c r="B134" s="1">
        <f>ROUND(SUM(B135:B143)/COUNT(B135:B143), 2)</f>
        <v>8.67</v>
      </c>
      <c r="C134" s="2"/>
      <c r="D134" s="4" t="s">
        <v>640</v>
      </c>
      <c r="E134" s="134">
        <v>8.5</v>
      </c>
      <c r="F134" s="2"/>
      <c r="G134" s="4" t="s">
        <v>663</v>
      </c>
      <c r="H134" s="134">
        <v>8</v>
      </c>
      <c r="I134" s="2"/>
      <c r="J134" s="7" t="s">
        <v>626</v>
      </c>
      <c r="K134" s="135">
        <v>7</v>
      </c>
      <c r="L134" s="2"/>
      <c r="M134" s="4" t="s">
        <v>658</v>
      </c>
      <c r="N134" s="134">
        <v>9</v>
      </c>
      <c r="O134" s="16"/>
      <c r="R134"/>
      <c r="S134"/>
      <c r="T134"/>
      <c r="U134"/>
      <c r="V134"/>
      <c r="W134"/>
      <c r="X134"/>
      <c r="Y134"/>
      <c r="Z134"/>
      <c r="AA134"/>
      <c r="AB134"/>
      <c r="AC134"/>
      <c r="AD134"/>
      <c r="AE134"/>
      <c r="AF134"/>
      <c r="AG134"/>
      <c r="AH134"/>
      <c r="AI134"/>
    </row>
    <row r="135" spans="1:35" ht="16.05" customHeight="1" thickBot="1" x14ac:dyDescent="0.35">
      <c r="A135" s="11" t="s">
        <v>678</v>
      </c>
      <c r="B135" s="133">
        <v>9</v>
      </c>
      <c r="C135" s="2"/>
      <c r="D135" s="4" t="s">
        <v>641</v>
      </c>
      <c r="E135" s="134">
        <v>10</v>
      </c>
      <c r="F135" s="2"/>
      <c r="G135" s="4" t="s">
        <v>664</v>
      </c>
      <c r="H135" s="134">
        <v>10</v>
      </c>
      <c r="I135" s="2"/>
      <c r="J135" s="15"/>
      <c r="K135" s="15"/>
      <c r="L135" s="2"/>
      <c r="M135" s="7" t="s">
        <v>659</v>
      </c>
      <c r="N135" s="135">
        <v>9</v>
      </c>
      <c r="O135" s="16"/>
      <c r="R135"/>
      <c r="S135"/>
      <c r="T135"/>
      <c r="U135"/>
      <c r="V135"/>
      <c r="W135"/>
      <c r="X135"/>
      <c r="Y135"/>
      <c r="Z135"/>
      <c r="AA135"/>
      <c r="AB135"/>
      <c r="AC135"/>
      <c r="AD135"/>
      <c r="AE135"/>
      <c r="AF135"/>
      <c r="AG135"/>
      <c r="AH135"/>
      <c r="AI135"/>
    </row>
    <row r="136" spans="1:35" ht="16.05" customHeight="1" thickBot="1" x14ac:dyDescent="0.35">
      <c r="A136" s="4" t="s">
        <v>679</v>
      </c>
      <c r="B136" s="134">
        <v>9</v>
      </c>
      <c r="C136" s="2"/>
      <c r="D136" s="4" t="s">
        <v>642</v>
      </c>
      <c r="E136" s="134">
        <v>8</v>
      </c>
      <c r="F136" s="2"/>
      <c r="G136" s="4" t="s">
        <v>665</v>
      </c>
      <c r="H136" s="134">
        <v>9</v>
      </c>
      <c r="I136" s="16"/>
      <c r="J136" s="131" t="s">
        <v>1714</v>
      </c>
      <c r="K136" s="12">
        <f>ROUND(SUM(K137:K147)/COUNT(K137:K147), 2)</f>
        <v>8.91</v>
      </c>
      <c r="L136" s="2"/>
      <c r="M136" s="15"/>
      <c r="N136" s="15"/>
      <c r="O136" s="16"/>
      <c r="R136"/>
      <c r="S136"/>
      <c r="T136"/>
      <c r="U136"/>
      <c r="V136"/>
      <c r="W136"/>
      <c r="X136"/>
      <c r="Y136"/>
      <c r="Z136"/>
      <c r="AA136"/>
      <c r="AB136"/>
      <c r="AC136"/>
      <c r="AD136"/>
      <c r="AE136"/>
      <c r="AF136"/>
      <c r="AG136"/>
      <c r="AH136"/>
      <c r="AI136"/>
    </row>
    <row r="137" spans="1:35" ht="16.05" customHeight="1" thickBot="1" x14ac:dyDescent="0.35">
      <c r="A137" s="4" t="s">
        <v>680</v>
      </c>
      <c r="B137" s="134">
        <v>8.5</v>
      </c>
      <c r="C137" s="2"/>
      <c r="D137" s="4" t="s">
        <v>643</v>
      </c>
      <c r="E137" s="134">
        <v>8</v>
      </c>
      <c r="F137" s="2"/>
      <c r="G137" s="4" t="s">
        <v>666</v>
      </c>
      <c r="H137" s="134">
        <v>8.5</v>
      </c>
      <c r="I137" s="16"/>
      <c r="J137" s="11" t="s">
        <v>260</v>
      </c>
      <c r="K137" s="133">
        <v>10</v>
      </c>
      <c r="L137" s="16"/>
      <c r="M137" s="45" t="s">
        <v>824</v>
      </c>
      <c r="N137" s="12">
        <f>ROUND(SUM(N138:N142)/COUNT(N138:N142), 2)</f>
        <v>9.4</v>
      </c>
      <c r="O137" s="16"/>
      <c r="R137"/>
      <c r="S137"/>
      <c r="T137"/>
      <c r="U137"/>
      <c r="V137"/>
      <c r="W137"/>
      <c r="X137"/>
      <c r="Y137"/>
      <c r="Z137"/>
      <c r="AA137"/>
      <c r="AB137"/>
      <c r="AC137"/>
      <c r="AD137"/>
      <c r="AE137"/>
      <c r="AF137"/>
      <c r="AG137"/>
      <c r="AH137"/>
      <c r="AI137"/>
    </row>
    <row r="138" spans="1:35" ht="16.05" customHeight="1" x14ac:dyDescent="0.3">
      <c r="A138" s="4" t="s">
        <v>681</v>
      </c>
      <c r="B138" s="134">
        <v>9</v>
      </c>
      <c r="C138" s="2"/>
      <c r="D138" s="4" t="s">
        <v>644</v>
      </c>
      <c r="E138" s="134">
        <v>7</v>
      </c>
      <c r="F138" s="2"/>
      <c r="G138" s="4" t="s">
        <v>667</v>
      </c>
      <c r="H138" s="134">
        <v>10.5</v>
      </c>
      <c r="I138" s="16"/>
      <c r="J138" s="4" t="s">
        <v>689</v>
      </c>
      <c r="K138" s="134">
        <v>10</v>
      </c>
      <c r="L138" s="16"/>
      <c r="M138" s="11" t="s">
        <v>701</v>
      </c>
      <c r="N138" s="133">
        <v>8.5</v>
      </c>
      <c r="O138" s="16"/>
      <c r="R138"/>
      <c r="S138"/>
      <c r="T138"/>
      <c r="U138"/>
      <c r="V138"/>
      <c r="W138"/>
      <c r="X138"/>
      <c r="Y138"/>
      <c r="Z138"/>
      <c r="AA138"/>
      <c r="AB138"/>
      <c r="AC138"/>
      <c r="AD138"/>
      <c r="AE138"/>
      <c r="AF138"/>
      <c r="AG138"/>
      <c r="AH138"/>
      <c r="AI138"/>
    </row>
    <row r="139" spans="1:35" ht="16.05" customHeight="1" x14ac:dyDescent="0.3">
      <c r="A139" s="4" t="s">
        <v>682</v>
      </c>
      <c r="B139" s="134">
        <v>10</v>
      </c>
      <c r="C139" s="2"/>
      <c r="D139" s="4" t="s">
        <v>645</v>
      </c>
      <c r="E139" s="134">
        <v>6.5</v>
      </c>
      <c r="F139" s="2"/>
      <c r="G139" s="4" t="s">
        <v>668</v>
      </c>
      <c r="H139" s="134">
        <v>8</v>
      </c>
      <c r="I139" s="16"/>
      <c r="J139" s="4" t="s">
        <v>690</v>
      </c>
      <c r="K139" s="134">
        <v>8.5</v>
      </c>
      <c r="L139" s="16"/>
      <c r="M139" s="4" t="s">
        <v>702</v>
      </c>
      <c r="N139" s="134">
        <v>10.5</v>
      </c>
      <c r="O139" s="16"/>
      <c r="R139"/>
      <c r="S139"/>
      <c r="T139"/>
      <c r="U139"/>
      <c r="V139"/>
      <c r="W139"/>
      <c r="X139"/>
      <c r="Y139"/>
      <c r="Z139"/>
      <c r="AA139"/>
      <c r="AB139"/>
      <c r="AC139"/>
      <c r="AD139"/>
      <c r="AE139"/>
      <c r="AF139"/>
      <c r="AG139"/>
      <c r="AH139"/>
      <c r="AI139"/>
    </row>
    <row r="140" spans="1:35" ht="16.05" customHeight="1" x14ac:dyDescent="0.3">
      <c r="A140" s="4" t="s">
        <v>683</v>
      </c>
      <c r="B140" s="134">
        <v>8</v>
      </c>
      <c r="C140" s="2"/>
      <c r="D140" s="4" t="s">
        <v>646</v>
      </c>
      <c r="E140" s="134">
        <v>7</v>
      </c>
      <c r="F140" s="2"/>
      <c r="G140" s="4" t="s">
        <v>669</v>
      </c>
      <c r="H140" s="134">
        <v>8</v>
      </c>
      <c r="I140" s="16"/>
      <c r="J140" s="4" t="s">
        <v>691</v>
      </c>
      <c r="K140" s="134">
        <v>10.5</v>
      </c>
      <c r="L140" s="16"/>
      <c r="M140" s="4" t="s">
        <v>703</v>
      </c>
      <c r="N140" s="134">
        <v>10</v>
      </c>
      <c r="O140" s="16"/>
      <c r="R140"/>
      <c r="S140"/>
      <c r="T140"/>
      <c r="U140"/>
      <c r="V140"/>
      <c r="W140"/>
      <c r="X140"/>
      <c r="Y140"/>
      <c r="Z140"/>
      <c r="AA140"/>
      <c r="AB140"/>
      <c r="AC140"/>
      <c r="AD140"/>
      <c r="AE140"/>
      <c r="AF140"/>
      <c r="AG140"/>
      <c r="AH140"/>
      <c r="AI140"/>
    </row>
    <row r="141" spans="1:35" ht="16.05" customHeight="1" x14ac:dyDescent="0.3">
      <c r="A141" s="4" t="s">
        <v>684</v>
      </c>
      <c r="B141" s="134">
        <v>8.5</v>
      </c>
      <c r="C141" s="2"/>
      <c r="D141" s="4" t="s">
        <v>647</v>
      </c>
      <c r="E141" s="134">
        <v>7.5</v>
      </c>
      <c r="F141" s="2"/>
      <c r="G141" s="4" t="s">
        <v>670</v>
      </c>
      <c r="H141" s="134">
        <v>10.5</v>
      </c>
      <c r="I141" s="16"/>
      <c r="J141" s="4" t="s">
        <v>692</v>
      </c>
      <c r="K141" s="134">
        <v>9</v>
      </c>
      <c r="L141" s="16"/>
      <c r="M141" s="4" t="s">
        <v>704</v>
      </c>
      <c r="N141" s="134">
        <v>9.5</v>
      </c>
      <c r="O141" s="16"/>
      <c r="R141"/>
      <c r="S141"/>
      <c r="T141"/>
      <c r="U141"/>
      <c r="V141"/>
      <c r="W141"/>
      <c r="X141"/>
      <c r="Y141"/>
      <c r="Z141"/>
      <c r="AA141"/>
      <c r="AB141"/>
      <c r="AC141"/>
      <c r="AD141"/>
      <c r="AE141"/>
      <c r="AF141"/>
      <c r="AG141"/>
      <c r="AH141"/>
      <c r="AI141"/>
    </row>
    <row r="142" spans="1:35" ht="16.05" customHeight="1" thickBot="1" x14ac:dyDescent="0.35">
      <c r="A142" s="4" t="s">
        <v>685</v>
      </c>
      <c r="B142" s="134">
        <v>8</v>
      </c>
      <c r="C142" s="2"/>
      <c r="D142" s="4" t="s">
        <v>648</v>
      </c>
      <c r="E142" s="134">
        <v>7</v>
      </c>
      <c r="F142" s="2"/>
      <c r="G142" s="4" t="s">
        <v>671</v>
      </c>
      <c r="H142" s="134">
        <v>8</v>
      </c>
      <c r="I142" s="16"/>
      <c r="J142" s="4" t="s">
        <v>693</v>
      </c>
      <c r="K142" s="134">
        <v>8.5</v>
      </c>
      <c r="L142" s="16"/>
      <c r="M142" s="7" t="s">
        <v>705</v>
      </c>
      <c r="N142" s="135">
        <v>8.5</v>
      </c>
      <c r="O142" s="16"/>
      <c r="R142"/>
      <c r="S142"/>
      <c r="T142"/>
      <c r="U142"/>
      <c r="V142"/>
      <c r="W142"/>
      <c r="X142"/>
      <c r="Y142"/>
      <c r="Z142"/>
      <c r="AA142"/>
      <c r="AB142"/>
      <c r="AC142"/>
      <c r="AD142"/>
      <c r="AE142"/>
      <c r="AF142"/>
      <c r="AG142"/>
      <c r="AH142"/>
      <c r="AI142"/>
    </row>
    <row r="143" spans="1:35" ht="16.05" customHeight="1" thickBot="1" x14ac:dyDescent="0.35">
      <c r="A143" s="7" t="s">
        <v>686</v>
      </c>
      <c r="B143" s="135">
        <v>8</v>
      </c>
      <c r="C143" s="2"/>
      <c r="D143" s="4" t="s">
        <v>649</v>
      </c>
      <c r="E143" s="134">
        <v>9</v>
      </c>
      <c r="F143" s="2"/>
      <c r="G143" s="4" t="s">
        <v>672</v>
      </c>
      <c r="H143" s="134">
        <v>7</v>
      </c>
      <c r="I143" s="16"/>
      <c r="J143" s="4" t="s">
        <v>694</v>
      </c>
      <c r="K143" s="134">
        <v>8</v>
      </c>
      <c r="L143" s="2"/>
      <c r="M143" s="15"/>
      <c r="N143" s="15"/>
      <c r="O143" s="16"/>
      <c r="R143"/>
      <c r="S143"/>
      <c r="T143"/>
      <c r="U143"/>
      <c r="V143"/>
      <c r="W143"/>
      <c r="X143"/>
      <c r="Y143"/>
      <c r="Z143"/>
      <c r="AA143"/>
      <c r="AB143"/>
      <c r="AC143"/>
      <c r="AD143"/>
      <c r="AE143"/>
      <c r="AF143"/>
      <c r="AG143"/>
      <c r="AH143"/>
      <c r="AI143"/>
    </row>
    <row r="144" spans="1:35" ht="16.05" customHeight="1" thickBot="1" x14ac:dyDescent="0.35">
      <c r="A144" s="15"/>
      <c r="B144" s="15"/>
      <c r="C144" s="2"/>
      <c r="D144" s="7" t="s">
        <v>650</v>
      </c>
      <c r="E144" s="135"/>
      <c r="F144" s="2"/>
      <c r="G144" s="4" t="s">
        <v>673</v>
      </c>
      <c r="H144" s="134">
        <v>10</v>
      </c>
      <c r="I144" s="16"/>
      <c r="J144" s="4" t="s">
        <v>695</v>
      </c>
      <c r="K144" s="134">
        <v>8.5</v>
      </c>
      <c r="L144" s="16"/>
      <c r="M144" s="39" t="s">
        <v>743</v>
      </c>
      <c r="N144" s="12">
        <f>ROUND(SUM(N145:N150)/COUNT(N145:N150), 2)</f>
        <v>8.67</v>
      </c>
      <c r="O144" s="16"/>
      <c r="R144"/>
      <c r="S144"/>
      <c r="T144"/>
      <c r="U144"/>
      <c r="V144"/>
      <c r="W144"/>
      <c r="X144"/>
      <c r="Y144"/>
      <c r="Z144"/>
      <c r="AA144"/>
      <c r="AB144"/>
      <c r="AC144"/>
      <c r="AD144"/>
      <c r="AE144"/>
      <c r="AF144"/>
      <c r="AG144"/>
      <c r="AH144"/>
      <c r="AI144"/>
    </row>
    <row r="145" spans="1:35" ht="16.05" customHeight="1" thickBot="1" x14ac:dyDescent="0.35">
      <c r="A145" s="44" t="s">
        <v>823</v>
      </c>
      <c r="B145" s="12">
        <f>ROUND(SUM(B146:B160)/COUNT(B146:B160), 2)</f>
        <v>8.33</v>
      </c>
      <c r="C145" s="2"/>
      <c r="D145" s="13"/>
      <c r="E145" s="15"/>
      <c r="F145" s="2"/>
      <c r="G145" s="4" t="s">
        <v>674</v>
      </c>
      <c r="H145" s="134">
        <v>8.5</v>
      </c>
      <c r="I145" s="16"/>
      <c r="J145" s="4" t="s">
        <v>696</v>
      </c>
      <c r="K145" s="134">
        <v>8</v>
      </c>
      <c r="L145" s="2"/>
      <c r="M145" s="11" t="s">
        <v>706</v>
      </c>
      <c r="N145" s="133">
        <v>10</v>
      </c>
      <c r="O145" s="16"/>
      <c r="R145"/>
      <c r="S145"/>
      <c r="T145"/>
      <c r="U145"/>
      <c r="V145"/>
      <c r="W145"/>
      <c r="X145"/>
      <c r="Y145"/>
      <c r="Z145"/>
      <c r="AA145"/>
      <c r="AB145"/>
      <c r="AC145"/>
      <c r="AD145"/>
      <c r="AE145"/>
      <c r="AF145"/>
      <c r="AG145"/>
      <c r="AH145"/>
      <c r="AI145"/>
    </row>
    <row r="146" spans="1:35" ht="16.05" customHeight="1" thickBot="1" x14ac:dyDescent="0.35">
      <c r="A146" s="11" t="s">
        <v>744</v>
      </c>
      <c r="B146" s="133">
        <v>8</v>
      </c>
      <c r="C146" s="16"/>
      <c r="D146" s="40" t="s">
        <v>773</v>
      </c>
      <c r="E146" s="12">
        <f>ROUND(SUM(E147:E159)/COUNT(E147:E159), 2)</f>
        <v>8.82</v>
      </c>
      <c r="F146" s="2"/>
      <c r="G146" s="4" t="s">
        <v>675</v>
      </c>
      <c r="H146" s="134">
        <v>8</v>
      </c>
      <c r="I146" s="16"/>
      <c r="J146" s="4" t="s">
        <v>697</v>
      </c>
      <c r="K146" s="134">
        <v>8</v>
      </c>
      <c r="L146" s="2"/>
      <c r="M146" s="4" t="s">
        <v>707</v>
      </c>
      <c r="N146" s="134">
        <v>8</v>
      </c>
      <c r="O146" s="16"/>
      <c r="R146"/>
      <c r="S146"/>
      <c r="T146"/>
      <c r="U146"/>
      <c r="V146"/>
      <c r="W146"/>
      <c r="X146"/>
      <c r="Y146"/>
      <c r="Z146"/>
      <c r="AA146"/>
      <c r="AB146"/>
      <c r="AC146"/>
      <c r="AD146"/>
      <c r="AE146"/>
      <c r="AF146"/>
      <c r="AG146"/>
      <c r="AH146"/>
      <c r="AI146"/>
    </row>
    <row r="147" spans="1:35" ht="16.05" customHeight="1" thickBot="1" x14ac:dyDescent="0.35">
      <c r="A147" s="4" t="s">
        <v>745</v>
      </c>
      <c r="B147" s="134">
        <v>9</v>
      </c>
      <c r="C147" s="16"/>
      <c r="D147" s="11" t="s">
        <v>761</v>
      </c>
      <c r="E147" s="133">
        <v>9</v>
      </c>
      <c r="F147" s="2"/>
      <c r="G147" s="7" t="s">
        <v>676</v>
      </c>
      <c r="H147" s="135">
        <v>8</v>
      </c>
      <c r="I147" s="16"/>
      <c r="J147" s="7" t="s">
        <v>698</v>
      </c>
      <c r="K147" s="135">
        <v>9</v>
      </c>
      <c r="L147" s="2"/>
      <c r="M147" s="4" t="s">
        <v>708</v>
      </c>
      <c r="N147" s="134">
        <v>9</v>
      </c>
      <c r="O147" s="16"/>
      <c r="R147"/>
      <c r="S147"/>
      <c r="T147"/>
      <c r="U147"/>
      <c r="V147"/>
      <c r="W147"/>
      <c r="X147"/>
      <c r="Y147"/>
      <c r="Z147"/>
      <c r="AA147"/>
      <c r="AB147"/>
      <c r="AC147"/>
      <c r="AD147"/>
      <c r="AE147"/>
      <c r="AF147"/>
      <c r="AG147"/>
      <c r="AH147"/>
      <c r="AI147"/>
    </row>
    <row r="148" spans="1:35" ht="16.05" customHeight="1" thickBot="1" x14ac:dyDescent="0.35">
      <c r="A148" s="4" t="s">
        <v>746</v>
      </c>
      <c r="B148" s="134">
        <v>10</v>
      </c>
      <c r="C148" s="16"/>
      <c r="D148" s="4" t="s">
        <v>762</v>
      </c>
      <c r="E148" s="134">
        <v>8.5</v>
      </c>
      <c r="F148" s="2"/>
      <c r="G148" s="15"/>
      <c r="H148" s="15"/>
      <c r="I148" s="2"/>
      <c r="J148" s="15"/>
      <c r="K148" s="15"/>
      <c r="L148" s="2"/>
      <c r="M148" s="4" t="s">
        <v>709</v>
      </c>
      <c r="N148" s="134">
        <v>8</v>
      </c>
      <c r="O148" s="16"/>
      <c r="R148"/>
      <c r="S148"/>
      <c r="T148"/>
      <c r="U148"/>
      <c r="V148"/>
      <c r="W148"/>
      <c r="X148"/>
      <c r="Y148"/>
      <c r="Z148"/>
      <c r="AA148"/>
      <c r="AB148"/>
      <c r="AC148"/>
      <c r="AD148"/>
      <c r="AE148"/>
      <c r="AF148"/>
      <c r="AG148"/>
      <c r="AH148"/>
      <c r="AI148"/>
    </row>
    <row r="149" spans="1:35" ht="16.05" customHeight="1" thickBot="1" x14ac:dyDescent="0.35">
      <c r="A149" s="4" t="s">
        <v>747</v>
      </c>
      <c r="B149" s="134">
        <v>8</v>
      </c>
      <c r="C149" s="16"/>
      <c r="D149" s="4" t="s">
        <v>763</v>
      </c>
      <c r="E149" s="134">
        <v>10</v>
      </c>
      <c r="F149" s="16"/>
      <c r="G149" s="43" t="s">
        <v>822</v>
      </c>
      <c r="H149" s="12">
        <f>ROUND(SUM(H150:H163)/COUNT(H150:H163), 2)</f>
        <v>8.7100000000000009</v>
      </c>
      <c r="I149" s="16"/>
      <c r="J149" s="41" t="s">
        <v>798</v>
      </c>
      <c r="K149" s="12">
        <f>ROUND(SUM(K150:K163)/COUNT(K150:K163), 2)</f>
        <v>8.5</v>
      </c>
      <c r="L149" s="2"/>
      <c r="M149" s="4" t="s">
        <v>710</v>
      </c>
      <c r="N149" s="134">
        <v>8</v>
      </c>
      <c r="O149" s="16"/>
      <c r="R149"/>
      <c r="S149"/>
      <c r="T149"/>
      <c r="U149"/>
      <c r="V149"/>
      <c r="W149"/>
      <c r="X149"/>
      <c r="Y149"/>
      <c r="Z149"/>
      <c r="AA149"/>
      <c r="AB149"/>
      <c r="AC149"/>
      <c r="AD149"/>
      <c r="AE149"/>
      <c r="AF149"/>
      <c r="AG149"/>
      <c r="AH149"/>
      <c r="AI149"/>
    </row>
    <row r="150" spans="1:35" ht="16.05" customHeight="1" thickBot="1" x14ac:dyDescent="0.35">
      <c r="A150" s="4" t="s">
        <v>748</v>
      </c>
      <c r="B150" s="134">
        <v>7</v>
      </c>
      <c r="C150" s="16"/>
      <c r="D150" s="4" t="s">
        <v>764</v>
      </c>
      <c r="E150" s="134"/>
      <c r="F150" s="2"/>
      <c r="G150" s="11" t="s">
        <v>782</v>
      </c>
      <c r="H150" s="133">
        <v>10</v>
      </c>
      <c r="I150" s="16"/>
      <c r="J150" s="11" t="s">
        <v>799</v>
      </c>
      <c r="K150" s="133">
        <v>10</v>
      </c>
      <c r="L150" s="2"/>
      <c r="M150" s="7" t="s">
        <v>711</v>
      </c>
      <c r="N150" s="135">
        <v>9</v>
      </c>
      <c r="O150" s="16"/>
      <c r="R150"/>
      <c r="S150"/>
      <c r="T150"/>
      <c r="U150"/>
      <c r="V150"/>
      <c r="W150"/>
      <c r="X150"/>
      <c r="Y150"/>
      <c r="Z150"/>
      <c r="AA150"/>
      <c r="AB150"/>
      <c r="AC150"/>
      <c r="AD150"/>
      <c r="AE150"/>
      <c r="AF150"/>
      <c r="AG150"/>
      <c r="AH150"/>
      <c r="AI150"/>
    </row>
    <row r="151" spans="1:35" ht="16.05" customHeight="1" thickBot="1" x14ac:dyDescent="0.35">
      <c r="A151" s="4" t="s">
        <v>749</v>
      </c>
      <c r="B151" s="134">
        <v>9.5</v>
      </c>
      <c r="C151" s="16"/>
      <c r="D151" s="4" t="s">
        <v>765</v>
      </c>
      <c r="E151" s="134">
        <v>9</v>
      </c>
      <c r="F151" s="2"/>
      <c r="G151" s="4" t="s">
        <v>783</v>
      </c>
      <c r="H151" s="134">
        <v>9</v>
      </c>
      <c r="I151" s="16"/>
      <c r="J151" s="4" t="s">
        <v>800</v>
      </c>
      <c r="K151" s="134">
        <v>9</v>
      </c>
      <c r="L151" s="2"/>
      <c r="M151" s="15"/>
      <c r="N151" s="15"/>
      <c r="O151" s="16"/>
      <c r="R151"/>
      <c r="S151"/>
      <c r="T151"/>
      <c r="U151"/>
      <c r="V151"/>
      <c r="W151"/>
      <c r="X151"/>
      <c r="Y151"/>
      <c r="Z151"/>
      <c r="AA151"/>
      <c r="AB151"/>
      <c r="AC151"/>
      <c r="AD151"/>
      <c r="AE151"/>
      <c r="AF151"/>
      <c r="AG151"/>
      <c r="AH151"/>
      <c r="AI151"/>
    </row>
    <row r="152" spans="1:35" ht="16.05" customHeight="1" thickBot="1" x14ac:dyDescent="0.35">
      <c r="A152" s="4" t="s">
        <v>750</v>
      </c>
      <c r="B152" s="134">
        <v>8.5</v>
      </c>
      <c r="C152" s="16"/>
      <c r="D152" s="4" t="s">
        <v>766</v>
      </c>
      <c r="E152" s="134">
        <v>7.5</v>
      </c>
      <c r="F152" s="2"/>
      <c r="G152" s="4" t="s">
        <v>784</v>
      </c>
      <c r="H152" s="134">
        <v>8.5</v>
      </c>
      <c r="I152" s="16"/>
      <c r="J152" s="4" t="s">
        <v>801</v>
      </c>
      <c r="K152" s="134">
        <v>9</v>
      </c>
      <c r="L152" s="16"/>
      <c r="M152" s="42" t="s">
        <v>815</v>
      </c>
      <c r="N152" s="12">
        <f>ROUND(SUM(N153:N159)/COUNT(N153:N159), 2)</f>
        <v>8.7899999999999991</v>
      </c>
      <c r="O152" s="16"/>
      <c r="R152"/>
      <c r="S152"/>
      <c r="T152"/>
      <c r="U152"/>
      <c r="V152"/>
      <c r="W152"/>
      <c r="X152"/>
      <c r="Y152"/>
      <c r="Z152"/>
      <c r="AA152"/>
      <c r="AB152"/>
      <c r="AC152"/>
      <c r="AD152"/>
      <c r="AE152"/>
      <c r="AF152"/>
      <c r="AG152"/>
      <c r="AH152"/>
      <c r="AI152"/>
    </row>
    <row r="153" spans="1:35" ht="16.05" customHeight="1" x14ac:dyDescent="0.3">
      <c r="A153" s="4" t="s">
        <v>751</v>
      </c>
      <c r="B153" s="134">
        <v>8</v>
      </c>
      <c r="C153" s="16"/>
      <c r="D153" s="4" t="s">
        <v>767</v>
      </c>
      <c r="E153" s="134">
        <v>8</v>
      </c>
      <c r="F153" s="2"/>
      <c r="G153" s="4" t="s">
        <v>785</v>
      </c>
      <c r="H153" s="134">
        <v>10.5</v>
      </c>
      <c r="I153" s="16"/>
      <c r="J153" s="4" t="s">
        <v>802</v>
      </c>
      <c r="K153" s="134">
        <v>8.5</v>
      </c>
      <c r="L153" s="16"/>
      <c r="M153" s="11" t="s">
        <v>816</v>
      </c>
      <c r="N153" s="133">
        <v>9.5</v>
      </c>
      <c r="O153" s="16"/>
      <c r="R153"/>
      <c r="S153"/>
      <c r="T153"/>
      <c r="U153"/>
      <c r="V153"/>
      <c r="W153"/>
      <c r="X153"/>
      <c r="Y153"/>
      <c r="Z153"/>
      <c r="AA153"/>
      <c r="AB153"/>
      <c r="AC153"/>
      <c r="AD153"/>
      <c r="AE153"/>
      <c r="AF153"/>
      <c r="AG153"/>
      <c r="AH153"/>
      <c r="AI153"/>
    </row>
    <row r="154" spans="1:35" ht="16.05" customHeight="1" x14ac:dyDescent="0.3">
      <c r="A154" s="4" t="s">
        <v>752</v>
      </c>
      <c r="B154" s="134">
        <v>7.5</v>
      </c>
      <c r="C154" s="16"/>
      <c r="D154" s="4" t="s">
        <v>768</v>
      </c>
      <c r="E154" s="134">
        <v>10</v>
      </c>
      <c r="F154" s="2"/>
      <c r="G154" s="4" t="s">
        <v>786</v>
      </c>
      <c r="H154" s="134">
        <v>8</v>
      </c>
      <c r="I154" s="16"/>
      <c r="J154" s="4" t="s">
        <v>803</v>
      </c>
      <c r="K154" s="134">
        <v>8</v>
      </c>
      <c r="L154" s="16"/>
      <c r="M154" s="4" t="s">
        <v>817</v>
      </c>
      <c r="N154" s="134">
        <v>8</v>
      </c>
      <c r="O154" s="16"/>
      <c r="R154"/>
      <c r="S154"/>
      <c r="T154"/>
      <c r="U154"/>
      <c r="V154"/>
      <c r="W154"/>
      <c r="X154"/>
      <c r="Y154"/>
      <c r="Z154"/>
      <c r="AA154"/>
      <c r="AB154"/>
      <c r="AC154"/>
      <c r="AD154"/>
      <c r="AE154"/>
      <c r="AF154"/>
      <c r="AG154"/>
      <c r="AH154"/>
      <c r="AI154"/>
    </row>
    <row r="155" spans="1:35" ht="16.05" customHeight="1" x14ac:dyDescent="0.3">
      <c r="A155" s="4" t="s">
        <v>753</v>
      </c>
      <c r="B155" s="134">
        <v>8</v>
      </c>
      <c r="C155" s="16"/>
      <c r="D155" s="4" t="s">
        <v>117</v>
      </c>
      <c r="E155" s="134">
        <v>10</v>
      </c>
      <c r="F155" s="2"/>
      <c r="G155" s="4" t="s">
        <v>54</v>
      </c>
      <c r="H155" s="134">
        <v>8</v>
      </c>
      <c r="I155" s="16"/>
      <c r="J155" s="4" t="s">
        <v>804</v>
      </c>
      <c r="K155" s="134">
        <v>8</v>
      </c>
      <c r="L155" s="16"/>
      <c r="M155" s="4" t="s">
        <v>818</v>
      </c>
      <c r="N155" s="134">
        <v>9.5</v>
      </c>
      <c r="O155" s="16"/>
      <c r="R155"/>
      <c r="S155"/>
      <c r="T155"/>
      <c r="U155"/>
      <c r="V155"/>
      <c r="W155"/>
      <c r="X155"/>
      <c r="Y155"/>
      <c r="Z155"/>
      <c r="AA155"/>
      <c r="AB155"/>
      <c r="AC155"/>
      <c r="AD155"/>
      <c r="AE155"/>
      <c r="AF155"/>
      <c r="AG155"/>
      <c r="AH155"/>
      <c r="AI155"/>
    </row>
    <row r="156" spans="1:35" ht="16.05" customHeight="1" x14ac:dyDescent="0.3">
      <c r="A156" s="4" t="s">
        <v>754</v>
      </c>
      <c r="B156" s="134">
        <v>10</v>
      </c>
      <c r="C156" s="16"/>
      <c r="D156" s="4" t="s">
        <v>769</v>
      </c>
      <c r="E156" s="134">
        <v>8</v>
      </c>
      <c r="F156" s="2"/>
      <c r="G156" s="4" t="s">
        <v>787</v>
      </c>
      <c r="H156" s="134">
        <v>8</v>
      </c>
      <c r="I156" s="16"/>
      <c r="J156" s="4" t="s">
        <v>805</v>
      </c>
      <c r="K156" s="134">
        <v>7.5</v>
      </c>
      <c r="L156" s="16"/>
      <c r="M156" s="4" t="s">
        <v>819</v>
      </c>
      <c r="N156" s="134">
        <v>8.5</v>
      </c>
      <c r="O156" s="16"/>
      <c r="R156"/>
      <c r="S156"/>
      <c r="T156"/>
      <c r="U156"/>
      <c r="V156"/>
      <c r="W156"/>
      <c r="X156"/>
      <c r="Y156"/>
      <c r="Z156"/>
      <c r="AA156"/>
      <c r="AB156"/>
      <c r="AC156"/>
      <c r="AD156"/>
      <c r="AE156"/>
      <c r="AF156"/>
      <c r="AG156"/>
      <c r="AH156"/>
      <c r="AI156"/>
    </row>
    <row r="157" spans="1:35" ht="16.05" customHeight="1" x14ac:dyDescent="0.3">
      <c r="A157" s="4" t="s">
        <v>755</v>
      </c>
      <c r="B157" s="134">
        <v>6</v>
      </c>
      <c r="C157" s="16"/>
      <c r="D157" s="4" t="s">
        <v>770</v>
      </c>
      <c r="E157" s="134">
        <v>9</v>
      </c>
      <c r="F157" s="2"/>
      <c r="G157" s="4" t="s">
        <v>788</v>
      </c>
      <c r="H157" s="134">
        <v>9</v>
      </c>
      <c r="I157" s="16"/>
      <c r="J157" s="4" t="s">
        <v>806</v>
      </c>
      <c r="K157" s="134">
        <v>7</v>
      </c>
      <c r="L157" s="16"/>
      <c r="M157" s="4" t="s">
        <v>854</v>
      </c>
      <c r="N157" s="134">
        <v>10.5</v>
      </c>
      <c r="O157" s="16"/>
      <c r="R157"/>
      <c r="S157"/>
      <c r="T157"/>
      <c r="U157"/>
      <c r="V157"/>
      <c r="W157"/>
      <c r="X157"/>
      <c r="Y157"/>
      <c r="Z157"/>
      <c r="AA157"/>
      <c r="AB157"/>
      <c r="AC157"/>
      <c r="AD157"/>
      <c r="AE157"/>
      <c r="AF157"/>
      <c r="AG157"/>
      <c r="AH157"/>
      <c r="AI157"/>
    </row>
    <row r="158" spans="1:35" ht="16.05" customHeight="1" x14ac:dyDescent="0.3">
      <c r="A158" s="4" t="s">
        <v>756</v>
      </c>
      <c r="B158" s="134">
        <v>7</v>
      </c>
      <c r="C158" s="16"/>
      <c r="D158" s="4" t="s">
        <v>771</v>
      </c>
      <c r="E158" s="134">
        <v>8</v>
      </c>
      <c r="F158" s="2"/>
      <c r="G158" s="4" t="s">
        <v>789</v>
      </c>
      <c r="H158" s="134">
        <v>9</v>
      </c>
      <c r="I158" s="16"/>
      <c r="J158" s="4" t="s">
        <v>807</v>
      </c>
      <c r="K158" s="134">
        <v>10.5</v>
      </c>
      <c r="L158" s="16"/>
      <c r="M158" s="4" t="s">
        <v>820</v>
      </c>
      <c r="N158" s="134">
        <v>8</v>
      </c>
      <c r="O158" s="16"/>
      <c r="R158"/>
      <c r="S158"/>
      <c r="T158"/>
      <c r="U158"/>
      <c r="V158"/>
      <c r="W158"/>
      <c r="X158"/>
      <c r="Y158"/>
      <c r="Z158"/>
      <c r="AA158"/>
      <c r="AB158"/>
      <c r="AC158"/>
      <c r="AD158"/>
      <c r="AE158"/>
      <c r="AF158"/>
      <c r="AG158"/>
      <c r="AH158"/>
      <c r="AI158"/>
    </row>
    <row r="159" spans="1:35" ht="16.05" customHeight="1" thickBot="1" x14ac:dyDescent="0.35">
      <c r="A159" s="4" t="s">
        <v>757</v>
      </c>
      <c r="B159" s="134">
        <v>10</v>
      </c>
      <c r="C159" s="2"/>
      <c r="D159" s="7" t="s">
        <v>772</v>
      </c>
      <c r="E159" s="135"/>
      <c r="F159" s="2"/>
      <c r="G159" s="4" t="s">
        <v>790</v>
      </c>
      <c r="H159" s="134">
        <v>8.5</v>
      </c>
      <c r="I159" s="16"/>
      <c r="J159" s="4" t="s">
        <v>808</v>
      </c>
      <c r="K159" s="134"/>
      <c r="L159" s="16"/>
      <c r="M159" s="7" t="s">
        <v>821</v>
      </c>
      <c r="N159" s="135">
        <v>7.5</v>
      </c>
      <c r="O159" s="16"/>
      <c r="R159"/>
      <c r="S159"/>
      <c r="T159"/>
      <c r="U159"/>
      <c r="V159"/>
      <c r="W159"/>
      <c r="X159"/>
      <c r="Y159"/>
      <c r="Z159"/>
      <c r="AA159"/>
      <c r="AB159"/>
      <c r="AC159"/>
      <c r="AD159"/>
      <c r="AE159"/>
      <c r="AF159"/>
      <c r="AG159"/>
      <c r="AH159"/>
      <c r="AI159"/>
    </row>
    <row r="160" spans="1:35" ht="16.05" customHeight="1" thickBot="1" x14ac:dyDescent="0.35">
      <c r="A160" s="7" t="s">
        <v>758</v>
      </c>
      <c r="B160" s="135">
        <v>8.5</v>
      </c>
      <c r="C160" s="2"/>
      <c r="D160" s="13"/>
      <c r="E160" s="15"/>
      <c r="F160" s="2"/>
      <c r="G160" s="4" t="s">
        <v>791</v>
      </c>
      <c r="H160" s="134">
        <v>8</v>
      </c>
      <c r="I160" s="16"/>
      <c r="J160" s="4" t="s">
        <v>809</v>
      </c>
      <c r="K160" s="134">
        <v>8.5</v>
      </c>
      <c r="L160" s="2"/>
      <c r="M160" s="15"/>
      <c r="N160" s="15"/>
      <c r="O160" s="16"/>
      <c r="R160"/>
      <c r="S160"/>
      <c r="T160"/>
      <c r="U160"/>
      <c r="V160"/>
      <c r="W160"/>
      <c r="X160"/>
      <c r="Y160"/>
      <c r="Z160"/>
      <c r="AA160"/>
      <c r="AB160"/>
      <c r="AC160"/>
      <c r="AD160"/>
      <c r="AE160"/>
      <c r="AF160"/>
      <c r="AG160"/>
      <c r="AH160"/>
      <c r="AI160"/>
    </row>
    <row r="161" spans="1:35" ht="16.05" customHeight="1" thickBot="1" x14ac:dyDescent="0.35">
      <c r="A161" s="15"/>
      <c r="B161" s="15"/>
      <c r="C161" s="16"/>
      <c r="D161" s="75" t="s">
        <v>856</v>
      </c>
      <c r="E161" s="12">
        <f>ROUND(SUM(E162:E170)/COUNT(E162:E170), 2)</f>
        <v>9.06</v>
      </c>
      <c r="F161" s="2"/>
      <c r="G161" s="4" t="s">
        <v>792</v>
      </c>
      <c r="H161" s="134">
        <v>8.5</v>
      </c>
      <c r="I161" s="16"/>
      <c r="J161" s="4" t="s">
        <v>810</v>
      </c>
      <c r="K161" s="134">
        <v>8</v>
      </c>
      <c r="L161" s="16"/>
      <c r="M161" s="76" t="s">
        <v>868</v>
      </c>
      <c r="N161" s="12">
        <f>ROUND(SUM(N162:N180)/COUNT(N162:N180), 2)</f>
        <v>8.5500000000000007</v>
      </c>
      <c r="O161" s="16"/>
      <c r="R161"/>
      <c r="S161"/>
      <c r="T161"/>
      <c r="U161"/>
      <c r="V161"/>
      <c r="W161"/>
      <c r="X161"/>
      <c r="Y161"/>
      <c r="Z161"/>
      <c r="AA161"/>
      <c r="AB161"/>
      <c r="AC161"/>
      <c r="AD161"/>
      <c r="AE161"/>
      <c r="AF161"/>
      <c r="AG161"/>
      <c r="AH161"/>
      <c r="AI161"/>
    </row>
    <row r="162" spans="1:35" ht="16.05" customHeight="1" thickBot="1" x14ac:dyDescent="0.35">
      <c r="A162" s="77" t="s">
        <v>890</v>
      </c>
      <c r="B162" s="12">
        <f>ROUND(SUM(B163:B170)/COUNT(B163:B170), 2)</f>
        <v>7.88</v>
      </c>
      <c r="C162" s="2"/>
      <c r="D162" s="11" t="s">
        <v>857</v>
      </c>
      <c r="E162" s="133">
        <v>10</v>
      </c>
      <c r="F162" s="2"/>
      <c r="G162" s="4" t="s">
        <v>793</v>
      </c>
      <c r="H162" s="134">
        <v>8</v>
      </c>
      <c r="I162" s="16"/>
      <c r="J162" s="4" t="s">
        <v>811</v>
      </c>
      <c r="K162" s="134">
        <v>7.5</v>
      </c>
      <c r="L162" s="2"/>
      <c r="M162" s="11" t="s">
        <v>869</v>
      </c>
      <c r="N162" s="133">
        <v>10</v>
      </c>
      <c r="O162" s="16"/>
      <c r="R162"/>
      <c r="S162"/>
      <c r="T162"/>
      <c r="U162"/>
      <c r="V162"/>
      <c r="W162"/>
      <c r="X162"/>
      <c r="Y162"/>
      <c r="Z162"/>
      <c r="AA162"/>
      <c r="AB162"/>
      <c r="AC162"/>
      <c r="AD162"/>
      <c r="AE162"/>
      <c r="AF162"/>
      <c r="AG162"/>
      <c r="AH162"/>
      <c r="AI162"/>
    </row>
    <row r="163" spans="1:35" ht="16.05" customHeight="1" thickBot="1" x14ac:dyDescent="0.35">
      <c r="A163" s="11" t="s">
        <v>891</v>
      </c>
      <c r="B163" s="133">
        <v>9</v>
      </c>
      <c r="C163" s="2"/>
      <c r="D163" s="4" t="s">
        <v>858</v>
      </c>
      <c r="E163" s="134">
        <v>10</v>
      </c>
      <c r="F163" s="2"/>
      <c r="G163" s="7" t="s">
        <v>794</v>
      </c>
      <c r="H163" s="135">
        <v>9</v>
      </c>
      <c r="I163" s="16"/>
      <c r="J163" s="7" t="s">
        <v>812</v>
      </c>
      <c r="K163" s="135">
        <v>9</v>
      </c>
      <c r="L163" s="2"/>
      <c r="M163" s="4" t="s">
        <v>870</v>
      </c>
      <c r="N163" s="134">
        <v>9</v>
      </c>
      <c r="O163" s="16"/>
      <c r="R163"/>
      <c r="S163"/>
      <c r="T163"/>
      <c r="U163"/>
      <c r="V163"/>
      <c r="W163"/>
      <c r="X163"/>
      <c r="Y163"/>
      <c r="Z163"/>
      <c r="AA163"/>
      <c r="AB163"/>
      <c r="AC163"/>
      <c r="AD163"/>
      <c r="AE163"/>
      <c r="AF163"/>
      <c r="AG163"/>
      <c r="AH163"/>
      <c r="AI163"/>
    </row>
    <row r="164" spans="1:35" ht="16.05" customHeight="1" thickBot="1" x14ac:dyDescent="0.35">
      <c r="A164" s="4" t="s">
        <v>892</v>
      </c>
      <c r="B164" s="134">
        <v>7</v>
      </c>
      <c r="C164" s="2"/>
      <c r="D164" s="4" t="s">
        <v>859</v>
      </c>
      <c r="E164" s="134">
        <v>8.5</v>
      </c>
      <c r="F164" s="2"/>
      <c r="G164" s="15"/>
      <c r="H164" s="15"/>
      <c r="I164" s="2"/>
      <c r="J164" s="15"/>
      <c r="K164" s="15"/>
      <c r="L164" s="2"/>
      <c r="M164" s="4" t="s">
        <v>871</v>
      </c>
      <c r="N164" s="134">
        <v>9</v>
      </c>
      <c r="O164" s="16"/>
      <c r="R164"/>
      <c r="S164"/>
      <c r="T164"/>
      <c r="U164"/>
      <c r="V164"/>
      <c r="W164"/>
      <c r="X164"/>
      <c r="Y164"/>
      <c r="Z164"/>
      <c r="AA164"/>
      <c r="AB164"/>
      <c r="AC164"/>
      <c r="AD164"/>
      <c r="AE164"/>
      <c r="AF164"/>
      <c r="AG164"/>
      <c r="AH164"/>
      <c r="AI164"/>
    </row>
    <row r="165" spans="1:35" ht="16.05" customHeight="1" thickBot="1" x14ac:dyDescent="0.35">
      <c r="A165" s="4" t="s">
        <v>893</v>
      </c>
      <c r="B165" s="134">
        <v>7.5</v>
      </c>
      <c r="C165" s="2"/>
      <c r="D165" s="4" t="s">
        <v>860</v>
      </c>
      <c r="E165" s="134">
        <v>8.5</v>
      </c>
      <c r="F165" s="16"/>
      <c r="G165" s="78" t="s">
        <v>902</v>
      </c>
      <c r="H165" s="12">
        <f>ROUND(SUM(H166:H175)/COUNT(H166:H175), 2)</f>
        <v>8.67</v>
      </c>
      <c r="I165" s="16"/>
      <c r="J165" s="193" t="s">
        <v>915</v>
      </c>
      <c r="K165" s="12">
        <f>ROUND(SUM(K166:K173)/COUNT(K166:K173), 2)</f>
        <v>9.06</v>
      </c>
      <c r="L165" s="2"/>
      <c r="M165" s="4" t="s">
        <v>872</v>
      </c>
      <c r="N165" s="134">
        <v>10</v>
      </c>
      <c r="O165" s="16"/>
      <c r="R165"/>
      <c r="S165"/>
      <c r="T165"/>
      <c r="U165"/>
      <c r="V165"/>
      <c r="W165"/>
      <c r="X165"/>
      <c r="Y165"/>
      <c r="Z165"/>
      <c r="AA165"/>
      <c r="AB165"/>
      <c r="AC165"/>
      <c r="AD165"/>
      <c r="AE165"/>
      <c r="AF165"/>
      <c r="AG165"/>
      <c r="AH165"/>
      <c r="AI165"/>
    </row>
    <row r="166" spans="1:35" ht="16.05" customHeight="1" x14ac:dyDescent="0.3">
      <c r="A166" s="4" t="s">
        <v>894</v>
      </c>
      <c r="B166" s="134">
        <v>6.5</v>
      </c>
      <c r="C166" s="2"/>
      <c r="D166" s="4" t="s">
        <v>861</v>
      </c>
      <c r="E166" s="134"/>
      <c r="F166" s="2"/>
      <c r="G166" s="11" t="s">
        <v>903</v>
      </c>
      <c r="H166" s="133"/>
      <c r="I166" s="16"/>
      <c r="J166" s="11" t="s">
        <v>916</v>
      </c>
      <c r="K166" s="133">
        <v>10.5</v>
      </c>
      <c r="L166" s="2"/>
      <c r="M166" s="4" t="s">
        <v>873</v>
      </c>
      <c r="N166" s="134">
        <v>8.5</v>
      </c>
      <c r="O166" s="16"/>
      <c r="R166"/>
      <c r="S166"/>
      <c r="T166"/>
      <c r="U166"/>
      <c r="V166"/>
      <c r="W166"/>
      <c r="X166"/>
      <c r="Y166"/>
      <c r="Z166"/>
      <c r="AA166"/>
      <c r="AB166"/>
      <c r="AC166"/>
      <c r="AD166"/>
      <c r="AE166"/>
      <c r="AF166"/>
      <c r="AG166"/>
      <c r="AH166"/>
      <c r="AI166"/>
    </row>
    <row r="167" spans="1:35" ht="16.05" customHeight="1" x14ac:dyDescent="0.3">
      <c r="A167" s="4" t="s">
        <v>895</v>
      </c>
      <c r="B167" s="134">
        <v>9</v>
      </c>
      <c r="C167" s="2"/>
      <c r="D167" s="4" t="s">
        <v>862</v>
      </c>
      <c r="E167" s="134">
        <v>10.5</v>
      </c>
      <c r="F167" s="2"/>
      <c r="G167" s="4" t="s">
        <v>904</v>
      </c>
      <c r="H167" s="134">
        <v>10</v>
      </c>
      <c r="I167" s="16"/>
      <c r="J167" s="4" t="s">
        <v>917</v>
      </c>
      <c r="K167" s="134">
        <v>10</v>
      </c>
      <c r="L167" s="2"/>
      <c r="M167" s="4" t="s">
        <v>874</v>
      </c>
      <c r="N167" s="134">
        <v>9.5</v>
      </c>
      <c r="O167" s="16"/>
      <c r="R167"/>
      <c r="S167"/>
      <c r="T167"/>
      <c r="U167"/>
      <c r="V167"/>
      <c r="W167"/>
      <c r="X167"/>
      <c r="Y167"/>
      <c r="Z167"/>
      <c r="AA167"/>
      <c r="AB167"/>
      <c r="AC167"/>
      <c r="AD167"/>
      <c r="AE167"/>
      <c r="AF167"/>
      <c r="AG167"/>
      <c r="AH167"/>
      <c r="AI167"/>
    </row>
    <row r="168" spans="1:35" ht="16.05" customHeight="1" x14ac:dyDescent="0.3">
      <c r="A168" s="4" t="s">
        <v>896</v>
      </c>
      <c r="B168" s="134">
        <v>8.5</v>
      </c>
      <c r="C168" s="2"/>
      <c r="D168" s="4" t="s">
        <v>863</v>
      </c>
      <c r="E168" s="134">
        <v>8</v>
      </c>
      <c r="F168" s="2"/>
      <c r="G168" s="4" t="s">
        <v>905</v>
      </c>
      <c r="H168" s="134">
        <v>8.5</v>
      </c>
      <c r="I168" s="16"/>
      <c r="J168" s="4" t="s">
        <v>918</v>
      </c>
      <c r="K168" s="134">
        <v>8.5</v>
      </c>
      <c r="L168" s="2"/>
      <c r="M168" s="4" t="s">
        <v>875</v>
      </c>
      <c r="N168" s="134">
        <v>8</v>
      </c>
      <c r="O168" s="16"/>
      <c r="R168"/>
      <c r="S168"/>
      <c r="T168"/>
      <c r="U168"/>
      <c r="V168"/>
      <c r="W168"/>
      <c r="X168"/>
      <c r="Y168"/>
      <c r="Z168"/>
      <c r="AA168"/>
      <c r="AB168"/>
      <c r="AC168"/>
      <c r="AD168"/>
      <c r="AE168"/>
      <c r="AF168"/>
      <c r="AG168"/>
      <c r="AH168"/>
      <c r="AI168"/>
    </row>
    <row r="169" spans="1:35" ht="16.05" customHeight="1" x14ac:dyDescent="0.3">
      <c r="A169" s="4" t="s">
        <v>897</v>
      </c>
      <c r="B169" s="134">
        <v>7.5</v>
      </c>
      <c r="C169" s="2"/>
      <c r="D169" s="4" t="s">
        <v>864</v>
      </c>
      <c r="E169" s="134">
        <v>8</v>
      </c>
      <c r="F169" s="2"/>
      <c r="G169" s="4" t="s">
        <v>906</v>
      </c>
      <c r="H169" s="134">
        <v>8.5</v>
      </c>
      <c r="I169" s="16"/>
      <c r="J169" s="4" t="s">
        <v>919</v>
      </c>
      <c r="K169" s="134">
        <v>8</v>
      </c>
      <c r="L169" s="2"/>
      <c r="M169" s="4" t="s">
        <v>876</v>
      </c>
      <c r="N169" s="134">
        <v>9</v>
      </c>
      <c r="O169" s="16"/>
      <c r="R169"/>
      <c r="S169"/>
      <c r="T169"/>
      <c r="U169"/>
      <c r="V169"/>
      <c r="W169"/>
      <c r="X169"/>
      <c r="Y169"/>
      <c r="Z169"/>
      <c r="AA169"/>
      <c r="AB169"/>
      <c r="AC169"/>
      <c r="AD169"/>
      <c r="AE169"/>
      <c r="AF169"/>
      <c r="AG169"/>
      <c r="AH169"/>
      <c r="AI169"/>
    </row>
    <row r="170" spans="1:35" ht="16.05" customHeight="1" thickBot="1" x14ac:dyDescent="0.35">
      <c r="A170" s="7" t="s">
        <v>898</v>
      </c>
      <c r="B170" s="135">
        <v>8</v>
      </c>
      <c r="C170" s="2"/>
      <c r="D170" s="7" t="s">
        <v>865</v>
      </c>
      <c r="E170" s="135">
        <v>9</v>
      </c>
      <c r="F170" s="2"/>
      <c r="G170" s="4" t="s">
        <v>907</v>
      </c>
      <c r="H170" s="134">
        <v>9.5</v>
      </c>
      <c r="I170" s="16"/>
      <c r="J170" s="4" t="s">
        <v>920</v>
      </c>
      <c r="K170" s="134">
        <v>9</v>
      </c>
      <c r="L170" s="2"/>
      <c r="M170" s="4" t="s">
        <v>877</v>
      </c>
      <c r="N170" s="134">
        <v>8</v>
      </c>
      <c r="O170" s="16"/>
      <c r="R170"/>
      <c r="S170"/>
      <c r="T170"/>
      <c r="U170"/>
      <c r="V170"/>
      <c r="W170"/>
      <c r="X170"/>
      <c r="Y170"/>
      <c r="Z170"/>
      <c r="AA170"/>
      <c r="AB170"/>
      <c r="AC170"/>
      <c r="AD170"/>
      <c r="AE170"/>
      <c r="AF170"/>
      <c r="AG170"/>
      <c r="AH170"/>
      <c r="AI170"/>
    </row>
    <row r="171" spans="1:35" ht="16.05" customHeight="1" thickBot="1" x14ac:dyDescent="0.35">
      <c r="A171" s="15"/>
      <c r="B171" s="15"/>
      <c r="C171" s="2"/>
      <c r="D171" s="13"/>
      <c r="E171" s="15"/>
      <c r="F171" s="2"/>
      <c r="G171" s="4" t="s">
        <v>908</v>
      </c>
      <c r="H171" s="134">
        <v>8</v>
      </c>
      <c r="I171" s="16"/>
      <c r="J171" s="4" t="s">
        <v>921</v>
      </c>
      <c r="K171" s="134">
        <v>8</v>
      </c>
      <c r="L171" s="2"/>
      <c r="M171" s="4" t="s">
        <v>878</v>
      </c>
      <c r="N171" s="134">
        <v>8</v>
      </c>
      <c r="O171" s="16"/>
      <c r="R171"/>
      <c r="S171"/>
      <c r="T171"/>
      <c r="U171"/>
      <c r="V171"/>
      <c r="W171"/>
      <c r="X171"/>
      <c r="Y171"/>
      <c r="Z171"/>
      <c r="AA171"/>
      <c r="AB171"/>
      <c r="AC171"/>
      <c r="AD171"/>
      <c r="AE171"/>
      <c r="AF171"/>
      <c r="AG171"/>
      <c r="AH171"/>
      <c r="AI171"/>
    </row>
    <row r="172" spans="1:35" ht="16.05" customHeight="1" thickBot="1" x14ac:dyDescent="0.35">
      <c r="A172" s="81" t="s">
        <v>939</v>
      </c>
      <c r="B172" s="12">
        <f>ROUND(SUM(B173:B183)/COUNT(B173:B183), 2)</f>
        <v>8.73</v>
      </c>
      <c r="C172" s="16"/>
      <c r="D172" s="79" t="s">
        <v>925</v>
      </c>
      <c r="E172" s="12">
        <f>ROUND(SUM(E173:E184)/COUNT(E173:E184), 2)</f>
        <v>7.5</v>
      </c>
      <c r="F172" s="2"/>
      <c r="G172" s="4" t="s">
        <v>909</v>
      </c>
      <c r="H172" s="134">
        <v>8.5</v>
      </c>
      <c r="I172" s="16"/>
      <c r="J172" s="4" t="s">
        <v>922</v>
      </c>
      <c r="K172" s="134">
        <v>9</v>
      </c>
      <c r="L172" s="2"/>
      <c r="M172" s="4" t="s">
        <v>879</v>
      </c>
      <c r="N172" s="134">
        <v>7.5</v>
      </c>
      <c r="O172" s="16"/>
      <c r="R172"/>
      <c r="S172"/>
      <c r="T172"/>
      <c r="U172"/>
      <c r="V172"/>
      <c r="W172"/>
      <c r="X172"/>
      <c r="Y172"/>
      <c r="Z172"/>
      <c r="AA172"/>
      <c r="AB172"/>
      <c r="AC172"/>
      <c r="AD172"/>
      <c r="AE172"/>
      <c r="AF172"/>
      <c r="AG172"/>
      <c r="AH172"/>
      <c r="AI172"/>
    </row>
    <row r="173" spans="1:35" ht="16.05" customHeight="1" thickBot="1" x14ac:dyDescent="0.35">
      <c r="A173" s="11" t="s">
        <v>940</v>
      </c>
      <c r="B173" s="133">
        <v>9</v>
      </c>
      <c r="C173" s="21"/>
      <c r="D173" s="80" t="s">
        <v>926</v>
      </c>
      <c r="E173" s="133">
        <v>8</v>
      </c>
      <c r="F173" s="2"/>
      <c r="G173" s="4" t="s">
        <v>910</v>
      </c>
      <c r="H173" s="134">
        <v>9</v>
      </c>
      <c r="I173" s="16"/>
      <c r="J173" s="7" t="s">
        <v>923</v>
      </c>
      <c r="K173" s="135">
        <v>9.5</v>
      </c>
      <c r="L173" s="2"/>
      <c r="M173" s="4" t="s">
        <v>880</v>
      </c>
      <c r="N173" s="134">
        <v>8.5</v>
      </c>
      <c r="O173" s="16"/>
      <c r="R173"/>
      <c r="S173"/>
      <c r="T173"/>
      <c r="U173"/>
      <c r="V173"/>
      <c r="W173"/>
      <c r="X173"/>
      <c r="Y173"/>
      <c r="Z173"/>
      <c r="AA173"/>
      <c r="AB173"/>
      <c r="AC173"/>
      <c r="AD173"/>
      <c r="AE173"/>
      <c r="AF173"/>
      <c r="AG173"/>
      <c r="AH173"/>
      <c r="AI173"/>
    </row>
    <row r="174" spans="1:35" ht="16.05" customHeight="1" thickBot="1" x14ac:dyDescent="0.35">
      <c r="A174" s="4" t="s">
        <v>941</v>
      </c>
      <c r="B174" s="134">
        <v>10</v>
      </c>
      <c r="C174" s="2"/>
      <c r="D174" s="4" t="s">
        <v>927</v>
      </c>
      <c r="E174" s="134">
        <v>9</v>
      </c>
      <c r="F174" s="2"/>
      <c r="G174" s="4" t="s">
        <v>911</v>
      </c>
      <c r="H174" s="134">
        <v>8.5</v>
      </c>
      <c r="I174" s="2"/>
      <c r="J174" s="13"/>
      <c r="K174" s="13"/>
      <c r="L174" s="2"/>
      <c r="M174" s="4" t="s">
        <v>881</v>
      </c>
      <c r="N174" s="134">
        <v>8.5</v>
      </c>
      <c r="O174" s="16"/>
      <c r="R174"/>
      <c r="S174"/>
      <c r="T174"/>
      <c r="U174"/>
      <c r="V174"/>
      <c r="W174"/>
      <c r="X174"/>
      <c r="Y174"/>
      <c r="Z174"/>
      <c r="AA174"/>
      <c r="AB174"/>
      <c r="AC174"/>
      <c r="AD174"/>
      <c r="AE174"/>
      <c r="AF174"/>
      <c r="AG174"/>
      <c r="AH174"/>
      <c r="AI174"/>
    </row>
    <row r="175" spans="1:35" ht="16.05" customHeight="1" thickBot="1" x14ac:dyDescent="0.35">
      <c r="A175" s="4" t="s">
        <v>942</v>
      </c>
      <c r="B175" s="134">
        <v>9</v>
      </c>
      <c r="C175" s="2"/>
      <c r="D175" s="4" t="s">
        <v>928</v>
      </c>
      <c r="E175" s="134">
        <v>7.5</v>
      </c>
      <c r="F175" s="2"/>
      <c r="G175" s="7" t="s">
        <v>912</v>
      </c>
      <c r="H175" s="135">
        <v>7.5</v>
      </c>
      <c r="I175" s="16"/>
      <c r="J175" s="86" t="s">
        <v>960</v>
      </c>
      <c r="K175" s="12">
        <f>ROUND(SUM(K176:K180)/COUNT(K176:K180), 2)</f>
        <v>9.3000000000000007</v>
      </c>
      <c r="L175" s="2"/>
      <c r="M175" s="4" t="s">
        <v>882</v>
      </c>
      <c r="N175" s="134">
        <v>9</v>
      </c>
      <c r="O175" s="16"/>
      <c r="R175"/>
      <c r="S175"/>
      <c r="T175"/>
      <c r="U175"/>
      <c r="V175"/>
      <c r="W175"/>
      <c r="X175"/>
      <c r="Y175"/>
      <c r="Z175"/>
      <c r="AA175"/>
      <c r="AB175"/>
      <c r="AC175"/>
      <c r="AD175"/>
      <c r="AE175"/>
      <c r="AF175"/>
      <c r="AG175"/>
      <c r="AH175"/>
      <c r="AI175"/>
    </row>
    <row r="176" spans="1:35" ht="16.05" customHeight="1" thickBot="1" x14ac:dyDescent="0.35">
      <c r="A176" s="4" t="s">
        <v>943</v>
      </c>
      <c r="B176" s="134">
        <v>9.5</v>
      </c>
      <c r="C176" s="2"/>
      <c r="D176" s="4" t="s">
        <v>929</v>
      </c>
      <c r="E176" s="134">
        <v>8.5</v>
      </c>
      <c r="F176" s="2"/>
      <c r="G176" s="15"/>
      <c r="H176" s="15"/>
      <c r="I176" s="2"/>
      <c r="J176" s="11" t="s">
        <v>961</v>
      </c>
      <c r="K176" s="133">
        <v>9</v>
      </c>
      <c r="L176" s="2"/>
      <c r="M176" s="4" t="s">
        <v>883</v>
      </c>
      <c r="N176" s="134">
        <v>7.5</v>
      </c>
      <c r="O176" s="16"/>
      <c r="R176"/>
      <c r="S176"/>
      <c r="T176"/>
      <c r="U176"/>
      <c r="V176"/>
      <c r="W176"/>
      <c r="X176"/>
      <c r="Y176"/>
      <c r="Z176"/>
      <c r="AA176"/>
      <c r="AB176"/>
      <c r="AC176"/>
      <c r="AD176"/>
      <c r="AE176"/>
      <c r="AF176"/>
      <c r="AG176"/>
      <c r="AH176"/>
      <c r="AI176"/>
    </row>
    <row r="177" spans="1:35" ht="16.05" customHeight="1" thickBot="1" x14ac:dyDescent="0.35">
      <c r="A177" s="4" t="s">
        <v>944</v>
      </c>
      <c r="B177" s="134">
        <v>10.5</v>
      </c>
      <c r="C177" s="2"/>
      <c r="D177" s="4" t="s">
        <v>930</v>
      </c>
      <c r="E177" s="134">
        <v>7.5</v>
      </c>
      <c r="F177" s="16"/>
      <c r="G177" s="138" t="s">
        <v>1188</v>
      </c>
      <c r="H177" s="12">
        <f>ROUND(SUM(H178:H189)/COUNT(H178:H189), 2)</f>
        <v>8.5500000000000007</v>
      </c>
      <c r="I177" s="2"/>
      <c r="J177" s="4" t="s">
        <v>962</v>
      </c>
      <c r="K177" s="134">
        <v>10</v>
      </c>
      <c r="L177" s="2"/>
      <c r="M177" s="4" t="s">
        <v>884</v>
      </c>
      <c r="N177" s="134">
        <v>7</v>
      </c>
      <c r="O177" s="16"/>
      <c r="R177"/>
      <c r="S177"/>
      <c r="T177"/>
      <c r="U177"/>
      <c r="V177"/>
      <c r="W177"/>
      <c r="X177"/>
      <c r="Y177"/>
      <c r="Z177"/>
      <c r="AA177"/>
      <c r="AB177"/>
      <c r="AC177"/>
      <c r="AD177"/>
      <c r="AE177"/>
      <c r="AF177"/>
      <c r="AG177"/>
      <c r="AH177"/>
      <c r="AI177"/>
    </row>
    <row r="178" spans="1:35" ht="16.05" customHeight="1" x14ac:dyDescent="0.3">
      <c r="A178" s="4" t="s">
        <v>945</v>
      </c>
      <c r="B178" s="134">
        <v>8</v>
      </c>
      <c r="C178" s="2"/>
      <c r="D178" s="4" t="s">
        <v>931</v>
      </c>
      <c r="E178" s="134">
        <v>7.5</v>
      </c>
      <c r="F178" s="2"/>
      <c r="G178" s="11" t="s">
        <v>966</v>
      </c>
      <c r="H178" s="133"/>
      <c r="I178" s="2"/>
      <c r="J178" s="4" t="s">
        <v>963</v>
      </c>
      <c r="K178" s="134">
        <v>9</v>
      </c>
      <c r="L178" s="2"/>
      <c r="M178" s="4" t="s">
        <v>885</v>
      </c>
      <c r="N178" s="134">
        <v>7.5</v>
      </c>
      <c r="O178" s="16"/>
      <c r="R178"/>
      <c r="S178"/>
      <c r="T178"/>
      <c r="U178"/>
      <c r="V178"/>
      <c r="W178"/>
      <c r="X178"/>
      <c r="Y178"/>
      <c r="Z178"/>
      <c r="AA178"/>
      <c r="AB178"/>
      <c r="AC178"/>
      <c r="AD178"/>
      <c r="AE178"/>
      <c r="AF178"/>
      <c r="AG178"/>
      <c r="AH178"/>
      <c r="AI178"/>
    </row>
    <row r="179" spans="1:35" ht="16.05" customHeight="1" x14ac:dyDescent="0.3">
      <c r="A179" s="4" t="s">
        <v>946</v>
      </c>
      <c r="B179" s="134">
        <v>7.5</v>
      </c>
      <c r="C179" s="2"/>
      <c r="D179" s="4" t="s">
        <v>932</v>
      </c>
      <c r="E179" s="134">
        <v>6.5</v>
      </c>
      <c r="F179" s="2"/>
      <c r="G179" s="4" t="s">
        <v>967</v>
      </c>
      <c r="H179" s="134">
        <v>8.5</v>
      </c>
      <c r="I179" s="2"/>
      <c r="J179" s="4" t="s">
        <v>964</v>
      </c>
      <c r="K179" s="134">
        <v>8</v>
      </c>
      <c r="L179" s="2"/>
      <c r="M179" s="4" t="s">
        <v>886</v>
      </c>
      <c r="N179" s="134">
        <v>7.5</v>
      </c>
      <c r="O179" s="16"/>
      <c r="R179"/>
      <c r="S179"/>
      <c r="T179"/>
      <c r="U179"/>
      <c r="V179"/>
      <c r="W179"/>
      <c r="X179"/>
      <c r="Y179"/>
      <c r="Z179"/>
      <c r="AA179"/>
      <c r="AB179"/>
      <c r="AC179"/>
      <c r="AD179"/>
      <c r="AE179"/>
      <c r="AF179"/>
      <c r="AG179"/>
      <c r="AH179"/>
      <c r="AI179"/>
    </row>
    <row r="180" spans="1:35" ht="16.05" customHeight="1" thickBot="1" x14ac:dyDescent="0.35">
      <c r="A180" s="4" t="s">
        <v>947</v>
      </c>
      <c r="B180" s="134">
        <v>9</v>
      </c>
      <c r="C180" s="2"/>
      <c r="D180" s="4" t="s">
        <v>933</v>
      </c>
      <c r="E180" s="134">
        <v>7.5</v>
      </c>
      <c r="F180" s="2"/>
      <c r="G180" s="4" t="s">
        <v>968</v>
      </c>
      <c r="H180" s="134">
        <v>9</v>
      </c>
      <c r="I180" s="2"/>
      <c r="J180" s="7" t="s">
        <v>965</v>
      </c>
      <c r="K180" s="135">
        <v>10.5</v>
      </c>
      <c r="L180" s="2"/>
      <c r="M180" s="7" t="s">
        <v>887</v>
      </c>
      <c r="N180" s="135">
        <v>10.5</v>
      </c>
      <c r="O180" s="16"/>
      <c r="R180"/>
      <c r="S180"/>
      <c r="T180"/>
      <c r="U180"/>
      <c r="V180"/>
      <c r="W180"/>
      <c r="X180"/>
      <c r="Y180"/>
      <c r="Z180"/>
      <c r="AA180"/>
      <c r="AB180"/>
      <c r="AC180"/>
      <c r="AD180"/>
      <c r="AE180"/>
      <c r="AF180"/>
      <c r="AG180"/>
      <c r="AH180"/>
      <c r="AI180"/>
    </row>
    <row r="181" spans="1:35" ht="16.05" customHeight="1" thickBot="1" x14ac:dyDescent="0.35">
      <c r="A181" s="4" t="s">
        <v>948</v>
      </c>
      <c r="B181" s="134">
        <v>8</v>
      </c>
      <c r="C181" s="2"/>
      <c r="D181" s="4" t="s">
        <v>934</v>
      </c>
      <c r="E181" s="134">
        <v>7</v>
      </c>
      <c r="F181" s="2"/>
      <c r="G181" s="4" t="s">
        <v>969</v>
      </c>
      <c r="H181" s="134">
        <v>8</v>
      </c>
      <c r="I181" s="2"/>
      <c r="J181" s="15"/>
      <c r="K181" s="15"/>
      <c r="L181" s="2"/>
      <c r="M181" s="15"/>
      <c r="N181" s="15"/>
      <c r="O181" s="16"/>
      <c r="R181"/>
      <c r="S181"/>
      <c r="T181"/>
      <c r="U181"/>
      <c r="V181"/>
      <c r="W181"/>
      <c r="X181"/>
      <c r="Y181"/>
      <c r="Z181"/>
      <c r="AA181"/>
      <c r="AB181"/>
      <c r="AC181"/>
      <c r="AD181"/>
      <c r="AE181"/>
      <c r="AF181"/>
      <c r="AG181"/>
      <c r="AH181"/>
      <c r="AI181"/>
    </row>
    <row r="182" spans="1:35" ht="16.05" customHeight="1" thickBot="1" x14ac:dyDescent="0.35">
      <c r="A182" s="4" t="s">
        <v>949</v>
      </c>
      <c r="B182" s="134">
        <v>8</v>
      </c>
      <c r="C182" s="2"/>
      <c r="D182" s="4" t="s">
        <v>935</v>
      </c>
      <c r="E182" s="134">
        <v>6.5</v>
      </c>
      <c r="F182" s="2"/>
      <c r="G182" s="4" t="s">
        <v>970</v>
      </c>
      <c r="H182" s="134">
        <v>8.5</v>
      </c>
      <c r="I182" s="16"/>
      <c r="J182" s="87" t="s">
        <v>985</v>
      </c>
      <c r="K182" s="12">
        <f>ROUND(SUM(K183:K187)/COUNT(K183:K187), 2)</f>
        <v>10</v>
      </c>
      <c r="L182" s="2"/>
      <c r="M182" s="82" t="s">
        <v>952</v>
      </c>
      <c r="N182" s="12">
        <f>ROUND(SUM(N183)/COUNT(N183), 2)</f>
        <v>10.5</v>
      </c>
      <c r="O182" s="16"/>
      <c r="R182"/>
      <c r="S182"/>
      <c r="T182"/>
      <c r="U182"/>
      <c r="V182"/>
      <c r="W182"/>
      <c r="X182"/>
      <c r="Y182"/>
      <c r="Z182"/>
      <c r="AA182"/>
      <c r="AB182"/>
      <c r="AC182"/>
      <c r="AD182"/>
      <c r="AE182"/>
      <c r="AF182"/>
      <c r="AG182"/>
      <c r="AH182"/>
      <c r="AI182"/>
    </row>
    <row r="183" spans="1:35" ht="16.05" customHeight="1" thickBot="1" x14ac:dyDescent="0.35">
      <c r="A183" s="7" t="s">
        <v>950</v>
      </c>
      <c r="B183" s="135">
        <v>7.5</v>
      </c>
      <c r="C183" s="2"/>
      <c r="D183" s="4" t="s">
        <v>936</v>
      </c>
      <c r="E183" s="134">
        <v>6.5</v>
      </c>
      <c r="F183" s="2"/>
      <c r="G183" s="4" t="s">
        <v>971</v>
      </c>
      <c r="H183" s="134">
        <v>8</v>
      </c>
      <c r="I183" s="16"/>
      <c r="J183" s="11" t="s">
        <v>980</v>
      </c>
      <c r="K183" s="133">
        <v>10.5</v>
      </c>
      <c r="L183" s="2"/>
      <c r="M183" s="139" t="s">
        <v>951</v>
      </c>
      <c r="N183" s="140">
        <v>10.5</v>
      </c>
      <c r="O183" s="16"/>
      <c r="R183"/>
      <c r="S183"/>
      <c r="T183"/>
      <c r="U183"/>
      <c r="V183"/>
      <c r="W183"/>
      <c r="X183"/>
      <c r="Y183"/>
      <c r="Z183"/>
      <c r="AA183"/>
      <c r="AB183"/>
      <c r="AC183"/>
      <c r="AD183"/>
      <c r="AE183"/>
      <c r="AF183"/>
      <c r="AG183"/>
      <c r="AH183"/>
      <c r="AI183"/>
    </row>
    <row r="184" spans="1:35" ht="16.05" customHeight="1" thickBot="1" x14ac:dyDescent="0.35">
      <c r="A184" s="15"/>
      <c r="B184" s="15"/>
      <c r="C184" s="2"/>
      <c r="D184" s="7" t="s">
        <v>937</v>
      </c>
      <c r="E184" s="135">
        <v>8</v>
      </c>
      <c r="F184" s="2"/>
      <c r="G184" s="4" t="s">
        <v>972</v>
      </c>
      <c r="H184" s="134">
        <v>7.5</v>
      </c>
      <c r="I184" s="16"/>
      <c r="J184" s="4" t="s">
        <v>981</v>
      </c>
      <c r="K184" s="134">
        <v>9</v>
      </c>
      <c r="L184" s="2"/>
      <c r="M184" s="15"/>
      <c r="N184" s="15"/>
      <c r="O184" s="16"/>
      <c r="R184"/>
      <c r="S184"/>
      <c r="T184"/>
      <c r="U184"/>
      <c r="V184"/>
      <c r="W184"/>
      <c r="X184"/>
      <c r="Y184"/>
      <c r="Z184"/>
      <c r="AA184"/>
      <c r="AB184"/>
      <c r="AC184"/>
      <c r="AD184"/>
      <c r="AE184"/>
      <c r="AF184"/>
      <c r="AG184"/>
      <c r="AH184"/>
      <c r="AI184"/>
    </row>
    <row r="185" spans="1:35" ht="16.05" customHeight="1" thickBot="1" x14ac:dyDescent="0.35">
      <c r="A185" s="88" t="s">
        <v>1063</v>
      </c>
      <c r="B185" s="12">
        <f>ROUND(SUM(B186:B194)/COUNT(B186:B194), 2)</f>
        <v>9</v>
      </c>
      <c r="C185" s="2"/>
      <c r="D185" s="13"/>
      <c r="E185" s="15"/>
      <c r="F185" s="2"/>
      <c r="G185" s="4" t="s">
        <v>973</v>
      </c>
      <c r="H185" s="134">
        <v>8</v>
      </c>
      <c r="I185" s="16"/>
      <c r="J185" s="4" t="s">
        <v>982</v>
      </c>
      <c r="K185" s="134">
        <v>10</v>
      </c>
      <c r="L185" s="16"/>
      <c r="M185" s="113" t="s">
        <v>1452</v>
      </c>
      <c r="N185" s="12">
        <f>ROUND(SUM(N186:N209)/COUNT(N186:N209), 2)</f>
        <v>8.7200000000000006</v>
      </c>
      <c r="O185" s="16"/>
      <c r="R185"/>
      <c r="S185"/>
      <c r="T185"/>
      <c r="U185"/>
      <c r="V185"/>
      <c r="W185"/>
      <c r="X185"/>
      <c r="Y185"/>
      <c r="Z185"/>
      <c r="AA185"/>
      <c r="AB185"/>
      <c r="AC185"/>
      <c r="AD185"/>
      <c r="AE185"/>
      <c r="AF185"/>
      <c r="AG185"/>
      <c r="AH185"/>
      <c r="AI185"/>
    </row>
    <row r="186" spans="1:35" ht="16.05" customHeight="1" thickBot="1" x14ac:dyDescent="0.35">
      <c r="A186" s="11" t="s">
        <v>1064</v>
      </c>
      <c r="B186" s="133">
        <v>9.5</v>
      </c>
      <c r="C186" s="21"/>
      <c r="D186" s="89" t="s">
        <v>1073</v>
      </c>
      <c r="E186" s="12">
        <f>ROUND(SUM(E187:E199)/COUNT(E187:E199), 2)</f>
        <v>8.4600000000000009</v>
      </c>
      <c r="F186" s="2"/>
      <c r="G186" s="4" t="s">
        <v>974</v>
      </c>
      <c r="H186" s="134">
        <v>9.5</v>
      </c>
      <c r="I186" s="16"/>
      <c r="J186" s="4" t="s">
        <v>983</v>
      </c>
      <c r="K186" s="134">
        <v>10.5</v>
      </c>
      <c r="L186" s="2"/>
      <c r="M186" s="11" t="s">
        <v>1090</v>
      </c>
      <c r="N186" s="133">
        <v>8</v>
      </c>
      <c r="O186" s="16"/>
      <c r="R186"/>
      <c r="S186"/>
      <c r="T186"/>
      <c r="U186"/>
      <c r="V186"/>
      <c r="W186"/>
      <c r="X186"/>
      <c r="Y186"/>
      <c r="Z186"/>
      <c r="AA186"/>
      <c r="AB186"/>
      <c r="AC186"/>
      <c r="AD186"/>
      <c r="AE186"/>
      <c r="AF186"/>
      <c r="AG186"/>
      <c r="AH186"/>
      <c r="AI186"/>
    </row>
    <row r="187" spans="1:35" ht="16.05" customHeight="1" thickBot="1" x14ac:dyDescent="0.35">
      <c r="A187" s="4" t="s">
        <v>1065</v>
      </c>
      <c r="B187" s="134">
        <v>9</v>
      </c>
      <c r="C187" s="2"/>
      <c r="D187" s="11" t="s">
        <v>1074</v>
      </c>
      <c r="E187" s="133">
        <v>9</v>
      </c>
      <c r="F187" s="2"/>
      <c r="G187" s="4" t="s">
        <v>975</v>
      </c>
      <c r="H187" s="134">
        <v>10</v>
      </c>
      <c r="I187" s="16"/>
      <c r="J187" s="7" t="s">
        <v>984</v>
      </c>
      <c r="K187" s="135">
        <v>10</v>
      </c>
      <c r="L187" s="2"/>
      <c r="M187" s="4" t="s">
        <v>1091</v>
      </c>
      <c r="N187" s="134">
        <v>8.5</v>
      </c>
      <c r="O187" s="16"/>
      <c r="R187"/>
      <c r="S187"/>
      <c r="T187"/>
      <c r="U187"/>
      <c r="V187"/>
      <c r="W187"/>
      <c r="X187"/>
      <c r="Y187"/>
      <c r="Z187"/>
      <c r="AA187"/>
      <c r="AB187"/>
      <c r="AC187"/>
      <c r="AD187"/>
      <c r="AE187"/>
      <c r="AF187"/>
      <c r="AG187"/>
      <c r="AH187"/>
      <c r="AI187"/>
    </row>
    <row r="188" spans="1:35" ht="16.05" customHeight="1" thickBot="1" x14ac:dyDescent="0.35">
      <c r="A188" s="4" t="s">
        <v>1066</v>
      </c>
      <c r="B188" s="134">
        <v>10</v>
      </c>
      <c r="C188" s="2"/>
      <c r="D188" s="4" t="s">
        <v>1075</v>
      </c>
      <c r="E188" s="134">
        <v>8</v>
      </c>
      <c r="F188" s="2"/>
      <c r="G188" s="4" t="s">
        <v>976</v>
      </c>
      <c r="H188" s="134">
        <v>8.5</v>
      </c>
      <c r="I188" s="2"/>
      <c r="J188" s="15"/>
      <c r="K188" s="15"/>
      <c r="L188" s="2"/>
      <c r="M188" s="4" t="s">
        <v>1092</v>
      </c>
      <c r="N188" s="134">
        <v>10</v>
      </c>
      <c r="O188" s="16"/>
      <c r="R188"/>
      <c r="S188"/>
      <c r="T188"/>
      <c r="U188"/>
      <c r="V188"/>
      <c r="W188"/>
      <c r="X188"/>
      <c r="Y188"/>
      <c r="Z188"/>
      <c r="AA188"/>
      <c r="AB188"/>
      <c r="AC188"/>
      <c r="AD188"/>
      <c r="AE188"/>
      <c r="AF188"/>
      <c r="AG188"/>
      <c r="AH188"/>
      <c r="AI188"/>
    </row>
    <row r="189" spans="1:35" ht="16.05" customHeight="1" thickBot="1" x14ac:dyDescent="0.35">
      <c r="A189" s="4" t="s">
        <v>1067</v>
      </c>
      <c r="B189" s="134">
        <v>10.5</v>
      </c>
      <c r="C189" s="2"/>
      <c r="D189" s="4" t="s">
        <v>1076</v>
      </c>
      <c r="E189" s="134">
        <v>10</v>
      </c>
      <c r="F189" s="2"/>
      <c r="G189" s="7" t="s">
        <v>977</v>
      </c>
      <c r="H189" s="135">
        <v>8.5</v>
      </c>
      <c r="I189" s="16"/>
      <c r="J189" s="93" t="s">
        <v>1122</v>
      </c>
      <c r="K189" s="12">
        <f>ROUND(SUM(K190:K197)/COUNT(K190:K197), 2)</f>
        <v>7.71</v>
      </c>
      <c r="L189" s="2"/>
      <c r="M189" s="4" t="s">
        <v>1093</v>
      </c>
      <c r="N189" s="134"/>
      <c r="O189" s="16"/>
      <c r="R189"/>
      <c r="S189"/>
      <c r="T189"/>
      <c r="U189"/>
      <c r="V189"/>
      <c r="W189"/>
      <c r="X189"/>
      <c r="Y189"/>
      <c r="Z189"/>
      <c r="AA189"/>
      <c r="AB189"/>
      <c r="AC189"/>
      <c r="AD189"/>
      <c r="AE189"/>
      <c r="AF189"/>
      <c r="AG189"/>
      <c r="AH189"/>
      <c r="AI189"/>
    </row>
    <row r="190" spans="1:35" ht="16.05" customHeight="1" thickBot="1" x14ac:dyDescent="0.35">
      <c r="A190" s="4" t="s">
        <v>1068</v>
      </c>
      <c r="B190" s="134">
        <v>8</v>
      </c>
      <c r="C190" s="2"/>
      <c r="D190" s="4" t="s">
        <v>1077</v>
      </c>
      <c r="E190" s="134">
        <v>7.5</v>
      </c>
      <c r="F190" s="2"/>
      <c r="G190" s="15"/>
      <c r="H190" s="15"/>
      <c r="I190" s="2"/>
      <c r="J190" s="11" t="s">
        <v>1123</v>
      </c>
      <c r="K190" s="133"/>
      <c r="L190" s="2"/>
      <c r="M190" s="4" t="s">
        <v>1094</v>
      </c>
      <c r="N190" s="134">
        <v>10.5</v>
      </c>
      <c r="O190" s="16"/>
      <c r="R190"/>
      <c r="S190"/>
      <c r="T190"/>
      <c r="U190"/>
      <c r="V190"/>
      <c r="W190"/>
      <c r="X190"/>
      <c r="Y190"/>
      <c r="Z190"/>
      <c r="AA190"/>
      <c r="AB190"/>
      <c r="AC190"/>
      <c r="AD190"/>
      <c r="AE190"/>
      <c r="AF190"/>
      <c r="AG190"/>
      <c r="AH190"/>
      <c r="AI190"/>
    </row>
    <row r="191" spans="1:35" ht="16.05" customHeight="1" thickBot="1" x14ac:dyDescent="0.35">
      <c r="A191" s="4" t="s">
        <v>1069</v>
      </c>
      <c r="B191" s="134">
        <v>8.5</v>
      </c>
      <c r="C191" s="2"/>
      <c r="D191" s="4" t="s">
        <v>1078</v>
      </c>
      <c r="E191" s="134">
        <v>7</v>
      </c>
      <c r="F191" s="16"/>
      <c r="G191" s="94" t="s">
        <v>1135</v>
      </c>
      <c r="H191" s="12">
        <f>ROUND(SUM(H192:H200)/COUNT(H192:H200), 2)</f>
        <v>8.83</v>
      </c>
      <c r="I191" s="2"/>
      <c r="J191" s="4" t="s">
        <v>1124</v>
      </c>
      <c r="K191" s="134">
        <v>7</v>
      </c>
      <c r="L191" s="2"/>
      <c r="M191" s="4" t="s">
        <v>1095</v>
      </c>
      <c r="N191" s="134">
        <v>10</v>
      </c>
      <c r="O191" s="16"/>
      <c r="R191"/>
      <c r="S191"/>
      <c r="T191"/>
      <c r="U191"/>
      <c r="V191"/>
      <c r="W191"/>
      <c r="X191"/>
      <c r="Y191"/>
      <c r="Z191"/>
      <c r="AA191"/>
      <c r="AB191"/>
      <c r="AC191"/>
      <c r="AD191"/>
      <c r="AE191"/>
      <c r="AF191"/>
      <c r="AG191"/>
      <c r="AH191"/>
      <c r="AI191"/>
    </row>
    <row r="192" spans="1:35" ht="16.05" customHeight="1" x14ac:dyDescent="0.3">
      <c r="A192" s="4" t="s">
        <v>1070</v>
      </c>
      <c r="B192" s="134">
        <v>8</v>
      </c>
      <c r="C192" s="2"/>
      <c r="D192" s="4" t="s">
        <v>1079</v>
      </c>
      <c r="E192" s="134">
        <v>9.5</v>
      </c>
      <c r="F192" s="2"/>
      <c r="G192" s="11" t="s">
        <v>1136</v>
      </c>
      <c r="H192" s="133">
        <v>9</v>
      </c>
      <c r="I192" s="2"/>
      <c r="J192" s="4" t="s">
        <v>1125</v>
      </c>
      <c r="K192" s="134">
        <v>7.5</v>
      </c>
      <c r="L192" s="2"/>
      <c r="M192" s="4" t="s">
        <v>1096</v>
      </c>
      <c r="N192" s="134">
        <v>9</v>
      </c>
      <c r="O192" s="16"/>
      <c r="R192"/>
      <c r="S192"/>
      <c r="T192"/>
      <c r="U192"/>
      <c r="V192"/>
      <c r="W192"/>
      <c r="X192"/>
      <c r="Y192"/>
      <c r="Z192"/>
      <c r="AA192"/>
      <c r="AB192"/>
      <c r="AC192"/>
      <c r="AD192"/>
      <c r="AE192"/>
      <c r="AF192"/>
      <c r="AG192"/>
      <c r="AH192"/>
      <c r="AI192"/>
    </row>
    <row r="193" spans="1:35" ht="16.05" customHeight="1" x14ac:dyDescent="0.3">
      <c r="A193" s="4" t="s">
        <v>1071</v>
      </c>
      <c r="B193" s="134">
        <v>9.5</v>
      </c>
      <c r="C193" s="2"/>
      <c r="D193" s="4" t="s">
        <v>1080</v>
      </c>
      <c r="E193" s="134">
        <v>8</v>
      </c>
      <c r="F193" s="2"/>
      <c r="G193" s="4" t="s">
        <v>1137</v>
      </c>
      <c r="H193" s="134">
        <v>8.5</v>
      </c>
      <c r="I193" s="2"/>
      <c r="J193" s="4" t="s">
        <v>1126</v>
      </c>
      <c r="K193" s="134">
        <v>8</v>
      </c>
      <c r="L193" s="2"/>
      <c r="M193" s="4" t="s">
        <v>1097</v>
      </c>
      <c r="N193" s="134">
        <v>9</v>
      </c>
      <c r="O193" s="16"/>
      <c r="R193"/>
      <c r="S193"/>
      <c r="T193"/>
      <c r="U193"/>
      <c r="V193"/>
      <c r="W193"/>
      <c r="X193"/>
      <c r="Y193"/>
      <c r="Z193"/>
      <c r="AA193"/>
      <c r="AB193"/>
      <c r="AC193"/>
      <c r="AD193"/>
      <c r="AE193"/>
      <c r="AF193"/>
      <c r="AG193"/>
      <c r="AH193"/>
      <c r="AI193"/>
    </row>
    <row r="194" spans="1:35" ht="16.05" customHeight="1" thickBot="1" x14ac:dyDescent="0.35">
      <c r="A194" s="7" t="s">
        <v>1072</v>
      </c>
      <c r="B194" s="135">
        <v>8</v>
      </c>
      <c r="C194" s="2"/>
      <c r="D194" s="4" t="s">
        <v>1081</v>
      </c>
      <c r="E194" s="134">
        <v>7.5</v>
      </c>
      <c r="F194" s="2"/>
      <c r="G194" s="4" t="s">
        <v>1138</v>
      </c>
      <c r="H194" s="134">
        <v>8.5</v>
      </c>
      <c r="I194" s="2"/>
      <c r="J194" s="4" t="s">
        <v>1127</v>
      </c>
      <c r="K194" s="134">
        <v>7.5</v>
      </c>
      <c r="L194" s="2"/>
      <c r="M194" s="4" t="s">
        <v>1098</v>
      </c>
      <c r="N194" s="134">
        <v>8.5</v>
      </c>
      <c r="O194" s="16"/>
      <c r="R194"/>
      <c r="S194"/>
      <c r="T194"/>
      <c r="U194"/>
      <c r="V194"/>
      <c r="W194"/>
      <c r="X194"/>
      <c r="Y194"/>
      <c r="Z194"/>
      <c r="AA194"/>
      <c r="AB194"/>
      <c r="AC194"/>
      <c r="AD194"/>
      <c r="AE194"/>
      <c r="AF194"/>
      <c r="AG194"/>
      <c r="AH194"/>
      <c r="AI194"/>
    </row>
    <row r="195" spans="1:35" ht="16.05" customHeight="1" thickBot="1" x14ac:dyDescent="0.35">
      <c r="A195" s="15"/>
      <c r="B195" s="15"/>
      <c r="C195" s="2"/>
      <c r="D195" s="4" t="s">
        <v>1082</v>
      </c>
      <c r="E195" s="134">
        <v>10</v>
      </c>
      <c r="F195" s="2"/>
      <c r="G195" s="4" t="s">
        <v>1139</v>
      </c>
      <c r="H195" s="134">
        <v>10</v>
      </c>
      <c r="I195" s="2"/>
      <c r="J195" s="4" t="s">
        <v>1128</v>
      </c>
      <c r="K195" s="134">
        <v>8.5</v>
      </c>
      <c r="L195" s="2"/>
      <c r="M195" s="4" t="s">
        <v>1099</v>
      </c>
      <c r="N195" s="134">
        <v>8</v>
      </c>
      <c r="O195" s="16"/>
      <c r="R195"/>
      <c r="S195"/>
      <c r="T195"/>
      <c r="U195"/>
      <c r="V195"/>
      <c r="W195"/>
      <c r="X195"/>
      <c r="Y195"/>
      <c r="Z195"/>
      <c r="AA195"/>
      <c r="AB195"/>
      <c r="AC195"/>
      <c r="AD195"/>
      <c r="AE195"/>
      <c r="AF195"/>
      <c r="AG195"/>
      <c r="AH195"/>
      <c r="AI195"/>
    </row>
    <row r="196" spans="1:35" ht="16.05" customHeight="1" thickBot="1" x14ac:dyDescent="0.35">
      <c r="A196" s="97" t="s">
        <v>1159</v>
      </c>
      <c r="B196" s="12">
        <f>ROUND(SUM(B197:B211)/COUNT(B197:B211), 2)</f>
        <v>8.5299999999999994</v>
      </c>
      <c r="C196" s="2"/>
      <c r="D196" s="4" t="s">
        <v>1083</v>
      </c>
      <c r="E196" s="134">
        <v>8</v>
      </c>
      <c r="F196" s="2"/>
      <c r="G196" s="4" t="s">
        <v>1140</v>
      </c>
      <c r="H196" s="134">
        <v>8</v>
      </c>
      <c r="I196" s="2"/>
      <c r="J196" s="4" t="s">
        <v>1129</v>
      </c>
      <c r="K196" s="134">
        <v>8</v>
      </c>
      <c r="L196" s="2"/>
      <c r="M196" s="4" t="s">
        <v>1100</v>
      </c>
      <c r="N196" s="134">
        <v>10.5</v>
      </c>
      <c r="O196" s="16"/>
      <c r="R196"/>
      <c r="S196"/>
      <c r="T196"/>
      <c r="U196"/>
      <c r="V196"/>
      <c r="W196"/>
      <c r="X196"/>
      <c r="Y196"/>
      <c r="Z196"/>
      <c r="AA196"/>
      <c r="AB196"/>
      <c r="AC196"/>
      <c r="AD196"/>
      <c r="AE196"/>
      <c r="AF196"/>
      <c r="AG196"/>
      <c r="AH196"/>
      <c r="AI196"/>
    </row>
    <row r="197" spans="1:35" ht="16.05" customHeight="1" thickBot="1" x14ac:dyDescent="0.35">
      <c r="A197" s="141">
        <v>360</v>
      </c>
      <c r="B197" s="133">
        <v>10</v>
      </c>
      <c r="C197" s="2"/>
      <c r="D197" s="4" t="s">
        <v>1084</v>
      </c>
      <c r="E197" s="134">
        <v>7</v>
      </c>
      <c r="F197" s="2"/>
      <c r="G197" s="4" t="s">
        <v>1141</v>
      </c>
      <c r="H197" s="134">
        <v>10.5</v>
      </c>
      <c r="I197" s="2"/>
      <c r="J197" s="7" t="s">
        <v>1130</v>
      </c>
      <c r="K197" s="135">
        <v>7.5</v>
      </c>
      <c r="L197" s="2"/>
      <c r="M197" s="4" t="s">
        <v>1101</v>
      </c>
      <c r="N197" s="134">
        <v>8.5</v>
      </c>
      <c r="O197" s="16"/>
      <c r="R197"/>
      <c r="S197"/>
      <c r="T197"/>
      <c r="U197"/>
      <c r="V197"/>
      <c r="W197"/>
      <c r="X197"/>
      <c r="Y197"/>
      <c r="Z197"/>
      <c r="AA197"/>
      <c r="AB197"/>
      <c r="AC197"/>
      <c r="AD197"/>
      <c r="AE197"/>
      <c r="AF197"/>
      <c r="AG197"/>
      <c r="AH197"/>
      <c r="AI197"/>
    </row>
    <row r="198" spans="1:35" ht="16.05" customHeight="1" thickBot="1" x14ac:dyDescent="0.35">
      <c r="A198" s="4" t="s">
        <v>1146</v>
      </c>
      <c r="B198" s="134">
        <v>8.5</v>
      </c>
      <c r="C198" s="2"/>
      <c r="D198" s="4" t="s">
        <v>1085</v>
      </c>
      <c r="E198" s="134"/>
      <c r="F198" s="2"/>
      <c r="G198" s="4" t="s">
        <v>1142</v>
      </c>
      <c r="H198" s="134">
        <v>8</v>
      </c>
      <c r="I198" s="2"/>
      <c r="J198" s="15"/>
      <c r="K198" s="15"/>
      <c r="L198" s="2"/>
      <c r="M198" s="4" t="s">
        <v>1102</v>
      </c>
      <c r="N198" s="134">
        <v>9</v>
      </c>
      <c r="O198" s="16"/>
      <c r="R198"/>
      <c r="S198"/>
      <c r="T198"/>
      <c r="U198"/>
      <c r="V198"/>
      <c r="W198"/>
      <c r="X198"/>
      <c r="Y198"/>
      <c r="Z198"/>
      <c r="AA198"/>
      <c r="AB198"/>
      <c r="AC198"/>
      <c r="AD198"/>
      <c r="AE198"/>
      <c r="AF198"/>
      <c r="AG198"/>
      <c r="AH198"/>
      <c r="AI198"/>
    </row>
    <row r="199" spans="1:35" ht="16.05" customHeight="1" thickBot="1" x14ac:dyDescent="0.35">
      <c r="A199" s="4" t="s">
        <v>1147</v>
      </c>
      <c r="B199" s="134">
        <v>8.5</v>
      </c>
      <c r="C199" s="2"/>
      <c r="D199" s="7" t="s">
        <v>1086</v>
      </c>
      <c r="E199" s="135">
        <v>10</v>
      </c>
      <c r="F199" s="2"/>
      <c r="G199" s="4" t="s">
        <v>1143</v>
      </c>
      <c r="H199" s="134">
        <v>8.5</v>
      </c>
      <c r="I199" s="16"/>
      <c r="J199" s="95" t="s">
        <v>1165</v>
      </c>
      <c r="K199" s="12">
        <f>ROUND(SUM(K200:K206)/COUNT(K200:K206), 2)</f>
        <v>8.75</v>
      </c>
      <c r="L199" s="2"/>
      <c r="M199" s="4" t="s">
        <v>1103</v>
      </c>
      <c r="N199" s="134">
        <v>8</v>
      </c>
      <c r="O199" s="16"/>
      <c r="R199"/>
      <c r="S199"/>
      <c r="T199"/>
      <c r="U199"/>
      <c r="V199"/>
      <c r="W199"/>
      <c r="X199"/>
      <c r="Y199"/>
      <c r="Z199"/>
      <c r="AA199"/>
      <c r="AB199"/>
      <c r="AC199"/>
      <c r="AD199"/>
      <c r="AE199"/>
      <c r="AF199"/>
      <c r="AG199"/>
      <c r="AH199"/>
      <c r="AI199"/>
    </row>
    <row r="200" spans="1:35" ht="16.05" customHeight="1" thickBot="1" x14ac:dyDescent="0.35">
      <c r="A200" s="4" t="s">
        <v>1148</v>
      </c>
      <c r="B200" s="134">
        <v>7.5</v>
      </c>
      <c r="C200" s="2"/>
      <c r="D200" s="13"/>
      <c r="E200" s="15"/>
      <c r="F200" s="2"/>
      <c r="G200" s="7" t="s">
        <v>1144</v>
      </c>
      <c r="H200" s="135">
        <v>8.5</v>
      </c>
      <c r="I200" s="2"/>
      <c r="J200" s="11" t="s">
        <v>1166</v>
      </c>
      <c r="K200" s="133">
        <v>10</v>
      </c>
      <c r="L200" s="2"/>
      <c r="M200" s="4" t="s">
        <v>1104</v>
      </c>
      <c r="N200" s="134">
        <v>9</v>
      </c>
      <c r="O200" s="16"/>
      <c r="R200"/>
      <c r="S200"/>
      <c r="T200"/>
      <c r="U200"/>
      <c r="V200"/>
      <c r="W200"/>
      <c r="X200"/>
      <c r="Y200"/>
      <c r="Z200"/>
      <c r="AA200"/>
      <c r="AB200"/>
      <c r="AC200"/>
      <c r="AD200"/>
      <c r="AE200"/>
      <c r="AF200"/>
      <c r="AG200"/>
      <c r="AH200"/>
      <c r="AI200"/>
    </row>
    <row r="201" spans="1:35" ht="16.05" customHeight="1" thickBot="1" x14ac:dyDescent="0.35">
      <c r="A201" s="4" t="s">
        <v>1149</v>
      </c>
      <c r="B201" s="134">
        <v>8</v>
      </c>
      <c r="C201" s="16"/>
      <c r="D201" s="96" t="s">
        <v>1187</v>
      </c>
      <c r="E201" s="12">
        <f>ROUND(SUM(E202:E211)/COUNT(E202:E211), 2)</f>
        <v>9.36</v>
      </c>
      <c r="F201" s="2"/>
      <c r="G201" s="15"/>
      <c r="H201" s="15"/>
      <c r="I201" s="2"/>
      <c r="J201" s="4" t="s">
        <v>1167</v>
      </c>
      <c r="K201" s="134">
        <v>8</v>
      </c>
      <c r="L201" s="2"/>
      <c r="M201" s="4" t="s">
        <v>1105</v>
      </c>
      <c r="N201" s="134">
        <v>6</v>
      </c>
      <c r="O201" s="16"/>
      <c r="R201"/>
      <c r="S201"/>
      <c r="T201"/>
      <c r="U201"/>
      <c r="V201"/>
      <c r="W201"/>
      <c r="X201"/>
      <c r="Y201"/>
      <c r="Z201"/>
      <c r="AA201"/>
      <c r="AB201"/>
      <c r="AC201"/>
      <c r="AD201"/>
      <c r="AE201"/>
      <c r="AF201"/>
      <c r="AG201"/>
      <c r="AH201"/>
      <c r="AI201"/>
    </row>
    <row r="202" spans="1:35" ht="16.05" customHeight="1" thickBot="1" x14ac:dyDescent="0.35">
      <c r="A202" s="4" t="s">
        <v>1150</v>
      </c>
      <c r="B202" s="134">
        <v>10</v>
      </c>
      <c r="C202" s="16"/>
      <c r="D202" s="11" t="s">
        <v>1177</v>
      </c>
      <c r="E202" s="133">
        <v>9</v>
      </c>
      <c r="F202" s="16"/>
      <c r="G202" s="98" t="s">
        <v>1190</v>
      </c>
      <c r="H202" s="12">
        <f>ROUND(SUM(H203:H213)/COUNT(H203:H213), 2)</f>
        <v>8.4499999999999993</v>
      </c>
      <c r="I202" s="2"/>
      <c r="J202" s="4" t="s">
        <v>1168</v>
      </c>
      <c r="K202" s="134">
        <v>9.5</v>
      </c>
      <c r="L202" s="2"/>
      <c r="M202" s="4" t="s">
        <v>1106</v>
      </c>
      <c r="N202" s="134">
        <v>7</v>
      </c>
      <c r="O202" s="16"/>
      <c r="R202"/>
      <c r="S202"/>
      <c r="T202"/>
      <c r="U202"/>
      <c r="V202"/>
      <c r="W202"/>
      <c r="X202"/>
      <c r="Y202"/>
      <c r="Z202"/>
      <c r="AA202"/>
      <c r="AB202"/>
      <c r="AC202"/>
      <c r="AD202"/>
      <c r="AE202"/>
      <c r="AF202"/>
      <c r="AG202"/>
      <c r="AH202"/>
      <c r="AI202"/>
    </row>
    <row r="203" spans="1:35" ht="16.05" customHeight="1" x14ac:dyDescent="0.3">
      <c r="A203" s="4" t="s">
        <v>1151</v>
      </c>
      <c r="B203" s="134">
        <v>8</v>
      </c>
      <c r="C203" s="16"/>
      <c r="D203" s="4" t="s">
        <v>1178</v>
      </c>
      <c r="E203" s="134">
        <v>10.5</v>
      </c>
      <c r="F203" s="2"/>
      <c r="G203" s="11" t="s">
        <v>1191</v>
      </c>
      <c r="H203" s="133">
        <v>8.5</v>
      </c>
      <c r="I203" s="2"/>
      <c r="J203" s="4" t="s">
        <v>1169</v>
      </c>
      <c r="K203" s="134">
        <v>8</v>
      </c>
      <c r="L203" s="2"/>
      <c r="M203" s="4" t="s">
        <v>1107</v>
      </c>
      <c r="N203" s="134">
        <v>10</v>
      </c>
      <c r="O203" s="16"/>
      <c r="R203"/>
      <c r="S203"/>
      <c r="T203"/>
      <c r="U203"/>
      <c r="V203"/>
      <c r="W203"/>
      <c r="X203"/>
      <c r="Y203"/>
      <c r="Z203"/>
      <c r="AA203"/>
      <c r="AB203"/>
      <c r="AC203"/>
      <c r="AD203"/>
      <c r="AE203"/>
      <c r="AF203"/>
      <c r="AG203"/>
      <c r="AH203"/>
      <c r="AI203"/>
    </row>
    <row r="204" spans="1:35" ht="16.05" customHeight="1" x14ac:dyDescent="0.3">
      <c r="A204" s="4" t="s">
        <v>1152</v>
      </c>
      <c r="B204" s="134">
        <v>8.5</v>
      </c>
      <c r="C204" s="16"/>
      <c r="D204" s="4" t="s">
        <v>1179</v>
      </c>
      <c r="E204" s="134"/>
      <c r="F204" s="2"/>
      <c r="G204" s="4" t="s">
        <v>1192</v>
      </c>
      <c r="H204" s="134">
        <v>8.5</v>
      </c>
      <c r="I204" s="2"/>
      <c r="J204" s="4" t="s">
        <v>1170</v>
      </c>
      <c r="K204" s="134">
        <v>9</v>
      </c>
      <c r="L204" s="2"/>
      <c r="M204" s="4" t="s">
        <v>1108</v>
      </c>
      <c r="N204" s="134">
        <v>9</v>
      </c>
      <c r="O204" s="16"/>
      <c r="R204"/>
      <c r="S204"/>
      <c r="T204"/>
      <c r="U204"/>
      <c r="V204"/>
      <c r="W204"/>
      <c r="X204"/>
      <c r="Y204"/>
      <c r="Z204"/>
      <c r="AA204"/>
      <c r="AB204"/>
      <c r="AC204"/>
      <c r="AD204"/>
      <c r="AE204"/>
      <c r="AF204"/>
      <c r="AG204"/>
      <c r="AH204"/>
      <c r="AI204"/>
    </row>
    <row r="205" spans="1:35" ht="16.05" customHeight="1" x14ac:dyDescent="0.3">
      <c r="A205" s="4" t="s">
        <v>1153</v>
      </c>
      <c r="B205" s="134">
        <v>7.5</v>
      </c>
      <c r="C205" s="16"/>
      <c r="D205" s="4" t="s">
        <v>1180</v>
      </c>
      <c r="E205" s="134">
        <v>10</v>
      </c>
      <c r="F205" s="2"/>
      <c r="G205" s="4" t="s">
        <v>1193</v>
      </c>
      <c r="H205" s="134">
        <v>9</v>
      </c>
      <c r="I205" s="2"/>
      <c r="J205" s="4" t="s">
        <v>1171</v>
      </c>
      <c r="K205" s="134"/>
      <c r="L205" s="2"/>
      <c r="M205" s="4" t="s">
        <v>1109</v>
      </c>
      <c r="N205" s="134">
        <v>8.5</v>
      </c>
      <c r="O205" s="16"/>
      <c r="R205"/>
      <c r="S205"/>
      <c r="T205"/>
      <c r="U205"/>
      <c r="V205"/>
      <c r="W205"/>
      <c r="X205"/>
      <c r="Y205"/>
      <c r="Z205"/>
      <c r="AA205"/>
      <c r="AB205"/>
      <c r="AC205"/>
      <c r="AD205"/>
      <c r="AE205"/>
      <c r="AF205"/>
      <c r="AG205"/>
      <c r="AH205"/>
      <c r="AI205"/>
    </row>
    <row r="206" spans="1:35" ht="16.05" customHeight="1" thickBot="1" x14ac:dyDescent="0.35">
      <c r="A206" s="4" t="s">
        <v>1154</v>
      </c>
      <c r="B206" s="134">
        <v>8.5</v>
      </c>
      <c r="C206" s="16"/>
      <c r="D206" s="4" t="s">
        <v>1181</v>
      </c>
      <c r="E206" s="134"/>
      <c r="F206" s="2"/>
      <c r="G206" s="4" t="s">
        <v>1194</v>
      </c>
      <c r="H206" s="134">
        <v>10</v>
      </c>
      <c r="I206" s="2"/>
      <c r="J206" s="7" t="s">
        <v>1172</v>
      </c>
      <c r="K206" s="135">
        <v>8</v>
      </c>
      <c r="L206" s="2"/>
      <c r="M206" s="4" t="s">
        <v>1110</v>
      </c>
      <c r="N206" s="134">
        <v>8.5</v>
      </c>
      <c r="O206" s="16"/>
      <c r="R206"/>
      <c r="S206"/>
      <c r="T206"/>
      <c r="U206"/>
      <c r="V206"/>
      <c r="W206"/>
      <c r="X206"/>
      <c r="Y206"/>
      <c r="Z206"/>
      <c r="AA206"/>
      <c r="AB206"/>
      <c r="AC206"/>
      <c r="AD206"/>
      <c r="AE206"/>
      <c r="AF206"/>
      <c r="AG206"/>
      <c r="AH206"/>
      <c r="AI206"/>
    </row>
    <row r="207" spans="1:35" ht="16.05" customHeight="1" thickBot="1" x14ac:dyDescent="0.35">
      <c r="A207" s="4" t="s">
        <v>1155</v>
      </c>
      <c r="B207" s="134">
        <v>10</v>
      </c>
      <c r="C207" s="16"/>
      <c r="D207" s="4" t="s">
        <v>1182</v>
      </c>
      <c r="E207" s="134">
        <v>10</v>
      </c>
      <c r="F207" s="2"/>
      <c r="G207" s="4" t="s">
        <v>1195</v>
      </c>
      <c r="H207" s="134">
        <v>9</v>
      </c>
      <c r="I207" s="2"/>
      <c r="J207" s="15"/>
      <c r="K207" s="15"/>
      <c r="L207" s="2"/>
      <c r="M207" s="4" t="s">
        <v>1111</v>
      </c>
      <c r="N207" s="134">
        <v>8.5</v>
      </c>
      <c r="O207" s="16"/>
      <c r="R207"/>
      <c r="S207"/>
      <c r="T207"/>
      <c r="U207"/>
      <c r="V207"/>
      <c r="W207"/>
      <c r="X207"/>
      <c r="Y207"/>
      <c r="Z207"/>
      <c r="AA207"/>
      <c r="AB207"/>
      <c r="AC207"/>
      <c r="AD207"/>
      <c r="AE207"/>
      <c r="AF207"/>
      <c r="AG207"/>
      <c r="AH207"/>
      <c r="AI207"/>
    </row>
    <row r="208" spans="1:35" ht="16.05" customHeight="1" thickBot="1" x14ac:dyDescent="0.35">
      <c r="A208" s="4" t="s">
        <v>1156</v>
      </c>
      <c r="B208" s="134">
        <v>9</v>
      </c>
      <c r="C208" s="16"/>
      <c r="D208" s="4" t="s">
        <v>1183</v>
      </c>
      <c r="E208" s="134">
        <v>8</v>
      </c>
      <c r="F208" s="2"/>
      <c r="G208" s="4" t="s">
        <v>1196</v>
      </c>
      <c r="H208" s="134">
        <v>8.5</v>
      </c>
      <c r="I208" s="16"/>
      <c r="J208" s="102" t="s">
        <v>1272</v>
      </c>
      <c r="K208" s="12">
        <f>ROUND(SUM(K209:K217)/COUNT(K209:K217), 2)</f>
        <v>8.67</v>
      </c>
      <c r="L208" s="2"/>
      <c r="M208" s="4" t="s">
        <v>1112</v>
      </c>
      <c r="N208" s="134">
        <v>8</v>
      </c>
      <c r="O208" s="16"/>
      <c r="R208"/>
      <c r="S208"/>
      <c r="T208"/>
      <c r="U208"/>
      <c r="V208"/>
      <c r="W208"/>
      <c r="X208"/>
      <c r="Y208"/>
      <c r="Z208"/>
      <c r="AA208"/>
      <c r="AB208"/>
      <c r="AC208"/>
      <c r="AD208"/>
      <c r="AE208"/>
      <c r="AF208"/>
      <c r="AG208"/>
      <c r="AH208"/>
      <c r="AI208"/>
    </row>
    <row r="209" spans="1:35" ht="16.05" customHeight="1" thickBot="1" x14ac:dyDescent="0.35">
      <c r="A209" s="4" t="s">
        <v>1157</v>
      </c>
      <c r="B209" s="134">
        <v>8.5</v>
      </c>
      <c r="C209" s="16"/>
      <c r="D209" s="4" t="s">
        <v>1184</v>
      </c>
      <c r="E209" s="134">
        <v>8</v>
      </c>
      <c r="F209" s="2"/>
      <c r="G209" s="4" t="s">
        <v>1197</v>
      </c>
      <c r="H209" s="134">
        <v>9</v>
      </c>
      <c r="I209" s="2"/>
      <c r="J209" s="11" t="s">
        <v>1204</v>
      </c>
      <c r="K209" s="133">
        <v>9</v>
      </c>
      <c r="L209" s="2"/>
      <c r="M209" s="7" t="s">
        <v>1113</v>
      </c>
      <c r="N209" s="135">
        <v>8.5</v>
      </c>
      <c r="O209" s="16"/>
      <c r="R209"/>
      <c r="S209"/>
      <c r="T209"/>
      <c r="U209"/>
      <c r="V209"/>
      <c r="W209"/>
      <c r="X209"/>
      <c r="Y209"/>
      <c r="Z209"/>
      <c r="AA209"/>
      <c r="AB209"/>
      <c r="AC209"/>
      <c r="AD209"/>
      <c r="AE209"/>
      <c r="AF209"/>
      <c r="AG209"/>
      <c r="AH209"/>
      <c r="AI209"/>
    </row>
    <row r="210" spans="1:35" ht="16.05" customHeight="1" thickBot="1" x14ac:dyDescent="0.35">
      <c r="A210" s="4" t="s">
        <v>1158</v>
      </c>
      <c r="B210" s="134">
        <v>6.5</v>
      </c>
      <c r="C210" s="16"/>
      <c r="D210" s="4" t="s">
        <v>1185</v>
      </c>
      <c r="E210" s="134">
        <v>10</v>
      </c>
      <c r="F210" s="2"/>
      <c r="G210" s="4" t="s">
        <v>1198</v>
      </c>
      <c r="H210" s="134">
        <v>8</v>
      </c>
      <c r="I210" s="2"/>
      <c r="J210" s="4" t="s">
        <v>1205</v>
      </c>
      <c r="K210" s="134">
        <v>8</v>
      </c>
      <c r="L210" s="2"/>
      <c r="M210" s="15"/>
      <c r="N210" s="15"/>
      <c r="O210" s="16"/>
      <c r="R210"/>
      <c r="S210"/>
      <c r="T210"/>
      <c r="U210"/>
      <c r="V210"/>
      <c r="W210"/>
      <c r="X210"/>
      <c r="Y210"/>
      <c r="Z210"/>
      <c r="AA210"/>
      <c r="AB210"/>
      <c r="AC210"/>
      <c r="AD210"/>
      <c r="AE210"/>
      <c r="AF210"/>
      <c r="AG210"/>
      <c r="AH210"/>
      <c r="AI210"/>
    </row>
    <row r="211" spans="1:35" ht="16.05" customHeight="1" thickBot="1" x14ac:dyDescent="0.35">
      <c r="A211" s="142">
        <v>365</v>
      </c>
      <c r="B211" s="135">
        <v>9</v>
      </c>
      <c r="C211" s="2"/>
      <c r="D211" s="7" t="s">
        <v>1186</v>
      </c>
      <c r="E211" s="135"/>
      <c r="F211" s="2"/>
      <c r="G211" s="4" t="s">
        <v>1199</v>
      </c>
      <c r="H211" s="134">
        <v>7.5</v>
      </c>
      <c r="I211" s="2"/>
      <c r="J211" s="4" t="s">
        <v>1206</v>
      </c>
      <c r="K211" s="134">
        <v>10.5</v>
      </c>
      <c r="L211" s="16"/>
      <c r="M211" s="99" t="s">
        <v>1234</v>
      </c>
      <c r="N211" s="12">
        <f>ROUND(SUM(N212:N226)/COUNT(N212:N226), 2)</f>
        <v>8.11</v>
      </c>
      <c r="O211" s="16"/>
      <c r="R211"/>
      <c r="S211"/>
      <c r="T211"/>
      <c r="U211"/>
      <c r="V211"/>
      <c r="W211"/>
      <c r="X211"/>
      <c r="Y211"/>
      <c r="Z211"/>
      <c r="AA211"/>
      <c r="AB211"/>
      <c r="AC211"/>
      <c r="AD211"/>
      <c r="AE211"/>
      <c r="AF211"/>
      <c r="AG211"/>
      <c r="AH211"/>
      <c r="AI211"/>
    </row>
    <row r="212" spans="1:35" ht="16.05" customHeight="1" thickBot="1" x14ac:dyDescent="0.35">
      <c r="A212" s="15"/>
      <c r="B212" s="15"/>
      <c r="C212" s="2"/>
      <c r="D212" s="15"/>
      <c r="E212" s="15"/>
      <c r="F212" s="2"/>
      <c r="G212" s="4" t="s">
        <v>1200</v>
      </c>
      <c r="H212" s="134">
        <v>8</v>
      </c>
      <c r="I212" s="2"/>
      <c r="J212" s="4" t="s">
        <v>1207</v>
      </c>
      <c r="K212" s="134">
        <v>7.5</v>
      </c>
      <c r="L212" s="2"/>
      <c r="M212" s="11" t="s">
        <v>1219</v>
      </c>
      <c r="N212" s="133">
        <v>8</v>
      </c>
      <c r="O212" s="16"/>
      <c r="R212"/>
      <c r="S212"/>
      <c r="T212"/>
      <c r="U212"/>
      <c r="V212"/>
      <c r="W212"/>
      <c r="X212"/>
      <c r="Y212"/>
      <c r="Z212"/>
      <c r="AA212"/>
      <c r="AB212"/>
      <c r="AC212"/>
      <c r="AD212"/>
      <c r="AE212"/>
      <c r="AF212"/>
      <c r="AG212"/>
      <c r="AH212"/>
      <c r="AI212"/>
    </row>
    <row r="213" spans="1:35" ht="16.05" customHeight="1" thickBot="1" x14ac:dyDescent="0.35">
      <c r="A213" s="101" t="s">
        <v>1252</v>
      </c>
      <c r="B213" s="12">
        <f>ROUND(SUM(B214:B224)/COUNT(B214:B224), 2)</f>
        <v>9</v>
      </c>
      <c r="C213" s="2"/>
      <c r="D213" s="100" t="s">
        <v>1237</v>
      </c>
      <c r="E213" s="12">
        <f>ROUND(SUM(E214:E227)/COUNT(E214:E227), 2)</f>
        <v>8.77</v>
      </c>
      <c r="F213" s="2"/>
      <c r="G213" s="7" t="s">
        <v>1201</v>
      </c>
      <c r="H213" s="135">
        <v>7</v>
      </c>
      <c r="I213" s="2"/>
      <c r="J213" s="4" t="s">
        <v>1208</v>
      </c>
      <c r="K213" s="134">
        <v>9</v>
      </c>
      <c r="L213" s="2"/>
      <c r="M213" s="4" t="s">
        <v>1220</v>
      </c>
      <c r="N213" s="134">
        <v>7.5</v>
      </c>
      <c r="O213" s="16"/>
      <c r="R213"/>
      <c r="S213"/>
      <c r="T213"/>
      <c r="U213"/>
      <c r="V213"/>
      <c r="W213"/>
      <c r="X213"/>
      <c r="Y213"/>
      <c r="Z213"/>
      <c r="AA213"/>
      <c r="AB213"/>
      <c r="AC213"/>
      <c r="AD213"/>
      <c r="AE213"/>
      <c r="AF213"/>
      <c r="AG213"/>
      <c r="AH213"/>
      <c r="AI213"/>
    </row>
    <row r="214" spans="1:35" ht="16.05" customHeight="1" thickBot="1" x14ac:dyDescent="0.35">
      <c r="A214" s="11" t="s">
        <v>1253</v>
      </c>
      <c r="B214" s="133">
        <v>8.5</v>
      </c>
      <c r="C214" s="2"/>
      <c r="D214" s="11" t="s">
        <v>1238</v>
      </c>
      <c r="E214" s="133">
        <v>9</v>
      </c>
      <c r="F214" s="2"/>
      <c r="G214" s="15"/>
      <c r="H214" s="15"/>
      <c r="I214" s="2"/>
      <c r="J214" s="4" t="s">
        <v>1209</v>
      </c>
      <c r="K214" s="134">
        <v>7</v>
      </c>
      <c r="L214" s="2"/>
      <c r="M214" s="4" t="s">
        <v>1221</v>
      </c>
      <c r="N214" s="134">
        <v>9</v>
      </c>
      <c r="O214" s="16"/>
      <c r="R214"/>
      <c r="S214"/>
      <c r="T214"/>
      <c r="U214"/>
      <c r="V214"/>
      <c r="W214"/>
      <c r="X214"/>
      <c r="Y214"/>
      <c r="Z214"/>
      <c r="AA214"/>
      <c r="AB214"/>
      <c r="AC214"/>
      <c r="AD214"/>
      <c r="AE214"/>
      <c r="AF214"/>
      <c r="AG214"/>
      <c r="AH214"/>
      <c r="AI214"/>
    </row>
    <row r="215" spans="1:35" ht="16.05" customHeight="1" thickBot="1" x14ac:dyDescent="0.35">
      <c r="A215" s="4" t="s">
        <v>1254</v>
      </c>
      <c r="B215" s="134">
        <v>10</v>
      </c>
      <c r="C215" s="2"/>
      <c r="D215" s="4" t="s">
        <v>1239</v>
      </c>
      <c r="E215" s="134">
        <v>10</v>
      </c>
      <c r="F215" s="16"/>
      <c r="G215" s="106" t="s">
        <v>1273</v>
      </c>
      <c r="H215" s="12">
        <f>ROUND(SUM(H216:H227)/COUNT(H216:H227), 2)</f>
        <v>8.4600000000000009</v>
      </c>
      <c r="I215" s="2"/>
      <c r="J215" s="4" t="s">
        <v>1210</v>
      </c>
      <c r="K215" s="134">
        <v>8</v>
      </c>
      <c r="L215" s="2"/>
      <c r="M215" s="4" t="s">
        <v>1222</v>
      </c>
      <c r="N215" s="134"/>
      <c r="O215" s="16"/>
      <c r="R215"/>
      <c r="S215"/>
      <c r="T215"/>
      <c r="U215"/>
      <c r="V215"/>
      <c r="W215"/>
      <c r="X215"/>
      <c r="Y215"/>
      <c r="Z215"/>
      <c r="AA215"/>
      <c r="AB215"/>
      <c r="AC215"/>
      <c r="AD215"/>
      <c r="AE215"/>
      <c r="AF215"/>
      <c r="AG215"/>
      <c r="AH215"/>
      <c r="AI215"/>
    </row>
    <row r="216" spans="1:35" ht="16.05" customHeight="1" x14ac:dyDescent="0.3">
      <c r="A216" s="4" t="s">
        <v>1255</v>
      </c>
      <c r="B216" s="134">
        <v>10</v>
      </c>
      <c r="C216" s="2"/>
      <c r="D216" s="4" t="s">
        <v>1240</v>
      </c>
      <c r="E216" s="134">
        <v>9.5</v>
      </c>
      <c r="F216" s="2"/>
      <c r="G216" s="11" t="s">
        <v>1274</v>
      </c>
      <c r="H216" s="133">
        <v>10</v>
      </c>
      <c r="I216" s="2"/>
      <c r="J216" s="4" t="s">
        <v>1211</v>
      </c>
      <c r="K216" s="134">
        <v>9</v>
      </c>
      <c r="L216" s="2"/>
      <c r="M216" s="4" t="s">
        <v>1223</v>
      </c>
      <c r="N216" s="134">
        <v>9</v>
      </c>
      <c r="O216" s="16"/>
      <c r="R216"/>
      <c r="S216"/>
      <c r="T216"/>
      <c r="U216"/>
      <c r="V216"/>
      <c r="W216"/>
      <c r="X216"/>
      <c r="Y216"/>
      <c r="Z216"/>
      <c r="AA216"/>
      <c r="AB216"/>
      <c r="AC216"/>
      <c r="AD216"/>
      <c r="AE216"/>
      <c r="AF216"/>
      <c r="AG216"/>
      <c r="AH216"/>
      <c r="AI216"/>
    </row>
    <row r="217" spans="1:35" ht="16.05" customHeight="1" thickBot="1" x14ac:dyDescent="0.35">
      <c r="A217" s="4" t="s">
        <v>1256</v>
      </c>
      <c r="B217" s="134">
        <v>9</v>
      </c>
      <c r="C217" s="2"/>
      <c r="D217" s="4" t="s">
        <v>1241</v>
      </c>
      <c r="E217" s="134">
        <v>10</v>
      </c>
      <c r="F217" s="2"/>
      <c r="G217" s="4" t="s">
        <v>1275</v>
      </c>
      <c r="H217" s="134">
        <v>9</v>
      </c>
      <c r="I217" s="2"/>
      <c r="J217" s="7" t="s">
        <v>1212</v>
      </c>
      <c r="K217" s="135">
        <v>10</v>
      </c>
      <c r="L217" s="2"/>
      <c r="M217" s="4" t="s">
        <v>1224</v>
      </c>
      <c r="N217" s="134">
        <v>7.5</v>
      </c>
      <c r="O217" s="16"/>
      <c r="R217"/>
      <c r="S217"/>
      <c r="T217"/>
      <c r="U217"/>
      <c r="V217"/>
      <c r="W217"/>
      <c r="X217"/>
      <c r="Y217"/>
      <c r="Z217"/>
      <c r="AA217"/>
      <c r="AB217"/>
      <c r="AC217"/>
      <c r="AD217"/>
      <c r="AE217"/>
      <c r="AF217"/>
      <c r="AG217"/>
      <c r="AH217"/>
      <c r="AI217"/>
    </row>
    <row r="218" spans="1:35" ht="16.05" customHeight="1" thickBot="1" x14ac:dyDescent="0.35">
      <c r="A218" s="4" t="s">
        <v>1257</v>
      </c>
      <c r="B218" s="134">
        <v>9</v>
      </c>
      <c r="C218" s="2"/>
      <c r="D218" s="4" t="s">
        <v>1242</v>
      </c>
      <c r="E218" s="134">
        <v>8.5</v>
      </c>
      <c r="F218" s="2"/>
      <c r="G218" s="4" t="s">
        <v>1276</v>
      </c>
      <c r="H218" s="134">
        <v>8.5</v>
      </c>
      <c r="I218" s="2"/>
      <c r="J218" s="15"/>
      <c r="K218" s="15"/>
      <c r="L218" s="2"/>
      <c r="M218" s="4" t="s">
        <v>1225</v>
      </c>
      <c r="N218" s="134">
        <v>9</v>
      </c>
      <c r="O218" s="16"/>
      <c r="R218"/>
      <c r="S218"/>
      <c r="T218"/>
      <c r="U218"/>
      <c r="V218"/>
      <c r="W218"/>
      <c r="X218"/>
      <c r="Y218"/>
      <c r="Z218"/>
      <c r="AA218"/>
      <c r="AB218"/>
      <c r="AC218"/>
      <c r="AD218"/>
      <c r="AE218"/>
      <c r="AF218"/>
      <c r="AG218"/>
      <c r="AH218"/>
      <c r="AI218"/>
    </row>
    <row r="219" spans="1:35" ht="16.05" customHeight="1" thickBot="1" x14ac:dyDescent="0.35">
      <c r="A219" s="4" t="s">
        <v>1258</v>
      </c>
      <c r="B219" s="134">
        <v>8.5</v>
      </c>
      <c r="C219" s="2"/>
      <c r="D219" s="4" t="s">
        <v>1243</v>
      </c>
      <c r="E219" s="134"/>
      <c r="F219" s="2"/>
      <c r="G219" s="4" t="s">
        <v>1277</v>
      </c>
      <c r="H219" s="134">
        <v>10.5</v>
      </c>
      <c r="I219" s="16"/>
      <c r="J219" s="103" t="s">
        <v>1287</v>
      </c>
      <c r="K219" s="12">
        <f>ROUND(SUM(K220:K235)/COUNT(K220:K235), 2)</f>
        <v>8.82</v>
      </c>
      <c r="L219" s="2"/>
      <c r="M219" s="4" t="s">
        <v>1226</v>
      </c>
      <c r="N219" s="134">
        <v>9</v>
      </c>
      <c r="O219" s="16"/>
      <c r="R219"/>
      <c r="S219"/>
      <c r="T219"/>
      <c r="U219"/>
      <c r="V219"/>
      <c r="W219"/>
      <c r="X219"/>
      <c r="Y219"/>
      <c r="Z219"/>
      <c r="AA219"/>
      <c r="AB219"/>
      <c r="AC219"/>
      <c r="AD219"/>
      <c r="AE219"/>
      <c r="AF219"/>
      <c r="AG219"/>
      <c r="AH219"/>
      <c r="AI219"/>
    </row>
    <row r="220" spans="1:35" ht="16.05" customHeight="1" x14ac:dyDescent="0.3">
      <c r="A220" s="4" t="s">
        <v>1259</v>
      </c>
      <c r="B220" s="134">
        <v>8</v>
      </c>
      <c r="C220" s="2"/>
      <c r="D220" s="4" t="s">
        <v>1244</v>
      </c>
      <c r="E220" s="134">
        <v>8</v>
      </c>
      <c r="F220" s="2"/>
      <c r="G220" s="4" t="s">
        <v>1278</v>
      </c>
      <c r="H220" s="134">
        <v>8.5</v>
      </c>
      <c r="I220" s="2"/>
      <c r="J220" s="11" t="s">
        <v>1288</v>
      </c>
      <c r="K220" s="133">
        <v>10</v>
      </c>
      <c r="L220" s="2"/>
      <c r="M220" s="4" t="s">
        <v>1227</v>
      </c>
      <c r="N220" s="134">
        <v>7.5</v>
      </c>
      <c r="O220" s="16"/>
      <c r="R220"/>
      <c r="S220"/>
      <c r="T220"/>
      <c r="U220"/>
      <c r="V220"/>
      <c r="W220"/>
      <c r="X220"/>
      <c r="Y220"/>
      <c r="Z220"/>
      <c r="AA220"/>
      <c r="AB220"/>
      <c r="AC220"/>
      <c r="AD220"/>
      <c r="AE220"/>
      <c r="AF220"/>
      <c r="AG220"/>
      <c r="AH220"/>
      <c r="AI220"/>
    </row>
    <row r="221" spans="1:35" ht="16.05" customHeight="1" x14ac:dyDescent="0.3">
      <c r="A221" s="4" t="s">
        <v>1260</v>
      </c>
      <c r="B221" s="134">
        <v>9.5</v>
      </c>
      <c r="C221" s="2"/>
      <c r="D221" s="4" t="s">
        <v>1245</v>
      </c>
      <c r="E221" s="134">
        <v>9.5</v>
      </c>
      <c r="F221" s="2"/>
      <c r="G221" s="4" t="s">
        <v>1279</v>
      </c>
      <c r="H221" s="134">
        <v>9</v>
      </c>
      <c r="I221" s="2"/>
      <c r="J221" s="4" t="s">
        <v>1289</v>
      </c>
      <c r="K221" s="134"/>
      <c r="L221" s="2"/>
      <c r="M221" s="4" t="s">
        <v>1228</v>
      </c>
      <c r="N221" s="134">
        <v>8</v>
      </c>
      <c r="O221" s="16"/>
      <c r="R221"/>
      <c r="S221"/>
      <c r="T221"/>
      <c r="U221"/>
      <c r="V221"/>
      <c r="W221"/>
      <c r="X221"/>
      <c r="Y221"/>
      <c r="Z221"/>
      <c r="AA221"/>
      <c r="AB221"/>
      <c r="AC221"/>
      <c r="AD221"/>
      <c r="AE221"/>
      <c r="AF221"/>
      <c r="AG221"/>
      <c r="AH221"/>
      <c r="AI221"/>
    </row>
    <row r="222" spans="1:35" ht="16.05" customHeight="1" x14ac:dyDescent="0.3">
      <c r="A222" s="4" t="s">
        <v>1261</v>
      </c>
      <c r="B222" s="134">
        <v>9</v>
      </c>
      <c r="C222" s="2"/>
      <c r="D222" s="4" t="s">
        <v>1246</v>
      </c>
      <c r="E222" s="134">
        <v>8</v>
      </c>
      <c r="F222" s="2"/>
      <c r="G222" s="4" t="s">
        <v>1280</v>
      </c>
      <c r="H222" s="134">
        <v>7.5</v>
      </c>
      <c r="I222" s="2"/>
      <c r="J222" s="4" t="s">
        <v>1290</v>
      </c>
      <c r="K222" s="134">
        <v>10.5</v>
      </c>
      <c r="L222" s="2"/>
      <c r="M222" s="4" t="s">
        <v>1229</v>
      </c>
      <c r="N222" s="134">
        <v>9</v>
      </c>
      <c r="O222" s="16"/>
      <c r="R222"/>
      <c r="S222"/>
      <c r="T222"/>
      <c r="U222"/>
      <c r="V222"/>
      <c r="W222"/>
      <c r="X222"/>
      <c r="Y222"/>
      <c r="Z222"/>
      <c r="AA222"/>
      <c r="AB222"/>
      <c r="AC222"/>
      <c r="AD222"/>
      <c r="AE222"/>
      <c r="AF222"/>
      <c r="AG222"/>
      <c r="AH222"/>
      <c r="AI222"/>
    </row>
    <row r="223" spans="1:35" ht="16.05" customHeight="1" x14ac:dyDescent="0.3">
      <c r="A223" s="4" t="s">
        <v>1262</v>
      </c>
      <c r="B223" s="134">
        <v>9</v>
      </c>
      <c r="C223" s="2"/>
      <c r="D223" s="4" t="s">
        <v>1247</v>
      </c>
      <c r="E223" s="134">
        <v>8</v>
      </c>
      <c r="F223" s="2"/>
      <c r="G223" s="4" t="s">
        <v>1281</v>
      </c>
      <c r="H223" s="134">
        <v>10.5</v>
      </c>
      <c r="I223" s="2"/>
      <c r="J223" s="4" t="s">
        <v>1291</v>
      </c>
      <c r="K223" s="134">
        <v>8.5</v>
      </c>
      <c r="L223" s="2"/>
      <c r="M223" s="4" t="s">
        <v>1230</v>
      </c>
      <c r="N223" s="134">
        <v>8</v>
      </c>
      <c r="O223" s="16"/>
      <c r="R223"/>
      <c r="S223"/>
      <c r="T223"/>
      <c r="U223"/>
      <c r="V223"/>
      <c r="W223"/>
      <c r="X223"/>
      <c r="Y223"/>
      <c r="Z223"/>
      <c r="AA223"/>
      <c r="AB223"/>
      <c r="AC223"/>
      <c r="AD223"/>
      <c r="AE223"/>
      <c r="AF223"/>
      <c r="AG223"/>
      <c r="AH223"/>
      <c r="AI223"/>
    </row>
    <row r="224" spans="1:35" ht="16.05" customHeight="1" thickBot="1" x14ac:dyDescent="0.35">
      <c r="A224" s="7" t="s">
        <v>1263</v>
      </c>
      <c r="B224" s="135">
        <v>8.5</v>
      </c>
      <c r="C224" s="2"/>
      <c r="D224" s="4" t="s">
        <v>1248</v>
      </c>
      <c r="E224" s="134">
        <v>8</v>
      </c>
      <c r="F224" s="2"/>
      <c r="G224" s="4" t="s">
        <v>1282</v>
      </c>
      <c r="H224" s="134">
        <v>7</v>
      </c>
      <c r="I224" s="2"/>
      <c r="J224" s="4" t="s">
        <v>1292</v>
      </c>
      <c r="K224" s="134">
        <v>9</v>
      </c>
      <c r="L224" s="2"/>
      <c r="M224" s="4" t="s">
        <v>1231</v>
      </c>
      <c r="N224" s="134">
        <v>7</v>
      </c>
      <c r="O224" s="16"/>
      <c r="R224"/>
      <c r="S224"/>
      <c r="T224"/>
      <c r="U224"/>
      <c r="V224"/>
      <c r="W224"/>
      <c r="X224"/>
      <c r="Y224"/>
      <c r="Z224"/>
      <c r="AA224"/>
      <c r="AB224"/>
      <c r="AC224"/>
      <c r="AD224"/>
      <c r="AE224"/>
      <c r="AF224"/>
      <c r="AG224"/>
      <c r="AH224"/>
      <c r="AI224"/>
    </row>
    <row r="225" spans="1:35" ht="16.05" customHeight="1" thickBot="1" x14ac:dyDescent="0.35">
      <c r="A225" s="36"/>
      <c r="B225" s="13"/>
      <c r="C225" s="16"/>
      <c r="D225" s="4" t="s">
        <v>1249</v>
      </c>
      <c r="E225" s="134">
        <v>8</v>
      </c>
      <c r="F225" s="2"/>
      <c r="G225" s="4" t="s">
        <v>1283</v>
      </c>
      <c r="H225" s="134">
        <v>7.5</v>
      </c>
      <c r="I225" s="2"/>
      <c r="J225" s="4" t="s">
        <v>1293</v>
      </c>
      <c r="K225" s="134">
        <v>8</v>
      </c>
      <c r="L225" s="2"/>
      <c r="M225" s="4" t="s">
        <v>1232</v>
      </c>
      <c r="N225" s="134">
        <v>7.5</v>
      </c>
      <c r="O225" s="16"/>
      <c r="R225"/>
      <c r="S225"/>
      <c r="T225"/>
      <c r="U225"/>
      <c r="V225"/>
      <c r="W225"/>
      <c r="X225"/>
      <c r="Y225"/>
      <c r="Z225"/>
      <c r="AA225"/>
      <c r="AB225"/>
      <c r="AC225"/>
      <c r="AD225"/>
      <c r="AE225"/>
      <c r="AF225"/>
      <c r="AG225"/>
      <c r="AH225"/>
      <c r="AI225"/>
    </row>
    <row r="226" spans="1:35" ht="16.05" customHeight="1" thickBot="1" x14ac:dyDescent="0.35">
      <c r="A226" s="107" t="s">
        <v>1307</v>
      </c>
      <c r="B226" s="12">
        <f>ROUND(SUM(B227:B233)/COUNT(B227:B233), 2)</f>
        <v>8.86</v>
      </c>
      <c r="C226" s="21"/>
      <c r="D226" s="3" t="s">
        <v>1250</v>
      </c>
      <c r="E226" s="134">
        <v>8.5</v>
      </c>
      <c r="F226" s="2"/>
      <c r="G226" s="4" t="s">
        <v>1284</v>
      </c>
      <c r="H226" s="134">
        <v>6.5</v>
      </c>
      <c r="I226" s="2"/>
      <c r="J226" s="4" t="s">
        <v>1294</v>
      </c>
      <c r="K226" s="134">
        <v>9.5</v>
      </c>
      <c r="L226" s="2"/>
      <c r="M226" s="7" t="s">
        <v>1233</v>
      </c>
      <c r="N226" s="135">
        <v>7.5</v>
      </c>
      <c r="O226" s="16"/>
      <c r="R226"/>
      <c r="S226"/>
      <c r="T226"/>
      <c r="U226"/>
      <c r="V226"/>
      <c r="W226"/>
      <c r="X226"/>
      <c r="Y226"/>
      <c r="Z226"/>
      <c r="AA226"/>
      <c r="AB226"/>
      <c r="AC226"/>
      <c r="AD226"/>
      <c r="AE226"/>
      <c r="AF226"/>
      <c r="AG226"/>
      <c r="AH226"/>
      <c r="AI226"/>
    </row>
    <row r="227" spans="1:35" ht="16.05" customHeight="1" thickBot="1" x14ac:dyDescent="0.35">
      <c r="A227" s="11" t="s">
        <v>1308</v>
      </c>
      <c r="B227" s="133">
        <v>10</v>
      </c>
      <c r="C227" s="2"/>
      <c r="D227" s="7" t="s">
        <v>1251</v>
      </c>
      <c r="E227" s="135">
        <v>9</v>
      </c>
      <c r="F227" s="2"/>
      <c r="G227" s="7" t="s">
        <v>1285</v>
      </c>
      <c r="H227" s="135">
        <v>7</v>
      </c>
      <c r="I227" s="2"/>
      <c r="J227" s="4" t="s">
        <v>1295</v>
      </c>
      <c r="K227" s="134"/>
      <c r="L227" s="2"/>
      <c r="M227" s="15"/>
      <c r="N227" s="15"/>
      <c r="O227" s="16"/>
      <c r="R227"/>
      <c r="S227"/>
      <c r="T227"/>
      <c r="U227"/>
      <c r="V227"/>
      <c r="W227"/>
      <c r="X227"/>
      <c r="Y227"/>
      <c r="Z227"/>
      <c r="AA227"/>
      <c r="AB227"/>
      <c r="AC227"/>
      <c r="AD227"/>
      <c r="AE227"/>
      <c r="AF227"/>
      <c r="AG227"/>
      <c r="AH227"/>
      <c r="AI227"/>
    </row>
    <row r="228" spans="1:35" ht="16.05" customHeight="1" thickBot="1" x14ac:dyDescent="0.35">
      <c r="A228" s="4" t="s">
        <v>1309</v>
      </c>
      <c r="B228" s="134">
        <v>9.5</v>
      </c>
      <c r="C228" s="2"/>
      <c r="D228" s="13"/>
      <c r="E228" s="15"/>
      <c r="F228" s="2"/>
      <c r="G228" s="15"/>
      <c r="H228" s="15"/>
      <c r="I228" s="2"/>
      <c r="J228" s="4" t="s">
        <v>1296</v>
      </c>
      <c r="K228" s="134">
        <v>8</v>
      </c>
      <c r="L228" s="16"/>
      <c r="M228" s="105" t="s">
        <v>1341</v>
      </c>
      <c r="N228" s="12">
        <f>ROUND(SUM(N229:N238)/COUNT(N229:N238), 2)</f>
        <v>8.0500000000000007</v>
      </c>
      <c r="O228" s="16"/>
      <c r="R228"/>
      <c r="S228"/>
      <c r="T228"/>
      <c r="U228"/>
      <c r="V228"/>
      <c r="W228"/>
      <c r="X228"/>
      <c r="Y228"/>
      <c r="Z228"/>
      <c r="AA228"/>
      <c r="AB228"/>
      <c r="AC228"/>
      <c r="AD228"/>
      <c r="AE228"/>
      <c r="AF228"/>
      <c r="AG228"/>
      <c r="AH228"/>
      <c r="AI228"/>
    </row>
    <row r="229" spans="1:35" ht="16.05" customHeight="1" thickBot="1" x14ac:dyDescent="0.35">
      <c r="A229" s="4" t="s">
        <v>1310</v>
      </c>
      <c r="B229" s="134">
        <v>9</v>
      </c>
      <c r="C229" s="2"/>
      <c r="D229" s="223" t="s">
        <v>1318</v>
      </c>
      <c r="E229" s="12">
        <f>ROUND(SUM(E230:E235)/COUNT(E230:E235), 2)</f>
        <v>8.83</v>
      </c>
      <c r="F229" s="16"/>
      <c r="G229" s="104" t="s">
        <v>1342</v>
      </c>
      <c r="H229" s="12">
        <f>ROUND(SUM(H230:H244)/COUNT(H230:H244), 2)</f>
        <v>8.8800000000000008</v>
      </c>
      <c r="I229" s="2"/>
      <c r="J229" s="4" t="s">
        <v>1297</v>
      </c>
      <c r="K229" s="134">
        <v>8</v>
      </c>
      <c r="L229" s="2"/>
      <c r="M229" s="11" t="s">
        <v>1329</v>
      </c>
      <c r="N229" s="133">
        <v>8</v>
      </c>
      <c r="O229" s="16"/>
      <c r="R229"/>
      <c r="S229"/>
      <c r="T229"/>
      <c r="U229"/>
      <c r="V229"/>
      <c r="W229"/>
      <c r="X229"/>
      <c r="Y229"/>
      <c r="Z229"/>
      <c r="AA229"/>
      <c r="AB229"/>
      <c r="AC229"/>
      <c r="AD229"/>
      <c r="AE229"/>
      <c r="AF229"/>
      <c r="AG229"/>
      <c r="AH229"/>
      <c r="AI229"/>
    </row>
    <row r="230" spans="1:35" ht="16.05" customHeight="1" x14ac:dyDescent="0.3">
      <c r="A230" s="4" t="s">
        <v>1311</v>
      </c>
      <c r="B230" s="134">
        <v>8</v>
      </c>
      <c r="C230" s="2"/>
      <c r="D230" s="11" t="s">
        <v>1319</v>
      </c>
      <c r="E230" s="133">
        <v>8.5</v>
      </c>
      <c r="F230" s="2"/>
      <c r="G230" s="11" t="s">
        <v>1343</v>
      </c>
      <c r="H230" s="133"/>
      <c r="I230" s="2"/>
      <c r="J230" s="4" t="s">
        <v>1298</v>
      </c>
      <c r="K230" s="134">
        <v>10</v>
      </c>
      <c r="L230" s="2"/>
      <c r="M230" s="4" t="s">
        <v>1330</v>
      </c>
      <c r="N230" s="134">
        <v>8.5</v>
      </c>
      <c r="O230" s="16"/>
      <c r="R230"/>
      <c r="S230"/>
      <c r="T230"/>
      <c r="U230"/>
      <c r="V230"/>
      <c r="W230"/>
      <c r="X230"/>
      <c r="Y230"/>
      <c r="Z230"/>
      <c r="AA230"/>
      <c r="AB230"/>
      <c r="AC230"/>
      <c r="AD230"/>
      <c r="AE230"/>
      <c r="AF230"/>
      <c r="AG230"/>
      <c r="AH230"/>
      <c r="AI230"/>
    </row>
    <row r="231" spans="1:35" ht="16.05" customHeight="1" x14ac:dyDescent="0.3">
      <c r="A231" s="4" t="s">
        <v>1312</v>
      </c>
      <c r="B231" s="134">
        <v>9</v>
      </c>
      <c r="C231" s="2"/>
      <c r="D231" s="4" t="s">
        <v>1320</v>
      </c>
      <c r="E231" s="134">
        <v>8.5</v>
      </c>
      <c r="F231" s="2"/>
      <c r="G231" s="4" t="s">
        <v>1344</v>
      </c>
      <c r="H231" s="134">
        <v>8.5</v>
      </c>
      <c r="I231" s="2"/>
      <c r="J231" s="4" t="s">
        <v>1299</v>
      </c>
      <c r="K231" s="134">
        <v>7.5</v>
      </c>
      <c r="L231" s="2"/>
      <c r="M231" s="4" t="s">
        <v>1331</v>
      </c>
      <c r="N231" s="134">
        <v>9.5</v>
      </c>
      <c r="O231" s="16"/>
      <c r="R231"/>
      <c r="S231"/>
      <c r="T231"/>
      <c r="U231"/>
      <c r="V231"/>
      <c r="W231"/>
      <c r="X231"/>
      <c r="Y231"/>
      <c r="Z231"/>
      <c r="AA231"/>
      <c r="AB231"/>
      <c r="AC231"/>
      <c r="AD231"/>
      <c r="AE231"/>
      <c r="AF231"/>
      <c r="AG231"/>
      <c r="AH231"/>
      <c r="AI231"/>
    </row>
    <row r="232" spans="1:35" ht="16.05" customHeight="1" x14ac:dyDescent="0.3">
      <c r="A232" s="4" t="s">
        <v>1313</v>
      </c>
      <c r="B232" s="134">
        <v>8.5</v>
      </c>
      <c r="C232" s="2"/>
      <c r="D232" s="4" t="s">
        <v>1321</v>
      </c>
      <c r="E232" s="134">
        <v>8</v>
      </c>
      <c r="F232" s="2"/>
      <c r="G232" s="4" t="s">
        <v>1345</v>
      </c>
      <c r="H232" s="134">
        <v>9.5</v>
      </c>
      <c r="I232" s="2"/>
      <c r="J232" s="4" t="s">
        <v>1300</v>
      </c>
      <c r="K232" s="134">
        <v>9.5</v>
      </c>
      <c r="L232" s="2"/>
      <c r="M232" s="4" t="s">
        <v>1332</v>
      </c>
      <c r="N232" s="134">
        <v>8.5</v>
      </c>
      <c r="O232" s="16"/>
      <c r="R232"/>
      <c r="S232"/>
      <c r="T232"/>
      <c r="U232"/>
      <c r="V232"/>
      <c r="W232"/>
      <c r="X232"/>
      <c r="Y232"/>
      <c r="Z232"/>
      <c r="AA232"/>
      <c r="AB232"/>
      <c r="AC232"/>
      <c r="AD232"/>
      <c r="AE232"/>
      <c r="AF232"/>
      <c r="AG232"/>
      <c r="AH232"/>
      <c r="AI232"/>
    </row>
    <row r="233" spans="1:35" ht="16.05" customHeight="1" thickBot="1" x14ac:dyDescent="0.35">
      <c r="A233" s="7" t="s">
        <v>1314</v>
      </c>
      <c r="B233" s="135">
        <v>8</v>
      </c>
      <c r="C233" s="2"/>
      <c r="D233" s="4" t="s">
        <v>1322</v>
      </c>
      <c r="E233" s="134">
        <v>9</v>
      </c>
      <c r="F233" s="2"/>
      <c r="G233" s="4" t="s">
        <v>1346</v>
      </c>
      <c r="H233" s="134">
        <v>8.5</v>
      </c>
      <c r="I233" s="2"/>
      <c r="J233" s="4" t="s">
        <v>1301</v>
      </c>
      <c r="K233" s="134">
        <v>8</v>
      </c>
      <c r="L233" s="2"/>
      <c r="M233" s="4" t="s">
        <v>1333</v>
      </c>
      <c r="N233" s="134">
        <v>7</v>
      </c>
      <c r="O233" s="16"/>
      <c r="R233"/>
      <c r="S233"/>
      <c r="T233"/>
      <c r="U233"/>
      <c r="V233"/>
      <c r="W233"/>
      <c r="X233"/>
      <c r="Y233"/>
      <c r="Z233"/>
      <c r="AA233"/>
      <c r="AB233"/>
      <c r="AC233"/>
      <c r="AD233"/>
      <c r="AE233"/>
      <c r="AF233"/>
      <c r="AG233"/>
      <c r="AH233"/>
      <c r="AI233"/>
    </row>
    <row r="234" spans="1:35" ht="16.05" customHeight="1" thickBot="1" x14ac:dyDescent="0.35">
      <c r="A234" s="15"/>
      <c r="B234" s="15"/>
      <c r="C234" s="2"/>
      <c r="D234" s="4" t="s">
        <v>1323</v>
      </c>
      <c r="E234" s="134">
        <v>9</v>
      </c>
      <c r="F234" s="2"/>
      <c r="G234" s="4" t="s">
        <v>1347</v>
      </c>
      <c r="H234" s="134">
        <v>10</v>
      </c>
      <c r="I234" s="2"/>
      <c r="J234" s="4" t="s">
        <v>1302</v>
      </c>
      <c r="K234" s="134">
        <v>9</v>
      </c>
      <c r="L234" s="2"/>
      <c r="M234" s="4" t="s">
        <v>1334</v>
      </c>
      <c r="N234" s="134">
        <v>8</v>
      </c>
      <c r="O234" s="16"/>
      <c r="R234"/>
      <c r="S234"/>
      <c r="T234"/>
      <c r="U234"/>
      <c r="V234"/>
      <c r="W234"/>
      <c r="X234"/>
      <c r="Y234"/>
      <c r="Z234"/>
      <c r="AA234"/>
      <c r="AB234"/>
      <c r="AC234"/>
      <c r="AD234"/>
      <c r="AE234"/>
      <c r="AF234"/>
      <c r="AG234"/>
      <c r="AH234"/>
      <c r="AI234"/>
    </row>
    <row r="235" spans="1:35" ht="16.05" customHeight="1" thickBot="1" x14ac:dyDescent="0.35">
      <c r="A235" s="109" t="s">
        <v>1359</v>
      </c>
      <c r="B235" s="12">
        <f>ROUND(SUM(B236:B244)/COUNT(B236:B244), 2)</f>
        <v>8.83</v>
      </c>
      <c r="C235" s="2"/>
      <c r="D235" s="7" t="s">
        <v>1324</v>
      </c>
      <c r="E235" s="135">
        <v>10</v>
      </c>
      <c r="F235" s="2"/>
      <c r="G235" s="4" t="s">
        <v>1348</v>
      </c>
      <c r="H235" s="136">
        <v>10.5</v>
      </c>
      <c r="I235" s="2"/>
      <c r="J235" s="7" t="s">
        <v>1303</v>
      </c>
      <c r="K235" s="135">
        <v>8</v>
      </c>
      <c r="L235" s="2"/>
      <c r="M235" s="4" t="s">
        <v>1335</v>
      </c>
      <c r="N235" s="134">
        <v>8.5</v>
      </c>
      <c r="O235" s="16"/>
      <c r="R235"/>
      <c r="S235"/>
      <c r="T235"/>
      <c r="U235"/>
      <c r="V235"/>
      <c r="W235"/>
      <c r="X235"/>
      <c r="Y235"/>
      <c r="Z235"/>
      <c r="AA235"/>
      <c r="AB235"/>
      <c r="AC235"/>
      <c r="AD235"/>
      <c r="AE235"/>
      <c r="AF235"/>
      <c r="AG235"/>
      <c r="AH235"/>
      <c r="AI235"/>
    </row>
    <row r="236" spans="1:35" ht="16.05" customHeight="1" thickBot="1" x14ac:dyDescent="0.35">
      <c r="A236" s="11" t="s">
        <v>1360</v>
      </c>
      <c r="B236" s="133">
        <v>9</v>
      </c>
      <c r="C236" s="2"/>
      <c r="D236" s="15"/>
      <c r="E236" s="15"/>
      <c r="F236" s="2"/>
      <c r="G236" s="4" t="s">
        <v>1349</v>
      </c>
      <c r="H236" s="134">
        <v>9</v>
      </c>
      <c r="I236" s="2"/>
      <c r="J236" s="15"/>
      <c r="K236" s="15"/>
      <c r="L236" s="2"/>
      <c r="M236" s="4" t="s">
        <v>1336</v>
      </c>
      <c r="N236" s="134">
        <v>7</v>
      </c>
      <c r="O236" s="16"/>
      <c r="R236"/>
      <c r="S236"/>
      <c r="T236"/>
      <c r="U236"/>
      <c r="V236"/>
      <c r="W236"/>
      <c r="X236"/>
      <c r="Y236"/>
      <c r="Z236"/>
      <c r="AA236"/>
      <c r="AB236"/>
      <c r="AC236"/>
      <c r="AD236"/>
      <c r="AE236"/>
      <c r="AF236"/>
      <c r="AG236"/>
      <c r="AH236"/>
      <c r="AI236"/>
    </row>
    <row r="237" spans="1:35" ht="16.05" customHeight="1" thickBot="1" x14ac:dyDescent="0.35">
      <c r="A237" s="4" t="s">
        <v>1361</v>
      </c>
      <c r="B237" s="134">
        <v>10</v>
      </c>
      <c r="C237" s="2"/>
      <c r="D237" s="108" t="s">
        <v>1391</v>
      </c>
      <c r="E237" s="1">
        <f>ROUND(SUM(E238:E252)/COUNT(E238:E252), 2)</f>
        <v>8.8000000000000007</v>
      </c>
      <c r="F237" s="2"/>
      <c r="G237" s="4" t="s">
        <v>1350</v>
      </c>
      <c r="H237" s="134">
        <v>8.5</v>
      </c>
      <c r="I237" s="16"/>
      <c r="J237" s="110" t="s">
        <v>1393</v>
      </c>
      <c r="K237" s="12">
        <f>ROUND(SUM(K238:K250)/COUNT(K238:K250), 2)</f>
        <v>8.73</v>
      </c>
      <c r="L237" s="2"/>
      <c r="M237" s="4" t="s">
        <v>1337</v>
      </c>
      <c r="N237" s="134">
        <v>8</v>
      </c>
      <c r="O237" s="16"/>
      <c r="R237"/>
      <c r="S237"/>
      <c r="T237"/>
      <c r="U237"/>
      <c r="V237"/>
      <c r="W237"/>
      <c r="X237"/>
      <c r="Y237"/>
      <c r="Z237"/>
      <c r="AA237"/>
      <c r="AB237"/>
      <c r="AC237"/>
      <c r="AD237"/>
      <c r="AE237"/>
      <c r="AF237"/>
      <c r="AG237"/>
      <c r="AH237"/>
      <c r="AI237"/>
    </row>
    <row r="238" spans="1:35" ht="16.05" customHeight="1" thickBot="1" x14ac:dyDescent="0.35">
      <c r="A238" s="4" t="s">
        <v>1362</v>
      </c>
      <c r="B238" s="134">
        <v>8.5</v>
      </c>
      <c r="C238" s="2"/>
      <c r="D238" s="11" t="s">
        <v>1372</v>
      </c>
      <c r="E238" s="133">
        <v>8</v>
      </c>
      <c r="F238" s="2"/>
      <c r="G238" s="4" t="s">
        <v>1351</v>
      </c>
      <c r="H238" s="134">
        <v>8.5</v>
      </c>
      <c r="I238" s="2"/>
      <c r="J238" s="11" t="s">
        <v>1406</v>
      </c>
      <c r="K238" s="133">
        <v>10.5</v>
      </c>
      <c r="L238" s="2"/>
      <c r="M238" s="7" t="s">
        <v>1338</v>
      </c>
      <c r="N238" s="135">
        <v>7.5</v>
      </c>
      <c r="O238" s="16"/>
      <c r="R238"/>
      <c r="S238"/>
      <c r="T238"/>
      <c r="U238"/>
      <c r="V238"/>
      <c r="W238"/>
      <c r="X238"/>
      <c r="Y238"/>
      <c r="Z238"/>
      <c r="AA238"/>
      <c r="AB238"/>
      <c r="AC238"/>
      <c r="AD238"/>
      <c r="AE238"/>
      <c r="AF238"/>
      <c r="AG238"/>
      <c r="AH238"/>
      <c r="AI238"/>
    </row>
    <row r="239" spans="1:35" ht="16.05" customHeight="1" thickBot="1" x14ac:dyDescent="0.35">
      <c r="A239" s="4" t="s">
        <v>1363</v>
      </c>
      <c r="B239" s="134">
        <v>8.5</v>
      </c>
      <c r="C239" s="2"/>
      <c r="D239" s="4" t="s">
        <v>1373</v>
      </c>
      <c r="E239" s="134">
        <v>8.5</v>
      </c>
      <c r="F239" s="2"/>
      <c r="G239" s="4" t="s">
        <v>1352</v>
      </c>
      <c r="H239" s="134">
        <v>8</v>
      </c>
      <c r="I239" s="2"/>
      <c r="J239" s="4" t="s">
        <v>1394</v>
      </c>
      <c r="K239" s="134">
        <v>9.5</v>
      </c>
      <c r="L239" s="2"/>
      <c r="M239" s="15"/>
      <c r="N239" s="15"/>
      <c r="O239" s="16"/>
      <c r="R239"/>
      <c r="S239"/>
      <c r="T239"/>
      <c r="U239"/>
      <c r="V239"/>
      <c r="W239"/>
      <c r="X239"/>
      <c r="Y239"/>
      <c r="Z239"/>
      <c r="AA239"/>
      <c r="AB239"/>
      <c r="AC239"/>
      <c r="AD239"/>
      <c r="AE239"/>
      <c r="AF239"/>
      <c r="AG239"/>
      <c r="AH239"/>
      <c r="AI239"/>
    </row>
    <row r="240" spans="1:35" ht="16.05" customHeight="1" thickBot="1" x14ac:dyDescent="0.35">
      <c r="A240" s="4" t="s">
        <v>1364</v>
      </c>
      <c r="B240" s="134">
        <v>9.5</v>
      </c>
      <c r="C240" s="2"/>
      <c r="D240" s="4" t="s">
        <v>1374</v>
      </c>
      <c r="E240" s="134">
        <v>9.5</v>
      </c>
      <c r="F240" s="2"/>
      <c r="G240" s="4" t="s">
        <v>1353</v>
      </c>
      <c r="H240" s="134"/>
      <c r="I240" s="2"/>
      <c r="J240" s="4" t="s">
        <v>1395</v>
      </c>
      <c r="K240" s="134">
        <v>9</v>
      </c>
      <c r="L240" s="2"/>
      <c r="M240" s="143" t="s">
        <v>1410</v>
      </c>
      <c r="N240" s="1">
        <f>ROUND(SUM(N241:N247)/COUNT(N241:N247), 2)</f>
        <v>8.93</v>
      </c>
      <c r="O240" s="16"/>
      <c r="R240"/>
      <c r="S240"/>
      <c r="T240"/>
      <c r="U240"/>
      <c r="V240"/>
      <c r="W240"/>
      <c r="X240"/>
      <c r="Y240"/>
      <c r="Z240"/>
      <c r="AA240"/>
      <c r="AB240"/>
      <c r="AC240"/>
      <c r="AD240"/>
      <c r="AE240"/>
      <c r="AF240"/>
      <c r="AG240"/>
      <c r="AH240"/>
      <c r="AI240"/>
    </row>
    <row r="241" spans="1:35" ht="16.05" customHeight="1" x14ac:dyDescent="0.3">
      <c r="A241" s="4" t="s">
        <v>1365</v>
      </c>
      <c r="B241" s="134">
        <v>8</v>
      </c>
      <c r="C241" s="2"/>
      <c r="D241" s="4" t="s">
        <v>1375</v>
      </c>
      <c r="E241" s="134">
        <v>10</v>
      </c>
      <c r="F241" s="2"/>
      <c r="G241" s="4" t="s">
        <v>1354</v>
      </c>
      <c r="H241" s="134">
        <v>9.5</v>
      </c>
      <c r="I241" s="2"/>
      <c r="J241" s="4" t="s">
        <v>1396</v>
      </c>
      <c r="K241" s="134">
        <v>9.5</v>
      </c>
      <c r="L241" s="2"/>
      <c r="M241" s="11" t="s">
        <v>1411</v>
      </c>
      <c r="N241" s="133">
        <v>9.5</v>
      </c>
      <c r="O241" s="16"/>
      <c r="R241"/>
      <c r="S241"/>
      <c r="T241"/>
      <c r="U241"/>
      <c r="V241"/>
      <c r="W241"/>
      <c r="X241"/>
      <c r="Y241"/>
      <c r="Z241"/>
      <c r="AA241"/>
      <c r="AB241"/>
      <c r="AC241"/>
      <c r="AD241"/>
      <c r="AE241"/>
      <c r="AF241"/>
      <c r="AG241"/>
      <c r="AH241"/>
      <c r="AI241"/>
    </row>
    <row r="242" spans="1:35" ht="16.05" customHeight="1" x14ac:dyDescent="0.3">
      <c r="A242" s="4" t="s">
        <v>1366</v>
      </c>
      <c r="B242" s="134">
        <v>8.5</v>
      </c>
      <c r="C242" s="2"/>
      <c r="D242" s="4" t="s">
        <v>1376</v>
      </c>
      <c r="E242" s="134">
        <v>8.5</v>
      </c>
      <c r="F242" s="2"/>
      <c r="G242" s="4" t="s">
        <v>1355</v>
      </c>
      <c r="H242" s="134">
        <v>8</v>
      </c>
      <c r="I242" s="2"/>
      <c r="J242" s="4" t="s">
        <v>1397</v>
      </c>
      <c r="K242" s="134">
        <v>9</v>
      </c>
      <c r="L242" s="2"/>
      <c r="M242" s="4" t="s">
        <v>1412</v>
      </c>
      <c r="N242" s="134">
        <v>8</v>
      </c>
      <c r="O242" s="16"/>
      <c r="R242"/>
      <c r="S242"/>
      <c r="T242"/>
      <c r="U242"/>
      <c r="V242"/>
      <c r="W242"/>
      <c r="X242"/>
      <c r="Y242"/>
      <c r="Z242"/>
      <c r="AA242"/>
      <c r="AB242"/>
      <c r="AC242"/>
      <c r="AD242"/>
      <c r="AE242"/>
      <c r="AF242"/>
      <c r="AG242"/>
      <c r="AH242"/>
      <c r="AI242"/>
    </row>
    <row r="243" spans="1:35" ht="16.05" customHeight="1" x14ac:dyDescent="0.3">
      <c r="A243" s="4" t="s">
        <v>1367</v>
      </c>
      <c r="B243" s="134">
        <v>9</v>
      </c>
      <c r="C243" s="2"/>
      <c r="D243" s="4" t="s">
        <v>1377</v>
      </c>
      <c r="E243" s="134">
        <v>9.5</v>
      </c>
      <c r="F243" s="2"/>
      <c r="G243" s="4" t="s">
        <v>1356</v>
      </c>
      <c r="H243" s="134">
        <v>8.5</v>
      </c>
      <c r="I243" s="2"/>
      <c r="J243" s="4" t="s">
        <v>1398</v>
      </c>
      <c r="K243" s="134">
        <v>8</v>
      </c>
      <c r="L243" s="2"/>
      <c r="M243" s="4" t="s">
        <v>1413</v>
      </c>
      <c r="N243" s="134">
        <v>10</v>
      </c>
      <c r="O243" s="16"/>
      <c r="R243"/>
      <c r="S243"/>
      <c r="T243"/>
      <c r="U243"/>
      <c r="V243"/>
      <c r="W243"/>
      <c r="X243"/>
      <c r="Y243"/>
      <c r="Z243"/>
      <c r="AA243"/>
      <c r="AB243"/>
      <c r="AC243"/>
      <c r="AD243"/>
      <c r="AE243"/>
      <c r="AF243"/>
      <c r="AG243"/>
      <c r="AH243"/>
      <c r="AI243"/>
    </row>
    <row r="244" spans="1:35" ht="16.05" customHeight="1" thickBot="1" x14ac:dyDescent="0.35">
      <c r="A244" s="7" t="s">
        <v>1368</v>
      </c>
      <c r="B244" s="135">
        <v>8.5</v>
      </c>
      <c r="C244" s="2"/>
      <c r="D244" s="4" t="s">
        <v>1378</v>
      </c>
      <c r="E244" s="134">
        <v>9.5</v>
      </c>
      <c r="F244" s="2"/>
      <c r="G244" s="7" t="s">
        <v>1357</v>
      </c>
      <c r="H244" s="135">
        <v>8.5</v>
      </c>
      <c r="I244" s="2"/>
      <c r="J244" s="4" t="s">
        <v>1399</v>
      </c>
      <c r="K244" s="134">
        <v>9</v>
      </c>
      <c r="L244" s="2"/>
      <c r="M244" s="4" t="s">
        <v>1414</v>
      </c>
      <c r="N244" s="134">
        <v>8</v>
      </c>
      <c r="O244" s="16"/>
      <c r="R244"/>
      <c r="S244"/>
      <c r="T244"/>
      <c r="U244"/>
      <c r="V244"/>
      <c r="W244"/>
      <c r="X244"/>
      <c r="Y244"/>
      <c r="Z244"/>
      <c r="AA244"/>
      <c r="AB244"/>
      <c r="AC244"/>
      <c r="AD244"/>
      <c r="AE244"/>
      <c r="AF244"/>
      <c r="AG244"/>
      <c r="AH244"/>
      <c r="AI244"/>
    </row>
    <row r="245" spans="1:35" ht="16.05" customHeight="1" thickBot="1" x14ac:dyDescent="0.35">
      <c r="A245" s="2"/>
      <c r="B245" s="2"/>
      <c r="C245" s="2"/>
      <c r="D245" s="4" t="s">
        <v>1379</v>
      </c>
      <c r="E245" s="134">
        <v>8</v>
      </c>
      <c r="F245" s="2"/>
      <c r="G245" s="15"/>
      <c r="H245" s="15"/>
      <c r="I245" s="2"/>
      <c r="J245" s="4" t="s">
        <v>1400</v>
      </c>
      <c r="K245" s="134">
        <v>8.5</v>
      </c>
      <c r="L245" s="2"/>
      <c r="M245" s="4" t="s">
        <v>1415</v>
      </c>
      <c r="N245" s="134">
        <v>9</v>
      </c>
      <c r="O245" s="16"/>
      <c r="R245"/>
      <c r="S245"/>
      <c r="T245"/>
      <c r="U245"/>
      <c r="V245"/>
      <c r="W245"/>
      <c r="X245"/>
      <c r="Y245"/>
      <c r="Z245"/>
      <c r="AA245"/>
      <c r="AB245"/>
      <c r="AC245"/>
      <c r="AD245"/>
      <c r="AE245"/>
      <c r="AF245"/>
      <c r="AG245"/>
      <c r="AH245"/>
      <c r="AI245"/>
    </row>
    <row r="246" spans="1:35" ht="16.05" customHeight="1" thickBot="1" x14ac:dyDescent="0.35">
      <c r="A246" s="112" t="s">
        <v>1449</v>
      </c>
      <c r="B246" s="12">
        <f>ROUND(SUM(B247:B258)/COUNT(B247:B258), 2)</f>
        <v>8.82</v>
      </c>
      <c r="C246" s="2"/>
      <c r="D246" s="4" t="s">
        <v>1380</v>
      </c>
      <c r="E246" s="134">
        <v>8</v>
      </c>
      <c r="F246" s="2"/>
      <c r="G246" s="111" t="s">
        <v>1432</v>
      </c>
      <c r="H246" s="1">
        <f>ROUND(SUM(H247:H256)/COUNT(H247:H256), 2)</f>
        <v>8.75</v>
      </c>
      <c r="I246" s="2"/>
      <c r="J246" s="4" t="s">
        <v>1401</v>
      </c>
      <c r="K246" s="134">
        <v>8</v>
      </c>
      <c r="L246" s="2"/>
      <c r="M246" s="4" t="s">
        <v>1416</v>
      </c>
      <c r="N246" s="134">
        <v>8.5</v>
      </c>
      <c r="O246" s="16"/>
      <c r="R246"/>
      <c r="S246"/>
      <c r="T246"/>
      <c r="U246"/>
      <c r="V246"/>
      <c r="W246"/>
      <c r="X246"/>
      <c r="Y246"/>
      <c r="Z246"/>
      <c r="AA246"/>
      <c r="AB246"/>
      <c r="AC246"/>
      <c r="AD246"/>
      <c r="AE246"/>
      <c r="AF246"/>
      <c r="AG246"/>
      <c r="AH246"/>
      <c r="AI246"/>
    </row>
    <row r="247" spans="1:35" ht="16.05" customHeight="1" thickBot="1" x14ac:dyDescent="0.35">
      <c r="A247" s="11" t="s">
        <v>1437</v>
      </c>
      <c r="B247" s="133">
        <v>9.5</v>
      </c>
      <c r="C247" s="2"/>
      <c r="D247" s="4" t="s">
        <v>1381</v>
      </c>
      <c r="E247" s="134">
        <v>8.5</v>
      </c>
      <c r="F247" s="2"/>
      <c r="G247" s="4" t="s">
        <v>1423</v>
      </c>
      <c r="H247" s="134">
        <v>10</v>
      </c>
      <c r="I247" s="2"/>
      <c r="J247" s="4" t="s">
        <v>1402</v>
      </c>
      <c r="K247" s="134">
        <v>8</v>
      </c>
      <c r="L247" s="2"/>
      <c r="M247" s="7" t="s">
        <v>1417</v>
      </c>
      <c r="N247" s="135">
        <v>9.5</v>
      </c>
      <c r="O247" s="16"/>
      <c r="R247"/>
      <c r="S247"/>
      <c r="T247"/>
      <c r="U247"/>
      <c r="V247"/>
      <c r="W247"/>
      <c r="X247"/>
      <c r="Y247"/>
      <c r="Z247"/>
      <c r="AA247"/>
      <c r="AB247"/>
      <c r="AC247"/>
      <c r="AD247"/>
      <c r="AE247"/>
      <c r="AF247"/>
      <c r="AG247"/>
      <c r="AH247"/>
      <c r="AI247"/>
    </row>
    <row r="248" spans="1:35" ht="16.05" customHeight="1" thickBot="1" x14ac:dyDescent="0.35">
      <c r="A248" s="4" t="s">
        <v>1438</v>
      </c>
      <c r="B248" s="134">
        <v>8.5</v>
      </c>
      <c r="C248" s="2"/>
      <c r="D248" s="4" t="s">
        <v>1382</v>
      </c>
      <c r="E248" s="134">
        <v>10</v>
      </c>
      <c r="F248" s="2"/>
      <c r="G248" s="4" t="s">
        <v>1424</v>
      </c>
      <c r="H248" s="134">
        <v>9</v>
      </c>
      <c r="I248" s="2"/>
      <c r="J248" s="4" t="s">
        <v>1403</v>
      </c>
      <c r="K248" s="134">
        <v>8</v>
      </c>
      <c r="L248" s="2"/>
      <c r="M248" s="2"/>
      <c r="N248" s="2"/>
      <c r="O248" s="16"/>
      <c r="R248"/>
      <c r="S248"/>
      <c r="T248"/>
      <c r="U248"/>
      <c r="V248"/>
      <c r="W248"/>
      <c r="X248"/>
      <c r="Y248"/>
      <c r="Z248"/>
      <c r="AA248"/>
      <c r="AB248"/>
      <c r="AC248"/>
      <c r="AD248"/>
      <c r="AE248"/>
      <c r="AF248"/>
      <c r="AG248"/>
      <c r="AH248"/>
      <c r="AI248"/>
    </row>
    <row r="249" spans="1:35" ht="16.05" customHeight="1" thickBot="1" x14ac:dyDescent="0.35">
      <c r="A249" s="4" t="s">
        <v>1439</v>
      </c>
      <c r="B249" s="134">
        <v>8.5</v>
      </c>
      <c r="C249" s="2"/>
      <c r="D249" s="4" t="s">
        <v>1383</v>
      </c>
      <c r="E249" s="134">
        <v>8.5</v>
      </c>
      <c r="F249" s="2"/>
      <c r="G249" s="4" t="s">
        <v>15</v>
      </c>
      <c r="H249" s="134">
        <v>10</v>
      </c>
      <c r="I249" s="2"/>
      <c r="J249" s="4" t="s">
        <v>1404</v>
      </c>
      <c r="K249" s="134">
        <v>8.5</v>
      </c>
      <c r="L249" s="2"/>
      <c r="M249" s="144" t="s">
        <v>1454</v>
      </c>
      <c r="N249" s="12">
        <f>ROUND(SUM(N250:N275)/COUNT(N250:N275), 2)</f>
        <v>8.67</v>
      </c>
      <c r="O249" s="16"/>
      <c r="R249"/>
      <c r="S249"/>
      <c r="T249"/>
      <c r="U249"/>
      <c r="V249"/>
      <c r="W249"/>
      <c r="X249"/>
      <c r="Y249"/>
      <c r="Z249"/>
      <c r="AA249"/>
      <c r="AB249"/>
      <c r="AC249"/>
      <c r="AD249"/>
      <c r="AE249"/>
      <c r="AF249"/>
      <c r="AG249"/>
      <c r="AH249"/>
      <c r="AI249"/>
    </row>
    <row r="250" spans="1:35" ht="16.05" customHeight="1" thickBot="1" x14ac:dyDescent="0.35">
      <c r="A250" s="4" t="s">
        <v>1440</v>
      </c>
      <c r="B250" s="134"/>
      <c r="C250" s="2"/>
      <c r="D250" s="4" t="s">
        <v>1384</v>
      </c>
      <c r="E250" s="134">
        <v>9</v>
      </c>
      <c r="F250" s="2"/>
      <c r="G250" s="4" t="s">
        <v>1425</v>
      </c>
      <c r="H250" s="134">
        <v>9</v>
      </c>
      <c r="I250" s="2"/>
      <c r="J250" s="7" t="s">
        <v>1405</v>
      </c>
      <c r="K250" s="135">
        <v>8</v>
      </c>
      <c r="L250" s="2"/>
      <c r="M250" s="11" t="s">
        <v>1453</v>
      </c>
      <c r="N250" s="133">
        <v>10</v>
      </c>
      <c r="O250" s="16"/>
      <c r="R250"/>
      <c r="S250"/>
      <c r="T250"/>
      <c r="U250"/>
      <c r="V250"/>
      <c r="W250"/>
      <c r="X250"/>
      <c r="Y250"/>
      <c r="Z250"/>
      <c r="AA250"/>
      <c r="AB250"/>
      <c r="AC250"/>
      <c r="AD250"/>
      <c r="AE250"/>
      <c r="AF250"/>
      <c r="AG250"/>
      <c r="AH250"/>
      <c r="AI250"/>
    </row>
    <row r="251" spans="1:35" ht="16.05" customHeight="1" thickBot="1" x14ac:dyDescent="0.35">
      <c r="A251" s="4" t="s">
        <v>1441</v>
      </c>
      <c r="B251" s="134">
        <v>8</v>
      </c>
      <c r="C251" s="2"/>
      <c r="D251" s="4" t="s">
        <v>1385</v>
      </c>
      <c r="E251" s="134">
        <v>8.5</v>
      </c>
      <c r="F251" s="2"/>
      <c r="G251" s="4" t="s">
        <v>1426</v>
      </c>
      <c r="H251" s="134">
        <v>8.5</v>
      </c>
      <c r="I251" s="2"/>
      <c r="J251" s="2"/>
      <c r="K251" s="2"/>
      <c r="L251" s="2"/>
      <c r="M251" s="4" t="s">
        <v>1455</v>
      </c>
      <c r="N251" s="134">
        <v>9</v>
      </c>
      <c r="O251" s="16"/>
      <c r="R251"/>
      <c r="S251"/>
      <c r="T251"/>
      <c r="U251"/>
      <c r="V251"/>
      <c r="W251"/>
      <c r="X251"/>
      <c r="Y251"/>
      <c r="Z251"/>
      <c r="AA251"/>
      <c r="AB251"/>
      <c r="AC251"/>
      <c r="AD251"/>
      <c r="AE251"/>
      <c r="AF251"/>
      <c r="AG251"/>
      <c r="AH251"/>
      <c r="AI251"/>
    </row>
    <row r="252" spans="1:35" ht="16.05" customHeight="1" thickBot="1" x14ac:dyDescent="0.35">
      <c r="A252" s="4" t="s">
        <v>1442</v>
      </c>
      <c r="B252" s="134">
        <v>10</v>
      </c>
      <c r="C252" s="2"/>
      <c r="D252" s="7" t="s">
        <v>1386</v>
      </c>
      <c r="E252" s="135">
        <v>8</v>
      </c>
      <c r="F252" s="2"/>
      <c r="G252" s="4" t="s">
        <v>1427</v>
      </c>
      <c r="H252" s="134">
        <v>8</v>
      </c>
      <c r="I252" s="2"/>
      <c r="J252" s="114" t="s">
        <v>1494</v>
      </c>
      <c r="K252" s="1">
        <f>ROUND(SUM(K253:K262)/COUNT(K253:K262), 2)</f>
        <v>8</v>
      </c>
      <c r="L252" s="2"/>
      <c r="M252" s="4" t="s">
        <v>1456</v>
      </c>
      <c r="N252" s="134">
        <v>8.5</v>
      </c>
      <c r="O252" s="16"/>
      <c r="R252"/>
      <c r="S252"/>
      <c r="T252"/>
      <c r="U252"/>
      <c r="V252"/>
      <c r="W252"/>
      <c r="X252"/>
      <c r="Y252"/>
      <c r="Z252"/>
      <c r="AA252"/>
      <c r="AB252"/>
      <c r="AC252"/>
      <c r="AD252"/>
      <c r="AE252"/>
      <c r="AF252"/>
      <c r="AG252"/>
      <c r="AH252"/>
      <c r="AI252"/>
    </row>
    <row r="253" spans="1:35" ht="16.05" customHeight="1" thickBot="1" x14ac:dyDescent="0.35">
      <c r="A253" s="4" t="s">
        <v>1443</v>
      </c>
      <c r="B253" s="134">
        <v>10.5</v>
      </c>
      <c r="C253" s="2"/>
      <c r="D253" s="2"/>
      <c r="E253" s="2"/>
      <c r="F253" s="2"/>
      <c r="G253" s="4" t="s">
        <v>1428</v>
      </c>
      <c r="H253" s="134">
        <v>9</v>
      </c>
      <c r="I253" s="2"/>
      <c r="J253" s="11" t="s">
        <v>1484</v>
      </c>
      <c r="K253" s="133">
        <v>8.5</v>
      </c>
      <c r="L253" s="2"/>
      <c r="M253" s="4" t="s">
        <v>1457</v>
      </c>
      <c r="N253" s="134">
        <v>8</v>
      </c>
      <c r="O253" s="16"/>
      <c r="R253"/>
      <c r="S253"/>
      <c r="T253"/>
      <c r="U253"/>
      <c r="V253"/>
      <c r="W253"/>
      <c r="X253"/>
      <c r="Y253"/>
      <c r="Z253"/>
      <c r="AA253"/>
      <c r="AB253"/>
      <c r="AC253"/>
      <c r="AD253"/>
      <c r="AE253"/>
      <c r="AF253"/>
      <c r="AG253"/>
      <c r="AH253"/>
      <c r="AI253"/>
    </row>
    <row r="254" spans="1:35" ht="16.05" customHeight="1" thickBot="1" x14ac:dyDescent="0.35">
      <c r="A254" s="4" t="s">
        <v>1444</v>
      </c>
      <c r="B254" s="134">
        <v>9</v>
      </c>
      <c r="C254" s="2"/>
      <c r="D254" s="115" t="s">
        <v>1498</v>
      </c>
      <c r="E254" s="1">
        <f>ROUND(SUM(E255:E264)/COUNT(E255:E264), 2)</f>
        <v>8.44</v>
      </c>
      <c r="F254" s="2"/>
      <c r="G254" s="4" t="s">
        <v>1429</v>
      </c>
      <c r="H254" s="134">
        <v>8</v>
      </c>
      <c r="I254" s="2"/>
      <c r="J254" s="4" t="s">
        <v>1485</v>
      </c>
      <c r="K254" s="134">
        <v>7.5</v>
      </c>
      <c r="L254" s="2"/>
      <c r="M254" s="4" t="s">
        <v>1458</v>
      </c>
      <c r="N254" s="134">
        <v>10.5</v>
      </c>
      <c r="O254" s="16"/>
      <c r="R254"/>
      <c r="S254"/>
      <c r="T254"/>
      <c r="U254"/>
      <c r="V254"/>
      <c r="W254"/>
      <c r="X254"/>
      <c r="Y254"/>
      <c r="Z254"/>
      <c r="AA254"/>
      <c r="AB254"/>
      <c r="AC254"/>
      <c r="AD254"/>
      <c r="AE254"/>
      <c r="AF254"/>
      <c r="AG254"/>
      <c r="AH254"/>
      <c r="AI254"/>
    </row>
    <row r="255" spans="1:35" ht="16.05" customHeight="1" x14ac:dyDescent="0.3">
      <c r="A255" s="4" t="s">
        <v>1445</v>
      </c>
      <c r="B255" s="134">
        <v>8</v>
      </c>
      <c r="C255" s="2"/>
      <c r="D255" s="11" t="s">
        <v>1499</v>
      </c>
      <c r="E255" s="133">
        <v>8.5</v>
      </c>
      <c r="F255" s="2"/>
      <c r="G255" s="4" t="s">
        <v>1430</v>
      </c>
      <c r="H255" s="134">
        <v>8</v>
      </c>
      <c r="I255" s="2"/>
      <c r="J255" s="4" t="s">
        <v>1486</v>
      </c>
      <c r="K255" s="134">
        <v>9.5</v>
      </c>
      <c r="L255" s="2"/>
      <c r="M255" s="4" t="s">
        <v>1459</v>
      </c>
      <c r="N255" s="134">
        <v>9.5</v>
      </c>
      <c r="O255" s="16"/>
      <c r="R255"/>
      <c r="S255"/>
      <c r="T255"/>
      <c r="U255"/>
      <c r="V255"/>
      <c r="W255"/>
      <c r="X255"/>
      <c r="Y255"/>
      <c r="Z255"/>
      <c r="AA255"/>
      <c r="AB255"/>
      <c r="AC255"/>
      <c r="AD255"/>
      <c r="AE255"/>
      <c r="AF255"/>
      <c r="AG255"/>
      <c r="AH255"/>
      <c r="AI255"/>
    </row>
    <row r="256" spans="1:35" ht="16.05" customHeight="1" thickBot="1" x14ac:dyDescent="0.35">
      <c r="A256" s="4" t="s">
        <v>1446</v>
      </c>
      <c r="B256" s="134">
        <v>8</v>
      </c>
      <c r="C256" s="2"/>
      <c r="D256" s="4" t="s">
        <v>1500</v>
      </c>
      <c r="E256" s="134">
        <v>10</v>
      </c>
      <c r="F256" s="2"/>
      <c r="G256" s="7" t="s">
        <v>1431</v>
      </c>
      <c r="H256" s="135">
        <v>8</v>
      </c>
      <c r="I256" s="2"/>
      <c r="J256" s="4" t="s">
        <v>1487</v>
      </c>
      <c r="K256" s="134">
        <v>7.5</v>
      </c>
      <c r="L256" s="2"/>
      <c r="M256" s="4" t="s">
        <v>9</v>
      </c>
      <c r="N256" s="134">
        <v>8</v>
      </c>
      <c r="O256" s="16"/>
      <c r="R256"/>
      <c r="S256"/>
      <c r="T256"/>
      <c r="U256"/>
      <c r="V256"/>
      <c r="W256"/>
      <c r="X256"/>
      <c r="Y256"/>
      <c r="Z256"/>
      <c r="AA256"/>
      <c r="AB256"/>
      <c r="AC256"/>
      <c r="AD256"/>
      <c r="AE256"/>
      <c r="AF256"/>
      <c r="AG256"/>
      <c r="AH256"/>
      <c r="AI256"/>
    </row>
    <row r="257" spans="1:35" ht="16.05" customHeight="1" thickBot="1" x14ac:dyDescent="0.35">
      <c r="A257" s="4" t="s">
        <v>1447</v>
      </c>
      <c r="B257" s="134">
        <v>8.5</v>
      </c>
      <c r="C257" s="2"/>
      <c r="D257" s="4" t="s">
        <v>1501</v>
      </c>
      <c r="E257" s="134">
        <v>9.5</v>
      </c>
      <c r="F257" s="2"/>
      <c r="G257" s="2"/>
      <c r="H257" s="2"/>
      <c r="I257" s="2"/>
      <c r="J257" s="4" t="s">
        <v>1488</v>
      </c>
      <c r="K257" s="134">
        <v>9</v>
      </c>
      <c r="L257" s="2"/>
      <c r="M257" s="4" t="s">
        <v>1460</v>
      </c>
      <c r="N257" s="134">
        <v>10.5</v>
      </c>
      <c r="O257" s="16"/>
      <c r="R257"/>
      <c r="S257"/>
      <c r="T257"/>
      <c r="U257"/>
      <c r="V257"/>
      <c r="W257"/>
      <c r="X257"/>
      <c r="Y257"/>
      <c r="Z257"/>
      <c r="AA257"/>
      <c r="AB257"/>
      <c r="AC257"/>
      <c r="AD257"/>
      <c r="AE257"/>
      <c r="AF257"/>
      <c r="AG257"/>
      <c r="AH257"/>
      <c r="AI257"/>
    </row>
    <row r="258" spans="1:35" ht="16.05" customHeight="1" thickBot="1" x14ac:dyDescent="0.35">
      <c r="A258" s="7" t="s">
        <v>1448</v>
      </c>
      <c r="B258" s="135">
        <v>8.5</v>
      </c>
      <c r="C258" s="2"/>
      <c r="D258" s="4" t="s">
        <v>1502</v>
      </c>
      <c r="E258" s="134">
        <v>10</v>
      </c>
      <c r="F258" s="2"/>
      <c r="G258" s="116" t="s">
        <v>1511</v>
      </c>
      <c r="H258" s="12">
        <f>ROUND(SUM(H259:H263)/COUNT(H259:H263), 2)</f>
        <v>8.9</v>
      </c>
      <c r="I258" s="2"/>
      <c r="J258" s="4" t="s">
        <v>1489</v>
      </c>
      <c r="K258" s="134">
        <v>6.5</v>
      </c>
      <c r="L258" s="2"/>
      <c r="M258" s="4" t="s">
        <v>1461</v>
      </c>
      <c r="N258" s="134">
        <v>10.5</v>
      </c>
      <c r="O258" s="16"/>
      <c r="R258"/>
      <c r="S258"/>
      <c r="T258"/>
      <c r="U258"/>
      <c r="V258"/>
      <c r="W258"/>
      <c r="X258"/>
      <c r="Y258"/>
      <c r="Z258"/>
      <c r="AA258"/>
      <c r="AB258"/>
      <c r="AC258"/>
      <c r="AD258"/>
      <c r="AE258"/>
      <c r="AF258"/>
      <c r="AG258"/>
      <c r="AH258"/>
      <c r="AI258"/>
    </row>
    <row r="259" spans="1:35" ht="16.05" customHeight="1" thickBot="1" x14ac:dyDescent="0.35">
      <c r="A259" s="2"/>
      <c r="B259" s="2"/>
      <c r="C259" s="2"/>
      <c r="D259" s="4" t="s">
        <v>1503</v>
      </c>
      <c r="E259" s="134"/>
      <c r="F259" s="2"/>
      <c r="G259" s="11" t="s">
        <v>1512</v>
      </c>
      <c r="H259" s="133">
        <v>9</v>
      </c>
      <c r="I259" s="2"/>
      <c r="J259" s="4" t="s">
        <v>1490</v>
      </c>
      <c r="K259" s="134"/>
      <c r="L259" s="2"/>
      <c r="M259" s="4" t="s">
        <v>1462</v>
      </c>
      <c r="N259" s="134">
        <v>9</v>
      </c>
      <c r="O259" s="16"/>
      <c r="R259"/>
      <c r="S259"/>
      <c r="T259"/>
      <c r="U259"/>
      <c r="V259"/>
      <c r="W259"/>
      <c r="X259"/>
      <c r="Y259"/>
      <c r="Z259"/>
      <c r="AA259"/>
      <c r="AB259"/>
      <c r="AC259"/>
      <c r="AD259"/>
      <c r="AE259"/>
      <c r="AF259"/>
      <c r="AG259"/>
      <c r="AH259"/>
      <c r="AI259"/>
    </row>
    <row r="260" spans="1:35" ht="16.05" customHeight="1" thickBot="1" x14ac:dyDescent="0.35">
      <c r="A260" s="117" t="s">
        <v>1520</v>
      </c>
      <c r="B260" s="1">
        <f>ROUND(SUM(B261:B270)/COUNT(B261:B270), 2)</f>
        <v>8.75</v>
      </c>
      <c r="C260" s="2"/>
      <c r="D260" s="4" t="s">
        <v>1504</v>
      </c>
      <c r="E260" s="134">
        <v>8</v>
      </c>
      <c r="F260" s="2"/>
      <c r="G260" s="4" t="s">
        <v>1513</v>
      </c>
      <c r="H260" s="134">
        <v>8.5</v>
      </c>
      <c r="I260" s="2"/>
      <c r="J260" s="4" t="s">
        <v>1491</v>
      </c>
      <c r="K260" s="134">
        <v>7.5</v>
      </c>
      <c r="L260" s="2"/>
      <c r="M260" s="4" t="s">
        <v>1463</v>
      </c>
      <c r="N260" s="134">
        <v>8.5</v>
      </c>
      <c r="O260" s="16"/>
      <c r="R260"/>
      <c r="S260"/>
      <c r="T260"/>
      <c r="U260"/>
      <c r="V260"/>
      <c r="W260"/>
      <c r="X260"/>
      <c r="Y260"/>
      <c r="Z260"/>
      <c r="AA260"/>
      <c r="AB260"/>
      <c r="AC260"/>
      <c r="AD260"/>
      <c r="AE260"/>
      <c r="AF260"/>
      <c r="AG260"/>
      <c r="AH260"/>
      <c r="AI260"/>
    </row>
    <row r="261" spans="1:35" ht="16.05" customHeight="1" x14ac:dyDescent="0.3">
      <c r="A261" s="4" t="s">
        <v>1521</v>
      </c>
      <c r="B261" s="134">
        <v>8</v>
      </c>
      <c r="C261" s="2"/>
      <c r="D261" s="4" t="s">
        <v>1505</v>
      </c>
      <c r="E261" s="134">
        <v>9</v>
      </c>
      <c r="F261" s="2"/>
      <c r="G261" s="4" t="s">
        <v>1514</v>
      </c>
      <c r="H261" s="134">
        <v>9</v>
      </c>
      <c r="I261" s="2"/>
      <c r="J261" s="4" t="s">
        <v>1492</v>
      </c>
      <c r="K261" s="134">
        <v>8.5</v>
      </c>
      <c r="L261" s="2"/>
      <c r="M261" s="4" t="s">
        <v>1464</v>
      </c>
      <c r="N261" s="134">
        <v>8</v>
      </c>
      <c r="O261" s="16"/>
      <c r="R261"/>
      <c r="S261"/>
      <c r="T261"/>
      <c r="U261"/>
      <c r="V261"/>
      <c r="W261"/>
      <c r="X261"/>
      <c r="Y261"/>
      <c r="Z261"/>
      <c r="AA261"/>
      <c r="AB261"/>
      <c r="AC261"/>
      <c r="AD261"/>
      <c r="AE261"/>
      <c r="AF261"/>
      <c r="AG261"/>
      <c r="AH261"/>
      <c r="AI261"/>
    </row>
    <row r="262" spans="1:35" ht="16.05" customHeight="1" thickBot="1" x14ac:dyDescent="0.35">
      <c r="A262" s="4" t="s">
        <v>1522</v>
      </c>
      <c r="B262" s="134">
        <v>9.5</v>
      </c>
      <c r="C262" s="2"/>
      <c r="D262" s="4" t="s">
        <v>1506</v>
      </c>
      <c r="E262" s="134">
        <v>8</v>
      </c>
      <c r="F262" s="2"/>
      <c r="G262" s="4" t="s">
        <v>1515</v>
      </c>
      <c r="H262" s="134">
        <v>8</v>
      </c>
      <c r="I262" s="2"/>
      <c r="J262" s="7" t="s">
        <v>1493</v>
      </c>
      <c r="K262" s="135">
        <v>7.5</v>
      </c>
      <c r="L262" s="2"/>
      <c r="M262" s="4" t="s">
        <v>1465</v>
      </c>
      <c r="N262" s="134">
        <v>8</v>
      </c>
      <c r="O262" s="16"/>
      <c r="R262"/>
      <c r="S262"/>
      <c r="T262"/>
      <c r="U262"/>
      <c r="V262"/>
      <c r="W262"/>
      <c r="X262"/>
      <c r="Y262"/>
      <c r="Z262"/>
      <c r="AA262"/>
      <c r="AB262"/>
      <c r="AC262"/>
      <c r="AD262"/>
      <c r="AE262"/>
      <c r="AF262"/>
      <c r="AG262"/>
      <c r="AH262"/>
      <c r="AI262"/>
    </row>
    <row r="263" spans="1:35" ht="16.05" customHeight="1" thickBot="1" x14ac:dyDescent="0.35">
      <c r="A263" s="4" t="s">
        <v>1523</v>
      </c>
      <c r="B263" s="134">
        <v>10</v>
      </c>
      <c r="C263" s="2"/>
      <c r="D263" s="4" t="s">
        <v>1507</v>
      </c>
      <c r="E263" s="134">
        <v>7</v>
      </c>
      <c r="F263" s="2"/>
      <c r="G263" s="7" t="s">
        <v>1516</v>
      </c>
      <c r="H263" s="135">
        <v>10</v>
      </c>
      <c r="I263" s="2"/>
      <c r="J263" s="2"/>
      <c r="K263" s="2"/>
      <c r="L263" s="2"/>
      <c r="M263" s="4" t="s">
        <v>1466</v>
      </c>
      <c r="N263" s="134">
        <v>7.5</v>
      </c>
      <c r="O263" s="16"/>
      <c r="R263"/>
      <c r="S263"/>
      <c r="T263"/>
      <c r="U263"/>
      <c r="V263"/>
      <c r="W263"/>
      <c r="X263"/>
      <c r="Y263"/>
      <c r="Z263"/>
      <c r="AA263"/>
      <c r="AB263"/>
      <c r="AC263"/>
      <c r="AD263"/>
      <c r="AE263"/>
      <c r="AF263"/>
      <c r="AG263"/>
      <c r="AH263"/>
      <c r="AI263"/>
    </row>
    <row r="264" spans="1:35" ht="16.05" customHeight="1" thickBot="1" x14ac:dyDescent="0.35">
      <c r="A264" s="4" t="s">
        <v>1524</v>
      </c>
      <c r="B264" s="134">
        <v>9.5</v>
      </c>
      <c r="C264" s="2"/>
      <c r="D264" s="7" t="s">
        <v>1508</v>
      </c>
      <c r="E264" s="135">
        <v>6</v>
      </c>
      <c r="F264" s="2"/>
      <c r="G264" s="2"/>
      <c r="H264" s="2"/>
      <c r="I264" s="2"/>
      <c r="J264" s="118" t="s">
        <v>1535</v>
      </c>
      <c r="K264" s="1">
        <f>ROUND(SUM(K265:K274)/COUNT(K265:K274), 2)</f>
        <v>8.94</v>
      </c>
      <c r="L264" s="2"/>
      <c r="M264" s="4" t="s">
        <v>1467</v>
      </c>
      <c r="N264" s="134">
        <v>8</v>
      </c>
      <c r="O264" s="16"/>
      <c r="R264"/>
      <c r="S264"/>
      <c r="T264"/>
      <c r="U264"/>
      <c r="V264"/>
      <c r="W264"/>
      <c r="X264"/>
      <c r="Y264"/>
      <c r="Z264"/>
      <c r="AA264"/>
      <c r="AB264"/>
      <c r="AC264"/>
      <c r="AD264"/>
      <c r="AE264"/>
      <c r="AF264"/>
      <c r="AG264"/>
      <c r="AH264"/>
      <c r="AI264"/>
    </row>
    <row r="265" spans="1:35" ht="16.05" customHeight="1" thickBot="1" x14ac:dyDescent="0.35">
      <c r="A265" s="4" t="s">
        <v>1525</v>
      </c>
      <c r="B265" s="134">
        <v>8</v>
      </c>
      <c r="C265" s="2"/>
      <c r="D265" s="2"/>
      <c r="E265" s="2"/>
      <c r="F265" s="2"/>
      <c r="G265" s="120" t="s">
        <v>1569</v>
      </c>
      <c r="H265" s="12">
        <f>ROUND(SUM(H266:H274)/COUNT(H266:H274), 2)</f>
        <v>8.75</v>
      </c>
      <c r="I265" s="2"/>
      <c r="J265" s="11" t="s">
        <v>1536</v>
      </c>
      <c r="K265" s="133">
        <v>8</v>
      </c>
      <c r="L265" s="2"/>
      <c r="M265" s="4" t="s">
        <v>1468</v>
      </c>
      <c r="N265" s="134">
        <v>9</v>
      </c>
      <c r="O265" s="16"/>
      <c r="R265"/>
      <c r="S265"/>
      <c r="T265"/>
      <c r="U265"/>
      <c r="V265"/>
      <c r="W265"/>
      <c r="X265"/>
      <c r="Y265"/>
      <c r="Z265"/>
      <c r="AA265"/>
      <c r="AB265"/>
      <c r="AC265"/>
      <c r="AD265"/>
      <c r="AE265"/>
      <c r="AF265"/>
      <c r="AG265"/>
      <c r="AH265"/>
      <c r="AI265"/>
    </row>
    <row r="266" spans="1:35" ht="16.05" customHeight="1" thickBot="1" x14ac:dyDescent="0.35">
      <c r="A266" s="4" t="s">
        <v>1526</v>
      </c>
      <c r="B266" s="134">
        <v>8.5</v>
      </c>
      <c r="C266" s="2"/>
      <c r="D266" s="119" t="s">
        <v>1546</v>
      </c>
      <c r="E266" s="12">
        <f>ROUND(SUM(E267:E276)/COUNT(E267:E276), 2)</f>
        <v>8.6</v>
      </c>
      <c r="F266" s="2"/>
      <c r="G266" s="11" t="s">
        <v>1560</v>
      </c>
      <c r="H266" s="133">
        <v>8.5</v>
      </c>
      <c r="I266" s="2"/>
      <c r="J266" s="4" t="s">
        <v>1537</v>
      </c>
      <c r="K266" s="134">
        <v>8.5</v>
      </c>
      <c r="L266" s="2"/>
      <c r="M266" s="4" t="s">
        <v>1469</v>
      </c>
      <c r="N266" s="134">
        <v>8</v>
      </c>
      <c r="O266" s="16"/>
      <c r="R266"/>
      <c r="S266"/>
      <c r="T266"/>
      <c r="U266"/>
      <c r="V266"/>
      <c r="W266"/>
      <c r="X266"/>
      <c r="Y266"/>
      <c r="Z266"/>
      <c r="AA266"/>
      <c r="AB266"/>
      <c r="AC266"/>
      <c r="AD266"/>
      <c r="AE266"/>
      <c r="AF266"/>
      <c r="AG266"/>
      <c r="AH266"/>
      <c r="AI266"/>
    </row>
    <row r="267" spans="1:35" ht="16.05" customHeight="1" x14ac:dyDescent="0.3">
      <c r="A267" s="4" t="s">
        <v>1527</v>
      </c>
      <c r="B267" s="134">
        <v>8.5</v>
      </c>
      <c r="C267" s="2"/>
      <c r="D267" s="11" t="s">
        <v>1547</v>
      </c>
      <c r="E267" s="133">
        <v>9.5</v>
      </c>
      <c r="F267" s="2"/>
      <c r="G267" s="4" t="s">
        <v>1561</v>
      </c>
      <c r="H267" s="134">
        <v>10</v>
      </c>
      <c r="I267" s="2"/>
      <c r="J267" s="4" t="s">
        <v>1538</v>
      </c>
      <c r="K267" s="134">
        <v>8.5</v>
      </c>
      <c r="L267" s="2"/>
      <c r="M267" s="4" t="s">
        <v>1470</v>
      </c>
      <c r="N267" s="134">
        <v>7.5</v>
      </c>
      <c r="O267" s="16"/>
      <c r="R267"/>
      <c r="S267"/>
      <c r="T267"/>
      <c r="U267"/>
      <c r="V267"/>
      <c r="W267"/>
      <c r="X267"/>
      <c r="Y267"/>
      <c r="Z267"/>
      <c r="AA267"/>
      <c r="AB267"/>
      <c r="AC267"/>
      <c r="AD267"/>
      <c r="AE267"/>
      <c r="AF267"/>
      <c r="AG267"/>
      <c r="AH267"/>
      <c r="AI267"/>
    </row>
    <row r="268" spans="1:35" ht="16.05" customHeight="1" x14ac:dyDescent="0.3">
      <c r="A268" s="4" t="s">
        <v>1528</v>
      </c>
      <c r="B268" s="134">
        <v>8</v>
      </c>
      <c r="C268" s="2"/>
      <c r="D268" s="4" t="s">
        <v>1548</v>
      </c>
      <c r="E268" s="134">
        <v>8.5</v>
      </c>
      <c r="F268" s="2"/>
      <c r="G268" s="4" t="s">
        <v>1568</v>
      </c>
      <c r="H268" s="134">
        <v>9</v>
      </c>
      <c r="I268" s="2"/>
      <c r="J268" s="4" t="s">
        <v>1539</v>
      </c>
      <c r="K268" s="134">
        <v>9</v>
      </c>
      <c r="L268" s="2"/>
      <c r="M268" s="4" t="s">
        <v>1471</v>
      </c>
      <c r="N268" s="134">
        <v>8</v>
      </c>
      <c r="O268" s="16"/>
      <c r="R268"/>
      <c r="S268"/>
      <c r="T268"/>
      <c r="U268"/>
      <c r="V268"/>
      <c r="W268"/>
      <c r="X268"/>
      <c r="Y268"/>
      <c r="Z268"/>
      <c r="AA268"/>
      <c r="AB268"/>
      <c r="AC268"/>
      <c r="AD268"/>
      <c r="AE268"/>
      <c r="AF268"/>
      <c r="AG268"/>
      <c r="AH268"/>
      <c r="AI268"/>
    </row>
    <row r="269" spans="1:35" ht="16.05" customHeight="1" x14ac:dyDescent="0.3">
      <c r="A269" s="4" t="s">
        <v>1529</v>
      </c>
      <c r="B269" s="134">
        <v>7.5</v>
      </c>
      <c r="C269" s="2"/>
      <c r="D269" s="4" t="s">
        <v>1549</v>
      </c>
      <c r="E269" s="134">
        <v>8.5</v>
      </c>
      <c r="F269" s="2"/>
      <c r="G269" s="4" t="s">
        <v>1562</v>
      </c>
      <c r="H269" s="134">
        <v>8.5</v>
      </c>
      <c r="I269" s="2"/>
      <c r="J269" s="4" t="s">
        <v>1540</v>
      </c>
      <c r="K269" s="134">
        <v>10</v>
      </c>
      <c r="L269" s="2"/>
      <c r="M269" s="4" t="s">
        <v>1472</v>
      </c>
      <c r="N269" s="134">
        <v>7.5</v>
      </c>
      <c r="O269" s="16"/>
      <c r="R269"/>
      <c r="S269"/>
      <c r="T269"/>
      <c r="U269"/>
      <c r="V269"/>
      <c r="W269"/>
      <c r="X269"/>
      <c r="Y269"/>
      <c r="Z269"/>
      <c r="AA269"/>
      <c r="AB269"/>
      <c r="AC269"/>
      <c r="AD269"/>
      <c r="AE269"/>
      <c r="AF269"/>
      <c r="AG269"/>
      <c r="AH269"/>
      <c r="AI269"/>
    </row>
    <row r="270" spans="1:35" ht="16.05" customHeight="1" thickBot="1" x14ac:dyDescent="0.35">
      <c r="A270" s="7" t="s">
        <v>1530</v>
      </c>
      <c r="B270" s="135">
        <v>10</v>
      </c>
      <c r="C270" s="2"/>
      <c r="D270" s="4" t="s">
        <v>1550</v>
      </c>
      <c r="E270" s="134">
        <v>8</v>
      </c>
      <c r="F270" s="2"/>
      <c r="G270" s="4" t="s">
        <v>1563</v>
      </c>
      <c r="H270" s="134">
        <v>8.5</v>
      </c>
      <c r="I270" s="2"/>
      <c r="J270" s="4" t="s">
        <v>1541</v>
      </c>
      <c r="K270" s="134">
        <v>10.5</v>
      </c>
      <c r="L270" s="2"/>
      <c r="M270" s="4" t="s">
        <v>1473</v>
      </c>
      <c r="N270" s="134">
        <v>7.5</v>
      </c>
      <c r="O270" s="16"/>
      <c r="R270"/>
      <c r="S270"/>
      <c r="T270"/>
      <c r="U270"/>
      <c r="V270"/>
      <c r="W270"/>
      <c r="X270"/>
      <c r="Y270"/>
      <c r="Z270"/>
      <c r="AA270"/>
      <c r="AB270"/>
      <c r="AC270"/>
      <c r="AD270"/>
      <c r="AE270"/>
      <c r="AF270"/>
      <c r="AG270"/>
      <c r="AH270"/>
      <c r="AI270"/>
    </row>
    <row r="271" spans="1:35" ht="16.05" customHeight="1" thickBot="1" x14ac:dyDescent="0.35">
      <c r="A271" s="2"/>
      <c r="B271" s="2"/>
      <c r="C271" s="2"/>
      <c r="D271" s="4" t="s">
        <v>1551</v>
      </c>
      <c r="E271" s="134">
        <v>7.5</v>
      </c>
      <c r="F271" s="2"/>
      <c r="G271" s="4" t="s">
        <v>1564</v>
      </c>
      <c r="H271" s="134"/>
      <c r="I271" s="2"/>
      <c r="J271" s="4" t="s">
        <v>1542</v>
      </c>
      <c r="K271" s="134"/>
      <c r="L271" s="2"/>
      <c r="M271" s="4" t="s">
        <v>1474</v>
      </c>
      <c r="N271" s="134">
        <v>7.5</v>
      </c>
      <c r="O271" s="16"/>
      <c r="R271"/>
      <c r="S271"/>
      <c r="T271"/>
      <c r="U271"/>
      <c r="V271"/>
      <c r="W271"/>
      <c r="X271"/>
      <c r="Y271"/>
      <c r="Z271"/>
      <c r="AA271"/>
      <c r="AB271"/>
      <c r="AC271"/>
      <c r="AD271"/>
      <c r="AE271"/>
      <c r="AF271"/>
      <c r="AG271"/>
      <c r="AH271"/>
      <c r="AI271"/>
    </row>
    <row r="272" spans="1:35" ht="16.05" customHeight="1" thickBot="1" x14ac:dyDescent="0.35">
      <c r="A272" s="121" t="s">
        <v>1575</v>
      </c>
      <c r="B272" s="12">
        <f>ROUND(SUM(B273:B277)/COUNT(B273:B277), 2)</f>
        <v>8.4</v>
      </c>
      <c r="C272" s="2"/>
      <c r="D272" s="4" t="s">
        <v>1552</v>
      </c>
      <c r="E272" s="134">
        <v>9.5</v>
      </c>
      <c r="F272" s="2"/>
      <c r="G272" s="4" t="s">
        <v>1565</v>
      </c>
      <c r="H272" s="134">
        <v>8.5</v>
      </c>
      <c r="I272" s="2"/>
      <c r="J272" s="4" t="s">
        <v>1543</v>
      </c>
      <c r="K272" s="134">
        <v>9</v>
      </c>
      <c r="L272" s="2"/>
      <c r="M272" s="4" t="s">
        <v>1475</v>
      </c>
      <c r="N272" s="134">
        <v>9</v>
      </c>
      <c r="O272" s="16"/>
      <c r="R272"/>
      <c r="S272"/>
      <c r="T272"/>
      <c r="U272"/>
      <c r="V272"/>
      <c r="W272"/>
      <c r="X272"/>
      <c r="Y272"/>
      <c r="Z272"/>
      <c r="AA272"/>
      <c r="AB272"/>
      <c r="AC272"/>
      <c r="AD272"/>
      <c r="AE272"/>
      <c r="AF272"/>
      <c r="AG272"/>
      <c r="AH272"/>
      <c r="AI272"/>
    </row>
    <row r="273" spans="1:35" ht="16.05" customHeight="1" x14ac:dyDescent="0.3">
      <c r="A273" s="4" t="s">
        <v>1576</v>
      </c>
      <c r="B273" s="134">
        <v>8.5</v>
      </c>
      <c r="C273" s="2"/>
      <c r="D273" s="4" t="s">
        <v>1553</v>
      </c>
      <c r="E273" s="134">
        <v>10</v>
      </c>
      <c r="F273" s="2"/>
      <c r="G273" s="4" t="s">
        <v>1566</v>
      </c>
      <c r="H273" s="134">
        <v>9</v>
      </c>
      <c r="I273" s="2"/>
      <c r="J273" s="4" t="s">
        <v>1544</v>
      </c>
      <c r="K273" s="134">
        <v>8.5</v>
      </c>
      <c r="L273" s="2"/>
      <c r="M273" s="4" t="s">
        <v>1476</v>
      </c>
      <c r="N273" s="134">
        <v>10</v>
      </c>
      <c r="O273" s="16"/>
      <c r="R273"/>
      <c r="S273"/>
      <c r="T273"/>
      <c r="U273"/>
      <c r="V273"/>
      <c r="W273"/>
      <c r="X273"/>
      <c r="Y273"/>
      <c r="Z273"/>
      <c r="AA273"/>
      <c r="AB273"/>
      <c r="AC273"/>
      <c r="AD273"/>
      <c r="AE273"/>
      <c r="AF273"/>
      <c r="AG273"/>
      <c r="AH273"/>
      <c r="AI273"/>
    </row>
    <row r="274" spans="1:35" ht="16.05" customHeight="1" thickBot="1" x14ac:dyDescent="0.35">
      <c r="A274" s="4" t="s">
        <v>1577</v>
      </c>
      <c r="B274" s="134">
        <v>9</v>
      </c>
      <c r="C274" s="2"/>
      <c r="D274" s="4" t="s">
        <v>1554</v>
      </c>
      <c r="E274" s="134">
        <v>8</v>
      </c>
      <c r="F274" s="2"/>
      <c r="G274" s="7" t="s">
        <v>1567</v>
      </c>
      <c r="H274" s="135">
        <v>8</v>
      </c>
      <c r="I274" s="2"/>
      <c r="J274" s="7" t="s">
        <v>1545</v>
      </c>
      <c r="K274" s="135">
        <v>8.5</v>
      </c>
      <c r="L274" s="2"/>
      <c r="M274" s="4" t="s">
        <v>1477</v>
      </c>
      <c r="N274" s="134">
        <v>9</v>
      </c>
      <c r="O274" s="16"/>
      <c r="R274"/>
      <c r="S274"/>
      <c r="T274"/>
      <c r="U274"/>
      <c r="V274"/>
      <c r="W274"/>
      <c r="X274"/>
      <c r="Y274"/>
      <c r="Z274"/>
      <c r="AA274"/>
      <c r="AB274"/>
      <c r="AC274"/>
      <c r="AD274"/>
      <c r="AE274"/>
      <c r="AF274"/>
      <c r="AG274"/>
      <c r="AH274"/>
      <c r="AI274"/>
    </row>
    <row r="275" spans="1:35" ht="16.05" customHeight="1" thickBot="1" x14ac:dyDescent="0.35">
      <c r="A275" s="4" t="s">
        <v>1578</v>
      </c>
      <c r="B275" s="134">
        <v>8.5</v>
      </c>
      <c r="C275" s="2"/>
      <c r="D275" s="4" t="s">
        <v>1555</v>
      </c>
      <c r="E275" s="134">
        <v>7.5</v>
      </c>
      <c r="F275" s="2"/>
      <c r="G275" s="2"/>
      <c r="H275" s="2"/>
      <c r="I275" s="2"/>
      <c r="J275" s="2"/>
      <c r="K275" s="2"/>
      <c r="L275" s="2"/>
      <c r="M275" s="7" t="s">
        <v>1478</v>
      </c>
      <c r="N275" s="135">
        <v>9</v>
      </c>
      <c r="O275" s="16"/>
      <c r="R275"/>
      <c r="S275"/>
      <c r="T275"/>
      <c r="U275"/>
      <c r="V275"/>
      <c r="W275"/>
      <c r="X275"/>
      <c r="Y275"/>
      <c r="Z275"/>
      <c r="AA275"/>
      <c r="AB275"/>
      <c r="AC275"/>
      <c r="AD275"/>
      <c r="AE275"/>
      <c r="AF275"/>
      <c r="AG275"/>
      <c r="AH275"/>
      <c r="AI275"/>
    </row>
    <row r="276" spans="1:35" ht="16.05" customHeight="1" thickBot="1" x14ac:dyDescent="0.35">
      <c r="A276" s="4" t="s">
        <v>1579</v>
      </c>
      <c r="B276" s="134">
        <v>8</v>
      </c>
      <c r="C276" s="2"/>
      <c r="D276" s="7" t="s">
        <v>1556</v>
      </c>
      <c r="E276" s="135">
        <v>9</v>
      </c>
      <c r="F276" s="2"/>
      <c r="G276" s="122" t="s">
        <v>1585</v>
      </c>
      <c r="H276" s="1">
        <f>ROUND(SUM(H277:H286)/COUNT(H277:H286), 2)</f>
        <v>8.85</v>
      </c>
      <c r="I276" s="2"/>
      <c r="J276" s="123" t="s">
        <v>1608</v>
      </c>
      <c r="K276" s="1">
        <f>ROUND(SUM(K277:K284)/COUNT(K277:K284), 2)</f>
        <v>8.7100000000000009</v>
      </c>
      <c r="L276" s="2"/>
      <c r="M276" s="2"/>
      <c r="N276" s="2"/>
      <c r="O276" s="16"/>
      <c r="R276"/>
      <c r="S276"/>
      <c r="T276"/>
      <c r="U276"/>
      <c r="V276"/>
      <c r="W276"/>
      <c r="X276"/>
      <c r="Y276"/>
      <c r="Z276"/>
      <c r="AA276"/>
      <c r="AB276"/>
      <c r="AC276"/>
      <c r="AD276"/>
      <c r="AE276"/>
      <c r="AF276"/>
      <c r="AG276"/>
      <c r="AH276"/>
      <c r="AI276"/>
    </row>
    <row r="277" spans="1:35" ht="16.05" customHeight="1" thickBot="1" x14ac:dyDescent="0.35">
      <c r="A277" s="7" t="s">
        <v>1580</v>
      </c>
      <c r="B277" s="135">
        <v>8</v>
      </c>
      <c r="C277" s="2"/>
      <c r="D277" s="2"/>
      <c r="E277" s="2"/>
      <c r="F277" s="2"/>
      <c r="G277" s="11" t="s">
        <v>1586</v>
      </c>
      <c r="H277" s="133">
        <v>9.5</v>
      </c>
      <c r="I277" s="2"/>
      <c r="J277" s="11" t="s">
        <v>1598</v>
      </c>
      <c r="K277" s="133">
        <v>8.5</v>
      </c>
      <c r="L277" s="2"/>
      <c r="M277" s="125" t="s">
        <v>1619</v>
      </c>
      <c r="N277" s="1">
        <f>ROUND(SUM(N278:N282)/COUNT(N278:N282), 2)</f>
        <v>8.4</v>
      </c>
      <c r="O277" s="16"/>
      <c r="R277"/>
      <c r="S277"/>
      <c r="T277"/>
      <c r="U277"/>
      <c r="V277"/>
      <c r="W277"/>
      <c r="X277"/>
      <c r="Y277"/>
      <c r="Z277"/>
      <c r="AA277"/>
      <c r="AB277"/>
      <c r="AC277"/>
      <c r="AD277"/>
      <c r="AE277"/>
      <c r="AF277"/>
      <c r="AG277"/>
      <c r="AH277"/>
      <c r="AI277"/>
    </row>
    <row r="278" spans="1:35" ht="16.05" customHeight="1" thickBot="1" x14ac:dyDescent="0.35">
      <c r="A278" s="2"/>
      <c r="B278" s="2"/>
      <c r="C278" s="2"/>
      <c r="D278" s="124" t="s">
        <v>1609</v>
      </c>
      <c r="E278" s="12">
        <f>ROUND(SUM(E279:E286)/COUNT(E279:E286), 2)</f>
        <v>8.81</v>
      </c>
      <c r="F278" s="2"/>
      <c r="G278" s="4" t="s">
        <v>1587</v>
      </c>
      <c r="H278" s="134">
        <v>9</v>
      </c>
      <c r="I278" s="2"/>
      <c r="J278" s="4" t="s">
        <v>1599</v>
      </c>
      <c r="K278" s="134">
        <v>9</v>
      </c>
      <c r="L278" s="2"/>
      <c r="M278" s="4" t="s">
        <v>1620</v>
      </c>
      <c r="N278" s="134">
        <v>8</v>
      </c>
      <c r="O278" s="16"/>
      <c r="R278"/>
      <c r="S278"/>
      <c r="T278"/>
      <c r="U278"/>
      <c r="V278"/>
      <c r="W278"/>
      <c r="X278"/>
      <c r="Y278"/>
      <c r="Z278"/>
      <c r="AA278"/>
      <c r="AB278"/>
      <c r="AC278"/>
      <c r="AD278"/>
      <c r="AE278"/>
      <c r="AF278"/>
      <c r="AG278"/>
      <c r="AH278"/>
      <c r="AI278"/>
    </row>
    <row r="279" spans="1:35" ht="16.05" customHeight="1" thickBot="1" x14ac:dyDescent="0.35">
      <c r="A279" s="126" t="s">
        <v>1626</v>
      </c>
      <c r="B279" s="12">
        <f>ROUND(SUM(B280:B307)/COUNT(B280:B307), 2)</f>
        <v>8.57</v>
      </c>
      <c r="C279" s="2"/>
      <c r="D279" s="11" t="s">
        <v>1610</v>
      </c>
      <c r="E279" s="133">
        <v>8</v>
      </c>
      <c r="F279" s="2"/>
      <c r="G279" s="4" t="s">
        <v>1588</v>
      </c>
      <c r="H279" s="134">
        <v>10</v>
      </c>
      <c r="I279" s="2"/>
      <c r="J279" s="4" t="s">
        <v>1600</v>
      </c>
      <c r="K279" s="134"/>
      <c r="L279" s="2"/>
      <c r="M279" s="4" t="s">
        <v>1621</v>
      </c>
      <c r="N279" s="134">
        <v>7.5</v>
      </c>
      <c r="O279" s="16"/>
      <c r="R279"/>
      <c r="S279"/>
      <c r="T279"/>
      <c r="U279"/>
      <c r="V279"/>
      <c r="W279"/>
      <c r="X279"/>
      <c r="Y279"/>
      <c r="Z279"/>
      <c r="AA279"/>
      <c r="AB279"/>
      <c r="AC279"/>
      <c r="AD279"/>
      <c r="AE279"/>
      <c r="AF279"/>
      <c r="AG279"/>
      <c r="AH279"/>
      <c r="AI279"/>
    </row>
    <row r="280" spans="1:35" ht="16.05" customHeight="1" x14ac:dyDescent="0.3">
      <c r="A280" s="11" t="s">
        <v>1627</v>
      </c>
      <c r="B280" s="133"/>
      <c r="C280" s="2"/>
      <c r="D280" s="4" t="s">
        <v>1611</v>
      </c>
      <c r="E280" s="134">
        <v>8.5</v>
      </c>
      <c r="F280" s="2"/>
      <c r="G280" s="4" t="s">
        <v>1589</v>
      </c>
      <c r="H280" s="134">
        <v>8.5</v>
      </c>
      <c r="I280" s="2"/>
      <c r="J280" s="4" t="s">
        <v>1601</v>
      </c>
      <c r="K280" s="134">
        <v>8.5</v>
      </c>
      <c r="L280" s="2"/>
      <c r="M280" s="4" t="s">
        <v>1622</v>
      </c>
      <c r="N280" s="134">
        <v>8</v>
      </c>
      <c r="O280" s="16"/>
      <c r="R280"/>
      <c r="S280"/>
      <c r="T280"/>
      <c r="U280"/>
      <c r="V280"/>
      <c r="W280"/>
      <c r="X280"/>
      <c r="Y280"/>
      <c r="Z280"/>
      <c r="AA280"/>
      <c r="AB280"/>
      <c r="AC280"/>
      <c r="AD280"/>
      <c r="AE280"/>
      <c r="AF280"/>
      <c r="AG280"/>
      <c r="AH280"/>
      <c r="AI280"/>
    </row>
    <row r="281" spans="1:35" ht="16.05" customHeight="1" x14ac:dyDescent="0.3">
      <c r="A281" s="4" t="s">
        <v>1628</v>
      </c>
      <c r="B281" s="134">
        <v>10</v>
      </c>
      <c r="C281" s="2"/>
      <c r="D281" s="4" t="s">
        <v>1612</v>
      </c>
      <c r="E281" s="134">
        <v>8</v>
      </c>
      <c r="F281" s="2"/>
      <c r="G281" s="4" t="s">
        <v>1590</v>
      </c>
      <c r="H281" s="134">
        <v>8</v>
      </c>
      <c r="I281" s="2"/>
      <c r="J281" s="4" t="s">
        <v>1602</v>
      </c>
      <c r="K281" s="134">
        <v>10</v>
      </c>
      <c r="L281" s="2"/>
      <c r="M281" s="4" t="s">
        <v>1623</v>
      </c>
      <c r="N281" s="134">
        <v>8.5</v>
      </c>
      <c r="O281" s="16"/>
      <c r="R281"/>
      <c r="S281"/>
      <c r="T281"/>
      <c r="U281"/>
      <c r="V281"/>
      <c r="W281"/>
      <c r="X281"/>
      <c r="Y281"/>
      <c r="Z281"/>
      <c r="AA281"/>
      <c r="AB281"/>
      <c r="AC281"/>
      <c r="AD281"/>
      <c r="AE281"/>
      <c r="AF281"/>
      <c r="AG281"/>
      <c r="AH281"/>
      <c r="AI281"/>
    </row>
    <row r="282" spans="1:35" ht="16.05" customHeight="1" thickBot="1" x14ac:dyDescent="0.35">
      <c r="A282" s="4" t="s">
        <v>1629</v>
      </c>
      <c r="B282" s="134">
        <v>8</v>
      </c>
      <c r="C282" s="2"/>
      <c r="D282" s="4" t="s">
        <v>1613</v>
      </c>
      <c r="E282" s="134">
        <v>8.5</v>
      </c>
      <c r="F282" s="2"/>
      <c r="G282" s="4" t="s">
        <v>1591</v>
      </c>
      <c r="H282" s="134">
        <v>8.5</v>
      </c>
      <c r="I282" s="2"/>
      <c r="J282" s="4" t="s">
        <v>1603</v>
      </c>
      <c r="K282" s="134">
        <v>8</v>
      </c>
      <c r="L282" s="2"/>
      <c r="M282" s="7" t="s">
        <v>1624</v>
      </c>
      <c r="N282" s="135">
        <v>10</v>
      </c>
      <c r="O282" s="16"/>
      <c r="R282"/>
      <c r="S282"/>
      <c r="T282"/>
      <c r="U282"/>
      <c r="V282"/>
      <c r="W282"/>
      <c r="X282"/>
      <c r="Y282"/>
      <c r="Z282"/>
      <c r="AA282"/>
      <c r="AB282"/>
      <c r="AC282"/>
      <c r="AD282"/>
      <c r="AE282"/>
      <c r="AF282"/>
      <c r="AG282"/>
      <c r="AH282"/>
      <c r="AI282"/>
    </row>
    <row r="283" spans="1:35" ht="16.05" customHeight="1" thickBot="1" x14ac:dyDescent="0.35">
      <c r="A283" s="4" t="s">
        <v>1630</v>
      </c>
      <c r="B283" s="134">
        <v>9.5</v>
      </c>
      <c r="C283" s="2"/>
      <c r="D283" s="4" t="s">
        <v>1614</v>
      </c>
      <c r="E283" s="134">
        <v>10</v>
      </c>
      <c r="F283" s="2"/>
      <c r="G283" s="4" t="s">
        <v>1592</v>
      </c>
      <c r="H283" s="134">
        <v>8.5</v>
      </c>
      <c r="I283" s="2"/>
      <c r="J283" s="4" t="s">
        <v>1604</v>
      </c>
      <c r="K283" s="134">
        <v>9</v>
      </c>
      <c r="L283" s="2"/>
      <c r="M283" s="2"/>
      <c r="N283" s="2"/>
      <c r="O283" s="16"/>
      <c r="R283"/>
      <c r="S283"/>
      <c r="T283"/>
      <c r="U283"/>
      <c r="V283"/>
      <c r="W283"/>
      <c r="X283"/>
      <c r="Y283"/>
      <c r="Z283"/>
      <c r="AA283"/>
      <c r="AB283"/>
      <c r="AC283"/>
      <c r="AD283"/>
      <c r="AE283"/>
      <c r="AF283"/>
      <c r="AG283"/>
      <c r="AH283"/>
      <c r="AI283"/>
    </row>
    <row r="284" spans="1:35" ht="16.05" customHeight="1" thickBot="1" x14ac:dyDescent="0.35">
      <c r="A284" s="4" t="s">
        <v>1631</v>
      </c>
      <c r="B284" s="134">
        <v>8</v>
      </c>
      <c r="C284" s="2"/>
      <c r="D284" s="4" t="s">
        <v>1615</v>
      </c>
      <c r="E284" s="134">
        <v>9.5</v>
      </c>
      <c r="F284" s="2"/>
      <c r="G284" s="4" t="s">
        <v>1593</v>
      </c>
      <c r="H284" s="134">
        <v>9</v>
      </c>
      <c r="I284" s="2"/>
      <c r="J284" s="7" t="s">
        <v>1605</v>
      </c>
      <c r="K284" s="135">
        <v>8</v>
      </c>
      <c r="L284" s="2"/>
      <c r="M284" s="132" t="s">
        <v>1655</v>
      </c>
      <c r="N284" s="127">
        <f>ROUND(SUM(N285:N295)/COUNT(N285:N295), 2)</f>
        <v>8.91</v>
      </c>
      <c r="O284" s="16"/>
      <c r="R284"/>
      <c r="S284"/>
      <c r="T284"/>
      <c r="U284"/>
      <c r="V284"/>
      <c r="W284"/>
      <c r="X284"/>
      <c r="Y284"/>
      <c r="Z284"/>
      <c r="AA284"/>
      <c r="AB284"/>
      <c r="AC284"/>
      <c r="AD284"/>
      <c r="AE284"/>
      <c r="AF284"/>
      <c r="AG284"/>
      <c r="AH284"/>
      <c r="AI284"/>
    </row>
    <row r="285" spans="1:35" ht="16.05" customHeight="1" thickBot="1" x14ac:dyDescent="0.35">
      <c r="A285" s="4" t="s">
        <v>1632</v>
      </c>
      <c r="B285" s="134">
        <v>10</v>
      </c>
      <c r="C285" s="2"/>
      <c r="D285" s="4" t="s">
        <v>1616</v>
      </c>
      <c r="E285" s="134">
        <v>8</v>
      </c>
      <c r="F285" s="2"/>
      <c r="G285" s="4" t="s">
        <v>1594</v>
      </c>
      <c r="H285" s="134">
        <v>8.5</v>
      </c>
      <c r="I285" s="2"/>
      <c r="J285" s="2"/>
      <c r="K285" s="2"/>
      <c r="L285" s="2"/>
      <c r="M285" s="11" t="s">
        <v>1656</v>
      </c>
      <c r="N285" s="133">
        <v>9</v>
      </c>
      <c r="O285" s="16"/>
      <c r="R285"/>
      <c r="S285"/>
      <c r="T285"/>
      <c r="U285"/>
      <c r="V285"/>
      <c r="W285"/>
      <c r="X285"/>
      <c r="Y285"/>
      <c r="Z285"/>
      <c r="AA285"/>
      <c r="AB285"/>
      <c r="AC285"/>
      <c r="AD285"/>
      <c r="AE285"/>
      <c r="AF285"/>
      <c r="AG285"/>
      <c r="AH285"/>
      <c r="AI285"/>
    </row>
    <row r="286" spans="1:35" ht="16.05" customHeight="1" thickBot="1" x14ac:dyDescent="0.35">
      <c r="A286" s="4" t="s">
        <v>1633</v>
      </c>
      <c r="B286" s="134">
        <v>9</v>
      </c>
      <c r="C286" s="2"/>
      <c r="D286" s="7" t="s">
        <v>1617</v>
      </c>
      <c r="E286" s="135">
        <v>10</v>
      </c>
      <c r="F286" s="2"/>
      <c r="G286" s="7" t="s">
        <v>1595</v>
      </c>
      <c r="H286" s="135">
        <v>9</v>
      </c>
      <c r="I286" s="2"/>
      <c r="J286" s="128" t="s">
        <v>1677</v>
      </c>
      <c r="K286" s="1">
        <f>ROUND(SUM(K287:K294)/COUNT(K287:K294), 2)</f>
        <v>8.06</v>
      </c>
      <c r="L286" s="2"/>
      <c r="M286" s="4" t="s">
        <v>1657</v>
      </c>
      <c r="N286" s="134">
        <v>9.5</v>
      </c>
      <c r="O286" s="16"/>
      <c r="R286"/>
      <c r="S286"/>
      <c r="T286"/>
      <c r="U286"/>
      <c r="V286"/>
      <c r="W286"/>
      <c r="X286"/>
      <c r="Y286"/>
      <c r="Z286"/>
      <c r="AA286"/>
      <c r="AB286"/>
      <c r="AC286"/>
      <c r="AD286"/>
      <c r="AE286"/>
      <c r="AF286"/>
      <c r="AG286"/>
      <c r="AH286"/>
      <c r="AI286"/>
    </row>
    <row r="287" spans="1:35" ht="16.05" customHeight="1" thickBot="1" x14ac:dyDescent="0.35">
      <c r="A287" s="4" t="s">
        <v>1634</v>
      </c>
      <c r="B287" s="134">
        <v>8.5</v>
      </c>
      <c r="C287" s="2"/>
      <c r="D287" s="2"/>
      <c r="E287" s="2"/>
      <c r="F287" s="2"/>
      <c r="G287" s="2"/>
      <c r="H287" s="2"/>
      <c r="I287" s="2"/>
      <c r="J287" s="4" t="s">
        <v>1669</v>
      </c>
      <c r="K287" s="134">
        <v>9</v>
      </c>
      <c r="L287" s="2"/>
      <c r="M287" s="4" t="s">
        <v>1658</v>
      </c>
      <c r="N287" s="134">
        <v>9</v>
      </c>
      <c r="O287" s="16"/>
      <c r="R287"/>
      <c r="S287"/>
      <c r="T287"/>
      <c r="U287"/>
      <c r="V287"/>
      <c r="W287"/>
      <c r="X287"/>
      <c r="Y287"/>
      <c r="Z287"/>
      <c r="AA287"/>
      <c r="AB287"/>
      <c r="AC287"/>
      <c r="AD287"/>
      <c r="AE287"/>
      <c r="AF287"/>
      <c r="AG287"/>
      <c r="AH287"/>
      <c r="AI287"/>
    </row>
    <row r="288" spans="1:35" ht="16.05" customHeight="1" thickBot="1" x14ac:dyDescent="0.35">
      <c r="A288" s="4" t="s">
        <v>1635</v>
      </c>
      <c r="B288" s="134">
        <v>7.5</v>
      </c>
      <c r="C288" s="2"/>
      <c r="D288" s="129" t="s">
        <v>1679</v>
      </c>
      <c r="E288" s="12">
        <f>ROUND(SUM(E289:E297)/COUNT(E289:E297), 2)</f>
        <v>8.5</v>
      </c>
      <c r="F288" s="2"/>
      <c r="G288" s="378" t="s">
        <v>3356</v>
      </c>
      <c r="H288" s="12">
        <f>ROUND(SUM(H289:H294)/COUNT(H289:H294), 2)</f>
        <v>8.92</v>
      </c>
      <c r="I288" s="2"/>
      <c r="J288" s="4" t="s">
        <v>1670</v>
      </c>
      <c r="K288" s="134">
        <v>9</v>
      </c>
      <c r="L288" s="2"/>
      <c r="M288" s="4" t="s">
        <v>1659</v>
      </c>
      <c r="N288" s="134">
        <v>8.5</v>
      </c>
      <c r="O288" s="16"/>
      <c r="R288"/>
      <c r="S288"/>
      <c r="T288"/>
      <c r="U288"/>
      <c r="V288"/>
      <c r="W288"/>
      <c r="X288"/>
      <c r="Y288"/>
      <c r="Z288"/>
      <c r="AA288"/>
      <c r="AB288"/>
      <c r="AC288"/>
      <c r="AD288"/>
      <c r="AE288"/>
      <c r="AF288"/>
      <c r="AG288"/>
      <c r="AH288"/>
      <c r="AI288"/>
    </row>
    <row r="289" spans="1:35" ht="16.05" customHeight="1" x14ac:dyDescent="0.3">
      <c r="A289" s="4" t="s">
        <v>1636</v>
      </c>
      <c r="B289" s="134">
        <v>8.5</v>
      </c>
      <c r="C289" s="2"/>
      <c r="D289" s="11" t="s">
        <v>1680</v>
      </c>
      <c r="E289" s="133">
        <v>8</v>
      </c>
      <c r="F289" s="2"/>
      <c r="G289" s="11" t="s">
        <v>1691</v>
      </c>
      <c r="H289" s="133">
        <v>9</v>
      </c>
      <c r="I289" s="2"/>
      <c r="J289" s="4" t="s">
        <v>1671</v>
      </c>
      <c r="K289" s="134">
        <v>8</v>
      </c>
      <c r="L289" s="2"/>
      <c r="M289" s="4" t="s">
        <v>1660</v>
      </c>
      <c r="N289" s="134">
        <v>8.5</v>
      </c>
      <c r="O289" s="16"/>
      <c r="R289"/>
      <c r="S289"/>
      <c r="T289"/>
      <c r="U289"/>
      <c r="V289"/>
      <c r="W289"/>
      <c r="X289"/>
      <c r="Y289"/>
      <c r="Z289"/>
      <c r="AA289"/>
      <c r="AB289"/>
      <c r="AC289"/>
      <c r="AD289"/>
      <c r="AE289"/>
      <c r="AF289"/>
      <c r="AG289"/>
      <c r="AH289"/>
      <c r="AI289"/>
    </row>
    <row r="290" spans="1:35" ht="16.05" customHeight="1" x14ac:dyDescent="0.3">
      <c r="A290" s="4" t="s">
        <v>1637</v>
      </c>
      <c r="B290" s="134">
        <v>8.5</v>
      </c>
      <c r="C290" s="2"/>
      <c r="D290" s="4" t="s">
        <v>1681</v>
      </c>
      <c r="E290" s="134">
        <v>9</v>
      </c>
      <c r="F290" s="2"/>
      <c r="G290" s="4" t="s">
        <v>1692</v>
      </c>
      <c r="H290" s="134">
        <v>8.5</v>
      </c>
      <c r="I290" s="2"/>
      <c r="J290" s="4" t="s">
        <v>1672</v>
      </c>
      <c r="K290" s="134">
        <v>7</v>
      </c>
      <c r="L290" s="2"/>
      <c r="M290" s="4" t="s">
        <v>1661</v>
      </c>
      <c r="N290" s="134">
        <v>9</v>
      </c>
      <c r="O290" s="16"/>
      <c r="R290"/>
      <c r="S290"/>
      <c r="T290"/>
      <c r="U290"/>
      <c r="V290"/>
      <c r="W290"/>
      <c r="X290"/>
      <c r="Y290"/>
      <c r="Z290"/>
      <c r="AA290"/>
      <c r="AB290"/>
      <c r="AC290"/>
      <c r="AD290"/>
      <c r="AE290"/>
      <c r="AF290"/>
      <c r="AG290"/>
      <c r="AH290"/>
      <c r="AI290"/>
    </row>
    <row r="291" spans="1:35" ht="16.05" customHeight="1" x14ac:dyDescent="0.3">
      <c r="A291" s="4" t="s">
        <v>1638</v>
      </c>
      <c r="B291" s="134">
        <v>8</v>
      </c>
      <c r="C291" s="2"/>
      <c r="D291" s="4" t="s">
        <v>1682</v>
      </c>
      <c r="E291" s="134">
        <v>8.5</v>
      </c>
      <c r="F291" s="2"/>
      <c r="G291" s="4" t="s">
        <v>1693</v>
      </c>
      <c r="H291" s="134">
        <v>8</v>
      </c>
      <c r="I291" s="2"/>
      <c r="J291" s="4" t="s">
        <v>1673</v>
      </c>
      <c r="K291" s="134">
        <v>7.5</v>
      </c>
      <c r="L291" s="2"/>
      <c r="M291" s="4" t="s">
        <v>525</v>
      </c>
      <c r="N291" s="134">
        <v>8</v>
      </c>
      <c r="O291" s="16"/>
      <c r="R291"/>
      <c r="S291"/>
      <c r="T291"/>
      <c r="U291"/>
      <c r="V291"/>
      <c r="W291"/>
      <c r="X291"/>
      <c r="Y291"/>
      <c r="Z291"/>
      <c r="AA291"/>
      <c r="AB291"/>
      <c r="AC291"/>
      <c r="AD291"/>
      <c r="AE291"/>
      <c r="AF291"/>
      <c r="AG291"/>
      <c r="AH291"/>
      <c r="AI291"/>
    </row>
    <row r="292" spans="1:35" ht="16.05" customHeight="1" x14ac:dyDescent="0.3">
      <c r="A292" s="4" t="s">
        <v>1639</v>
      </c>
      <c r="B292" s="134">
        <v>9</v>
      </c>
      <c r="C292" s="2"/>
      <c r="D292" s="4" t="s">
        <v>1683</v>
      </c>
      <c r="E292" s="134">
        <v>8.5</v>
      </c>
      <c r="F292" s="2"/>
      <c r="G292" s="4" t="s">
        <v>1694</v>
      </c>
      <c r="H292" s="134">
        <v>9.5</v>
      </c>
      <c r="I292" s="2"/>
      <c r="J292" s="4" t="s">
        <v>1674</v>
      </c>
      <c r="K292" s="134">
        <v>8</v>
      </c>
      <c r="L292" s="2"/>
      <c r="M292" s="4" t="s">
        <v>1662</v>
      </c>
      <c r="N292" s="134">
        <v>10</v>
      </c>
      <c r="O292" s="16"/>
      <c r="R292"/>
      <c r="S292"/>
      <c r="T292"/>
      <c r="U292"/>
      <c r="V292"/>
      <c r="W292"/>
      <c r="X292"/>
      <c r="Y292"/>
      <c r="Z292"/>
      <c r="AA292"/>
      <c r="AB292"/>
      <c r="AC292"/>
      <c r="AD292"/>
      <c r="AE292"/>
      <c r="AF292"/>
      <c r="AG292"/>
      <c r="AH292"/>
      <c r="AI292"/>
    </row>
    <row r="293" spans="1:35" ht="16.05" customHeight="1" x14ac:dyDescent="0.3">
      <c r="A293" s="4" t="s">
        <v>1640</v>
      </c>
      <c r="B293" s="134">
        <v>8.5</v>
      </c>
      <c r="C293" s="2"/>
      <c r="D293" s="4" t="s">
        <v>1684</v>
      </c>
      <c r="E293" s="134">
        <v>9</v>
      </c>
      <c r="F293" s="2"/>
      <c r="G293" s="4" t="s">
        <v>1695</v>
      </c>
      <c r="H293" s="134">
        <v>8.5</v>
      </c>
      <c r="I293" s="2"/>
      <c r="J293" s="4" t="s">
        <v>1675</v>
      </c>
      <c r="K293" s="134">
        <v>7</v>
      </c>
      <c r="L293" s="2"/>
      <c r="M293" s="4" t="s">
        <v>1663</v>
      </c>
      <c r="N293" s="134">
        <v>8</v>
      </c>
      <c r="O293" s="16"/>
      <c r="R293"/>
      <c r="S293"/>
      <c r="T293"/>
      <c r="U293"/>
      <c r="V293"/>
      <c r="W293"/>
      <c r="X293"/>
      <c r="Y293"/>
      <c r="Z293"/>
      <c r="AA293"/>
      <c r="AB293"/>
      <c r="AC293"/>
      <c r="AD293"/>
      <c r="AE293"/>
      <c r="AF293"/>
      <c r="AG293"/>
      <c r="AH293"/>
      <c r="AI293"/>
    </row>
    <row r="294" spans="1:35" ht="16.05" customHeight="1" thickBot="1" x14ac:dyDescent="0.35">
      <c r="A294" s="4" t="s">
        <v>1641</v>
      </c>
      <c r="B294" s="134">
        <v>8</v>
      </c>
      <c r="C294" s="2"/>
      <c r="D294" s="4" t="s">
        <v>1685</v>
      </c>
      <c r="E294" s="134">
        <v>8</v>
      </c>
      <c r="F294" s="2"/>
      <c r="G294" s="7" t="s">
        <v>1696</v>
      </c>
      <c r="H294" s="135">
        <v>10</v>
      </c>
      <c r="I294" s="2"/>
      <c r="J294" s="7" t="s">
        <v>1676</v>
      </c>
      <c r="K294" s="135">
        <v>9</v>
      </c>
      <c r="L294" s="2"/>
      <c r="M294" s="4" t="s">
        <v>1664</v>
      </c>
      <c r="N294" s="134">
        <v>8.5</v>
      </c>
      <c r="O294" s="16"/>
      <c r="R294"/>
      <c r="S294"/>
      <c r="T294"/>
      <c r="U294"/>
      <c r="V294"/>
      <c r="W294"/>
      <c r="X294"/>
      <c r="Y294"/>
      <c r="Z294"/>
      <c r="AA294"/>
      <c r="AB294"/>
      <c r="AC294"/>
      <c r="AD294"/>
      <c r="AE294"/>
      <c r="AF294"/>
      <c r="AG294"/>
      <c r="AH294"/>
      <c r="AI294"/>
    </row>
    <row r="295" spans="1:35" ht="16.05" customHeight="1" thickBot="1" x14ac:dyDescent="0.35">
      <c r="A295" s="4" t="s">
        <v>1642</v>
      </c>
      <c r="B295" s="134">
        <v>8</v>
      </c>
      <c r="C295" s="2"/>
      <c r="D295" s="4" t="s">
        <v>1686</v>
      </c>
      <c r="E295" s="134">
        <v>9</v>
      </c>
      <c r="F295" s="2"/>
      <c r="G295" s="2"/>
      <c r="H295" s="2"/>
      <c r="I295" s="2"/>
      <c r="J295" s="2"/>
      <c r="K295" s="2"/>
      <c r="L295" s="2"/>
      <c r="M295" s="7" t="s">
        <v>1665</v>
      </c>
      <c r="N295" s="135">
        <v>10</v>
      </c>
      <c r="O295" s="16"/>
      <c r="R295"/>
      <c r="S295"/>
      <c r="T295"/>
      <c r="U295"/>
      <c r="V295"/>
      <c r="W295"/>
      <c r="X295"/>
      <c r="Y295"/>
      <c r="Z295"/>
      <c r="AA295"/>
      <c r="AB295"/>
      <c r="AC295"/>
      <c r="AD295"/>
      <c r="AE295"/>
      <c r="AF295"/>
      <c r="AG295"/>
      <c r="AH295"/>
      <c r="AI295"/>
    </row>
    <row r="296" spans="1:35" ht="16.05" customHeight="1" thickBot="1" x14ac:dyDescent="0.35">
      <c r="A296" s="4" t="s">
        <v>1643</v>
      </c>
      <c r="B296" s="134">
        <v>9</v>
      </c>
      <c r="C296" s="2"/>
      <c r="D296" s="4" t="s">
        <v>1687</v>
      </c>
      <c r="E296" s="134">
        <v>8.5</v>
      </c>
      <c r="F296" s="2"/>
      <c r="G296" s="130" t="s">
        <v>1701</v>
      </c>
      <c r="H296" s="12">
        <f>ROUND(SUM(H297:H307)/COUNT(H297:H307), 2)</f>
        <v>3.68</v>
      </c>
      <c r="I296" s="2"/>
      <c r="J296" s="146" t="s">
        <v>1715</v>
      </c>
      <c r="K296" s="12">
        <f>ROUND(SUM(K297:K302)/COUNT(K297:K302), 2)</f>
        <v>8.92</v>
      </c>
      <c r="L296" s="2"/>
      <c r="M296" s="2"/>
      <c r="N296" s="2"/>
      <c r="O296" s="16"/>
      <c r="R296"/>
      <c r="S296"/>
      <c r="T296"/>
      <c r="U296"/>
      <c r="V296"/>
      <c r="W296"/>
      <c r="X296"/>
      <c r="Y296"/>
      <c r="Z296"/>
      <c r="AA296"/>
      <c r="AB296"/>
      <c r="AC296"/>
      <c r="AD296"/>
      <c r="AE296"/>
      <c r="AF296"/>
      <c r="AG296"/>
      <c r="AH296"/>
      <c r="AI296"/>
    </row>
    <row r="297" spans="1:35" ht="16.05" customHeight="1" thickBot="1" x14ac:dyDescent="0.35">
      <c r="A297" s="4" t="s">
        <v>1644</v>
      </c>
      <c r="B297" s="134">
        <v>8</v>
      </c>
      <c r="C297" s="2"/>
      <c r="D297" s="7" t="s">
        <v>1688</v>
      </c>
      <c r="E297" s="135">
        <v>8</v>
      </c>
      <c r="F297" s="2"/>
      <c r="G297" s="11" t="s">
        <v>1702</v>
      </c>
      <c r="H297" s="133">
        <v>6.5</v>
      </c>
      <c r="I297" s="2"/>
      <c r="J297" s="11" t="s">
        <v>1716</v>
      </c>
      <c r="K297" s="133">
        <v>9</v>
      </c>
      <c r="L297" s="2"/>
      <c r="M297" s="147" t="s">
        <v>1730</v>
      </c>
      <c r="N297" s="12">
        <f>ROUND(SUM(N298:N304)/COUNT(N298:N304), 2)</f>
        <v>8.2899999999999991</v>
      </c>
      <c r="O297" s="16"/>
      <c r="R297"/>
      <c r="S297"/>
      <c r="T297"/>
      <c r="U297"/>
      <c r="V297"/>
      <c r="W297"/>
      <c r="X297"/>
      <c r="Y297"/>
      <c r="Z297"/>
      <c r="AA297"/>
      <c r="AB297"/>
      <c r="AC297"/>
      <c r="AD297"/>
      <c r="AE297"/>
      <c r="AF297"/>
      <c r="AG297"/>
      <c r="AH297"/>
      <c r="AI297"/>
    </row>
    <row r="298" spans="1:35" ht="16.05" customHeight="1" thickBot="1" x14ac:dyDescent="0.35">
      <c r="A298" s="145">
        <v>1979</v>
      </c>
      <c r="B298" s="134">
        <v>10.5</v>
      </c>
      <c r="C298" s="2"/>
      <c r="D298" s="2"/>
      <c r="E298" s="2"/>
      <c r="F298" s="2"/>
      <c r="G298" s="4" t="s">
        <v>1703</v>
      </c>
      <c r="H298" s="134">
        <v>5</v>
      </c>
      <c r="I298" s="2"/>
      <c r="J298" s="4" t="s">
        <v>1717</v>
      </c>
      <c r="K298" s="134">
        <v>8.5</v>
      </c>
      <c r="L298" s="2"/>
      <c r="M298" s="11" t="s">
        <v>1723</v>
      </c>
      <c r="N298" s="133">
        <v>8</v>
      </c>
      <c r="O298" s="16"/>
      <c r="R298"/>
      <c r="S298"/>
      <c r="T298"/>
      <c r="U298"/>
      <c r="V298"/>
      <c r="W298"/>
      <c r="X298"/>
      <c r="Y298"/>
      <c r="Z298"/>
      <c r="AA298"/>
      <c r="AB298"/>
      <c r="AC298"/>
      <c r="AD298"/>
      <c r="AE298"/>
      <c r="AF298"/>
      <c r="AG298"/>
      <c r="AH298"/>
      <c r="AI298"/>
    </row>
    <row r="299" spans="1:35" ht="16.05" customHeight="1" thickBot="1" x14ac:dyDescent="0.35">
      <c r="A299" s="4" t="s">
        <v>1645</v>
      </c>
      <c r="B299" s="134">
        <v>7</v>
      </c>
      <c r="C299" s="2"/>
      <c r="D299" s="148" t="s">
        <v>1733</v>
      </c>
      <c r="E299" s="12">
        <f>ROUND(SUM(E300:E309)/COUNT(E300:E309), 2)</f>
        <v>8.2899999999999991</v>
      </c>
      <c r="F299" s="2"/>
      <c r="G299" s="4" t="s">
        <v>1704</v>
      </c>
      <c r="H299" s="134">
        <v>5.5</v>
      </c>
      <c r="I299" s="2"/>
      <c r="J299" s="4" t="s">
        <v>1718</v>
      </c>
      <c r="K299" s="134">
        <v>9</v>
      </c>
      <c r="L299" s="2"/>
      <c r="M299" s="4" t="s">
        <v>1724</v>
      </c>
      <c r="N299" s="134">
        <v>7.5</v>
      </c>
      <c r="O299" s="16"/>
      <c r="R299"/>
      <c r="S299"/>
      <c r="T299"/>
      <c r="U299"/>
      <c r="V299"/>
      <c r="W299"/>
      <c r="X299"/>
      <c r="Y299"/>
      <c r="Z299"/>
      <c r="AA299"/>
      <c r="AB299"/>
      <c r="AC299"/>
      <c r="AD299"/>
      <c r="AE299"/>
      <c r="AF299"/>
      <c r="AG299"/>
      <c r="AH299"/>
      <c r="AI299"/>
    </row>
    <row r="300" spans="1:35" ht="16.05" customHeight="1" x14ac:dyDescent="0.3">
      <c r="A300" s="4" t="s">
        <v>1646</v>
      </c>
      <c r="B300" s="134">
        <v>8.5</v>
      </c>
      <c r="C300" s="2"/>
      <c r="D300" s="11" t="s">
        <v>1734</v>
      </c>
      <c r="E300" s="133"/>
      <c r="F300" s="2"/>
      <c r="G300" s="4" t="s">
        <v>1705</v>
      </c>
      <c r="H300" s="134">
        <v>4</v>
      </c>
      <c r="I300" s="2"/>
      <c r="J300" s="4" t="s">
        <v>1719</v>
      </c>
      <c r="K300" s="134">
        <v>8.5</v>
      </c>
      <c r="L300" s="2"/>
      <c r="M300" s="4" t="s">
        <v>1725</v>
      </c>
      <c r="N300" s="134">
        <v>9</v>
      </c>
      <c r="O300" s="16"/>
      <c r="R300"/>
      <c r="S300"/>
      <c r="T300"/>
      <c r="U300"/>
      <c r="V300"/>
      <c r="W300"/>
      <c r="X300"/>
      <c r="Y300"/>
      <c r="Z300"/>
      <c r="AA300"/>
      <c r="AB300"/>
      <c r="AC300"/>
      <c r="AD300"/>
      <c r="AE300"/>
      <c r="AF300"/>
      <c r="AG300"/>
      <c r="AH300"/>
      <c r="AI300"/>
    </row>
    <row r="301" spans="1:35" ht="16.05" customHeight="1" x14ac:dyDescent="0.3">
      <c r="A301" s="4" t="s">
        <v>1647</v>
      </c>
      <c r="B301" s="134">
        <v>8.5</v>
      </c>
      <c r="C301" s="2"/>
      <c r="D301" s="4" t="s">
        <v>1735</v>
      </c>
      <c r="E301" s="134">
        <v>8.5</v>
      </c>
      <c r="F301" s="2"/>
      <c r="G301" s="4" t="s">
        <v>1706</v>
      </c>
      <c r="H301" s="134">
        <v>3</v>
      </c>
      <c r="I301" s="2"/>
      <c r="J301" s="4" t="s">
        <v>1720</v>
      </c>
      <c r="K301" s="134">
        <v>8</v>
      </c>
      <c r="L301" s="2"/>
      <c r="M301" s="4" t="s">
        <v>1726</v>
      </c>
      <c r="N301" s="134">
        <v>8</v>
      </c>
      <c r="O301" s="16"/>
      <c r="R301"/>
      <c r="S301"/>
      <c r="T301"/>
      <c r="U301"/>
      <c r="V301"/>
      <c r="W301"/>
      <c r="X301"/>
      <c r="Y301"/>
      <c r="Z301"/>
      <c r="AA301"/>
      <c r="AB301"/>
      <c r="AC301"/>
      <c r="AD301"/>
      <c r="AE301"/>
      <c r="AF301"/>
      <c r="AG301"/>
      <c r="AH301"/>
      <c r="AI301"/>
    </row>
    <row r="302" spans="1:35" ht="16.05" customHeight="1" thickBot="1" x14ac:dyDescent="0.35">
      <c r="A302" s="4" t="s">
        <v>1648</v>
      </c>
      <c r="B302" s="134">
        <v>7.5</v>
      </c>
      <c r="C302" s="2"/>
      <c r="D302" s="4" t="s">
        <v>1736</v>
      </c>
      <c r="E302" s="134">
        <v>9</v>
      </c>
      <c r="F302" s="2"/>
      <c r="G302" s="4" t="s">
        <v>1707</v>
      </c>
      <c r="H302" s="134">
        <v>3</v>
      </c>
      <c r="I302" s="2"/>
      <c r="J302" s="7" t="s">
        <v>1721</v>
      </c>
      <c r="K302" s="135">
        <v>10.5</v>
      </c>
      <c r="L302" s="2"/>
      <c r="M302" s="4" t="s">
        <v>1727</v>
      </c>
      <c r="N302" s="134">
        <v>8.5</v>
      </c>
      <c r="O302" s="16"/>
      <c r="R302"/>
      <c r="S302"/>
      <c r="T302"/>
      <c r="U302"/>
      <c r="V302"/>
      <c r="W302"/>
      <c r="X302"/>
      <c r="Y302"/>
      <c r="Z302"/>
      <c r="AA302"/>
      <c r="AB302"/>
      <c r="AC302"/>
      <c r="AD302"/>
      <c r="AE302"/>
      <c r="AF302"/>
      <c r="AG302"/>
      <c r="AH302"/>
      <c r="AI302"/>
    </row>
    <row r="303" spans="1:35" ht="16.05" customHeight="1" thickBot="1" x14ac:dyDescent="0.35">
      <c r="A303" s="4" t="s">
        <v>1649</v>
      </c>
      <c r="B303" s="134">
        <v>8.5</v>
      </c>
      <c r="C303" s="2"/>
      <c r="D303" s="4" t="s">
        <v>1737</v>
      </c>
      <c r="E303" s="134"/>
      <c r="F303" s="2"/>
      <c r="G303" s="4" t="s">
        <v>1708</v>
      </c>
      <c r="H303" s="134">
        <v>3</v>
      </c>
      <c r="I303" s="2"/>
      <c r="J303" s="2"/>
      <c r="K303" s="2"/>
      <c r="L303" s="2"/>
      <c r="M303" s="4" t="s">
        <v>1728</v>
      </c>
      <c r="N303" s="134">
        <v>8</v>
      </c>
      <c r="O303" s="16"/>
      <c r="R303"/>
      <c r="S303"/>
      <c r="T303"/>
      <c r="U303"/>
      <c r="V303"/>
      <c r="W303"/>
      <c r="X303"/>
      <c r="Y303"/>
      <c r="Z303"/>
      <c r="AA303"/>
      <c r="AB303"/>
      <c r="AC303"/>
      <c r="AD303"/>
      <c r="AE303"/>
      <c r="AF303"/>
      <c r="AG303"/>
      <c r="AH303"/>
      <c r="AI303"/>
    </row>
    <row r="304" spans="1:35" ht="16.05" customHeight="1" thickBot="1" x14ac:dyDescent="0.35">
      <c r="A304" s="4" t="s">
        <v>1650</v>
      </c>
      <c r="B304" s="134">
        <v>9</v>
      </c>
      <c r="C304" s="2"/>
      <c r="D304" s="4" t="s">
        <v>1738</v>
      </c>
      <c r="E304" s="134">
        <v>7.5</v>
      </c>
      <c r="F304" s="2"/>
      <c r="G304" s="4" t="s">
        <v>1709</v>
      </c>
      <c r="H304" s="134">
        <v>3.5</v>
      </c>
      <c r="I304" s="2"/>
      <c r="J304" s="149" t="s">
        <v>1757</v>
      </c>
      <c r="K304" s="12">
        <f>ROUND(SUM(K305:K316)/COUNT(K305:K316), 2)</f>
        <v>8.9600000000000009</v>
      </c>
      <c r="L304" s="2"/>
      <c r="M304" s="7" t="s">
        <v>1729</v>
      </c>
      <c r="N304" s="135">
        <v>9</v>
      </c>
      <c r="O304" s="16"/>
      <c r="R304"/>
      <c r="S304"/>
      <c r="T304"/>
      <c r="U304"/>
      <c r="V304"/>
      <c r="W304"/>
      <c r="X304"/>
      <c r="Y304"/>
      <c r="Z304"/>
      <c r="AA304"/>
      <c r="AB304"/>
      <c r="AC304"/>
      <c r="AD304"/>
      <c r="AE304"/>
      <c r="AF304"/>
      <c r="AG304"/>
      <c r="AH304"/>
      <c r="AI304"/>
    </row>
    <row r="305" spans="1:35" ht="16.05" customHeight="1" thickBot="1" x14ac:dyDescent="0.35">
      <c r="A305" s="4" t="s">
        <v>1651</v>
      </c>
      <c r="B305" s="134">
        <v>8.5</v>
      </c>
      <c r="C305" s="2"/>
      <c r="D305" s="4" t="s">
        <v>1739</v>
      </c>
      <c r="E305" s="134">
        <v>8.5</v>
      </c>
      <c r="F305" s="2"/>
      <c r="G305" s="4" t="s">
        <v>1710</v>
      </c>
      <c r="H305" s="134">
        <v>3</v>
      </c>
      <c r="I305" s="2"/>
      <c r="J305" s="11" t="s">
        <v>1745</v>
      </c>
      <c r="K305" s="133">
        <v>8.5</v>
      </c>
      <c r="L305" s="2"/>
      <c r="M305" s="2"/>
      <c r="N305" s="2"/>
      <c r="O305" s="16"/>
      <c r="R305"/>
      <c r="S305"/>
      <c r="T305"/>
      <c r="U305"/>
      <c r="V305"/>
      <c r="W305"/>
      <c r="X305"/>
      <c r="Y305"/>
      <c r="Z305"/>
      <c r="AA305"/>
      <c r="AB305"/>
      <c r="AC305"/>
      <c r="AD305"/>
      <c r="AE305"/>
      <c r="AF305"/>
      <c r="AG305"/>
      <c r="AH305"/>
      <c r="AI305"/>
    </row>
    <row r="306" spans="1:35" ht="16.05" customHeight="1" thickBot="1" x14ac:dyDescent="0.35">
      <c r="A306" s="4" t="s">
        <v>1652</v>
      </c>
      <c r="B306" s="134">
        <v>9</v>
      </c>
      <c r="C306" s="2"/>
      <c r="D306" s="4" t="s">
        <v>1740</v>
      </c>
      <c r="E306" s="134">
        <v>8</v>
      </c>
      <c r="F306" s="2"/>
      <c r="G306" s="4" t="s">
        <v>1711</v>
      </c>
      <c r="H306" s="134">
        <v>2</v>
      </c>
      <c r="I306" s="2"/>
      <c r="J306" s="4" t="s">
        <v>1746</v>
      </c>
      <c r="K306" s="134">
        <v>10</v>
      </c>
      <c r="L306" s="2"/>
      <c r="M306" s="150" t="s">
        <v>1762</v>
      </c>
      <c r="N306" s="12">
        <f>ROUND(SUM(N307:N316)/COUNT(N307:N316), 2)</f>
        <v>8.6</v>
      </c>
      <c r="O306" s="16"/>
      <c r="R306"/>
      <c r="S306"/>
      <c r="T306"/>
      <c r="U306"/>
      <c r="V306"/>
      <c r="W306"/>
      <c r="X306"/>
      <c r="Y306"/>
      <c r="Z306"/>
      <c r="AA306"/>
      <c r="AB306"/>
      <c r="AC306"/>
      <c r="AD306"/>
      <c r="AE306"/>
      <c r="AF306"/>
      <c r="AG306"/>
      <c r="AH306"/>
      <c r="AI306"/>
    </row>
    <row r="307" spans="1:35" ht="16.05" customHeight="1" thickBot="1" x14ac:dyDescent="0.35">
      <c r="A307" s="7" t="s">
        <v>1653</v>
      </c>
      <c r="B307" s="135">
        <v>8.5</v>
      </c>
      <c r="C307" s="2"/>
      <c r="D307" s="4" t="s">
        <v>1741</v>
      </c>
      <c r="E307" s="134">
        <v>8</v>
      </c>
      <c r="F307" s="2"/>
      <c r="G307" s="7" t="s">
        <v>1712</v>
      </c>
      <c r="H307" s="135">
        <v>2</v>
      </c>
      <c r="I307" s="2"/>
      <c r="J307" s="4" t="s">
        <v>1747</v>
      </c>
      <c r="K307" s="134">
        <v>9</v>
      </c>
      <c r="L307" s="2"/>
      <c r="M307" s="11" t="s">
        <v>1763</v>
      </c>
      <c r="N307" s="133">
        <v>8</v>
      </c>
      <c r="O307" s="16"/>
      <c r="R307"/>
      <c r="S307"/>
      <c r="T307"/>
      <c r="U307"/>
      <c r="V307"/>
      <c r="W307"/>
      <c r="X307"/>
      <c r="Y307"/>
      <c r="Z307"/>
      <c r="AA307"/>
      <c r="AB307"/>
      <c r="AC307"/>
      <c r="AD307"/>
      <c r="AE307"/>
      <c r="AF307"/>
      <c r="AG307"/>
      <c r="AH307"/>
      <c r="AI307"/>
    </row>
    <row r="308" spans="1:35" ht="16.05" customHeight="1" thickBot="1" x14ac:dyDescent="0.35">
      <c r="A308" s="2"/>
      <c r="B308" s="2"/>
      <c r="C308" s="2"/>
      <c r="D308" s="7" t="s">
        <v>1742</v>
      </c>
      <c r="E308" s="135">
        <v>8.5</v>
      </c>
      <c r="F308" s="2"/>
      <c r="G308" s="2"/>
      <c r="H308" s="2"/>
      <c r="I308" s="2"/>
      <c r="J308" s="4" t="s">
        <v>1748</v>
      </c>
      <c r="K308" s="134">
        <v>9</v>
      </c>
      <c r="L308" s="2"/>
      <c r="M308" s="4" t="s">
        <v>1764</v>
      </c>
      <c r="N308" s="134">
        <v>9</v>
      </c>
      <c r="O308" s="16"/>
      <c r="R308"/>
      <c r="S308"/>
      <c r="T308"/>
      <c r="U308"/>
      <c r="V308"/>
      <c r="W308"/>
      <c r="X308"/>
      <c r="Y308"/>
      <c r="Z308"/>
      <c r="AA308"/>
      <c r="AB308"/>
      <c r="AC308"/>
      <c r="AD308"/>
      <c r="AE308"/>
      <c r="AF308"/>
      <c r="AG308"/>
      <c r="AH308"/>
      <c r="AI308"/>
    </row>
    <row r="309" spans="1:35" ht="16.05" customHeight="1" thickBot="1" x14ac:dyDescent="0.35">
      <c r="A309" s="151" t="s">
        <v>1777</v>
      </c>
      <c r="B309" s="12">
        <f>ROUND(SUM(B310:B320)/COUNT(B310:B320), 2)</f>
        <v>8.18</v>
      </c>
      <c r="C309" s="2"/>
      <c r="D309" s="2"/>
      <c r="E309" s="2"/>
      <c r="F309" s="2"/>
      <c r="G309" s="152" t="s">
        <v>1807</v>
      </c>
      <c r="H309" s="12">
        <f>ROUND(SUM(H310:H327)/COUNT(H310:H327), 2)</f>
        <v>7.31</v>
      </c>
      <c r="I309" s="2"/>
      <c r="J309" s="4" t="s">
        <v>1749</v>
      </c>
      <c r="K309" s="134">
        <v>9</v>
      </c>
      <c r="L309" s="2"/>
      <c r="M309" s="4" t="s">
        <v>1765</v>
      </c>
      <c r="N309" s="134">
        <v>9</v>
      </c>
      <c r="O309" s="16"/>
      <c r="R309"/>
      <c r="S309"/>
      <c r="T309"/>
      <c r="U309"/>
      <c r="V309"/>
      <c r="W309"/>
      <c r="X309"/>
      <c r="Y309"/>
      <c r="Z309"/>
      <c r="AA309"/>
      <c r="AB309"/>
      <c r="AC309"/>
      <c r="AD309"/>
      <c r="AE309"/>
      <c r="AF309"/>
      <c r="AG309"/>
      <c r="AH309"/>
      <c r="AI309"/>
    </row>
    <row r="310" spans="1:35" ht="16.05" customHeight="1" thickBot="1" x14ac:dyDescent="0.35">
      <c r="A310" s="11" t="s">
        <v>1778</v>
      </c>
      <c r="B310" s="133">
        <v>7.5</v>
      </c>
      <c r="C310" s="2"/>
      <c r="D310" s="153" t="s">
        <v>1897</v>
      </c>
      <c r="E310" s="12">
        <f>ROUND(SUM(E311:E318)/COUNT(E311:E318), 2)</f>
        <v>8.5</v>
      </c>
      <c r="F310" s="2"/>
      <c r="G310" s="11" t="s">
        <v>1789</v>
      </c>
      <c r="H310" s="133">
        <v>8.5</v>
      </c>
      <c r="I310" s="2"/>
      <c r="J310" s="4" t="s">
        <v>1750</v>
      </c>
      <c r="K310" s="134">
        <v>10</v>
      </c>
      <c r="L310" s="2"/>
      <c r="M310" s="4" t="s">
        <v>1766</v>
      </c>
      <c r="N310" s="134">
        <v>10</v>
      </c>
      <c r="O310" s="16"/>
      <c r="R310"/>
      <c r="S310"/>
      <c r="T310"/>
      <c r="U310"/>
      <c r="V310"/>
      <c r="W310"/>
      <c r="X310"/>
      <c r="Y310"/>
      <c r="Z310"/>
      <c r="AA310"/>
      <c r="AB310"/>
      <c r="AC310"/>
      <c r="AD310"/>
      <c r="AE310"/>
      <c r="AF310"/>
      <c r="AG310"/>
      <c r="AH310"/>
      <c r="AI310"/>
    </row>
    <row r="311" spans="1:35" ht="16.05" customHeight="1" x14ac:dyDescent="0.3">
      <c r="A311" s="4" t="s">
        <v>1779</v>
      </c>
      <c r="B311" s="134">
        <v>8.5</v>
      </c>
      <c r="C311" s="2"/>
      <c r="D311" s="11" t="s">
        <v>1898</v>
      </c>
      <c r="E311" s="133">
        <v>8.5</v>
      </c>
      <c r="F311" s="2"/>
      <c r="G311" s="4" t="s">
        <v>1790</v>
      </c>
      <c r="H311" s="134">
        <v>7.5</v>
      </c>
      <c r="I311" s="2"/>
      <c r="J311" s="4" t="s">
        <v>1751</v>
      </c>
      <c r="K311" s="134">
        <v>8</v>
      </c>
      <c r="L311" s="2"/>
      <c r="M311" s="4" t="s">
        <v>1767</v>
      </c>
      <c r="N311" s="134">
        <v>8.5</v>
      </c>
      <c r="O311" s="16"/>
      <c r="R311"/>
      <c r="S311"/>
      <c r="T311"/>
      <c r="U311"/>
      <c r="V311"/>
      <c r="W311"/>
      <c r="X311"/>
      <c r="Y311"/>
      <c r="Z311"/>
      <c r="AA311"/>
      <c r="AB311"/>
      <c r="AC311"/>
      <c r="AD311"/>
      <c r="AE311"/>
      <c r="AF311"/>
      <c r="AG311"/>
      <c r="AH311"/>
      <c r="AI311"/>
    </row>
    <row r="312" spans="1:35" ht="16.05" customHeight="1" x14ac:dyDescent="0.3">
      <c r="A312" s="4" t="s">
        <v>1080</v>
      </c>
      <c r="B312" s="134">
        <v>8</v>
      </c>
      <c r="C312" s="2"/>
      <c r="D312" s="4" t="s">
        <v>1899</v>
      </c>
      <c r="E312" s="134">
        <v>8.5</v>
      </c>
      <c r="F312" s="2"/>
      <c r="G312" s="4" t="s">
        <v>1791</v>
      </c>
      <c r="H312" s="134">
        <v>8.5</v>
      </c>
      <c r="I312" s="2"/>
      <c r="J312" s="4" t="s">
        <v>1752</v>
      </c>
      <c r="K312" s="134">
        <v>8.5</v>
      </c>
      <c r="L312" s="2"/>
      <c r="M312" s="4" t="s">
        <v>1768</v>
      </c>
      <c r="N312" s="134">
        <v>8.5</v>
      </c>
      <c r="O312" s="16"/>
      <c r="R312"/>
      <c r="S312"/>
      <c r="T312"/>
      <c r="U312"/>
      <c r="V312"/>
      <c r="W312"/>
      <c r="X312"/>
      <c r="Y312"/>
      <c r="Z312"/>
      <c r="AA312"/>
      <c r="AB312"/>
      <c r="AC312"/>
      <c r="AD312"/>
      <c r="AE312"/>
      <c r="AF312"/>
      <c r="AG312"/>
      <c r="AH312"/>
      <c r="AI312"/>
    </row>
    <row r="313" spans="1:35" ht="16.05" customHeight="1" x14ac:dyDescent="0.3">
      <c r="A313" s="4" t="s">
        <v>1780</v>
      </c>
      <c r="B313" s="134">
        <v>8</v>
      </c>
      <c r="C313" s="2"/>
      <c r="D313" s="4" t="s">
        <v>1900</v>
      </c>
      <c r="E313" s="134">
        <v>9</v>
      </c>
      <c r="F313" s="2"/>
      <c r="G313" s="4" t="s">
        <v>1792</v>
      </c>
      <c r="H313" s="134">
        <v>8.5</v>
      </c>
      <c r="I313" s="2"/>
      <c r="J313" s="4" t="s">
        <v>1753</v>
      </c>
      <c r="K313" s="134">
        <v>8.5</v>
      </c>
      <c r="L313" s="2"/>
      <c r="M313" s="4" t="s">
        <v>1769</v>
      </c>
      <c r="N313" s="134">
        <v>8</v>
      </c>
      <c r="O313" s="16"/>
      <c r="R313"/>
      <c r="S313"/>
      <c r="T313"/>
      <c r="U313"/>
      <c r="V313"/>
      <c r="W313"/>
      <c r="X313"/>
      <c r="Y313"/>
      <c r="Z313"/>
      <c r="AA313"/>
      <c r="AB313"/>
      <c r="AC313"/>
      <c r="AD313"/>
      <c r="AE313"/>
      <c r="AF313"/>
      <c r="AG313"/>
      <c r="AH313"/>
      <c r="AI313"/>
    </row>
    <row r="314" spans="1:35" ht="16.05" customHeight="1" x14ac:dyDescent="0.3">
      <c r="A314" s="4" t="s">
        <v>1781</v>
      </c>
      <c r="B314" s="134">
        <v>9.5</v>
      </c>
      <c r="C314" s="2"/>
      <c r="D314" s="4" t="s">
        <v>1901</v>
      </c>
      <c r="E314" s="134">
        <v>9</v>
      </c>
      <c r="F314" s="2"/>
      <c r="G314" s="4" t="s">
        <v>1793</v>
      </c>
      <c r="H314" s="134">
        <v>7.5</v>
      </c>
      <c r="I314" s="2"/>
      <c r="J314" s="4" t="s">
        <v>1754</v>
      </c>
      <c r="K314" s="134">
        <v>9</v>
      </c>
      <c r="L314" s="2"/>
      <c r="M314" s="4" t="s">
        <v>1770</v>
      </c>
      <c r="N314" s="134">
        <v>8.5</v>
      </c>
      <c r="O314" s="16"/>
      <c r="R314"/>
      <c r="S314"/>
      <c r="T314"/>
      <c r="U314"/>
      <c r="V314"/>
      <c r="W314"/>
      <c r="X314"/>
      <c r="Y314"/>
      <c r="Z314"/>
      <c r="AA314"/>
      <c r="AB314"/>
      <c r="AC314"/>
      <c r="AD314"/>
      <c r="AE314"/>
      <c r="AF314"/>
      <c r="AG314"/>
      <c r="AH314"/>
      <c r="AI314"/>
    </row>
    <row r="315" spans="1:35" ht="16.05" customHeight="1" x14ac:dyDescent="0.3">
      <c r="A315" s="4" t="s">
        <v>1782</v>
      </c>
      <c r="B315" s="134">
        <v>7</v>
      </c>
      <c r="C315" s="2"/>
      <c r="D315" s="4" t="s">
        <v>1902</v>
      </c>
      <c r="E315" s="134">
        <v>8</v>
      </c>
      <c r="F315" s="2"/>
      <c r="G315" s="4" t="s">
        <v>1794</v>
      </c>
      <c r="H315" s="134">
        <v>7</v>
      </c>
      <c r="I315" s="2"/>
      <c r="J315" s="4" t="s">
        <v>1755</v>
      </c>
      <c r="K315" s="134">
        <v>9.5</v>
      </c>
      <c r="L315" s="2"/>
      <c r="M315" s="4" t="s">
        <v>1771</v>
      </c>
      <c r="N315" s="134">
        <v>7.5</v>
      </c>
      <c r="O315" s="16"/>
      <c r="R315"/>
      <c r="S315"/>
      <c r="T315"/>
      <c r="U315"/>
      <c r="V315"/>
      <c r="W315"/>
      <c r="X315"/>
      <c r="Y315"/>
      <c r="Z315"/>
      <c r="AA315"/>
      <c r="AB315"/>
      <c r="AC315"/>
      <c r="AD315"/>
      <c r="AE315"/>
      <c r="AF315"/>
      <c r="AG315"/>
      <c r="AH315"/>
      <c r="AI315"/>
    </row>
    <row r="316" spans="1:35" ht="16.05" customHeight="1" thickBot="1" x14ac:dyDescent="0.35">
      <c r="A316" s="4" t="s">
        <v>1783</v>
      </c>
      <c r="B316" s="134">
        <v>10</v>
      </c>
      <c r="C316" s="2"/>
      <c r="D316" s="4" t="s">
        <v>1903</v>
      </c>
      <c r="E316" s="134">
        <v>8</v>
      </c>
      <c r="F316" s="2"/>
      <c r="G316" s="4" t="s">
        <v>1795</v>
      </c>
      <c r="H316" s="134">
        <v>7</v>
      </c>
      <c r="I316" s="2"/>
      <c r="J316" s="7" t="s">
        <v>1756</v>
      </c>
      <c r="K316" s="135">
        <v>8.5</v>
      </c>
      <c r="L316" s="2"/>
      <c r="M316" s="7" t="s">
        <v>1772</v>
      </c>
      <c r="N316" s="135">
        <v>9</v>
      </c>
      <c r="O316" s="16"/>
      <c r="R316"/>
      <c r="S316"/>
      <c r="T316"/>
      <c r="U316"/>
      <c r="V316"/>
      <c r="W316"/>
      <c r="X316"/>
      <c r="Y316"/>
      <c r="Z316"/>
      <c r="AA316"/>
      <c r="AB316"/>
      <c r="AC316"/>
      <c r="AD316"/>
      <c r="AE316"/>
      <c r="AF316"/>
      <c r="AG316"/>
      <c r="AH316"/>
      <c r="AI316"/>
    </row>
    <row r="317" spans="1:35" ht="16.05" customHeight="1" thickBot="1" x14ac:dyDescent="0.35">
      <c r="A317" s="4" t="s">
        <v>1784</v>
      </c>
      <c r="B317" s="134">
        <v>8.5</v>
      </c>
      <c r="C317" s="2"/>
      <c r="D317" s="4" t="s">
        <v>1904</v>
      </c>
      <c r="E317" s="134">
        <v>8.5</v>
      </c>
      <c r="F317" s="2"/>
      <c r="G317" s="4" t="s">
        <v>1796</v>
      </c>
      <c r="H317" s="134">
        <v>7.5</v>
      </c>
      <c r="I317" s="2"/>
      <c r="J317" s="2"/>
      <c r="K317" s="2"/>
      <c r="L317" s="2"/>
      <c r="M317" s="2"/>
      <c r="N317" s="2"/>
      <c r="O317" s="16"/>
      <c r="R317"/>
      <c r="S317"/>
      <c r="T317"/>
      <c r="U317"/>
      <c r="V317"/>
      <c r="W317"/>
      <c r="X317"/>
      <c r="Y317"/>
      <c r="Z317"/>
      <c r="AA317"/>
      <c r="AB317"/>
      <c r="AC317"/>
      <c r="AD317"/>
      <c r="AE317"/>
      <c r="AF317"/>
      <c r="AG317"/>
      <c r="AH317"/>
      <c r="AI317"/>
    </row>
    <row r="318" spans="1:35" ht="16.05" customHeight="1" thickBot="1" x14ac:dyDescent="0.35">
      <c r="A318" s="4" t="s">
        <v>1785</v>
      </c>
      <c r="B318" s="134">
        <v>7.5</v>
      </c>
      <c r="C318" s="2"/>
      <c r="D318" s="7" t="s">
        <v>1905</v>
      </c>
      <c r="E318" s="135">
        <v>8.5</v>
      </c>
      <c r="F318" s="2"/>
      <c r="G318" s="4" t="s">
        <v>1797</v>
      </c>
      <c r="H318" s="134">
        <v>7</v>
      </c>
      <c r="I318" s="2"/>
      <c r="J318" s="155" t="s">
        <v>1917</v>
      </c>
      <c r="K318" s="12">
        <f>ROUND(SUM(K319:K326)/COUNT(K319:K326), 2)</f>
        <v>8.43</v>
      </c>
      <c r="L318" s="2"/>
      <c r="M318" s="156" t="s">
        <v>1929</v>
      </c>
      <c r="N318" s="12">
        <f>ROUND(SUM(N319:N326)/COUNT(N319:N326), 2)</f>
        <v>9.31</v>
      </c>
      <c r="O318" s="16"/>
      <c r="R318"/>
      <c r="S318"/>
      <c r="T318"/>
      <c r="U318"/>
      <c r="V318"/>
      <c r="W318"/>
      <c r="X318"/>
      <c r="Y318"/>
      <c r="Z318"/>
      <c r="AA318"/>
      <c r="AB318"/>
      <c r="AC318"/>
      <c r="AD318"/>
      <c r="AE318"/>
      <c r="AF318"/>
      <c r="AG318"/>
      <c r="AH318"/>
      <c r="AI318"/>
    </row>
    <row r="319" spans="1:35" ht="16.05" customHeight="1" thickBot="1" x14ac:dyDescent="0.35">
      <c r="A319" s="4" t="s">
        <v>1786</v>
      </c>
      <c r="B319" s="134">
        <v>7.5</v>
      </c>
      <c r="C319" s="2"/>
      <c r="D319" s="2"/>
      <c r="E319" s="2"/>
      <c r="F319" s="2"/>
      <c r="G319" s="4" t="s">
        <v>1798</v>
      </c>
      <c r="H319" s="134">
        <v>7</v>
      </c>
      <c r="I319" s="2"/>
      <c r="J319" s="11" t="s">
        <v>1918</v>
      </c>
      <c r="K319" s="133"/>
      <c r="L319" s="2"/>
      <c r="M319" s="11" t="s">
        <v>1930</v>
      </c>
      <c r="N319" s="133">
        <v>10</v>
      </c>
      <c r="O319" s="16"/>
      <c r="R319"/>
      <c r="S319"/>
      <c r="T319"/>
      <c r="U319"/>
      <c r="V319"/>
      <c r="W319"/>
      <c r="X319"/>
      <c r="Y319"/>
      <c r="Z319"/>
      <c r="AA319"/>
      <c r="AB319"/>
      <c r="AC319"/>
      <c r="AD319"/>
      <c r="AE319"/>
      <c r="AF319"/>
      <c r="AG319"/>
      <c r="AH319"/>
      <c r="AI319"/>
    </row>
    <row r="320" spans="1:35" ht="16.05" customHeight="1" thickBot="1" x14ac:dyDescent="0.35">
      <c r="A320" s="7" t="s">
        <v>1787</v>
      </c>
      <c r="B320" s="135">
        <v>8</v>
      </c>
      <c r="C320" s="2"/>
      <c r="D320" s="154" t="s">
        <v>1907</v>
      </c>
      <c r="E320" s="12">
        <f>ROUND(SUM(E321:E326)/COUNT(E321:E326), 2)</f>
        <v>8.67</v>
      </c>
      <c r="F320" s="2"/>
      <c r="G320" s="4" t="s">
        <v>1799</v>
      </c>
      <c r="H320" s="134">
        <v>7.5</v>
      </c>
      <c r="I320" s="2"/>
      <c r="J320" s="4" t="s">
        <v>1919</v>
      </c>
      <c r="K320" s="134">
        <v>8.5</v>
      </c>
      <c r="L320" s="2"/>
      <c r="M320" s="4" t="s">
        <v>1931</v>
      </c>
      <c r="N320" s="134">
        <v>10.5</v>
      </c>
      <c r="O320" s="16"/>
      <c r="R320"/>
      <c r="S320"/>
      <c r="T320"/>
      <c r="U320"/>
      <c r="V320"/>
      <c r="W320"/>
      <c r="X320"/>
      <c r="Y320"/>
      <c r="Z320"/>
      <c r="AA320"/>
      <c r="AB320"/>
      <c r="AC320"/>
      <c r="AD320"/>
      <c r="AE320"/>
      <c r="AF320"/>
      <c r="AG320"/>
      <c r="AH320"/>
      <c r="AI320"/>
    </row>
    <row r="321" spans="1:35" ht="16.05" customHeight="1" thickBot="1" x14ac:dyDescent="0.35">
      <c r="A321" s="2"/>
      <c r="B321" s="2"/>
      <c r="C321" s="2"/>
      <c r="D321" s="11" t="s">
        <v>1908</v>
      </c>
      <c r="E321" s="133">
        <v>8.5</v>
      </c>
      <c r="F321" s="2"/>
      <c r="G321" s="4" t="s">
        <v>1800</v>
      </c>
      <c r="H321" s="134">
        <v>6</v>
      </c>
      <c r="I321" s="2"/>
      <c r="J321" s="4" t="s">
        <v>1920</v>
      </c>
      <c r="K321" s="134">
        <v>9</v>
      </c>
      <c r="L321" s="2"/>
      <c r="M321" s="4" t="s">
        <v>1932</v>
      </c>
      <c r="N321" s="134">
        <v>9.5</v>
      </c>
      <c r="O321" s="16"/>
      <c r="R321"/>
      <c r="S321"/>
      <c r="T321"/>
      <c r="U321"/>
      <c r="V321"/>
      <c r="W321"/>
      <c r="X321"/>
      <c r="Y321"/>
      <c r="Z321"/>
      <c r="AA321"/>
      <c r="AB321"/>
      <c r="AC321"/>
      <c r="AD321"/>
      <c r="AE321"/>
      <c r="AF321"/>
      <c r="AG321"/>
      <c r="AH321"/>
      <c r="AI321"/>
    </row>
    <row r="322" spans="1:35" ht="16.05" customHeight="1" thickBot="1" x14ac:dyDescent="0.35">
      <c r="A322" s="157" t="s">
        <v>1940</v>
      </c>
      <c r="B322" s="12">
        <f>ROUND(SUM(B323:B341)/COUNT(B323:B341), 2)</f>
        <v>8.3800000000000008</v>
      </c>
      <c r="C322" s="2"/>
      <c r="D322" s="4" t="s">
        <v>1909</v>
      </c>
      <c r="E322" s="134">
        <v>9</v>
      </c>
      <c r="F322" s="2"/>
      <c r="G322" s="4" t="s">
        <v>1801</v>
      </c>
      <c r="H322" s="134">
        <v>7</v>
      </c>
      <c r="I322" s="2"/>
      <c r="J322" s="4" t="s">
        <v>1921</v>
      </c>
      <c r="K322" s="134">
        <v>8.5</v>
      </c>
      <c r="L322" s="2"/>
      <c r="M322" s="4" t="s">
        <v>1933</v>
      </c>
      <c r="N322" s="134">
        <v>10</v>
      </c>
      <c r="O322" s="16"/>
      <c r="R322"/>
      <c r="S322"/>
      <c r="T322"/>
      <c r="U322"/>
      <c r="V322"/>
      <c r="W322"/>
      <c r="X322"/>
      <c r="Y322"/>
      <c r="Z322"/>
      <c r="AA322"/>
      <c r="AB322"/>
      <c r="AC322"/>
      <c r="AD322"/>
      <c r="AE322"/>
      <c r="AF322"/>
      <c r="AG322"/>
      <c r="AH322"/>
      <c r="AI322"/>
    </row>
    <row r="323" spans="1:35" ht="16.05" customHeight="1" x14ac:dyDescent="0.3">
      <c r="A323" s="11" t="s">
        <v>1343</v>
      </c>
      <c r="B323" s="133"/>
      <c r="C323" s="2"/>
      <c r="D323" s="4" t="s">
        <v>1910</v>
      </c>
      <c r="E323" s="134">
        <v>8.5</v>
      </c>
      <c r="F323" s="2"/>
      <c r="G323" s="4" t="s">
        <v>1802</v>
      </c>
      <c r="H323" s="134">
        <v>8</v>
      </c>
      <c r="I323" s="2"/>
      <c r="J323" s="4" t="s">
        <v>1922</v>
      </c>
      <c r="K323" s="134">
        <v>8.5</v>
      </c>
      <c r="L323" s="2"/>
      <c r="M323" s="4" t="s">
        <v>1934</v>
      </c>
      <c r="N323" s="134">
        <v>9</v>
      </c>
      <c r="O323" s="16"/>
      <c r="R323"/>
      <c r="S323"/>
      <c r="T323"/>
      <c r="U323"/>
      <c r="V323"/>
      <c r="W323"/>
      <c r="X323"/>
      <c r="Y323"/>
      <c r="Z323"/>
      <c r="AA323"/>
      <c r="AB323"/>
      <c r="AC323"/>
      <c r="AD323"/>
      <c r="AE323"/>
      <c r="AF323"/>
      <c r="AG323"/>
      <c r="AH323"/>
      <c r="AI323"/>
    </row>
    <row r="324" spans="1:35" ht="16.05" customHeight="1" x14ac:dyDescent="0.3">
      <c r="A324" s="4" t="s">
        <v>1941</v>
      </c>
      <c r="B324" s="134">
        <v>8</v>
      </c>
      <c r="C324" s="2"/>
      <c r="D324" s="4" t="s">
        <v>1911</v>
      </c>
      <c r="E324" s="134">
        <v>7.5</v>
      </c>
      <c r="F324" s="2"/>
      <c r="G324" s="4" t="s">
        <v>1803</v>
      </c>
      <c r="H324" s="134">
        <v>7.5</v>
      </c>
      <c r="I324" s="2"/>
      <c r="J324" s="4" t="s">
        <v>1923</v>
      </c>
      <c r="K324" s="134">
        <v>7.5</v>
      </c>
      <c r="L324" s="2"/>
      <c r="M324" s="4" t="s">
        <v>1935</v>
      </c>
      <c r="N324" s="134">
        <v>8.5</v>
      </c>
      <c r="O324" s="16"/>
      <c r="R324"/>
      <c r="S324"/>
      <c r="T324"/>
      <c r="U324"/>
      <c r="V324"/>
      <c r="W324"/>
      <c r="X324"/>
      <c r="Y324"/>
      <c r="Z324"/>
      <c r="AA324"/>
      <c r="AB324"/>
      <c r="AC324"/>
      <c r="AD324"/>
      <c r="AE324"/>
      <c r="AF324"/>
      <c r="AG324"/>
      <c r="AH324"/>
      <c r="AI324"/>
    </row>
    <row r="325" spans="1:35" ht="16.05" customHeight="1" x14ac:dyDescent="0.3">
      <c r="A325" s="4" t="s">
        <v>1942</v>
      </c>
      <c r="B325" s="134">
        <v>8</v>
      </c>
      <c r="C325" s="2"/>
      <c r="D325" s="4" t="s">
        <v>1912</v>
      </c>
      <c r="E325" s="134">
        <v>9</v>
      </c>
      <c r="F325" s="2"/>
      <c r="G325" s="4" t="s">
        <v>1804</v>
      </c>
      <c r="H325" s="134">
        <v>7</v>
      </c>
      <c r="I325" s="2"/>
      <c r="J325" s="4" t="s">
        <v>1924</v>
      </c>
      <c r="K325" s="134">
        <v>8</v>
      </c>
      <c r="L325" s="2"/>
      <c r="M325" s="4" t="s">
        <v>1936</v>
      </c>
      <c r="N325" s="134">
        <v>8.5</v>
      </c>
      <c r="O325" s="16"/>
      <c r="R325"/>
      <c r="S325"/>
      <c r="T325"/>
      <c r="U325"/>
      <c r="V325"/>
      <c r="W325"/>
      <c r="X325"/>
      <c r="Y325"/>
      <c r="Z325"/>
      <c r="AA325"/>
      <c r="AB325"/>
      <c r="AC325"/>
      <c r="AD325"/>
      <c r="AE325"/>
      <c r="AF325"/>
      <c r="AG325"/>
      <c r="AH325"/>
      <c r="AI325"/>
    </row>
    <row r="326" spans="1:35" ht="16.05" customHeight="1" thickBot="1" x14ac:dyDescent="0.35">
      <c r="A326" s="4" t="s">
        <v>1943</v>
      </c>
      <c r="B326" s="134">
        <v>8.5</v>
      </c>
      <c r="C326" s="2"/>
      <c r="D326" s="7" t="s">
        <v>1913</v>
      </c>
      <c r="E326" s="135">
        <v>9.5</v>
      </c>
      <c r="F326" s="2"/>
      <c r="G326" s="4" t="s">
        <v>1805</v>
      </c>
      <c r="H326" s="134">
        <v>6</v>
      </c>
      <c r="I326" s="2"/>
      <c r="J326" s="7" t="s">
        <v>1925</v>
      </c>
      <c r="K326" s="135">
        <v>9</v>
      </c>
      <c r="L326" s="2"/>
      <c r="M326" s="7" t="s">
        <v>1937</v>
      </c>
      <c r="N326" s="135">
        <v>8.5</v>
      </c>
      <c r="O326" s="16"/>
      <c r="R326"/>
      <c r="S326"/>
      <c r="T326"/>
      <c r="U326"/>
      <c r="V326"/>
      <c r="W326"/>
      <c r="X326"/>
      <c r="Y326"/>
      <c r="Z326"/>
      <c r="AA326"/>
      <c r="AB326"/>
      <c r="AC326"/>
      <c r="AD326"/>
      <c r="AE326"/>
      <c r="AF326"/>
      <c r="AG326"/>
      <c r="AH326"/>
      <c r="AI326"/>
    </row>
    <row r="327" spans="1:35" ht="16.05" customHeight="1" thickBot="1" x14ac:dyDescent="0.35">
      <c r="A327" s="4" t="s">
        <v>1944</v>
      </c>
      <c r="B327" s="134">
        <v>8</v>
      </c>
      <c r="C327" s="2"/>
      <c r="D327" s="2"/>
      <c r="E327" s="2"/>
      <c r="F327" s="2"/>
      <c r="G327" s="7" t="s">
        <v>1806</v>
      </c>
      <c r="H327" s="135">
        <v>6.5</v>
      </c>
      <c r="I327" s="2"/>
      <c r="J327" s="2"/>
      <c r="K327" s="2"/>
      <c r="L327" s="2"/>
      <c r="M327" s="2"/>
      <c r="N327" s="2"/>
      <c r="O327" s="16"/>
      <c r="R327"/>
      <c r="S327"/>
      <c r="T327"/>
      <c r="U327"/>
      <c r="V327"/>
      <c r="W327"/>
      <c r="X327"/>
      <c r="Y327"/>
      <c r="Z327"/>
      <c r="AA327"/>
      <c r="AB327"/>
      <c r="AC327"/>
      <c r="AD327"/>
      <c r="AE327"/>
      <c r="AF327"/>
      <c r="AG327"/>
      <c r="AH327"/>
      <c r="AI327"/>
    </row>
    <row r="328" spans="1:35" ht="16.05" customHeight="1" thickBot="1" x14ac:dyDescent="0.35">
      <c r="A328" s="4" t="s">
        <v>1945</v>
      </c>
      <c r="B328" s="134">
        <v>9</v>
      </c>
      <c r="C328" s="2"/>
      <c r="D328" s="159" t="s">
        <v>1963</v>
      </c>
      <c r="E328" s="12">
        <f>ROUND(SUM(E329:E358)/COUNT(E329:E358), 2)</f>
        <v>8.7200000000000006</v>
      </c>
      <c r="F328" s="2"/>
      <c r="G328" s="2"/>
      <c r="H328" s="2"/>
      <c r="I328" s="2"/>
      <c r="J328" s="161" t="s">
        <v>2094</v>
      </c>
      <c r="K328" s="12">
        <f>ROUND(SUM(K329:K338)/COUNT(K329:K338), 2)</f>
        <v>8.6</v>
      </c>
      <c r="L328" s="2"/>
      <c r="M328" s="160" t="s">
        <v>2013</v>
      </c>
      <c r="N328" s="12">
        <f>ROUND(SUM(N329:N336)/COUNT(N329:N336), 2)</f>
        <v>8.81</v>
      </c>
      <c r="O328" s="16"/>
      <c r="R328"/>
      <c r="S328"/>
      <c r="T328"/>
      <c r="U328"/>
      <c r="V328"/>
      <c r="W328"/>
      <c r="X328"/>
      <c r="Y328"/>
      <c r="Z328"/>
      <c r="AA328"/>
      <c r="AB328"/>
      <c r="AC328"/>
      <c r="AD328"/>
      <c r="AE328"/>
      <c r="AF328"/>
      <c r="AG328"/>
      <c r="AH328"/>
      <c r="AI328"/>
    </row>
    <row r="329" spans="1:35" ht="16.05" customHeight="1" thickBot="1" x14ac:dyDescent="0.35">
      <c r="A329" s="4" t="s">
        <v>1946</v>
      </c>
      <c r="B329" s="134">
        <v>8.5</v>
      </c>
      <c r="C329" s="2"/>
      <c r="D329" s="11" t="s">
        <v>1964</v>
      </c>
      <c r="E329" s="133">
        <v>8.5</v>
      </c>
      <c r="F329" s="2"/>
      <c r="G329" s="162" t="s">
        <v>2093</v>
      </c>
      <c r="H329" s="12">
        <f>ROUND(SUM(H330:H337)/COUNT(H330:H337), 2)</f>
        <v>8.75</v>
      </c>
      <c r="I329" s="2"/>
      <c r="J329" s="11" t="s">
        <v>1996</v>
      </c>
      <c r="K329" s="133">
        <v>10.5</v>
      </c>
      <c r="L329" s="2"/>
      <c r="M329" s="11" t="s">
        <v>110</v>
      </c>
      <c r="N329" s="133">
        <v>9</v>
      </c>
      <c r="O329" s="16"/>
      <c r="R329"/>
      <c r="S329"/>
      <c r="T329"/>
      <c r="U329"/>
      <c r="V329"/>
      <c r="W329"/>
      <c r="X329"/>
      <c r="Y329"/>
      <c r="Z329"/>
      <c r="AA329"/>
      <c r="AB329"/>
      <c r="AC329"/>
      <c r="AD329"/>
      <c r="AE329"/>
      <c r="AF329"/>
      <c r="AG329"/>
      <c r="AH329"/>
      <c r="AI329"/>
    </row>
    <row r="330" spans="1:35" ht="16.05" customHeight="1" x14ac:dyDescent="0.3">
      <c r="A330" s="4" t="s">
        <v>1947</v>
      </c>
      <c r="B330" s="134"/>
      <c r="C330" s="2"/>
      <c r="D330" s="4" t="s">
        <v>1965</v>
      </c>
      <c r="E330" s="134">
        <v>10.5</v>
      </c>
      <c r="F330" s="2"/>
      <c r="G330" s="11" t="s">
        <v>2095</v>
      </c>
      <c r="H330" s="133">
        <v>9.5</v>
      </c>
      <c r="I330" s="2"/>
      <c r="J330" s="4" t="s">
        <v>1997</v>
      </c>
      <c r="K330" s="134">
        <v>8</v>
      </c>
      <c r="L330" s="2"/>
      <c r="M330" s="4" t="s">
        <v>2014</v>
      </c>
      <c r="N330" s="134">
        <v>8.5</v>
      </c>
      <c r="O330" s="16"/>
      <c r="R330"/>
      <c r="S330"/>
      <c r="T330"/>
      <c r="U330"/>
      <c r="V330"/>
      <c r="W330"/>
      <c r="X330"/>
      <c r="Y330"/>
      <c r="Z330"/>
      <c r="AA330"/>
      <c r="AB330"/>
      <c r="AC330"/>
      <c r="AD330"/>
      <c r="AE330"/>
      <c r="AF330"/>
      <c r="AG330"/>
      <c r="AH330"/>
      <c r="AI330"/>
    </row>
    <row r="331" spans="1:35" ht="16.05" customHeight="1" x14ac:dyDescent="0.3">
      <c r="A331" s="4" t="s">
        <v>1948</v>
      </c>
      <c r="B331" s="134">
        <v>8.5</v>
      </c>
      <c r="C331" s="2"/>
      <c r="D331" s="4" t="s">
        <v>1966</v>
      </c>
      <c r="E331" s="134">
        <v>9.5</v>
      </c>
      <c r="F331" s="2"/>
      <c r="G331" s="4" t="s">
        <v>2096</v>
      </c>
      <c r="H331" s="134">
        <v>8.5</v>
      </c>
      <c r="I331" s="2"/>
      <c r="J331" s="4" t="s">
        <v>1998</v>
      </c>
      <c r="K331" s="134">
        <v>7.5</v>
      </c>
      <c r="L331" s="2"/>
      <c r="M331" s="4" t="s">
        <v>2015</v>
      </c>
      <c r="N331" s="134">
        <v>9.5</v>
      </c>
      <c r="O331" s="16"/>
      <c r="R331"/>
      <c r="S331"/>
      <c r="T331"/>
      <c r="U331"/>
      <c r="V331"/>
      <c r="W331"/>
      <c r="X331"/>
      <c r="Y331"/>
      <c r="Z331"/>
      <c r="AA331"/>
      <c r="AB331"/>
      <c r="AC331"/>
      <c r="AD331"/>
      <c r="AE331"/>
      <c r="AF331"/>
      <c r="AG331"/>
      <c r="AH331"/>
      <c r="AI331"/>
    </row>
    <row r="332" spans="1:35" ht="16.05" customHeight="1" x14ac:dyDescent="0.3">
      <c r="A332" s="4" t="s">
        <v>1949</v>
      </c>
      <c r="B332" s="134">
        <v>10</v>
      </c>
      <c r="C332" s="2"/>
      <c r="D332" s="4" t="s">
        <v>1967</v>
      </c>
      <c r="E332" s="134">
        <v>9</v>
      </c>
      <c r="F332" s="2"/>
      <c r="G332" s="4" t="s">
        <v>2097</v>
      </c>
      <c r="H332" s="134">
        <v>8.5</v>
      </c>
      <c r="I332" s="2"/>
      <c r="J332" s="4" t="s">
        <v>1999</v>
      </c>
      <c r="K332" s="134">
        <v>9.5</v>
      </c>
      <c r="L332" s="2"/>
      <c r="M332" s="4" t="s">
        <v>2016</v>
      </c>
      <c r="N332" s="134">
        <v>10.5</v>
      </c>
      <c r="O332" s="16"/>
      <c r="R332"/>
      <c r="S332"/>
      <c r="T332"/>
      <c r="U332"/>
      <c r="V332"/>
      <c r="W332"/>
      <c r="X332"/>
      <c r="Y332"/>
      <c r="Z332"/>
      <c r="AA332"/>
      <c r="AB332"/>
      <c r="AC332"/>
      <c r="AD332"/>
      <c r="AE332"/>
      <c r="AF332"/>
      <c r="AG332"/>
      <c r="AH332"/>
      <c r="AI332"/>
    </row>
    <row r="333" spans="1:35" ht="16.05" customHeight="1" x14ac:dyDescent="0.3">
      <c r="A333" s="4" t="s">
        <v>1950</v>
      </c>
      <c r="B333" s="134">
        <v>8.5</v>
      </c>
      <c r="C333" s="2"/>
      <c r="D333" s="4" t="s">
        <v>1968</v>
      </c>
      <c r="E333" s="134">
        <v>8.5</v>
      </c>
      <c r="F333" s="2"/>
      <c r="G333" s="4" t="s">
        <v>2098</v>
      </c>
      <c r="H333" s="134">
        <v>8</v>
      </c>
      <c r="I333" s="2"/>
      <c r="J333" s="4" t="s">
        <v>2000</v>
      </c>
      <c r="K333" s="134">
        <v>7.5</v>
      </c>
      <c r="L333" s="2"/>
      <c r="M333" s="4" t="s">
        <v>2017</v>
      </c>
      <c r="N333" s="134">
        <v>8.5</v>
      </c>
      <c r="O333" s="16"/>
      <c r="R333"/>
      <c r="S333"/>
      <c r="T333"/>
      <c r="U333"/>
      <c r="V333"/>
      <c r="W333"/>
      <c r="X333"/>
      <c r="Y333"/>
      <c r="Z333"/>
      <c r="AA333"/>
      <c r="AB333"/>
      <c r="AC333"/>
      <c r="AD333"/>
      <c r="AE333"/>
      <c r="AF333"/>
      <c r="AG333"/>
      <c r="AH333"/>
      <c r="AI333"/>
    </row>
    <row r="334" spans="1:35" ht="16.05" customHeight="1" x14ac:dyDescent="0.3">
      <c r="A334" s="4" t="s">
        <v>1951</v>
      </c>
      <c r="B334" s="134">
        <v>7.5</v>
      </c>
      <c r="C334" s="2"/>
      <c r="D334" s="4" t="s">
        <v>1969</v>
      </c>
      <c r="E334" s="134">
        <v>9</v>
      </c>
      <c r="F334" s="2"/>
      <c r="G334" s="4" t="s">
        <v>2099</v>
      </c>
      <c r="H334" s="134">
        <v>9</v>
      </c>
      <c r="I334" s="2"/>
      <c r="J334" s="4" t="s">
        <v>2001</v>
      </c>
      <c r="K334" s="134">
        <v>8</v>
      </c>
      <c r="L334" s="2"/>
      <c r="M334" s="4" t="s">
        <v>2018</v>
      </c>
      <c r="N334" s="134">
        <v>8</v>
      </c>
      <c r="O334" s="16"/>
      <c r="R334"/>
      <c r="S334"/>
      <c r="T334"/>
      <c r="U334"/>
      <c r="V334"/>
      <c r="W334"/>
      <c r="X334"/>
      <c r="Y334"/>
      <c r="Z334"/>
      <c r="AA334"/>
      <c r="AB334"/>
      <c r="AC334"/>
      <c r="AD334"/>
      <c r="AE334"/>
      <c r="AF334"/>
      <c r="AG334"/>
      <c r="AH334"/>
      <c r="AI334"/>
    </row>
    <row r="335" spans="1:35" ht="16.05" customHeight="1" x14ac:dyDescent="0.3">
      <c r="A335" s="4" t="s">
        <v>1952</v>
      </c>
      <c r="B335" s="134">
        <v>10</v>
      </c>
      <c r="C335" s="2"/>
      <c r="D335" s="4" t="s">
        <v>1970</v>
      </c>
      <c r="E335" s="134">
        <v>8.5</v>
      </c>
      <c r="F335" s="2"/>
      <c r="G335" s="4" t="s">
        <v>2100</v>
      </c>
      <c r="H335" s="134">
        <v>8.5</v>
      </c>
      <c r="I335" s="2"/>
      <c r="J335" s="4" t="s">
        <v>2002</v>
      </c>
      <c r="K335" s="134">
        <v>10</v>
      </c>
      <c r="L335" s="2"/>
      <c r="M335" s="4" t="s">
        <v>2019</v>
      </c>
      <c r="N335" s="134">
        <v>8.5</v>
      </c>
      <c r="O335" s="16"/>
      <c r="R335"/>
      <c r="S335"/>
      <c r="T335"/>
      <c r="U335"/>
      <c r="V335"/>
      <c r="W335"/>
      <c r="X335"/>
      <c r="Y335"/>
      <c r="Z335"/>
      <c r="AA335"/>
      <c r="AB335"/>
      <c r="AC335"/>
      <c r="AD335"/>
      <c r="AE335"/>
      <c r="AF335"/>
      <c r="AG335"/>
      <c r="AH335"/>
      <c r="AI335"/>
    </row>
    <row r="336" spans="1:35" ht="16.05" customHeight="1" thickBot="1" x14ac:dyDescent="0.35">
      <c r="A336" s="4" t="s">
        <v>1953</v>
      </c>
      <c r="B336" s="134">
        <v>8</v>
      </c>
      <c r="C336" s="2"/>
      <c r="D336" s="4" t="s">
        <v>1971</v>
      </c>
      <c r="E336" s="134">
        <v>8.5</v>
      </c>
      <c r="F336" s="2"/>
      <c r="G336" s="4" t="s">
        <v>2101</v>
      </c>
      <c r="H336" s="134">
        <v>10</v>
      </c>
      <c r="I336" s="2"/>
      <c r="J336" s="4" t="s">
        <v>2003</v>
      </c>
      <c r="K336" s="134">
        <v>9</v>
      </c>
      <c r="L336" s="2"/>
      <c r="M336" s="7" t="s">
        <v>2020</v>
      </c>
      <c r="N336" s="135">
        <v>8</v>
      </c>
      <c r="O336" s="16"/>
      <c r="R336"/>
      <c r="S336"/>
      <c r="T336"/>
      <c r="U336"/>
      <c r="V336"/>
      <c r="W336"/>
      <c r="X336"/>
      <c r="Y336"/>
      <c r="Z336"/>
      <c r="AA336"/>
      <c r="AB336"/>
      <c r="AC336"/>
      <c r="AD336"/>
      <c r="AE336"/>
      <c r="AF336"/>
      <c r="AG336"/>
      <c r="AH336"/>
      <c r="AI336"/>
    </row>
    <row r="337" spans="1:35" ht="16.05" customHeight="1" thickBot="1" x14ac:dyDescent="0.35">
      <c r="A337" s="4" t="s">
        <v>1954</v>
      </c>
      <c r="B337" s="134">
        <v>7</v>
      </c>
      <c r="C337" s="2"/>
      <c r="D337" s="4" t="s">
        <v>1972</v>
      </c>
      <c r="E337" s="134">
        <v>10</v>
      </c>
      <c r="F337" s="2"/>
      <c r="G337" s="7" t="s">
        <v>2102</v>
      </c>
      <c r="H337" s="135">
        <v>8</v>
      </c>
      <c r="I337" s="2"/>
      <c r="J337" s="4" t="s">
        <v>2004</v>
      </c>
      <c r="K337" s="134">
        <v>8</v>
      </c>
      <c r="L337" s="2"/>
      <c r="M337" s="2"/>
      <c r="N337" s="2"/>
      <c r="O337" s="16"/>
      <c r="R337"/>
      <c r="S337"/>
      <c r="T337"/>
      <c r="U337"/>
      <c r="V337"/>
      <c r="W337"/>
      <c r="X337"/>
      <c r="Y337"/>
      <c r="Z337"/>
      <c r="AA337"/>
      <c r="AB337"/>
      <c r="AC337"/>
      <c r="AD337"/>
      <c r="AE337"/>
      <c r="AF337"/>
      <c r="AG337"/>
      <c r="AH337"/>
      <c r="AI337"/>
    </row>
    <row r="338" spans="1:35" ht="16.05" customHeight="1" thickBot="1" x14ac:dyDescent="0.35">
      <c r="A338" s="4" t="s">
        <v>1955</v>
      </c>
      <c r="B338" s="134">
        <v>8</v>
      </c>
      <c r="C338" s="2"/>
      <c r="D338" s="4" t="s">
        <v>1973</v>
      </c>
      <c r="E338" s="134">
        <v>8.5</v>
      </c>
      <c r="F338" s="2"/>
      <c r="G338" s="2"/>
      <c r="H338" s="2"/>
      <c r="I338" s="2"/>
      <c r="J338" s="7" t="s">
        <v>2005</v>
      </c>
      <c r="K338" s="135">
        <v>8</v>
      </c>
      <c r="L338" s="2"/>
      <c r="M338" s="163" t="s">
        <v>2106</v>
      </c>
      <c r="N338" s="12">
        <f>ROUND(SUM(N339:N353)/COUNT(N339:N353), 2)</f>
        <v>8.73</v>
      </c>
      <c r="O338" s="16"/>
      <c r="R338"/>
      <c r="S338"/>
      <c r="T338"/>
      <c r="U338"/>
      <c r="V338"/>
      <c r="W338"/>
      <c r="X338"/>
      <c r="Y338"/>
      <c r="Z338"/>
      <c r="AA338"/>
      <c r="AB338"/>
      <c r="AC338"/>
      <c r="AD338"/>
      <c r="AE338"/>
      <c r="AF338"/>
      <c r="AG338"/>
      <c r="AH338"/>
      <c r="AI338"/>
    </row>
    <row r="339" spans="1:35" ht="16.05" customHeight="1" thickBot="1" x14ac:dyDescent="0.35">
      <c r="A339" s="4" t="s">
        <v>1956</v>
      </c>
      <c r="B339" s="134">
        <v>9</v>
      </c>
      <c r="C339" s="2"/>
      <c r="D339" s="4" t="s">
        <v>1974</v>
      </c>
      <c r="E339" s="134">
        <v>8.5</v>
      </c>
      <c r="F339" s="2"/>
      <c r="G339" s="164" t="s">
        <v>2126</v>
      </c>
      <c r="H339" s="12">
        <f>ROUND(SUM(H340:H351)/COUNT(H340:H351), 2)</f>
        <v>8.58</v>
      </c>
      <c r="I339" s="2"/>
      <c r="J339" s="2"/>
      <c r="K339" s="2"/>
      <c r="L339" s="2"/>
      <c r="M339" s="11" t="s">
        <v>2107</v>
      </c>
      <c r="N339" s="133">
        <v>8</v>
      </c>
      <c r="O339" s="16"/>
      <c r="R339"/>
      <c r="S339"/>
      <c r="T339"/>
      <c r="U339"/>
      <c r="V339"/>
      <c r="W339"/>
      <c r="X339"/>
      <c r="Y339"/>
      <c r="Z339"/>
      <c r="AA339"/>
      <c r="AB339"/>
      <c r="AC339"/>
      <c r="AD339"/>
      <c r="AE339"/>
      <c r="AF339"/>
      <c r="AG339"/>
      <c r="AH339"/>
      <c r="AI339"/>
    </row>
    <row r="340" spans="1:35" ht="16.05" customHeight="1" thickBot="1" x14ac:dyDescent="0.35">
      <c r="A340" s="4" t="s">
        <v>1957</v>
      </c>
      <c r="B340" s="134">
        <v>8.5</v>
      </c>
      <c r="C340" s="2"/>
      <c r="D340" s="4" t="s">
        <v>1975</v>
      </c>
      <c r="E340" s="134">
        <v>7.5</v>
      </c>
      <c r="F340" s="2"/>
      <c r="G340" s="11" t="s">
        <v>2127</v>
      </c>
      <c r="H340" s="133">
        <v>8</v>
      </c>
      <c r="I340" s="2"/>
      <c r="J340" s="165" t="s">
        <v>2158</v>
      </c>
      <c r="K340" s="12">
        <f>ROUND(SUM(K341:K354)/COUNT(K341:K354), 2)</f>
        <v>8.5399999999999991</v>
      </c>
      <c r="L340" s="2"/>
      <c r="M340" s="4" t="s">
        <v>2108</v>
      </c>
      <c r="N340" s="134">
        <v>9</v>
      </c>
      <c r="O340" s="16"/>
      <c r="R340"/>
      <c r="S340"/>
      <c r="T340"/>
      <c r="U340"/>
      <c r="V340"/>
      <c r="W340"/>
      <c r="X340"/>
      <c r="Y340"/>
      <c r="Z340"/>
      <c r="AA340"/>
      <c r="AB340"/>
      <c r="AC340"/>
      <c r="AD340"/>
      <c r="AE340"/>
      <c r="AF340"/>
      <c r="AG340"/>
      <c r="AH340"/>
      <c r="AI340"/>
    </row>
    <row r="341" spans="1:35" ht="16.05" customHeight="1" thickBot="1" x14ac:dyDescent="0.35">
      <c r="A341" s="7" t="s">
        <v>1958</v>
      </c>
      <c r="B341" s="135">
        <v>7.5</v>
      </c>
      <c r="C341" s="2"/>
      <c r="D341" s="4" t="s">
        <v>1976</v>
      </c>
      <c r="E341" s="134">
        <v>10.5</v>
      </c>
      <c r="F341" s="2"/>
      <c r="G341" s="4" t="s">
        <v>2128</v>
      </c>
      <c r="H341" s="134">
        <v>9</v>
      </c>
      <c r="I341" s="2"/>
      <c r="J341" s="11" t="s">
        <v>2144</v>
      </c>
      <c r="K341" s="133">
        <v>8.5</v>
      </c>
      <c r="L341" s="2"/>
      <c r="M341" s="4" t="s">
        <v>2109</v>
      </c>
      <c r="N341" s="134"/>
      <c r="O341" s="16"/>
      <c r="R341"/>
      <c r="S341"/>
      <c r="T341"/>
      <c r="U341"/>
      <c r="V341"/>
      <c r="W341"/>
      <c r="X341"/>
      <c r="Y341"/>
      <c r="Z341"/>
      <c r="AA341"/>
      <c r="AB341"/>
      <c r="AC341"/>
      <c r="AD341"/>
      <c r="AE341"/>
      <c r="AF341"/>
      <c r="AG341"/>
      <c r="AH341"/>
      <c r="AI341"/>
    </row>
    <row r="342" spans="1:35" ht="16.05" customHeight="1" thickBot="1" x14ac:dyDescent="0.35">
      <c r="A342" s="2"/>
      <c r="B342" s="2"/>
      <c r="C342" s="2"/>
      <c r="D342" s="4" t="s">
        <v>1977</v>
      </c>
      <c r="E342" s="134">
        <v>8</v>
      </c>
      <c r="F342" s="2"/>
      <c r="G342" s="4" t="s">
        <v>2129</v>
      </c>
      <c r="H342" s="134">
        <v>9.5</v>
      </c>
      <c r="I342" s="2"/>
      <c r="J342" s="4" t="s">
        <v>2145</v>
      </c>
      <c r="K342" s="134">
        <v>9</v>
      </c>
      <c r="L342" s="2"/>
      <c r="M342" s="4" t="s">
        <v>2110</v>
      </c>
      <c r="N342" s="134">
        <v>10</v>
      </c>
      <c r="O342" s="16"/>
      <c r="R342"/>
      <c r="S342"/>
      <c r="T342"/>
      <c r="U342"/>
      <c r="V342"/>
      <c r="W342"/>
      <c r="X342"/>
      <c r="Y342"/>
      <c r="Z342"/>
      <c r="AA342"/>
      <c r="AB342"/>
      <c r="AC342"/>
      <c r="AD342"/>
      <c r="AE342"/>
      <c r="AF342"/>
      <c r="AG342"/>
      <c r="AH342"/>
      <c r="AI342"/>
    </row>
    <row r="343" spans="1:35" ht="16.05" customHeight="1" thickBot="1" x14ac:dyDescent="0.35">
      <c r="A343" s="167" t="s">
        <v>2164</v>
      </c>
      <c r="B343" s="12">
        <f>ROUND(SUM(B344:B358)/COUNT(B344:B358), 2)</f>
        <v>8.57</v>
      </c>
      <c r="C343" s="2"/>
      <c r="D343" s="4" t="s">
        <v>1978</v>
      </c>
      <c r="E343" s="134">
        <v>7.5</v>
      </c>
      <c r="F343" s="2"/>
      <c r="G343" s="4" t="s">
        <v>2130</v>
      </c>
      <c r="H343" s="134">
        <v>8.5</v>
      </c>
      <c r="I343" s="2"/>
      <c r="J343" s="4" t="s">
        <v>2146</v>
      </c>
      <c r="K343" s="134">
        <v>8</v>
      </c>
      <c r="L343" s="2"/>
      <c r="M343" s="4" t="s">
        <v>2111</v>
      </c>
      <c r="N343" s="134">
        <v>8</v>
      </c>
      <c r="O343" s="16"/>
      <c r="R343"/>
      <c r="S343"/>
      <c r="T343"/>
      <c r="U343"/>
      <c r="V343"/>
      <c r="W343"/>
      <c r="X343"/>
      <c r="Y343"/>
      <c r="Z343"/>
      <c r="AA343"/>
      <c r="AB343"/>
      <c r="AC343"/>
      <c r="AD343"/>
      <c r="AE343"/>
      <c r="AF343"/>
      <c r="AG343"/>
      <c r="AH343"/>
      <c r="AI343"/>
    </row>
    <row r="344" spans="1:35" ht="16.05" customHeight="1" x14ac:dyDescent="0.3">
      <c r="A344" s="11" t="s">
        <v>2165</v>
      </c>
      <c r="B344" s="133">
        <v>9</v>
      </c>
      <c r="C344" s="2"/>
      <c r="D344" s="4" t="s">
        <v>1979</v>
      </c>
      <c r="E344" s="134">
        <v>10</v>
      </c>
      <c r="F344" s="2"/>
      <c r="G344" s="4" t="s">
        <v>2131</v>
      </c>
      <c r="H344" s="134">
        <v>9</v>
      </c>
      <c r="I344" s="2"/>
      <c r="J344" s="4" t="s">
        <v>2147</v>
      </c>
      <c r="K344" s="134">
        <v>8.5</v>
      </c>
      <c r="L344" s="2"/>
      <c r="M344" s="4" t="s">
        <v>2112</v>
      </c>
      <c r="N344" s="134">
        <v>8.5</v>
      </c>
      <c r="O344" s="16"/>
      <c r="R344"/>
      <c r="S344"/>
      <c r="T344"/>
      <c r="U344"/>
      <c r="V344"/>
      <c r="W344"/>
      <c r="X344"/>
      <c r="Y344"/>
      <c r="Z344"/>
      <c r="AA344"/>
      <c r="AB344"/>
      <c r="AC344"/>
      <c r="AD344"/>
      <c r="AE344"/>
      <c r="AF344"/>
      <c r="AG344"/>
      <c r="AH344"/>
      <c r="AI344"/>
    </row>
    <row r="345" spans="1:35" ht="16.05" customHeight="1" x14ac:dyDescent="0.3">
      <c r="A345" s="4" t="s">
        <v>2166</v>
      </c>
      <c r="B345" s="134">
        <v>8</v>
      </c>
      <c r="C345" s="2"/>
      <c r="D345" s="4" t="s">
        <v>1980</v>
      </c>
      <c r="E345" s="134">
        <v>9.5</v>
      </c>
      <c r="F345" s="2"/>
      <c r="G345" s="4" t="s">
        <v>2132</v>
      </c>
      <c r="H345" s="134">
        <v>10</v>
      </c>
      <c r="I345" s="2"/>
      <c r="J345" s="4" t="s">
        <v>2148</v>
      </c>
      <c r="K345" s="134">
        <v>9</v>
      </c>
      <c r="L345" s="2"/>
      <c r="M345" s="4" t="s">
        <v>2113</v>
      </c>
      <c r="N345" s="134">
        <v>8.5</v>
      </c>
      <c r="O345" s="16"/>
      <c r="R345"/>
      <c r="S345"/>
      <c r="T345"/>
      <c r="U345"/>
      <c r="V345"/>
      <c r="W345"/>
      <c r="X345"/>
      <c r="Y345"/>
      <c r="Z345"/>
      <c r="AA345"/>
      <c r="AB345"/>
      <c r="AC345"/>
      <c r="AD345"/>
      <c r="AE345"/>
      <c r="AF345"/>
      <c r="AG345"/>
      <c r="AH345"/>
      <c r="AI345"/>
    </row>
    <row r="346" spans="1:35" ht="16.05" customHeight="1" x14ac:dyDescent="0.3">
      <c r="A346" s="4" t="s">
        <v>2167</v>
      </c>
      <c r="B346" s="134">
        <v>10</v>
      </c>
      <c r="C346" s="2"/>
      <c r="D346" s="4" t="s">
        <v>1981</v>
      </c>
      <c r="E346" s="134">
        <v>10</v>
      </c>
      <c r="F346" s="2"/>
      <c r="G346" s="4" t="s">
        <v>2133</v>
      </c>
      <c r="H346" s="134">
        <v>8.5</v>
      </c>
      <c r="I346" s="2"/>
      <c r="J346" s="4" t="s">
        <v>2149</v>
      </c>
      <c r="K346" s="134">
        <v>8</v>
      </c>
      <c r="L346" s="2"/>
      <c r="M346" s="4" t="s">
        <v>2114</v>
      </c>
      <c r="N346" s="134">
        <v>9</v>
      </c>
      <c r="O346" s="16"/>
      <c r="R346"/>
      <c r="S346"/>
      <c r="T346"/>
      <c r="U346"/>
      <c r="V346"/>
      <c r="W346"/>
      <c r="X346"/>
      <c r="Y346"/>
      <c r="Z346"/>
      <c r="AA346"/>
      <c r="AB346"/>
      <c r="AC346"/>
      <c r="AD346"/>
      <c r="AE346"/>
      <c r="AF346"/>
      <c r="AG346"/>
      <c r="AH346"/>
      <c r="AI346"/>
    </row>
    <row r="347" spans="1:35" ht="16.05" customHeight="1" x14ac:dyDescent="0.3">
      <c r="A347" s="4" t="s">
        <v>2168</v>
      </c>
      <c r="B347" s="134">
        <v>9</v>
      </c>
      <c r="C347" s="2"/>
      <c r="D347" s="4" t="s">
        <v>1982</v>
      </c>
      <c r="E347" s="134">
        <v>8</v>
      </c>
      <c r="F347" s="2"/>
      <c r="G347" s="4" t="s">
        <v>2134</v>
      </c>
      <c r="H347" s="134">
        <v>8.5</v>
      </c>
      <c r="I347" s="2"/>
      <c r="J347" s="4" t="s">
        <v>2150</v>
      </c>
      <c r="K347" s="134">
        <v>8</v>
      </c>
      <c r="L347" s="2"/>
      <c r="M347" s="4" t="s">
        <v>2115</v>
      </c>
      <c r="N347" s="134">
        <v>8.5</v>
      </c>
      <c r="O347" s="16"/>
      <c r="R347"/>
      <c r="S347"/>
      <c r="T347"/>
      <c r="U347"/>
      <c r="V347"/>
      <c r="W347"/>
      <c r="X347"/>
      <c r="Y347"/>
      <c r="Z347"/>
      <c r="AA347"/>
      <c r="AB347"/>
      <c r="AC347"/>
      <c r="AD347"/>
      <c r="AE347"/>
      <c r="AF347"/>
      <c r="AG347"/>
      <c r="AH347"/>
      <c r="AI347"/>
    </row>
    <row r="348" spans="1:35" ht="16.05" customHeight="1" x14ac:dyDescent="0.3">
      <c r="A348" s="4" t="s">
        <v>2169</v>
      </c>
      <c r="B348" s="134">
        <v>9</v>
      </c>
      <c r="C348" s="2"/>
      <c r="D348" s="4" t="s">
        <v>1983</v>
      </c>
      <c r="E348" s="134">
        <v>8.5</v>
      </c>
      <c r="F348" s="2"/>
      <c r="G348" s="4" t="s">
        <v>2135</v>
      </c>
      <c r="H348" s="134">
        <v>8</v>
      </c>
      <c r="I348" s="2"/>
      <c r="J348" s="4" t="s">
        <v>2151</v>
      </c>
      <c r="K348" s="134">
        <v>7.5</v>
      </c>
      <c r="L348" s="2"/>
      <c r="M348" s="4" t="s">
        <v>2116</v>
      </c>
      <c r="N348" s="134">
        <v>8</v>
      </c>
      <c r="O348" s="16"/>
      <c r="R348"/>
      <c r="S348"/>
      <c r="T348"/>
      <c r="U348"/>
      <c r="V348"/>
      <c r="W348"/>
      <c r="X348"/>
      <c r="Y348"/>
      <c r="Z348"/>
      <c r="AA348"/>
      <c r="AB348"/>
      <c r="AC348"/>
      <c r="AD348"/>
      <c r="AE348"/>
      <c r="AF348"/>
      <c r="AG348"/>
      <c r="AH348"/>
      <c r="AI348"/>
    </row>
    <row r="349" spans="1:35" ht="16.05" customHeight="1" x14ac:dyDescent="0.3">
      <c r="A349" s="4" t="s">
        <v>2170</v>
      </c>
      <c r="B349" s="134">
        <v>8.5</v>
      </c>
      <c r="C349" s="2"/>
      <c r="D349" s="4" t="s">
        <v>1984</v>
      </c>
      <c r="E349" s="134">
        <v>8</v>
      </c>
      <c r="F349" s="2"/>
      <c r="G349" s="4" t="s">
        <v>2136</v>
      </c>
      <c r="H349" s="134">
        <v>8</v>
      </c>
      <c r="I349" s="2"/>
      <c r="J349" s="4" t="s">
        <v>2152</v>
      </c>
      <c r="K349" s="134">
        <v>9.5</v>
      </c>
      <c r="L349" s="2"/>
      <c r="M349" s="4" t="s">
        <v>2117</v>
      </c>
      <c r="N349" s="134"/>
      <c r="O349" s="16"/>
      <c r="R349"/>
      <c r="S349"/>
      <c r="T349"/>
      <c r="U349"/>
      <c r="V349"/>
      <c r="W349"/>
      <c r="X349"/>
      <c r="Y349"/>
      <c r="Z349"/>
      <c r="AA349"/>
      <c r="AB349"/>
      <c r="AC349"/>
      <c r="AD349"/>
      <c r="AE349"/>
      <c r="AF349"/>
      <c r="AG349"/>
      <c r="AH349"/>
      <c r="AI349"/>
    </row>
    <row r="350" spans="1:35" ht="16.05" customHeight="1" x14ac:dyDescent="0.3">
      <c r="A350" s="4" t="s">
        <v>2171</v>
      </c>
      <c r="B350" s="134">
        <v>9</v>
      </c>
      <c r="C350" s="2"/>
      <c r="D350" s="4" t="s">
        <v>1985</v>
      </c>
      <c r="E350" s="134">
        <v>7.5</v>
      </c>
      <c r="F350" s="2"/>
      <c r="G350" s="4" t="s">
        <v>2137</v>
      </c>
      <c r="H350" s="134">
        <v>8.5</v>
      </c>
      <c r="I350" s="2"/>
      <c r="J350" s="4" t="s">
        <v>2153</v>
      </c>
      <c r="K350" s="134">
        <v>8</v>
      </c>
      <c r="L350" s="2"/>
      <c r="M350" s="4" t="s">
        <v>2118</v>
      </c>
      <c r="N350" s="134">
        <v>9</v>
      </c>
      <c r="O350" s="16"/>
      <c r="R350"/>
      <c r="S350"/>
      <c r="T350"/>
      <c r="U350"/>
      <c r="V350"/>
      <c r="W350"/>
      <c r="X350"/>
      <c r="Y350"/>
      <c r="Z350"/>
      <c r="AA350"/>
      <c r="AB350"/>
      <c r="AC350"/>
      <c r="AD350"/>
      <c r="AE350"/>
      <c r="AF350"/>
      <c r="AG350"/>
      <c r="AH350"/>
      <c r="AI350"/>
    </row>
    <row r="351" spans="1:35" ht="16.05" customHeight="1" thickBot="1" x14ac:dyDescent="0.35">
      <c r="A351" s="4" t="s">
        <v>2172</v>
      </c>
      <c r="B351" s="134">
        <v>8.5</v>
      </c>
      <c r="C351" s="2"/>
      <c r="D351" s="4" t="s">
        <v>1986</v>
      </c>
      <c r="E351" s="134">
        <v>9</v>
      </c>
      <c r="F351" s="2"/>
      <c r="G351" s="7" t="s">
        <v>2138</v>
      </c>
      <c r="H351" s="135">
        <v>7.5</v>
      </c>
      <c r="I351" s="2"/>
      <c r="J351" s="4" t="s">
        <v>2154</v>
      </c>
      <c r="K351" s="134">
        <v>10</v>
      </c>
      <c r="L351" s="2"/>
      <c r="M351" s="4" t="s">
        <v>2119</v>
      </c>
      <c r="N351" s="134">
        <v>10</v>
      </c>
      <c r="O351" s="16"/>
      <c r="R351"/>
      <c r="S351"/>
      <c r="T351"/>
      <c r="U351"/>
      <c r="V351"/>
      <c r="W351"/>
      <c r="X351"/>
      <c r="Y351"/>
      <c r="Z351"/>
      <c r="AA351"/>
      <c r="AB351"/>
      <c r="AC351"/>
      <c r="AD351"/>
      <c r="AE351"/>
      <c r="AF351"/>
      <c r="AG351"/>
      <c r="AH351"/>
      <c r="AI351"/>
    </row>
    <row r="352" spans="1:35" ht="16.05" customHeight="1" thickBot="1" x14ac:dyDescent="0.35">
      <c r="A352" s="4" t="s">
        <v>2173</v>
      </c>
      <c r="B352" s="134">
        <v>8</v>
      </c>
      <c r="C352" s="2"/>
      <c r="D352" s="4" t="s">
        <v>1987</v>
      </c>
      <c r="E352" s="134">
        <v>8</v>
      </c>
      <c r="F352" s="2"/>
      <c r="G352" s="2"/>
      <c r="H352" s="2"/>
      <c r="I352" s="2"/>
      <c r="J352" s="4" t="s">
        <v>2155</v>
      </c>
      <c r="K352" s="134">
        <v>8</v>
      </c>
      <c r="L352" s="2"/>
      <c r="M352" s="4" t="s">
        <v>2120</v>
      </c>
      <c r="N352" s="134">
        <v>8</v>
      </c>
      <c r="O352" s="16"/>
      <c r="R352"/>
      <c r="S352"/>
      <c r="T352"/>
      <c r="U352"/>
      <c r="V352"/>
      <c r="W352"/>
      <c r="X352"/>
      <c r="Y352"/>
      <c r="Z352"/>
      <c r="AA352"/>
      <c r="AB352"/>
      <c r="AC352"/>
      <c r="AD352"/>
      <c r="AE352"/>
      <c r="AF352"/>
      <c r="AG352"/>
      <c r="AH352"/>
      <c r="AI352"/>
    </row>
    <row r="353" spans="1:35" ht="16.05" customHeight="1" thickBot="1" x14ac:dyDescent="0.35">
      <c r="A353" s="4" t="s">
        <v>2174</v>
      </c>
      <c r="B353" s="134">
        <v>8</v>
      </c>
      <c r="C353" s="2"/>
      <c r="D353" s="4" t="s">
        <v>1988</v>
      </c>
      <c r="E353" s="134"/>
      <c r="F353" s="2"/>
      <c r="G353" s="168" t="s">
        <v>2183</v>
      </c>
      <c r="H353" s="12">
        <f>ROUND(SUM(H354:H363)/COUNT(H354:H363), 2)</f>
        <v>8.6999999999999993</v>
      </c>
      <c r="I353" s="2"/>
      <c r="J353" s="4" t="s">
        <v>2156</v>
      </c>
      <c r="K353" s="134">
        <v>7.5</v>
      </c>
      <c r="L353" s="2"/>
      <c r="M353" s="7" t="s">
        <v>2121</v>
      </c>
      <c r="N353" s="135">
        <v>9</v>
      </c>
      <c r="O353" s="16"/>
      <c r="R353"/>
      <c r="S353"/>
      <c r="T353"/>
      <c r="U353"/>
      <c r="V353"/>
      <c r="W353"/>
      <c r="X353"/>
      <c r="Y353"/>
      <c r="Z353"/>
      <c r="AA353"/>
      <c r="AB353"/>
      <c r="AC353"/>
      <c r="AD353"/>
      <c r="AE353"/>
      <c r="AF353"/>
      <c r="AG353"/>
      <c r="AH353"/>
      <c r="AI353"/>
    </row>
    <row r="354" spans="1:35" ht="16.05" customHeight="1" thickBot="1" x14ac:dyDescent="0.35">
      <c r="A354" s="4" t="s">
        <v>2175</v>
      </c>
      <c r="B354" s="134">
        <v>7.5</v>
      </c>
      <c r="C354" s="2"/>
      <c r="D354" s="4" t="s">
        <v>1989</v>
      </c>
      <c r="E354" s="134">
        <v>8</v>
      </c>
      <c r="F354" s="2"/>
      <c r="G354" s="11" t="s">
        <v>2184</v>
      </c>
      <c r="H354" s="133">
        <v>9</v>
      </c>
      <c r="I354" s="2"/>
      <c r="J354" s="7" t="s">
        <v>2157</v>
      </c>
      <c r="K354" s="135">
        <v>10</v>
      </c>
      <c r="L354" s="2"/>
      <c r="M354" s="2"/>
      <c r="N354" s="2"/>
      <c r="O354" s="16"/>
      <c r="R354"/>
      <c r="S354"/>
      <c r="T354"/>
      <c r="U354"/>
      <c r="V354"/>
      <c r="W354"/>
      <c r="X354"/>
      <c r="Y354"/>
      <c r="Z354"/>
      <c r="AA354"/>
      <c r="AB354"/>
      <c r="AC354"/>
      <c r="AD354"/>
      <c r="AE354"/>
      <c r="AF354"/>
      <c r="AG354"/>
      <c r="AH354"/>
      <c r="AI354"/>
    </row>
    <row r="355" spans="1:35" ht="16.05" customHeight="1" thickBot="1" x14ac:dyDescent="0.35">
      <c r="A355" s="4" t="s">
        <v>2176</v>
      </c>
      <c r="B355" s="134">
        <v>8.5</v>
      </c>
      <c r="C355" s="2"/>
      <c r="D355" s="4" t="s">
        <v>1990</v>
      </c>
      <c r="E355" s="134">
        <v>8.5</v>
      </c>
      <c r="F355" s="2"/>
      <c r="G355" s="4" t="s">
        <v>2185</v>
      </c>
      <c r="H355" s="134">
        <v>10</v>
      </c>
      <c r="I355" s="2"/>
      <c r="J355" s="2"/>
      <c r="K355" s="2"/>
      <c r="L355" s="2"/>
      <c r="M355" s="169" t="s">
        <v>2207</v>
      </c>
      <c r="N355" s="12">
        <f>ROUND(SUM(N356:N365)/COUNT(N356:N365), 2)</f>
        <v>8</v>
      </c>
      <c r="O355" s="16"/>
      <c r="R355"/>
      <c r="S355"/>
      <c r="T355"/>
      <c r="U355"/>
      <c r="V355"/>
      <c r="W355"/>
      <c r="X355"/>
      <c r="Y355"/>
      <c r="Z355"/>
      <c r="AA355"/>
      <c r="AB355"/>
      <c r="AC355"/>
      <c r="AD355"/>
      <c r="AE355"/>
      <c r="AF355"/>
      <c r="AG355"/>
      <c r="AH355"/>
      <c r="AI355"/>
    </row>
    <row r="356" spans="1:35" ht="16.05" customHeight="1" thickBot="1" x14ac:dyDescent="0.35">
      <c r="A356" s="4" t="s">
        <v>2177</v>
      </c>
      <c r="B356" s="134">
        <v>8</v>
      </c>
      <c r="C356" s="2"/>
      <c r="D356" s="4" t="s">
        <v>1991</v>
      </c>
      <c r="E356" s="134">
        <v>8</v>
      </c>
      <c r="F356" s="2"/>
      <c r="G356" s="4" t="s">
        <v>2186</v>
      </c>
      <c r="H356" s="134">
        <v>8</v>
      </c>
      <c r="I356" s="2"/>
      <c r="J356" s="170" t="s">
        <v>2210</v>
      </c>
      <c r="K356" s="12">
        <f>ROUND(SUM(K357:K363)/COUNT(K357:K363), 2)</f>
        <v>8.5</v>
      </c>
      <c r="L356" s="2"/>
      <c r="M356" s="11" t="s">
        <v>2197</v>
      </c>
      <c r="N356" s="133">
        <v>9</v>
      </c>
      <c r="O356" s="16"/>
      <c r="R356"/>
      <c r="S356"/>
      <c r="T356"/>
      <c r="U356"/>
      <c r="V356"/>
      <c r="W356"/>
      <c r="X356"/>
      <c r="Y356"/>
      <c r="Z356"/>
      <c r="AA356"/>
      <c r="AB356"/>
      <c r="AC356"/>
      <c r="AD356"/>
      <c r="AE356"/>
      <c r="AF356"/>
      <c r="AG356"/>
      <c r="AH356"/>
      <c r="AI356"/>
    </row>
    <row r="357" spans="1:35" ht="16.05" customHeight="1" x14ac:dyDescent="0.3">
      <c r="A357" s="4" t="s">
        <v>2178</v>
      </c>
      <c r="B357" s="134">
        <v>9</v>
      </c>
      <c r="C357" s="2"/>
      <c r="D357" s="4" t="s">
        <v>1992</v>
      </c>
      <c r="E357" s="134">
        <v>8.5</v>
      </c>
      <c r="F357" s="2"/>
      <c r="G357" s="4" t="s">
        <v>2187</v>
      </c>
      <c r="H357" s="134">
        <v>9</v>
      </c>
      <c r="I357" s="2"/>
      <c r="J357" s="11" t="s">
        <v>2211</v>
      </c>
      <c r="K357" s="133">
        <v>8</v>
      </c>
      <c r="L357" s="2"/>
      <c r="M357" s="4" t="s">
        <v>2198</v>
      </c>
      <c r="N357" s="134">
        <v>8.5</v>
      </c>
      <c r="O357" s="16"/>
      <c r="R357"/>
      <c r="S357"/>
      <c r="T357"/>
      <c r="U357"/>
      <c r="V357"/>
      <c r="W357"/>
      <c r="X357"/>
      <c r="Y357"/>
      <c r="Z357"/>
      <c r="AA357"/>
      <c r="AB357"/>
      <c r="AC357"/>
      <c r="AD357"/>
      <c r="AE357"/>
      <c r="AF357"/>
      <c r="AG357"/>
      <c r="AH357"/>
      <c r="AI357"/>
    </row>
    <row r="358" spans="1:35" ht="16.05" customHeight="1" thickBot="1" x14ac:dyDescent="0.35">
      <c r="A358" s="7" t="s">
        <v>2179</v>
      </c>
      <c r="B358" s="135">
        <v>8.5</v>
      </c>
      <c r="C358" s="2"/>
      <c r="D358" s="7" t="s">
        <v>1343</v>
      </c>
      <c r="E358" s="135">
        <v>9</v>
      </c>
      <c r="F358" s="2"/>
      <c r="G358" s="4" t="s">
        <v>2188</v>
      </c>
      <c r="H358" s="134">
        <v>8</v>
      </c>
      <c r="I358" s="2"/>
      <c r="J358" s="4" t="s">
        <v>2212</v>
      </c>
      <c r="K358" s="134">
        <v>9</v>
      </c>
      <c r="L358" s="2"/>
      <c r="M358" s="4" t="s">
        <v>2199</v>
      </c>
      <c r="N358" s="134">
        <v>8</v>
      </c>
      <c r="O358" s="16"/>
      <c r="R358"/>
      <c r="S358"/>
      <c r="T358"/>
      <c r="U358"/>
      <c r="V358"/>
      <c r="W358"/>
      <c r="X358"/>
      <c r="Y358"/>
      <c r="Z358"/>
      <c r="AA358"/>
      <c r="AB358"/>
      <c r="AC358"/>
      <c r="AD358"/>
      <c r="AE358"/>
      <c r="AF358"/>
      <c r="AG358"/>
      <c r="AH358"/>
      <c r="AI358"/>
    </row>
    <row r="359" spans="1:35" ht="16.05" customHeight="1" thickBot="1" x14ac:dyDescent="0.35">
      <c r="A359" s="2"/>
      <c r="B359" s="2"/>
      <c r="C359" s="2"/>
      <c r="D359" s="2"/>
      <c r="E359" s="2"/>
      <c r="F359" s="2"/>
      <c r="G359" s="4" t="s">
        <v>2189</v>
      </c>
      <c r="H359" s="134">
        <v>8.5</v>
      </c>
      <c r="I359" s="2"/>
      <c r="J359" s="4" t="s">
        <v>2213</v>
      </c>
      <c r="K359" s="134">
        <v>8.5</v>
      </c>
      <c r="L359" s="2"/>
      <c r="M359" s="4" t="s">
        <v>2200</v>
      </c>
      <c r="N359" s="134">
        <v>7.5</v>
      </c>
      <c r="O359" s="16"/>
      <c r="R359"/>
      <c r="S359"/>
      <c r="T359"/>
      <c r="U359"/>
      <c r="V359"/>
      <c r="W359"/>
      <c r="X359"/>
      <c r="Y359"/>
      <c r="Z359"/>
      <c r="AA359"/>
      <c r="AB359"/>
      <c r="AC359"/>
      <c r="AD359"/>
      <c r="AE359"/>
      <c r="AF359"/>
      <c r="AG359"/>
      <c r="AH359"/>
      <c r="AI359"/>
    </row>
    <row r="360" spans="1:35" ht="16.05" customHeight="1" thickBot="1" x14ac:dyDescent="0.35">
      <c r="A360" s="171" t="s">
        <v>2219</v>
      </c>
      <c r="B360" s="12">
        <f>ROUND(SUM(B361:B377)/COUNT(B361:B377), 2)</f>
        <v>8.81</v>
      </c>
      <c r="C360" s="2"/>
      <c r="D360" s="173" t="s">
        <v>2239</v>
      </c>
      <c r="E360" s="12">
        <f>ROUND(SUM(E361:E370)/COUNT(E361:E370), 2)</f>
        <v>8.67</v>
      </c>
      <c r="F360" s="2"/>
      <c r="G360" s="4" t="s">
        <v>2190</v>
      </c>
      <c r="H360" s="134">
        <v>8</v>
      </c>
      <c r="I360" s="2"/>
      <c r="J360" s="4" t="s">
        <v>2214</v>
      </c>
      <c r="K360" s="134">
        <v>10</v>
      </c>
      <c r="L360" s="2"/>
      <c r="M360" s="4" t="s">
        <v>2201</v>
      </c>
      <c r="N360" s="134">
        <v>7.5</v>
      </c>
      <c r="O360" s="16"/>
      <c r="R360"/>
      <c r="S360"/>
      <c r="T360"/>
      <c r="U360"/>
      <c r="V360"/>
      <c r="W360"/>
      <c r="X360"/>
      <c r="Y360"/>
      <c r="Z360"/>
      <c r="AA360"/>
      <c r="AB360"/>
      <c r="AC360"/>
      <c r="AD360"/>
      <c r="AE360"/>
      <c r="AF360"/>
      <c r="AG360"/>
      <c r="AH360"/>
      <c r="AI360"/>
    </row>
    <row r="361" spans="1:35" ht="16.05" customHeight="1" x14ac:dyDescent="0.3">
      <c r="A361" s="11" t="s">
        <v>2220</v>
      </c>
      <c r="B361" s="133">
        <v>10</v>
      </c>
      <c r="C361" s="2"/>
      <c r="D361" s="11" t="s">
        <v>2240</v>
      </c>
      <c r="E361" s="133">
        <v>8.5</v>
      </c>
      <c r="F361" s="2"/>
      <c r="G361" s="4" t="s">
        <v>2191</v>
      </c>
      <c r="H361" s="134">
        <v>8</v>
      </c>
      <c r="I361" s="2"/>
      <c r="J361" s="4" t="s">
        <v>2215</v>
      </c>
      <c r="K361" s="134">
        <v>8</v>
      </c>
      <c r="L361" s="2"/>
      <c r="M361" s="4" t="s">
        <v>2202</v>
      </c>
      <c r="N361" s="134">
        <v>8</v>
      </c>
      <c r="O361" s="16"/>
      <c r="R361"/>
      <c r="S361"/>
      <c r="T361"/>
      <c r="U361"/>
      <c r="V361"/>
      <c r="W361"/>
      <c r="X361"/>
      <c r="Y361"/>
      <c r="Z361"/>
      <c r="AA361"/>
      <c r="AB361"/>
      <c r="AC361"/>
      <c r="AD361"/>
      <c r="AE361"/>
      <c r="AF361"/>
      <c r="AG361"/>
      <c r="AH361"/>
      <c r="AI361"/>
    </row>
    <row r="362" spans="1:35" ht="16.05" customHeight="1" x14ac:dyDescent="0.3">
      <c r="A362" s="4" t="s">
        <v>2221</v>
      </c>
      <c r="B362" s="134">
        <v>9</v>
      </c>
      <c r="C362" s="2"/>
      <c r="D362" s="4" t="s">
        <v>2241</v>
      </c>
      <c r="E362" s="134">
        <v>8</v>
      </c>
      <c r="F362" s="2"/>
      <c r="G362" s="4" t="s">
        <v>2192</v>
      </c>
      <c r="H362" s="134">
        <v>10</v>
      </c>
      <c r="I362" s="2"/>
      <c r="J362" s="4" t="s">
        <v>2216</v>
      </c>
      <c r="K362" s="134">
        <v>8.5</v>
      </c>
      <c r="L362" s="2"/>
      <c r="M362" s="4" t="s">
        <v>2203</v>
      </c>
      <c r="N362" s="134">
        <v>8</v>
      </c>
      <c r="O362" s="16"/>
      <c r="R362"/>
      <c r="S362"/>
      <c r="T362"/>
      <c r="U362"/>
      <c r="V362"/>
      <c r="W362"/>
      <c r="X362"/>
      <c r="Y362"/>
      <c r="Z362"/>
      <c r="AA362"/>
      <c r="AB362"/>
      <c r="AC362"/>
      <c r="AD362"/>
      <c r="AE362"/>
      <c r="AF362"/>
      <c r="AG362"/>
      <c r="AH362"/>
      <c r="AI362"/>
    </row>
    <row r="363" spans="1:35" ht="16.05" customHeight="1" thickBot="1" x14ac:dyDescent="0.35">
      <c r="A363" s="4" t="s">
        <v>2222</v>
      </c>
      <c r="B363" s="134">
        <v>8.5</v>
      </c>
      <c r="C363" s="2"/>
      <c r="D363" s="4" t="s">
        <v>2242</v>
      </c>
      <c r="E363" s="134">
        <v>10</v>
      </c>
      <c r="F363" s="2"/>
      <c r="G363" s="7" t="s">
        <v>2193</v>
      </c>
      <c r="H363" s="135">
        <v>8.5</v>
      </c>
      <c r="I363" s="2"/>
      <c r="J363" s="7" t="s">
        <v>2217</v>
      </c>
      <c r="K363" s="135">
        <v>7.5</v>
      </c>
      <c r="L363" s="2"/>
      <c r="M363" s="4" t="s">
        <v>2204</v>
      </c>
      <c r="N363" s="134">
        <v>8</v>
      </c>
      <c r="O363" s="16"/>
      <c r="R363"/>
      <c r="S363"/>
      <c r="T363"/>
      <c r="U363"/>
      <c r="V363"/>
      <c r="W363"/>
      <c r="X363"/>
      <c r="Y363"/>
      <c r="Z363"/>
      <c r="AA363"/>
      <c r="AB363"/>
      <c r="AC363"/>
      <c r="AD363"/>
      <c r="AE363"/>
      <c r="AF363"/>
      <c r="AG363"/>
      <c r="AH363"/>
      <c r="AI363"/>
    </row>
    <row r="364" spans="1:35" ht="16.05" customHeight="1" thickBot="1" x14ac:dyDescent="0.35">
      <c r="A364" s="4" t="s">
        <v>2223</v>
      </c>
      <c r="B364" s="134">
        <v>9.5</v>
      </c>
      <c r="C364" s="2"/>
      <c r="D364" s="4" t="s">
        <v>2243</v>
      </c>
      <c r="E364" s="134">
        <v>8.5</v>
      </c>
      <c r="F364" s="2"/>
      <c r="G364" s="2"/>
      <c r="H364" s="2"/>
      <c r="I364" s="2"/>
      <c r="J364" s="2"/>
      <c r="K364" s="2"/>
      <c r="L364" s="2"/>
      <c r="M364" s="4" t="s">
        <v>2205</v>
      </c>
      <c r="N364" s="134">
        <v>7.5</v>
      </c>
      <c r="O364" s="16"/>
      <c r="R364"/>
      <c r="S364"/>
      <c r="T364"/>
      <c r="U364"/>
      <c r="V364"/>
      <c r="W364"/>
      <c r="X364"/>
      <c r="Y364"/>
      <c r="Z364"/>
      <c r="AA364"/>
      <c r="AB364"/>
      <c r="AC364"/>
      <c r="AD364"/>
      <c r="AE364"/>
      <c r="AF364"/>
      <c r="AG364"/>
      <c r="AH364"/>
      <c r="AI364"/>
    </row>
    <row r="365" spans="1:35" ht="15.45" customHeight="1" thickBot="1" x14ac:dyDescent="0.35">
      <c r="A365" s="4" t="s">
        <v>2224</v>
      </c>
      <c r="B365" s="134">
        <v>8.5</v>
      </c>
      <c r="C365" s="2"/>
      <c r="D365" s="4" t="s">
        <v>2244</v>
      </c>
      <c r="E365" s="134">
        <v>8</v>
      </c>
      <c r="F365" s="2"/>
      <c r="G365" s="174" t="s">
        <v>2253</v>
      </c>
      <c r="H365" s="12">
        <f>ROUND(SUM(H366:H372)/COUNT(H366:H372), 2)</f>
        <v>9.07</v>
      </c>
      <c r="I365" s="2"/>
      <c r="J365" s="175" t="s">
        <v>2264</v>
      </c>
      <c r="K365" s="12">
        <f>ROUND(SUM(K366:K378)/COUNT(K366:K378), 2)</f>
        <v>8.92</v>
      </c>
      <c r="L365" s="2"/>
      <c r="M365" s="7" t="s">
        <v>2206</v>
      </c>
      <c r="N365" s="135">
        <v>8</v>
      </c>
      <c r="O365" s="16"/>
      <c r="R365"/>
      <c r="S365"/>
      <c r="T365"/>
      <c r="U365"/>
      <c r="V365"/>
      <c r="W365"/>
      <c r="X365"/>
      <c r="Y365"/>
      <c r="Z365"/>
      <c r="AA365"/>
      <c r="AB365"/>
      <c r="AC365"/>
      <c r="AD365"/>
      <c r="AE365"/>
      <c r="AF365"/>
      <c r="AG365"/>
      <c r="AH365"/>
      <c r="AI365"/>
    </row>
    <row r="366" spans="1:35" ht="16.05" customHeight="1" thickBot="1" x14ac:dyDescent="0.35">
      <c r="A366" s="4" t="s">
        <v>2225</v>
      </c>
      <c r="B366" s="134">
        <v>9.5</v>
      </c>
      <c r="C366" s="2"/>
      <c r="D366" s="4" t="s">
        <v>2245</v>
      </c>
      <c r="E366" s="134">
        <v>7.5</v>
      </c>
      <c r="F366" s="2"/>
      <c r="G366" s="11" t="s">
        <v>2254</v>
      </c>
      <c r="H366" s="133">
        <v>10</v>
      </c>
      <c r="I366" s="2"/>
      <c r="J366" s="11" t="s">
        <v>2265</v>
      </c>
      <c r="K366" s="133"/>
      <c r="L366" s="2"/>
      <c r="M366" s="2"/>
      <c r="N366" s="2"/>
      <c r="O366" s="16"/>
      <c r="R366"/>
      <c r="S366"/>
      <c r="T366"/>
      <c r="U366"/>
      <c r="V366"/>
      <c r="W366"/>
      <c r="X366"/>
      <c r="Y366"/>
      <c r="Z366"/>
      <c r="AA366"/>
      <c r="AB366"/>
      <c r="AC366"/>
      <c r="AD366"/>
      <c r="AE366"/>
      <c r="AF366"/>
      <c r="AG366"/>
      <c r="AH366"/>
      <c r="AI366"/>
    </row>
    <row r="367" spans="1:35" ht="16.05" customHeight="1" thickBot="1" x14ac:dyDescent="0.35">
      <c r="A367" s="4" t="s">
        <v>2226</v>
      </c>
      <c r="B367" s="134">
        <v>10.5</v>
      </c>
      <c r="C367" s="2"/>
      <c r="D367" s="4" t="s">
        <v>2246</v>
      </c>
      <c r="E367" s="134">
        <v>9</v>
      </c>
      <c r="F367" s="2"/>
      <c r="G367" s="4" t="s">
        <v>2255</v>
      </c>
      <c r="H367" s="134">
        <v>8.5</v>
      </c>
      <c r="I367" s="2"/>
      <c r="J367" s="4" t="s">
        <v>2266</v>
      </c>
      <c r="K367" s="134">
        <v>8.5</v>
      </c>
      <c r="L367" s="2"/>
      <c r="M367" s="176" t="s">
        <v>2278</v>
      </c>
      <c r="N367" s="12">
        <f>ROUND(SUM(N368:N372)/COUNT(N368:N372), 2)</f>
        <v>8.1999999999999993</v>
      </c>
      <c r="O367" s="16"/>
      <c r="R367"/>
      <c r="S367"/>
      <c r="T367"/>
      <c r="U367"/>
      <c r="V367"/>
      <c r="W367"/>
      <c r="X367"/>
      <c r="Y367"/>
      <c r="Z367"/>
      <c r="AA367"/>
      <c r="AB367"/>
      <c r="AC367"/>
      <c r="AD367"/>
      <c r="AE367"/>
      <c r="AF367"/>
      <c r="AG367"/>
      <c r="AH367"/>
      <c r="AI367"/>
    </row>
    <row r="368" spans="1:35" ht="16.05" customHeight="1" x14ac:dyDescent="0.3">
      <c r="A368" s="4" t="s">
        <v>2227</v>
      </c>
      <c r="B368" s="134">
        <v>9</v>
      </c>
      <c r="C368" s="2"/>
      <c r="D368" s="4" t="s">
        <v>2247</v>
      </c>
      <c r="E368" s="134">
        <v>8.5</v>
      </c>
      <c r="F368" s="2"/>
      <c r="G368" s="4" t="s">
        <v>2256</v>
      </c>
      <c r="H368" s="134">
        <v>9.5</v>
      </c>
      <c r="I368" s="2"/>
      <c r="J368" s="4" t="s">
        <v>2267</v>
      </c>
      <c r="K368" s="134">
        <v>10.5</v>
      </c>
      <c r="L368" s="2"/>
      <c r="M368" s="11" t="s">
        <v>2279</v>
      </c>
      <c r="N368" s="133">
        <v>8.5</v>
      </c>
      <c r="O368" s="16"/>
      <c r="R368"/>
      <c r="S368"/>
      <c r="T368"/>
      <c r="U368"/>
      <c r="V368"/>
      <c r="W368"/>
      <c r="X368"/>
      <c r="Y368"/>
      <c r="Z368"/>
      <c r="AA368"/>
      <c r="AB368"/>
      <c r="AC368"/>
      <c r="AD368"/>
      <c r="AE368"/>
      <c r="AF368"/>
      <c r="AG368"/>
      <c r="AH368"/>
      <c r="AI368"/>
    </row>
    <row r="369" spans="1:35" ht="16.05" customHeight="1" x14ac:dyDescent="0.3">
      <c r="A369" s="4" t="s">
        <v>2228</v>
      </c>
      <c r="B369" s="134">
        <v>8</v>
      </c>
      <c r="C369" s="2"/>
      <c r="D369" s="4" t="s">
        <v>2248</v>
      </c>
      <c r="E369" s="134"/>
      <c r="F369" s="2"/>
      <c r="G369" s="4" t="s">
        <v>2257</v>
      </c>
      <c r="H369" s="134">
        <v>8</v>
      </c>
      <c r="I369" s="2"/>
      <c r="J369" s="4" t="s">
        <v>2268</v>
      </c>
      <c r="K369" s="134">
        <v>9.5</v>
      </c>
      <c r="L369" s="2"/>
      <c r="M369" s="4" t="s">
        <v>2280</v>
      </c>
      <c r="N369" s="134">
        <v>8</v>
      </c>
      <c r="O369" s="16"/>
      <c r="R369"/>
      <c r="S369"/>
      <c r="T369"/>
      <c r="U369"/>
      <c r="V369"/>
      <c r="W369"/>
      <c r="X369"/>
      <c r="Y369"/>
      <c r="Z369"/>
      <c r="AA369"/>
      <c r="AB369"/>
      <c r="AC369"/>
      <c r="AD369"/>
      <c r="AE369"/>
      <c r="AF369"/>
      <c r="AG369"/>
      <c r="AH369"/>
      <c r="AI369"/>
    </row>
    <row r="370" spans="1:35" ht="16.05" customHeight="1" thickBot="1" x14ac:dyDescent="0.35">
      <c r="A370" s="4" t="s">
        <v>2229</v>
      </c>
      <c r="B370" s="134">
        <v>8</v>
      </c>
      <c r="C370" s="2"/>
      <c r="D370" s="7" t="s">
        <v>2249</v>
      </c>
      <c r="E370" s="135">
        <v>10</v>
      </c>
      <c r="F370" s="2"/>
      <c r="G370" s="4" t="s">
        <v>2258</v>
      </c>
      <c r="H370" s="134">
        <v>8.5</v>
      </c>
      <c r="I370" s="2"/>
      <c r="J370" s="4" t="s">
        <v>2269</v>
      </c>
      <c r="K370" s="134">
        <v>8.5</v>
      </c>
      <c r="L370" s="2"/>
      <c r="M370" s="4" t="s">
        <v>2281</v>
      </c>
      <c r="N370" s="134">
        <v>8</v>
      </c>
      <c r="O370" s="16"/>
      <c r="R370"/>
      <c r="S370"/>
      <c r="T370"/>
      <c r="U370"/>
      <c r="V370"/>
      <c r="W370"/>
      <c r="X370"/>
      <c r="Y370"/>
      <c r="Z370"/>
      <c r="AA370"/>
      <c r="AB370"/>
      <c r="AC370"/>
      <c r="AD370"/>
      <c r="AE370"/>
      <c r="AF370"/>
      <c r="AG370"/>
      <c r="AH370"/>
      <c r="AI370"/>
    </row>
    <row r="371" spans="1:35" ht="16.05" customHeight="1" thickBot="1" x14ac:dyDescent="0.35">
      <c r="A371" s="4" t="s">
        <v>2230</v>
      </c>
      <c r="B371" s="134">
        <v>8.5</v>
      </c>
      <c r="C371" s="2"/>
      <c r="D371" s="2"/>
      <c r="E371" s="2"/>
      <c r="F371" s="2"/>
      <c r="G371" s="4" t="s">
        <v>2259</v>
      </c>
      <c r="H371" s="134">
        <v>9</v>
      </c>
      <c r="I371" s="2"/>
      <c r="J371" s="4" t="s">
        <v>2270</v>
      </c>
      <c r="K371" s="134">
        <v>7.5</v>
      </c>
      <c r="L371" s="2"/>
      <c r="M371" s="4" t="s">
        <v>2282</v>
      </c>
      <c r="N371" s="134">
        <v>8</v>
      </c>
      <c r="O371" s="16"/>
      <c r="R371"/>
      <c r="S371"/>
      <c r="T371"/>
      <c r="U371"/>
      <c r="V371"/>
      <c r="W371"/>
      <c r="X371"/>
      <c r="Y371"/>
      <c r="Z371"/>
      <c r="AA371"/>
      <c r="AB371"/>
      <c r="AC371"/>
      <c r="AD371"/>
      <c r="AE371"/>
      <c r="AF371"/>
      <c r="AG371"/>
      <c r="AH371"/>
      <c r="AI371"/>
    </row>
    <row r="372" spans="1:35" ht="16.05" customHeight="1" thickBot="1" x14ac:dyDescent="0.35">
      <c r="A372" s="4" t="s">
        <v>2231</v>
      </c>
      <c r="B372" s="134">
        <v>8</v>
      </c>
      <c r="C372" s="2"/>
      <c r="D372" s="121" t="s">
        <v>2284</v>
      </c>
      <c r="E372" s="12">
        <f>ROUND(SUM(E373:E381)/COUNT(E373:E381), 2)</f>
        <v>8.61</v>
      </c>
      <c r="F372" s="2"/>
      <c r="G372" s="7" t="s">
        <v>2260</v>
      </c>
      <c r="H372" s="135">
        <v>10</v>
      </c>
      <c r="I372" s="2"/>
      <c r="J372" s="4" t="s">
        <v>2271</v>
      </c>
      <c r="K372" s="134">
        <v>10</v>
      </c>
      <c r="L372" s="2"/>
      <c r="M372" s="7" t="s">
        <v>2283</v>
      </c>
      <c r="N372" s="135">
        <v>8.5</v>
      </c>
      <c r="O372" s="16"/>
      <c r="R372"/>
      <c r="S372"/>
      <c r="T372"/>
      <c r="U372"/>
      <c r="V372"/>
      <c r="W372"/>
      <c r="X372"/>
      <c r="Y372"/>
      <c r="Z372"/>
      <c r="AA372"/>
      <c r="AB372"/>
      <c r="AC372"/>
      <c r="AD372"/>
      <c r="AE372"/>
      <c r="AF372"/>
      <c r="AG372"/>
      <c r="AH372"/>
      <c r="AI372"/>
    </row>
    <row r="373" spans="1:35" ht="16.05" customHeight="1" thickBot="1" x14ac:dyDescent="0.35">
      <c r="A373" s="172" t="s">
        <v>2232</v>
      </c>
      <c r="B373" s="134">
        <v>8</v>
      </c>
      <c r="C373" s="2"/>
      <c r="D373" s="11" t="s">
        <v>2285</v>
      </c>
      <c r="E373" s="133">
        <v>9</v>
      </c>
      <c r="F373" s="2"/>
      <c r="G373" s="2"/>
      <c r="H373" s="2"/>
      <c r="I373" s="2"/>
      <c r="J373" s="4" t="s">
        <v>2272</v>
      </c>
      <c r="K373" s="134">
        <v>9.5</v>
      </c>
      <c r="L373" s="2"/>
      <c r="M373" s="2"/>
      <c r="N373" s="2"/>
      <c r="O373" s="16"/>
      <c r="R373"/>
      <c r="S373"/>
      <c r="T373"/>
      <c r="U373"/>
      <c r="V373"/>
      <c r="W373"/>
      <c r="X373"/>
      <c r="Y373"/>
      <c r="Z373"/>
      <c r="AA373"/>
      <c r="AB373"/>
      <c r="AC373"/>
      <c r="AD373"/>
      <c r="AE373"/>
      <c r="AF373"/>
      <c r="AG373"/>
      <c r="AH373"/>
      <c r="AI373"/>
    </row>
    <row r="374" spans="1:35" ht="16.05" customHeight="1" thickBot="1" x14ac:dyDescent="0.35">
      <c r="A374" s="4" t="s">
        <v>2233</v>
      </c>
      <c r="B374" s="134">
        <v>8.5</v>
      </c>
      <c r="C374" s="2"/>
      <c r="D374" s="4" t="s">
        <v>2286</v>
      </c>
      <c r="E374" s="134">
        <v>7</v>
      </c>
      <c r="F374" s="2"/>
      <c r="G374" s="177" t="s">
        <v>2298</v>
      </c>
      <c r="H374" s="12">
        <f>ROUND(SUM(H375:H385)/COUNT(H375:H385), 2)</f>
        <v>8.86</v>
      </c>
      <c r="I374" s="2"/>
      <c r="J374" s="4" t="s">
        <v>2273</v>
      </c>
      <c r="K374" s="134">
        <v>9</v>
      </c>
      <c r="L374" s="2"/>
      <c r="M374" s="178" t="s">
        <v>2323</v>
      </c>
      <c r="N374" s="12">
        <f>ROUND(SUM(N375:N387)/COUNT(N375:N387), 2)</f>
        <v>8.56</v>
      </c>
      <c r="O374" s="16"/>
      <c r="R374"/>
      <c r="S374"/>
      <c r="T374"/>
      <c r="U374"/>
      <c r="V374"/>
      <c r="W374"/>
      <c r="X374"/>
      <c r="Y374"/>
      <c r="Z374"/>
      <c r="AA374"/>
      <c r="AB374"/>
      <c r="AC374"/>
      <c r="AD374"/>
      <c r="AE374"/>
      <c r="AF374"/>
      <c r="AG374"/>
      <c r="AH374"/>
      <c r="AI374"/>
    </row>
    <row r="375" spans="1:35" ht="16.05" customHeight="1" x14ac:dyDescent="0.3">
      <c r="A375" s="4" t="s">
        <v>2234</v>
      </c>
      <c r="B375" s="134">
        <v>9</v>
      </c>
      <c r="C375" s="2"/>
      <c r="D375" s="4" t="s">
        <v>2287</v>
      </c>
      <c r="E375" s="134">
        <v>10</v>
      </c>
      <c r="F375" s="2"/>
      <c r="G375" s="11" t="s">
        <v>2299</v>
      </c>
      <c r="H375" s="133">
        <v>8.5</v>
      </c>
      <c r="I375" s="2"/>
      <c r="J375" s="4" t="s">
        <v>2274</v>
      </c>
      <c r="K375" s="134">
        <v>9</v>
      </c>
      <c r="L375" s="2"/>
      <c r="M375" s="11" t="s">
        <v>2315</v>
      </c>
      <c r="N375" s="133">
        <v>9.5</v>
      </c>
      <c r="O375" s="16"/>
      <c r="R375"/>
      <c r="S375"/>
      <c r="T375"/>
      <c r="U375"/>
      <c r="V375"/>
      <c r="W375"/>
      <c r="X375"/>
      <c r="Y375"/>
      <c r="Z375"/>
      <c r="AA375"/>
      <c r="AB375"/>
      <c r="AC375"/>
      <c r="AD375"/>
      <c r="AE375"/>
      <c r="AF375"/>
      <c r="AG375"/>
      <c r="AH375"/>
      <c r="AI375"/>
    </row>
    <row r="376" spans="1:35" ht="16.05" customHeight="1" x14ac:dyDescent="0.3">
      <c r="A376" s="4" t="s">
        <v>1982</v>
      </c>
      <c r="B376" s="134">
        <v>8.5</v>
      </c>
      <c r="C376" s="2"/>
      <c r="D376" s="4" t="s">
        <v>611</v>
      </c>
      <c r="E376" s="134">
        <v>8</v>
      </c>
      <c r="F376" s="2"/>
      <c r="G376" s="4" t="s">
        <v>2300</v>
      </c>
      <c r="H376" s="134">
        <v>9.5</v>
      </c>
      <c r="I376" s="2"/>
      <c r="J376" s="4" t="s">
        <v>2275</v>
      </c>
      <c r="K376" s="134">
        <v>8</v>
      </c>
      <c r="L376" s="2"/>
      <c r="M376" s="199" t="s">
        <v>2316</v>
      </c>
      <c r="N376" s="134">
        <v>10</v>
      </c>
      <c r="O376" s="16"/>
      <c r="R376"/>
      <c r="S376"/>
      <c r="T376"/>
      <c r="U376"/>
      <c r="V376"/>
      <c r="W376"/>
      <c r="X376"/>
      <c r="Y376"/>
      <c r="Z376"/>
      <c r="AA376"/>
      <c r="AB376"/>
      <c r="AC376"/>
      <c r="AD376"/>
      <c r="AE376"/>
      <c r="AF376"/>
      <c r="AG376"/>
      <c r="AH376"/>
      <c r="AI376"/>
    </row>
    <row r="377" spans="1:35" ht="16.05" customHeight="1" thickBot="1" x14ac:dyDescent="0.35">
      <c r="A377" s="7" t="s">
        <v>2235</v>
      </c>
      <c r="B377" s="135"/>
      <c r="C377" s="2"/>
      <c r="D377" s="4" t="s">
        <v>2288</v>
      </c>
      <c r="E377" s="134">
        <v>7</v>
      </c>
      <c r="F377" s="2"/>
      <c r="G377" s="4" t="s">
        <v>2301</v>
      </c>
      <c r="H377" s="134">
        <v>8</v>
      </c>
      <c r="I377" s="2"/>
      <c r="J377" s="4" t="s">
        <v>2276</v>
      </c>
      <c r="K377" s="134">
        <v>7</v>
      </c>
      <c r="L377" s="2"/>
      <c r="M377" s="199" t="s">
        <v>2317</v>
      </c>
      <c r="N377" s="134">
        <v>8</v>
      </c>
      <c r="O377" s="16"/>
      <c r="R377"/>
      <c r="S377"/>
      <c r="T377"/>
      <c r="U377"/>
      <c r="V377"/>
      <c r="W377"/>
      <c r="X377"/>
      <c r="Y377"/>
      <c r="Z377"/>
      <c r="AA377"/>
      <c r="AB377"/>
      <c r="AC377"/>
      <c r="AD377"/>
      <c r="AE377"/>
      <c r="AF377"/>
      <c r="AG377"/>
      <c r="AH377"/>
      <c r="AI377"/>
    </row>
    <row r="378" spans="1:35" ht="16.05" customHeight="1" thickBot="1" x14ac:dyDescent="0.35">
      <c r="A378" s="2"/>
      <c r="B378" s="2"/>
      <c r="C378" s="2"/>
      <c r="D378" s="4" t="s">
        <v>2289</v>
      </c>
      <c r="E378" s="134">
        <v>10</v>
      </c>
      <c r="F378" s="2"/>
      <c r="G378" s="4" t="s">
        <v>2302</v>
      </c>
      <c r="H378" s="134">
        <v>8</v>
      </c>
      <c r="I378" s="2"/>
      <c r="J378" s="7" t="s">
        <v>525</v>
      </c>
      <c r="K378" s="135">
        <v>10</v>
      </c>
      <c r="L378" s="2"/>
      <c r="M378" s="199" t="s">
        <v>2318</v>
      </c>
      <c r="N378" s="134">
        <v>9.5</v>
      </c>
      <c r="O378" s="16"/>
      <c r="R378"/>
      <c r="S378"/>
      <c r="T378"/>
      <c r="U378"/>
      <c r="V378"/>
      <c r="W378"/>
      <c r="X378"/>
      <c r="Y378"/>
      <c r="Z378"/>
      <c r="AA378"/>
      <c r="AB378"/>
      <c r="AC378"/>
      <c r="AD378"/>
      <c r="AE378"/>
      <c r="AF378"/>
      <c r="AG378"/>
      <c r="AH378"/>
      <c r="AI378"/>
    </row>
    <row r="379" spans="1:35" ht="16.05" customHeight="1" thickBot="1" x14ac:dyDescent="0.35">
      <c r="A379" s="179" t="s">
        <v>2439</v>
      </c>
      <c r="B379" s="1">
        <f>ROUND(SUM(B380:B390)/COUNT(B380:B390), 2)</f>
        <v>9.16</v>
      </c>
      <c r="C379" s="2"/>
      <c r="D379" s="4" t="s">
        <v>2290</v>
      </c>
      <c r="E379" s="134">
        <v>10.5</v>
      </c>
      <c r="F379" s="2"/>
      <c r="G379" s="4" t="s">
        <v>2303</v>
      </c>
      <c r="H379" s="134">
        <v>8.5</v>
      </c>
      <c r="I379" s="2"/>
      <c r="J379" s="2"/>
      <c r="K379" s="2"/>
      <c r="L379" s="2"/>
      <c r="M379" s="4" t="s">
        <v>2319</v>
      </c>
      <c r="N379" s="134">
        <v>8</v>
      </c>
      <c r="O379" s="16"/>
      <c r="R379"/>
      <c r="S379"/>
      <c r="T379"/>
      <c r="U379"/>
      <c r="V379"/>
      <c r="W379"/>
      <c r="X379"/>
      <c r="Y379"/>
      <c r="Z379"/>
      <c r="AA379"/>
      <c r="AB379"/>
      <c r="AC379"/>
      <c r="AD379"/>
      <c r="AE379"/>
      <c r="AF379"/>
      <c r="AG379"/>
      <c r="AH379"/>
      <c r="AI379"/>
    </row>
    <row r="380" spans="1:35" ht="16.05" customHeight="1" thickBot="1" x14ac:dyDescent="0.35">
      <c r="A380" s="11" t="s">
        <v>2329</v>
      </c>
      <c r="B380" s="133">
        <v>9</v>
      </c>
      <c r="C380" s="2"/>
      <c r="D380" s="4" t="s">
        <v>2291</v>
      </c>
      <c r="E380" s="134">
        <v>8</v>
      </c>
      <c r="F380" s="2"/>
      <c r="G380" s="4" t="s">
        <v>2304</v>
      </c>
      <c r="H380" s="134">
        <v>10</v>
      </c>
      <c r="I380" s="2"/>
      <c r="J380" s="180" t="s">
        <v>2339</v>
      </c>
      <c r="K380" s="12">
        <f>ROUND(SUM(K381:K391)/COUNT(K381:K391), 2)</f>
        <v>8.64</v>
      </c>
      <c r="L380" s="2"/>
      <c r="M380" s="199" t="s">
        <v>2320</v>
      </c>
      <c r="N380" s="134">
        <v>8</v>
      </c>
      <c r="O380" s="16"/>
      <c r="R380"/>
      <c r="S380"/>
      <c r="T380"/>
      <c r="U380"/>
      <c r="V380"/>
      <c r="W380"/>
      <c r="X380"/>
      <c r="Y380"/>
      <c r="Z380"/>
      <c r="AA380"/>
      <c r="AB380"/>
      <c r="AC380"/>
      <c r="AD380"/>
      <c r="AE380"/>
      <c r="AF380"/>
      <c r="AG380"/>
      <c r="AH380"/>
      <c r="AI380"/>
    </row>
    <row r="381" spans="1:35" ht="16.05" customHeight="1" thickBot="1" x14ac:dyDescent="0.35">
      <c r="A381" s="4" t="s">
        <v>2330</v>
      </c>
      <c r="B381" s="134">
        <v>8</v>
      </c>
      <c r="C381" s="2"/>
      <c r="D381" s="7" t="s">
        <v>2292</v>
      </c>
      <c r="E381" s="135">
        <v>8</v>
      </c>
      <c r="F381" s="2"/>
      <c r="G381" s="4" t="s">
        <v>2305</v>
      </c>
      <c r="H381" s="134">
        <v>10</v>
      </c>
      <c r="I381" s="2"/>
      <c r="J381" s="11" t="s">
        <v>2340</v>
      </c>
      <c r="K381" s="133">
        <v>8</v>
      </c>
      <c r="L381" s="2"/>
      <c r="M381" s="199" t="s">
        <v>2321</v>
      </c>
      <c r="N381" s="134">
        <v>8</v>
      </c>
      <c r="O381" s="16"/>
      <c r="R381"/>
      <c r="S381"/>
      <c r="T381"/>
      <c r="U381"/>
      <c r="V381"/>
      <c r="W381"/>
      <c r="X381"/>
      <c r="Y381"/>
      <c r="Z381"/>
      <c r="AA381"/>
      <c r="AB381"/>
      <c r="AC381"/>
      <c r="AD381"/>
      <c r="AE381"/>
      <c r="AF381"/>
      <c r="AG381"/>
      <c r="AH381"/>
      <c r="AI381"/>
    </row>
    <row r="382" spans="1:35" ht="16.05" customHeight="1" thickBot="1" x14ac:dyDescent="0.35">
      <c r="A382" s="4" t="s">
        <v>2335</v>
      </c>
      <c r="B382" s="134">
        <v>10.5</v>
      </c>
      <c r="C382" s="2"/>
      <c r="D382" s="2"/>
      <c r="E382" s="2"/>
      <c r="F382" s="2"/>
      <c r="G382" s="4" t="s">
        <v>2306</v>
      </c>
      <c r="H382" s="134">
        <v>7.5</v>
      </c>
      <c r="I382" s="2"/>
      <c r="J382" s="4" t="s">
        <v>2341</v>
      </c>
      <c r="K382" s="134">
        <v>9</v>
      </c>
      <c r="L382" s="2"/>
      <c r="M382" s="7" t="s">
        <v>2322</v>
      </c>
      <c r="N382" s="135">
        <v>8.5</v>
      </c>
      <c r="O382" s="16"/>
      <c r="R382"/>
      <c r="S382"/>
      <c r="T382"/>
      <c r="U382"/>
      <c r="V382"/>
      <c r="W382"/>
      <c r="X382"/>
      <c r="Y382"/>
      <c r="Z382"/>
      <c r="AA382"/>
      <c r="AB382"/>
      <c r="AC382"/>
      <c r="AD382"/>
      <c r="AE382"/>
      <c r="AF382"/>
      <c r="AG382"/>
      <c r="AH382"/>
      <c r="AI382"/>
    </row>
    <row r="383" spans="1:35" ht="16.05" customHeight="1" thickBot="1" x14ac:dyDescent="0.35">
      <c r="A383" s="4" t="s">
        <v>2331</v>
      </c>
      <c r="B383" s="134"/>
      <c r="C383" s="2"/>
      <c r="D383" s="181" t="s">
        <v>2349</v>
      </c>
      <c r="E383" s="12">
        <f>ROUND(SUM(E384:E386)/COUNT(E384:E386), 2)</f>
        <v>9.67</v>
      </c>
      <c r="F383" s="2"/>
      <c r="G383" s="4" t="s">
        <v>2307</v>
      </c>
      <c r="H383" s="134">
        <v>9</v>
      </c>
      <c r="I383" s="2"/>
      <c r="J383" s="4" t="s">
        <v>2342</v>
      </c>
      <c r="K383" s="134">
        <v>8.5</v>
      </c>
      <c r="L383" s="2"/>
      <c r="M383" s="2"/>
      <c r="N383" s="2"/>
      <c r="O383" s="16"/>
      <c r="R383"/>
      <c r="S383"/>
      <c r="T383"/>
      <c r="U383"/>
      <c r="V383"/>
      <c r="W383"/>
      <c r="X383"/>
      <c r="Y383"/>
      <c r="Z383"/>
      <c r="AA383"/>
      <c r="AB383"/>
      <c r="AC383"/>
      <c r="AD383"/>
      <c r="AE383"/>
      <c r="AF383"/>
      <c r="AG383"/>
      <c r="AH383"/>
      <c r="AI383"/>
    </row>
    <row r="384" spans="1:35" ht="16.05" customHeight="1" thickBot="1" x14ac:dyDescent="0.35">
      <c r="A384" s="4" t="s">
        <v>2332</v>
      </c>
      <c r="B384" s="134">
        <v>10</v>
      </c>
      <c r="C384" s="2"/>
      <c r="D384" s="11" t="s">
        <v>2350</v>
      </c>
      <c r="E384" s="133">
        <v>10.5</v>
      </c>
      <c r="F384" s="2"/>
      <c r="G384" s="4" t="s">
        <v>2308</v>
      </c>
      <c r="H384" s="134">
        <v>8.5</v>
      </c>
      <c r="I384" s="2"/>
      <c r="J384" s="4" t="s">
        <v>2343</v>
      </c>
      <c r="K384" s="134">
        <v>8.5</v>
      </c>
      <c r="L384" s="2"/>
      <c r="M384" s="182" t="s">
        <v>2353</v>
      </c>
      <c r="N384" s="1">
        <f>ROUND(SUM(N385:N395)/COUNT(N385:N395), 2)</f>
        <v>8.11</v>
      </c>
      <c r="O384" s="16"/>
      <c r="R384"/>
      <c r="S384"/>
      <c r="T384"/>
      <c r="U384"/>
      <c r="V384"/>
      <c r="W384"/>
      <c r="X384"/>
      <c r="Y384"/>
      <c r="Z384"/>
      <c r="AA384"/>
      <c r="AB384"/>
      <c r="AC384"/>
      <c r="AD384"/>
      <c r="AE384"/>
      <c r="AF384"/>
      <c r="AG384"/>
      <c r="AH384"/>
      <c r="AI384"/>
    </row>
    <row r="385" spans="1:35" ht="16.05" customHeight="1" thickBot="1" x14ac:dyDescent="0.35">
      <c r="A385" s="4" t="s">
        <v>2333</v>
      </c>
      <c r="B385" s="134">
        <v>7.5</v>
      </c>
      <c r="C385" s="2"/>
      <c r="D385" s="4" t="s">
        <v>2351</v>
      </c>
      <c r="E385" s="134">
        <v>8.5</v>
      </c>
      <c r="F385" s="2"/>
      <c r="G385" s="7" t="s">
        <v>2309</v>
      </c>
      <c r="H385" s="135">
        <v>10</v>
      </c>
      <c r="I385" s="2"/>
      <c r="J385" s="4" t="s">
        <v>2344</v>
      </c>
      <c r="K385" s="134">
        <v>8.5</v>
      </c>
      <c r="L385" s="2"/>
      <c r="M385" s="4" t="s">
        <v>2354</v>
      </c>
      <c r="N385" s="134"/>
      <c r="O385" s="16"/>
      <c r="R385"/>
      <c r="S385"/>
      <c r="T385"/>
      <c r="U385"/>
      <c r="V385"/>
      <c r="W385"/>
      <c r="X385"/>
      <c r="Y385"/>
      <c r="Z385"/>
      <c r="AA385"/>
      <c r="AB385"/>
      <c r="AC385"/>
      <c r="AD385"/>
      <c r="AE385"/>
      <c r="AF385"/>
      <c r="AG385"/>
      <c r="AH385"/>
      <c r="AI385"/>
    </row>
    <row r="386" spans="1:35" ht="16.05" customHeight="1" thickBot="1" x14ac:dyDescent="0.35">
      <c r="A386" s="4" t="s">
        <v>2334</v>
      </c>
      <c r="B386" s="134">
        <v>10.5</v>
      </c>
      <c r="C386" s="2"/>
      <c r="D386" s="7" t="s">
        <v>2352</v>
      </c>
      <c r="E386" s="135">
        <v>10</v>
      </c>
      <c r="F386" s="2"/>
      <c r="G386" s="2"/>
      <c r="H386" s="2"/>
      <c r="I386" s="2"/>
      <c r="J386" s="4" t="s">
        <v>2345</v>
      </c>
      <c r="K386" s="134">
        <v>10</v>
      </c>
      <c r="L386" s="2"/>
      <c r="M386" s="4" t="s">
        <v>2355</v>
      </c>
      <c r="N386" s="134">
        <v>8</v>
      </c>
      <c r="O386" s="16"/>
      <c r="R386"/>
      <c r="S386"/>
      <c r="T386"/>
      <c r="U386"/>
      <c r="V386"/>
      <c r="W386"/>
      <c r="X386"/>
      <c r="Y386"/>
      <c r="Z386"/>
      <c r="AA386"/>
      <c r="AB386"/>
      <c r="AC386"/>
      <c r="AD386"/>
      <c r="AE386"/>
      <c r="AF386"/>
      <c r="AG386"/>
      <c r="AH386"/>
      <c r="AI386"/>
    </row>
    <row r="387" spans="1:35" ht="16.05" customHeight="1" thickBot="1" x14ac:dyDescent="0.35">
      <c r="A387" s="7" t="s">
        <v>2336</v>
      </c>
      <c r="B387" s="135"/>
      <c r="C387" s="2"/>
      <c r="D387" s="2"/>
      <c r="E387" s="2"/>
      <c r="F387" s="2"/>
      <c r="G387" s="183" t="s">
        <v>2367</v>
      </c>
      <c r="H387" s="12">
        <f>ROUND(SUM(H388:H399)/COUNT(H388:H399), 2)</f>
        <v>7.17</v>
      </c>
      <c r="I387" s="2"/>
      <c r="J387" s="4" t="s">
        <v>2346</v>
      </c>
      <c r="K387" s="134">
        <v>8.5</v>
      </c>
      <c r="L387" s="2"/>
      <c r="M387" s="4" t="s">
        <v>2356</v>
      </c>
      <c r="N387" s="134">
        <v>8.5</v>
      </c>
      <c r="O387" s="16"/>
      <c r="R387"/>
      <c r="S387"/>
      <c r="T387"/>
      <c r="U387"/>
      <c r="V387"/>
      <c r="W387"/>
      <c r="X387"/>
      <c r="Y387"/>
      <c r="Z387"/>
      <c r="AA387"/>
      <c r="AB387"/>
      <c r="AC387"/>
      <c r="AD387"/>
      <c r="AE387"/>
      <c r="AF387"/>
      <c r="AG387"/>
      <c r="AH387"/>
      <c r="AI387"/>
    </row>
    <row r="388" spans="1:35" ht="16.05" customHeight="1" thickBot="1" x14ac:dyDescent="0.35">
      <c r="A388" s="2"/>
      <c r="B388" s="2"/>
      <c r="C388" s="2"/>
      <c r="D388" s="184" t="s">
        <v>2386</v>
      </c>
      <c r="E388" s="12">
        <f>ROUND(SUM(E389:E401)/COUNT(E389:E401), 2)</f>
        <v>8.7899999999999991</v>
      </c>
      <c r="F388" s="2"/>
      <c r="G388" s="11" t="s">
        <v>2368</v>
      </c>
      <c r="H388" s="133">
        <v>8.5</v>
      </c>
      <c r="I388" s="2"/>
      <c r="J388" s="4" t="s">
        <v>2347</v>
      </c>
      <c r="K388" s="134">
        <v>7.5</v>
      </c>
      <c r="L388" s="2"/>
      <c r="M388" s="4" t="s">
        <v>2357</v>
      </c>
      <c r="N388" s="134">
        <v>8</v>
      </c>
      <c r="O388" s="16"/>
      <c r="R388"/>
      <c r="S388"/>
      <c r="T388"/>
      <c r="U388"/>
      <c r="V388"/>
      <c r="W388"/>
      <c r="X388"/>
      <c r="Y388"/>
      <c r="Z388"/>
      <c r="AA388"/>
      <c r="AB388"/>
      <c r="AC388"/>
      <c r="AD388"/>
      <c r="AE388"/>
      <c r="AF388"/>
      <c r="AG388"/>
      <c r="AH388"/>
      <c r="AI388"/>
    </row>
    <row r="389" spans="1:35" ht="16.05" customHeight="1" thickBot="1" x14ac:dyDescent="0.35">
      <c r="A389" s="185" t="s">
        <v>2413</v>
      </c>
      <c r="B389" s="12">
        <f>ROUND(SUM(B390:B399)/COUNT(B390:B399), 2)</f>
        <v>8.75</v>
      </c>
      <c r="C389" s="2"/>
      <c r="D389" s="11" t="s">
        <v>2387</v>
      </c>
      <c r="E389" s="133">
        <v>8.5</v>
      </c>
      <c r="F389" s="2"/>
      <c r="G389" s="4" t="s">
        <v>2369</v>
      </c>
      <c r="H389" s="134">
        <v>7.5</v>
      </c>
      <c r="I389" s="2"/>
      <c r="J389" s="7" t="s">
        <v>2348</v>
      </c>
      <c r="K389" s="135">
        <v>9</v>
      </c>
      <c r="L389" s="2"/>
      <c r="M389" s="4" t="s">
        <v>2358</v>
      </c>
      <c r="N389" s="134">
        <v>8</v>
      </c>
      <c r="O389" s="16"/>
      <c r="R389"/>
      <c r="S389"/>
      <c r="T389"/>
      <c r="U389"/>
      <c r="V389"/>
      <c r="W389"/>
      <c r="X389"/>
      <c r="Y389"/>
      <c r="Z389"/>
      <c r="AA389"/>
      <c r="AB389"/>
      <c r="AC389"/>
      <c r="AD389"/>
      <c r="AE389"/>
      <c r="AF389"/>
      <c r="AG389"/>
      <c r="AH389"/>
      <c r="AI389"/>
    </row>
    <row r="390" spans="1:35" ht="16.05" customHeight="1" thickBot="1" x14ac:dyDescent="0.35">
      <c r="A390" s="11" t="s">
        <v>2403</v>
      </c>
      <c r="B390" s="133">
        <v>9</v>
      </c>
      <c r="C390" s="2"/>
      <c r="D390" s="4" t="s">
        <v>2388</v>
      </c>
      <c r="E390" s="134">
        <v>9.5</v>
      </c>
      <c r="F390" s="2"/>
      <c r="G390" s="4" t="s">
        <v>2370</v>
      </c>
      <c r="H390" s="134">
        <v>7</v>
      </c>
      <c r="I390" s="2"/>
      <c r="J390" s="2"/>
      <c r="K390" s="2"/>
      <c r="L390" s="2"/>
      <c r="M390" s="4" t="s">
        <v>2359</v>
      </c>
      <c r="N390" s="134">
        <v>7.5</v>
      </c>
      <c r="O390" s="16"/>
      <c r="R390"/>
      <c r="S390"/>
      <c r="T390"/>
      <c r="U390"/>
      <c r="V390"/>
      <c r="W390"/>
      <c r="X390"/>
      <c r="Y390"/>
      <c r="Z390"/>
      <c r="AA390"/>
      <c r="AB390"/>
      <c r="AC390"/>
      <c r="AD390"/>
      <c r="AE390"/>
      <c r="AF390"/>
      <c r="AG390"/>
      <c r="AH390"/>
      <c r="AI390"/>
    </row>
    <row r="391" spans="1:35" ht="16.05" customHeight="1" thickBot="1" x14ac:dyDescent="0.35">
      <c r="A391" s="4" t="s">
        <v>2404</v>
      </c>
      <c r="B391" s="134">
        <v>8</v>
      </c>
      <c r="C391" s="2"/>
      <c r="D391" s="4" t="s">
        <v>2389</v>
      </c>
      <c r="E391" s="134">
        <v>8.5</v>
      </c>
      <c r="F391" s="2"/>
      <c r="G391" s="4" t="s">
        <v>2371</v>
      </c>
      <c r="H391" s="134">
        <v>6.5</v>
      </c>
      <c r="I391" s="2"/>
      <c r="J391" s="186" t="s">
        <v>2417</v>
      </c>
      <c r="K391" s="12">
        <f>ROUND(SUM(K392:K397)/COUNT(K392:K397), 2)</f>
        <v>8.9</v>
      </c>
      <c r="L391" s="2"/>
      <c r="M391" s="4" t="s">
        <v>2360</v>
      </c>
      <c r="N391" s="134">
        <v>8</v>
      </c>
      <c r="O391" s="16"/>
      <c r="R391"/>
      <c r="S391"/>
      <c r="T391"/>
      <c r="U391"/>
      <c r="V391"/>
      <c r="W391"/>
      <c r="X391"/>
      <c r="Y391"/>
      <c r="Z391"/>
      <c r="AA391"/>
      <c r="AB391"/>
      <c r="AC391"/>
      <c r="AD391"/>
      <c r="AE391"/>
      <c r="AF391"/>
      <c r="AG391"/>
      <c r="AH391"/>
      <c r="AI391"/>
    </row>
    <row r="392" spans="1:35" ht="16.05" customHeight="1" x14ac:dyDescent="0.3">
      <c r="A392" s="4" t="s">
        <v>2405</v>
      </c>
      <c r="B392" s="134">
        <v>9</v>
      </c>
      <c r="C392" s="2"/>
      <c r="D392" s="4" t="s">
        <v>2390</v>
      </c>
      <c r="E392" s="134">
        <v>8</v>
      </c>
      <c r="F392" s="2"/>
      <c r="G392" s="4" t="s">
        <v>2372</v>
      </c>
      <c r="H392" s="134">
        <v>7</v>
      </c>
      <c r="I392" s="2"/>
      <c r="J392" s="11" t="s">
        <v>2418</v>
      </c>
      <c r="K392" s="133">
        <v>8.5</v>
      </c>
      <c r="L392" s="2"/>
      <c r="M392" s="4" t="s">
        <v>2361</v>
      </c>
      <c r="N392" s="134">
        <v>7.5</v>
      </c>
      <c r="O392" s="16"/>
      <c r="R392"/>
      <c r="S392"/>
      <c r="T392"/>
      <c r="U392"/>
      <c r="V392"/>
      <c r="W392"/>
      <c r="X392"/>
      <c r="Y392"/>
      <c r="Z392"/>
      <c r="AA392"/>
      <c r="AB392"/>
      <c r="AC392"/>
      <c r="AD392"/>
      <c r="AE392"/>
      <c r="AF392"/>
      <c r="AG392"/>
      <c r="AH392"/>
      <c r="AI392"/>
    </row>
    <row r="393" spans="1:35" ht="16.05" customHeight="1" x14ac:dyDescent="0.3">
      <c r="A393" s="4" t="s">
        <v>2406</v>
      </c>
      <c r="B393" s="134">
        <v>10.5</v>
      </c>
      <c r="C393" s="2"/>
      <c r="D393" s="4" t="s">
        <v>2391</v>
      </c>
      <c r="E393" s="134">
        <v>8</v>
      </c>
      <c r="F393" s="2"/>
      <c r="G393" s="4" t="s">
        <v>2373</v>
      </c>
      <c r="H393" s="134">
        <v>7.5</v>
      </c>
      <c r="I393" s="2"/>
      <c r="J393" s="4" t="s">
        <v>2419</v>
      </c>
      <c r="K393" s="134">
        <v>10.5</v>
      </c>
      <c r="L393" s="2"/>
      <c r="M393" s="4" t="s">
        <v>2362</v>
      </c>
      <c r="N393" s="134">
        <v>8.5</v>
      </c>
      <c r="O393" s="16"/>
      <c r="R393"/>
      <c r="S393"/>
      <c r="T393"/>
      <c r="U393"/>
      <c r="V393"/>
      <c r="W393"/>
      <c r="X393"/>
      <c r="Y393"/>
      <c r="Z393"/>
      <c r="AA393"/>
      <c r="AB393"/>
      <c r="AC393"/>
      <c r="AD393"/>
      <c r="AE393"/>
      <c r="AF393"/>
      <c r="AG393"/>
      <c r="AH393"/>
      <c r="AI393"/>
    </row>
    <row r="394" spans="1:35" ht="16.05" customHeight="1" x14ac:dyDescent="0.3">
      <c r="A394" s="4" t="s">
        <v>2407</v>
      </c>
      <c r="B394" s="134">
        <v>8.5</v>
      </c>
      <c r="C394" s="2"/>
      <c r="D394" s="4" t="s">
        <v>2392</v>
      </c>
      <c r="E394" s="134">
        <v>9.5</v>
      </c>
      <c r="F394" s="2"/>
      <c r="G394" s="4" t="s">
        <v>2374</v>
      </c>
      <c r="H394" s="134">
        <v>6.5</v>
      </c>
      <c r="I394" s="2"/>
      <c r="J394" s="4" t="s">
        <v>2420</v>
      </c>
      <c r="K394" s="134">
        <v>9</v>
      </c>
      <c r="L394" s="2"/>
      <c r="M394" s="4" t="s">
        <v>2363</v>
      </c>
      <c r="N394" s="134">
        <v>9</v>
      </c>
      <c r="O394" s="16"/>
      <c r="R394"/>
      <c r="S394"/>
      <c r="T394"/>
      <c r="U394"/>
      <c r="V394"/>
      <c r="W394"/>
      <c r="X394"/>
      <c r="Y394"/>
      <c r="Z394"/>
      <c r="AA394"/>
      <c r="AB394"/>
      <c r="AC394"/>
      <c r="AD394"/>
      <c r="AE394"/>
      <c r="AF394"/>
      <c r="AG394"/>
      <c r="AH394"/>
      <c r="AI394"/>
    </row>
    <row r="395" spans="1:35" ht="16.05" customHeight="1" thickBot="1" x14ac:dyDescent="0.35">
      <c r="A395" s="4" t="s">
        <v>2408</v>
      </c>
      <c r="B395" s="134">
        <v>8.5</v>
      </c>
      <c r="C395" s="2"/>
      <c r="D395" s="4" t="s">
        <v>2393</v>
      </c>
      <c r="E395" s="134">
        <v>8</v>
      </c>
      <c r="F395" s="2"/>
      <c r="G395" s="4" t="s">
        <v>2375</v>
      </c>
      <c r="H395" s="134">
        <v>6</v>
      </c>
      <c r="I395" s="2"/>
      <c r="J395" s="4" t="s">
        <v>2421</v>
      </c>
      <c r="K395" s="134"/>
      <c r="L395" s="2"/>
      <c r="M395" s="7" t="s">
        <v>2364</v>
      </c>
      <c r="N395" s="135"/>
      <c r="O395" s="16"/>
      <c r="R395"/>
      <c r="S395"/>
      <c r="T395"/>
      <c r="U395"/>
      <c r="V395"/>
      <c r="W395"/>
      <c r="X395"/>
      <c r="Y395"/>
      <c r="Z395"/>
      <c r="AA395"/>
      <c r="AB395"/>
      <c r="AC395"/>
      <c r="AD395"/>
      <c r="AE395"/>
      <c r="AF395"/>
      <c r="AG395"/>
      <c r="AH395"/>
      <c r="AI395"/>
    </row>
    <row r="396" spans="1:35" ht="16.05" customHeight="1" thickBot="1" x14ac:dyDescent="0.35">
      <c r="A396" s="4" t="s">
        <v>2409</v>
      </c>
      <c r="B396" s="134">
        <v>8</v>
      </c>
      <c r="C396" s="2"/>
      <c r="D396" s="4" t="s">
        <v>2394</v>
      </c>
      <c r="E396" s="134">
        <v>9</v>
      </c>
      <c r="F396" s="2"/>
      <c r="G396" s="4" t="s">
        <v>2376</v>
      </c>
      <c r="H396" s="134">
        <v>8</v>
      </c>
      <c r="I396" s="2"/>
      <c r="J396" s="4" t="s">
        <v>2422</v>
      </c>
      <c r="K396" s="134">
        <v>8.5</v>
      </c>
      <c r="L396" s="2"/>
      <c r="M396" s="2"/>
      <c r="N396" s="2"/>
      <c r="O396" s="16"/>
      <c r="R396"/>
      <c r="S396"/>
      <c r="T396"/>
      <c r="U396"/>
      <c r="V396"/>
      <c r="W396"/>
      <c r="X396"/>
      <c r="Y396"/>
      <c r="Z396"/>
      <c r="AA396"/>
      <c r="AB396"/>
      <c r="AC396"/>
      <c r="AD396"/>
      <c r="AE396"/>
      <c r="AF396"/>
      <c r="AG396"/>
      <c r="AH396"/>
      <c r="AI396"/>
    </row>
    <row r="397" spans="1:35" ht="16.05" customHeight="1" thickBot="1" x14ac:dyDescent="0.35">
      <c r="A397" s="4" t="s">
        <v>2410</v>
      </c>
      <c r="B397" s="134">
        <v>8.5</v>
      </c>
      <c r="C397" s="2"/>
      <c r="D397" s="4" t="s">
        <v>2395</v>
      </c>
      <c r="E397" s="134">
        <v>9</v>
      </c>
      <c r="F397" s="2"/>
      <c r="G397" s="4" t="s">
        <v>2377</v>
      </c>
      <c r="H397" s="134">
        <v>7</v>
      </c>
      <c r="I397" s="2"/>
      <c r="J397" s="7" t="s">
        <v>2423</v>
      </c>
      <c r="K397" s="135">
        <v>8</v>
      </c>
      <c r="L397" s="2"/>
      <c r="M397" s="196" t="s">
        <v>2438</v>
      </c>
      <c r="N397" s="12">
        <f>ROUND(SUM(N398:N410)/COUNT(N398:N410), 2)</f>
        <v>9.08</v>
      </c>
      <c r="O397" s="16"/>
      <c r="R397"/>
      <c r="S397"/>
      <c r="T397"/>
      <c r="U397"/>
      <c r="V397"/>
      <c r="W397"/>
      <c r="X397"/>
      <c r="Y397"/>
      <c r="Z397"/>
      <c r="AA397"/>
      <c r="AB397"/>
      <c r="AC397"/>
      <c r="AD397"/>
      <c r="AE397"/>
      <c r="AF397"/>
      <c r="AG397"/>
      <c r="AH397"/>
      <c r="AI397"/>
    </row>
    <row r="398" spans="1:35" ht="16.05" customHeight="1" thickBot="1" x14ac:dyDescent="0.35">
      <c r="A398" s="4" t="s">
        <v>2411</v>
      </c>
      <c r="B398" s="134">
        <v>8.5</v>
      </c>
      <c r="C398" s="2"/>
      <c r="D398" s="4" t="s">
        <v>2396</v>
      </c>
      <c r="E398" s="134">
        <v>9</v>
      </c>
      <c r="F398" s="2"/>
      <c r="G398" s="4" t="s">
        <v>2378</v>
      </c>
      <c r="H398" s="134">
        <v>6.5</v>
      </c>
      <c r="I398" s="2"/>
      <c r="J398" s="2"/>
      <c r="K398" s="2"/>
      <c r="L398" s="2"/>
      <c r="M398" s="11" t="s">
        <v>2425</v>
      </c>
      <c r="N398" s="133">
        <v>9.5</v>
      </c>
      <c r="O398" s="16"/>
      <c r="R398"/>
      <c r="S398"/>
      <c r="T398"/>
      <c r="U398"/>
      <c r="V398"/>
      <c r="W398"/>
      <c r="X398"/>
      <c r="Y398"/>
      <c r="Z398"/>
      <c r="AA398"/>
      <c r="AB398"/>
      <c r="AC398"/>
      <c r="AD398"/>
      <c r="AE398"/>
      <c r="AF398"/>
      <c r="AG398"/>
      <c r="AH398"/>
      <c r="AI398"/>
    </row>
    <row r="399" spans="1:35" ht="16.05" customHeight="1" thickBot="1" x14ac:dyDescent="0.35">
      <c r="A399" s="7" t="s">
        <v>2412</v>
      </c>
      <c r="B399" s="135">
        <v>9</v>
      </c>
      <c r="C399" s="2"/>
      <c r="D399" s="4" t="s">
        <v>2397</v>
      </c>
      <c r="E399" s="134">
        <v>8</v>
      </c>
      <c r="F399" s="2"/>
      <c r="G399" s="7" t="s">
        <v>2379</v>
      </c>
      <c r="H399" s="135">
        <v>8</v>
      </c>
      <c r="I399" s="2"/>
      <c r="J399" s="187" t="s">
        <v>2443</v>
      </c>
      <c r="K399" s="12">
        <f>ROUND(SUM(K400:K410)/COUNT(K400:K410), 2)</f>
        <v>8.86</v>
      </c>
      <c r="L399" s="2"/>
      <c r="M399" s="4" t="s">
        <v>2426</v>
      </c>
      <c r="N399" s="134">
        <v>10</v>
      </c>
      <c r="O399" s="16"/>
      <c r="R399"/>
      <c r="S399"/>
      <c r="T399"/>
      <c r="U399"/>
      <c r="V399"/>
      <c r="W399"/>
      <c r="X399"/>
      <c r="Y399"/>
      <c r="Z399"/>
      <c r="AA399"/>
      <c r="AB399"/>
      <c r="AC399"/>
      <c r="AD399"/>
      <c r="AE399"/>
      <c r="AF399"/>
      <c r="AG399"/>
      <c r="AH399"/>
      <c r="AI399"/>
    </row>
    <row r="400" spans="1:35" ht="16.05" customHeight="1" thickBot="1" x14ac:dyDescent="0.35">
      <c r="A400" s="2"/>
      <c r="B400" s="2"/>
      <c r="C400" s="2"/>
      <c r="D400" s="4" t="s">
        <v>2398</v>
      </c>
      <c r="E400" s="134"/>
      <c r="F400" s="2"/>
      <c r="G400" s="2"/>
      <c r="H400" s="2"/>
      <c r="I400" s="2"/>
      <c r="J400" s="11" t="s">
        <v>2444</v>
      </c>
      <c r="K400" s="133">
        <v>8.5</v>
      </c>
      <c r="L400" s="2"/>
      <c r="M400" s="4" t="s">
        <v>2427</v>
      </c>
      <c r="N400" s="134">
        <v>9.5</v>
      </c>
      <c r="O400" s="16"/>
      <c r="R400"/>
      <c r="S400"/>
      <c r="T400"/>
      <c r="U400"/>
      <c r="V400"/>
      <c r="W400"/>
      <c r="X400"/>
      <c r="Y400"/>
      <c r="Z400"/>
      <c r="AA400"/>
      <c r="AB400"/>
      <c r="AC400"/>
      <c r="AD400"/>
      <c r="AE400"/>
      <c r="AF400"/>
      <c r="AG400"/>
      <c r="AH400"/>
      <c r="AI400"/>
    </row>
    <row r="401" spans="1:35" ht="16.05" customHeight="1" thickBot="1" x14ac:dyDescent="0.35">
      <c r="A401" s="188" t="s">
        <v>2460</v>
      </c>
      <c r="B401" s="12">
        <f>ROUND(SUM(B402:B411)/COUNT(B402:B411), 2)</f>
        <v>8.75</v>
      </c>
      <c r="C401" s="2"/>
      <c r="D401" s="7" t="s">
        <v>2399</v>
      </c>
      <c r="E401" s="135">
        <v>10.5</v>
      </c>
      <c r="F401" s="2"/>
      <c r="G401" s="189" t="s">
        <v>2467</v>
      </c>
      <c r="H401" s="12">
        <f>ROUND(SUM(H402:H413)/COUNT(H402:H413), 2)</f>
        <v>8.6300000000000008</v>
      </c>
      <c r="I401" s="2"/>
      <c r="J401" s="4" t="s">
        <v>2445</v>
      </c>
      <c r="K401" s="134">
        <v>10</v>
      </c>
      <c r="L401" s="2"/>
      <c r="M401" s="4" t="s">
        <v>2428</v>
      </c>
      <c r="N401" s="134">
        <v>9</v>
      </c>
      <c r="O401" s="16"/>
      <c r="R401"/>
      <c r="S401"/>
      <c r="T401"/>
      <c r="U401"/>
      <c r="V401"/>
      <c r="W401"/>
      <c r="X401"/>
      <c r="Y401"/>
      <c r="Z401"/>
      <c r="AA401"/>
      <c r="AB401"/>
      <c r="AC401"/>
      <c r="AD401"/>
      <c r="AE401"/>
      <c r="AF401"/>
      <c r="AG401"/>
      <c r="AH401"/>
      <c r="AI401"/>
    </row>
    <row r="402" spans="1:35" ht="16.05" customHeight="1" thickBot="1" x14ac:dyDescent="0.35">
      <c r="A402" s="11" t="s">
        <v>2461</v>
      </c>
      <c r="B402" s="133"/>
      <c r="C402" s="2"/>
      <c r="D402" s="2"/>
      <c r="E402" s="2"/>
      <c r="F402" s="2"/>
      <c r="G402" s="11" t="s">
        <v>2468</v>
      </c>
      <c r="H402" s="133">
        <v>10.5</v>
      </c>
      <c r="I402" s="2"/>
      <c r="J402" s="4" t="s">
        <v>649</v>
      </c>
      <c r="K402" s="134">
        <v>10</v>
      </c>
      <c r="L402" s="2"/>
      <c r="M402" s="4" t="s">
        <v>2429</v>
      </c>
      <c r="N402" s="134">
        <v>10.5</v>
      </c>
      <c r="O402" s="16"/>
      <c r="R402"/>
      <c r="S402"/>
      <c r="T402"/>
      <c r="U402"/>
      <c r="V402"/>
      <c r="W402"/>
      <c r="X402"/>
      <c r="Y402"/>
      <c r="Z402"/>
      <c r="AA402"/>
      <c r="AB402"/>
      <c r="AC402"/>
      <c r="AD402"/>
      <c r="AE402"/>
      <c r="AF402"/>
      <c r="AG402"/>
      <c r="AH402"/>
      <c r="AI402"/>
    </row>
    <row r="403" spans="1:35" ht="16.05" customHeight="1" thickBot="1" x14ac:dyDescent="0.35">
      <c r="A403" s="4" t="s">
        <v>2462</v>
      </c>
      <c r="B403" s="134">
        <v>10</v>
      </c>
      <c r="C403" s="2"/>
      <c r="D403" s="194" t="s">
        <v>2490</v>
      </c>
      <c r="E403" s="12">
        <f>ROUND(SUM(E404:E413)/COUNT(E404:E413), 2)</f>
        <v>2.5</v>
      </c>
      <c r="F403" s="2"/>
      <c r="G403" s="4" t="s">
        <v>2469</v>
      </c>
      <c r="H403" s="134">
        <v>9</v>
      </c>
      <c r="I403" s="2"/>
      <c r="J403" s="4" t="s">
        <v>2446</v>
      </c>
      <c r="K403" s="134">
        <v>8.5</v>
      </c>
      <c r="L403" s="2"/>
      <c r="M403" s="4" t="s">
        <v>2430</v>
      </c>
      <c r="N403" s="134">
        <v>8.5</v>
      </c>
      <c r="O403" s="16"/>
      <c r="R403"/>
      <c r="S403"/>
      <c r="T403"/>
      <c r="U403"/>
      <c r="V403"/>
      <c r="W403"/>
      <c r="X403"/>
      <c r="Y403"/>
      <c r="Z403"/>
      <c r="AA403"/>
      <c r="AB403"/>
      <c r="AC403"/>
      <c r="AD403"/>
      <c r="AE403"/>
      <c r="AF403"/>
      <c r="AG403"/>
      <c r="AH403"/>
      <c r="AI403"/>
    </row>
    <row r="404" spans="1:35" ht="16.05" customHeight="1" x14ac:dyDescent="0.3">
      <c r="A404" s="4" t="s">
        <v>2463</v>
      </c>
      <c r="B404" s="134">
        <v>9.5</v>
      </c>
      <c r="C404" s="2"/>
      <c r="D404" s="11" t="s">
        <v>2480</v>
      </c>
      <c r="E404" s="133">
        <v>3.5</v>
      </c>
      <c r="F404" s="2"/>
      <c r="G404" s="4" t="s">
        <v>2470</v>
      </c>
      <c r="H404" s="134">
        <v>8.5</v>
      </c>
      <c r="I404" s="2"/>
      <c r="J404" s="4" t="s">
        <v>2447</v>
      </c>
      <c r="K404" s="134">
        <v>10.5</v>
      </c>
      <c r="L404" s="2"/>
      <c r="M404" s="4" t="s">
        <v>2431</v>
      </c>
      <c r="N404" s="134">
        <v>8.5</v>
      </c>
      <c r="O404" s="16"/>
      <c r="R404"/>
      <c r="S404"/>
      <c r="T404"/>
      <c r="U404"/>
      <c r="V404"/>
      <c r="W404"/>
      <c r="X404"/>
      <c r="Y404"/>
      <c r="Z404"/>
      <c r="AA404"/>
      <c r="AB404"/>
      <c r="AC404"/>
      <c r="AD404"/>
      <c r="AE404"/>
      <c r="AF404"/>
      <c r="AG404"/>
      <c r="AH404"/>
      <c r="AI404"/>
    </row>
    <row r="405" spans="1:35" ht="16.05" customHeight="1" x14ac:dyDescent="0.3">
      <c r="A405" s="4" t="s">
        <v>2464</v>
      </c>
      <c r="B405" s="134">
        <v>8</v>
      </c>
      <c r="C405" s="2"/>
      <c r="D405" s="4" t="s">
        <v>2481</v>
      </c>
      <c r="E405" s="134">
        <v>0</v>
      </c>
      <c r="F405" s="2"/>
      <c r="G405" s="4" t="s">
        <v>2471</v>
      </c>
      <c r="H405" s="134">
        <v>8.5</v>
      </c>
      <c r="I405" s="2"/>
      <c r="J405" s="4" t="s">
        <v>2448</v>
      </c>
      <c r="K405" s="134">
        <v>9.5</v>
      </c>
      <c r="L405" s="2"/>
      <c r="M405" s="4" t="s">
        <v>2432</v>
      </c>
      <c r="N405" s="134">
        <v>10</v>
      </c>
      <c r="O405" s="16"/>
      <c r="R405"/>
      <c r="S405"/>
      <c r="T405"/>
      <c r="U405"/>
      <c r="V405"/>
      <c r="W405"/>
      <c r="X405"/>
      <c r="Y405"/>
      <c r="Z405"/>
      <c r="AA405"/>
      <c r="AB405"/>
      <c r="AC405"/>
      <c r="AD405"/>
      <c r="AE405"/>
      <c r="AF405"/>
      <c r="AG405"/>
      <c r="AH405"/>
      <c r="AI405"/>
    </row>
    <row r="406" spans="1:35" ht="16.05" customHeight="1" x14ac:dyDescent="0.3">
      <c r="A406" s="4" t="s">
        <v>2465</v>
      </c>
      <c r="B406" s="134"/>
      <c r="C406" s="2"/>
      <c r="D406" s="4" t="s">
        <v>2482</v>
      </c>
      <c r="E406" s="134">
        <v>3</v>
      </c>
      <c r="F406" s="2"/>
      <c r="G406" s="4" t="s">
        <v>2472</v>
      </c>
      <c r="H406" s="134">
        <v>8</v>
      </c>
      <c r="I406" s="2"/>
      <c r="J406" s="4" t="s">
        <v>2449</v>
      </c>
      <c r="K406" s="134">
        <v>8</v>
      </c>
      <c r="L406" s="2"/>
      <c r="M406" s="4" t="s">
        <v>2433</v>
      </c>
      <c r="N406" s="134">
        <v>8.5</v>
      </c>
      <c r="O406" s="16"/>
      <c r="R406"/>
      <c r="S406"/>
      <c r="T406"/>
      <c r="U406"/>
      <c r="V406"/>
      <c r="W406"/>
      <c r="X406"/>
      <c r="Y406"/>
      <c r="Z406"/>
      <c r="AA406"/>
      <c r="AB406"/>
      <c r="AC406"/>
      <c r="AD406"/>
      <c r="AE406"/>
      <c r="AF406"/>
      <c r="AG406"/>
      <c r="AH406"/>
      <c r="AI406"/>
    </row>
    <row r="407" spans="1:35" ht="16.05" customHeight="1" thickBot="1" x14ac:dyDescent="0.35">
      <c r="A407" s="7" t="s">
        <v>2466</v>
      </c>
      <c r="B407" s="135">
        <v>8</v>
      </c>
      <c r="C407" s="2"/>
      <c r="D407" s="4" t="s">
        <v>2483</v>
      </c>
      <c r="E407" s="134">
        <v>2</v>
      </c>
      <c r="F407" s="2"/>
      <c r="G407" s="4" t="s">
        <v>2473</v>
      </c>
      <c r="H407" s="134">
        <v>7.5</v>
      </c>
      <c r="I407" s="2"/>
      <c r="J407" s="4" t="s">
        <v>2450</v>
      </c>
      <c r="K407" s="134">
        <v>8.5</v>
      </c>
      <c r="L407" s="2"/>
      <c r="M407" s="4" t="s">
        <v>2434</v>
      </c>
      <c r="N407" s="134">
        <v>8</v>
      </c>
      <c r="O407" s="16"/>
      <c r="R407"/>
      <c r="S407"/>
      <c r="T407"/>
      <c r="U407"/>
      <c r="V407"/>
      <c r="W407"/>
      <c r="X407"/>
      <c r="Y407"/>
      <c r="Z407"/>
      <c r="AA407"/>
      <c r="AB407"/>
      <c r="AC407"/>
      <c r="AD407"/>
      <c r="AE407"/>
      <c r="AF407"/>
      <c r="AG407"/>
      <c r="AH407"/>
      <c r="AI407"/>
    </row>
    <row r="408" spans="1:35" ht="16.05" customHeight="1" thickBot="1" x14ac:dyDescent="0.35">
      <c r="A408" s="2"/>
      <c r="B408" s="2"/>
      <c r="C408" s="2"/>
      <c r="D408" s="4" t="s">
        <v>2484</v>
      </c>
      <c r="E408" s="134">
        <v>3</v>
      </c>
      <c r="F408" s="2"/>
      <c r="G408" s="4" t="s">
        <v>2474</v>
      </c>
      <c r="H408" s="134">
        <v>8</v>
      </c>
      <c r="I408" s="2"/>
      <c r="J408" s="4" t="s">
        <v>2451</v>
      </c>
      <c r="K408" s="134">
        <v>7.5</v>
      </c>
      <c r="L408" s="2"/>
      <c r="M408" s="4" t="s">
        <v>2435</v>
      </c>
      <c r="N408" s="134">
        <v>8.5</v>
      </c>
      <c r="O408" s="16"/>
      <c r="R408"/>
      <c r="S408"/>
      <c r="T408"/>
      <c r="U408"/>
      <c r="V408"/>
      <c r="W408"/>
      <c r="X408"/>
      <c r="Y408"/>
      <c r="Z408"/>
      <c r="AA408"/>
      <c r="AB408"/>
      <c r="AC408"/>
      <c r="AD408"/>
      <c r="AE408"/>
      <c r="AF408"/>
      <c r="AG408"/>
      <c r="AH408"/>
      <c r="AI408"/>
    </row>
    <row r="409" spans="1:35" ht="16.05" customHeight="1" thickBot="1" x14ac:dyDescent="0.35">
      <c r="A409" s="192" t="s">
        <v>2504</v>
      </c>
      <c r="B409" s="12">
        <f>ROUND(SUM(B410:B426)/COUNT(B410:B426), 2)</f>
        <v>8.24</v>
      </c>
      <c r="C409" s="2"/>
      <c r="D409" s="4" t="s">
        <v>2485</v>
      </c>
      <c r="E409" s="136">
        <v>5</v>
      </c>
      <c r="F409" s="2"/>
      <c r="G409" s="4" t="s">
        <v>2475</v>
      </c>
      <c r="H409" s="134">
        <v>7.5</v>
      </c>
      <c r="I409" s="2"/>
      <c r="J409" s="4" t="s">
        <v>2452</v>
      </c>
      <c r="K409" s="134">
        <v>8</v>
      </c>
      <c r="L409" s="2"/>
      <c r="M409" s="4" t="s">
        <v>2436</v>
      </c>
      <c r="N409" s="134">
        <v>8.5</v>
      </c>
      <c r="O409" s="16"/>
      <c r="R409"/>
      <c r="S409"/>
      <c r="T409"/>
      <c r="U409"/>
      <c r="V409"/>
      <c r="W409"/>
      <c r="X409"/>
      <c r="Y409"/>
      <c r="Z409"/>
      <c r="AA409"/>
      <c r="AB409"/>
      <c r="AC409"/>
      <c r="AD409"/>
      <c r="AE409"/>
      <c r="AF409"/>
      <c r="AG409"/>
      <c r="AH409"/>
      <c r="AI409"/>
    </row>
    <row r="410" spans="1:35" ht="16.05" customHeight="1" thickBot="1" x14ac:dyDescent="0.35">
      <c r="A410" s="11" t="s">
        <v>2505</v>
      </c>
      <c r="B410" s="190">
        <v>7.5</v>
      </c>
      <c r="C410" s="2"/>
      <c r="D410" s="4" t="s">
        <v>2486</v>
      </c>
      <c r="E410" s="134">
        <v>2.5</v>
      </c>
      <c r="F410" s="2"/>
      <c r="G410" s="4" t="s">
        <v>2476</v>
      </c>
      <c r="H410" s="134">
        <v>9</v>
      </c>
      <c r="I410" s="2"/>
      <c r="J410" s="7" t="s">
        <v>2453</v>
      </c>
      <c r="K410" s="135">
        <v>8.5</v>
      </c>
      <c r="L410" s="2"/>
      <c r="M410" s="7" t="s">
        <v>2437</v>
      </c>
      <c r="N410" s="135">
        <v>9</v>
      </c>
      <c r="O410" s="16"/>
      <c r="R410"/>
      <c r="S410"/>
      <c r="T410"/>
      <c r="U410"/>
      <c r="V410"/>
      <c r="W410"/>
      <c r="X410"/>
      <c r="Y410"/>
      <c r="Z410"/>
      <c r="AA410"/>
      <c r="AB410"/>
      <c r="AC410"/>
      <c r="AD410"/>
      <c r="AE410"/>
      <c r="AF410"/>
      <c r="AG410"/>
      <c r="AH410"/>
      <c r="AI410"/>
    </row>
    <row r="411" spans="1:35" ht="16.05" customHeight="1" thickBot="1" x14ac:dyDescent="0.35">
      <c r="A411" s="145" t="s">
        <v>2506</v>
      </c>
      <c r="B411" s="136">
        <v>10</v>
      </c>
      <c r="C411" s="2"/>
      <c r="D411" s="4" t="s">
        <v>2487</v>
      </c>
      <c r="E411" s="134">
        <v>3</v>
      </c>
      <c r="F411" s="2"/>
      <c r="G411" s="4" t="s">
        <v>2477</v>
      </c>
      <c r="H411" s="134">
        <v>10</v>
      </c>
      <c r="I411" s="2"/>
      <c r="J411" s="2"/>
      <c r="K411" s="2"/>
      <c r="L411" s="2"/>
      <c r="M411" s="2"/>
      <c r="N411" s="2"/>
      <c r="O411" s="16"/>
      <c r="R411"/>
      <c r="S411"/>
      <c r="T411"/>
      <c r="U411"/>
      <c r="V411"/>
      <c r="W411"/>
      <c r="X411"/>
      <c r="Y411"/>
      <c r="Z411"/>
      <c r="AA411"/>
      <c r="AB411"/>
      <c r="AC411"/>
      <c r="AD411"/>
      <c r="AE411"/>
      <c r="AF411"/>
      <c r="AG411"/>
      <c r="AH411"/>
      <c r="AI411"/>
    </row>
    <row r="412" spans="1:35" ht="16.05" customHeight="1" thickBot="1" x14ac:dyDescent="0.35">
      <c r="A412" s="4" t="s">
        <v>2507</v>
      </c>
      <c r="B412" s="136">
        <v>9</v>
      </c>
      <c r="C412" s="2"/>
      <c r="D412" s="4" t="s">
        <v>2488</v>
      </c>
      <c r="E412" s="134">
        <v>2</v>
      </c>
      <c r="F412" s="2"/>
      <c r="G412" s="4" t="s">
        <v>2478</v>
      </c>
      <c r="H412" s="134">
        <v>9</v>
      </c>
      <c r="I412" s="2"/>
      <c r="J412" s="195" t="s">
        <v>2524</v>
      </c>
      <c r="K412" s="12">
        <f>ROUND(SUM(K413:K419)/COUNT(K413:K419), 2)</f>
        <v>8.86</v>
      </c>
      <c r="L412" s="2"/>
      <c r="M412" s="201" t="s">
        <v>2533</v>
      </c>
      <c r="N412" s="12">
        <f>ROUND(SUM(N413:N419)/COUNT(N413:N419), 2)</f>
        <v>8.7899999999999991</v>
      </c>
      <c r="O412" s="16"/>
      <c r="R412"/>
      <c r="S412"/>
      <c r="T412"/>
      <c r="U412"/>
      <c r="V412"/>
      <c r="W412"/>
      <c r="X412"/>
      <c r="Y412"/>
      <c r="Z412"/>
      <c r="AA412"/>
      <c r="AB412"/>
      <c r="AC412"/>
      <c r="AD412"/>
      <c r="AE412"/>
      <c r="AF412"/>
      <c r="AG412"/>
      <c r="AH412"/>
      <c r="AI412"/>
    </row>
    <row r="413" spans="1:35" ht="16.05" customHeight="1" thickBot="1" x14ac:dyDescent="0.35">
      <c r="A413" s="4" t="s">
        <v>2508</v>
      </c>
      <c r="B413" s="136">
        <v>8</v>
      </c>
      <c r="C413" s="2"/>
      <c r="D413" s="7" t="s">
        <v>2489</v>
      </c>
      <c r="E413" s="135">
        <v>1</v>
      </c>
      <c r="F413" s="2"/>
      <c r="G413" s="7" t="s">
        <v>2479</v>
      </c>
      <c r="H413" s="135">
        <v>8</v>
      </c>
      <c r="I413" s="2"/>
      <c r="J413" s="11" t="s">
        <v>2525</v>
      </c>
      <c r="K413" s="133">
        <v>8.5</v>
      </c>
      <c r="L413" s="2"/>
      <c r="M413" s="11" t="s">
        <v>2534</v>
      </c>
      <c r="N413" s="133">
        <v>9</v>
      </c>
      <c r="O413" s="16"/>
      <c r="R413"/>
      <c r="S413"/>
      <c r="T413"/>
      <c r="U413"/>
      <c r="V413"/>
      <c r="W413"/>
      <c r="X413"/>
      <c r="Y413"/>
      <c r="Z413"/>
      <c r="AA413"/>
      <c r="AB413"/>
      <c r="AC413"/>
      <c r="AD413"/>
      <c r="AE413"/>
      <c r="AF413"/>
      <c r="AG413"/>
      <c r="AH413"/>
      <c r="AI413"/>
    </row>
    <row r="414" spans="1:35" ht="16.05" customHeight="1" thickBot="1" x14ac:dyDescent="0.35">
      <c r="A414" s="4" t="s">
        <v>2509</v>
      </c>
      <c r="B414" s="136">
        <v>10.5</v>
      </c>
      <c r="C414" s="2"/>
      <c r="D414" s="2"/>
      <c r="E414" s="2"/>
      <c r="F414" s="2"/>
      <c r="G414" s="2"/>
      <c r="H414" s="2"/>
      <c r="I414" s="2"/>
      <c r="J414" s="4" t="s">
        <v>2526</v>
      </c>
      <c r="K414" s="134">
        <v>9.5</v>
      </c>
      <c r="L414" s="2"/>
      <c r="M414" s="4" t="s">
        <v>2535</v>
      </c>
      <c r="N414" s="134">
        <v>9</v>
      </c>
      <c r="O414" s="16"/>
      <c r="R414"/>
      <c r="S414"/>
      <c r="T414"/>
      <c r="U414"/>
      <c r="V414"/>
      <c r="W414"/>
      <c r="X414"/>
      <c r="Y414"/>
      <c r="Z414"/>
      <c r="AA414"/>
      <c r="AB414"/>
      <c r="AC414"/>
      <c r="AD414"/>
      <c r="AE414"/>
      <c r="AF414"/>
      <c r="AG414"/>
      <c r="AH414"/>
      <c r="AI414"/>
    </row>
    <row r="415" spans="1:35" ht="16.05" customHeight="1" thickBot="1" x14ac:dyDescent="0.35">
      <c r="A415" s="4" t="s">
        <v>2510</v>
      </c>
      <c r="B415" s="136">
        <v>7.5</v>
      </c>
      <c r="C415" s="2"/>
      <c r="D415" s="203" t="s">
        <v>2543</v>
      </c>
      <c r="E415" s="12">
        <f>ROUND(SUM(E416:E423)/COUNT(E416:E423), 2)</f>
        <v>8.69</v>
      </c>
      <c r="F415" s="2"/>
      <c r="G415" s="204" t="s">
        <v>2555</v>
      </c>
      <c r="H415" s="12">
        <f>ROUND(SUM(H416:H419)/COUNT(H416:H419), 2)</f>
        <v>8.8800000000000008</v>
      </c>
      <c r="I415" s="2"/>
      <c r="J415" s="4" t="s">
        <v>2527</v>
      </c>
      <c r="K415" s="134">
        <v>9.5</v>
      </c>
      <c r="L415" s="2"/>
      <c r="M415" s="7" t="s">
        <v>964</v>
      </c>
      <c r="N415" s="135">
        <v>8.5</v>
      </c>
      <c r="O415" s="16"/>
      <c r="R415"/>
      <c r="S415"/>
      <c r="T415"/>
      <c r="U415"/>
      <c r="V415"/>
      <c r="W415"/>
      <c r="X415"/>
      <c r="Y415"/>
      <c r="Z415"/>
      <c r="AA415"/>
      <c r="AB415"/>
      <c r="AC415"/>
      <c r="AD415"/>
      <c r="AE415"/>
      <c r="AF415"/>
      <c r="AG415"/>
      <c r="AH415"/>
      <c r="AI415"/>
    </row>
    <row r="416" spans="1:35" ht="16.05" customHeight="1" thickBot="1" x14ac:dyDescent="0.35">
      <c r="A416" s="4" t="s">
        <v>2511</v>
      </c>
      <c r="B416" s="136">
        <v>6</v>
      </c>
      <c r="C416" s="2"/>
      <c r="D416" s="11" t="s">
        <v>2544</v>
      </c>
      <c r="E416" s="133">
        <v>10</v>
      </c>
      <c r="F416" s="2"/>
      <c r="G416" s="11" t="s">
        <v>2560</v>
      </c>
      <c r="H416" s="133">
        <v>8</v>
      </c>
      <c r="I416" s="2"/>
      <c r="J416" s="4" t="s">
        <v>2528</v>
      </c>
      <c r="K416" s="134">
        <v>9</v>
      </c>
      <c r="L416" s="2"/>
      <c r="M416" s="2"/>
      <c r="N416" s="2"/>
      <c r="O416" s="16"/>
      <c r="R416"/>
      <c r="S416"/>
      <c r="T416"/>
      <c r="U416"/>
      <c r="V416"/>
      <c r="W416"/>
      <c r="X416"/>
      <c r="Y416"/>
      <c r="Z416"/>
      <c r="AA416"/>
      <c r="AB416"/>
      <c r="AC416"/>
      <c r="AD416"/>
      <c r="AE416"/>
      <c r="AF416"/>
      <c r="AG416"/>
      <c r="AH416"/>
      <c r="AI416"/>
    </row>
    <row r="417" spans="1:35" ht="16.05" customHeight="1" thickBot="1" x14ac:dyDescent="0.35">
      <c r="A417" s="4" t="s">
        <v>2512</v>
      </c>
      <c r="B417" s="136">
        <v>7.5</v>
      </c>
      <c r="C417" s="2"/>
      <c r="D417" s="4" t="s">
        <v>2545</v>
      </c>
      <c r="E417" s="134">
        <v>10</v>
      </c>
      <c r="F417" s="2"/>
      <c r="G417" s="4" t="s">
        <v>2561</v>
      </c>
      <c r="H417" s="134">
        <v>9</v>
      </c>
      <c r="I417" s="2"/>
      <c r="J417" s="4" t="s">
        <v>2529</v>
      </c>
      <c r="K417" s="134">
        <v>9</v>
      </c>
      <c r="L417" s="2"/>
      <c r="M417" s="205" t="s">
        <v>2564</v>
      </c>
      <c r="N417" s="12">
        <f>ROUND(SUM(N418:N428)/COUNT(N418:N428), 2)</f>
        <v>8.75</v>
      </c>
      <c r="O417" s="16"/>
      <c r="R417"/>
      <c r="S417"/>
      <c r="T417"/>
      <c r="U417"/>
      <c r="V417"/>
      <c r="W417"/>
      <c r="X417"/>
      <c r="Y417"/>
      <c r="Z417"/>
      <c r="AA417"/>
      <c r="AB417"/>
      <c r="AC417"/>
      <c r="AD417"/>
      <c r="AE417"/>
      <c r="AF417"/>
      <c r="AG417"/>
      <c r="AH417"/>
      <c r="AI417"/>
    </row>
    <row r="418" spans="1:35" ht="16.05" customHeight="1" x14ac:dyDescent="0.3">
      <c r="A418" s="4" t="s">
        <v>2513</v>
      </c>
      <c r="B418" s="136">
        <v>7</v>
      </c>
      <c r="C418" s="2"/>
      <c r="D418" s="4" t="s">
        <v>2546</v>
      </c>
      <c r="E418" s="134">
        <v>7.5</v>
      </c>
      <c r="F418" s="2"/>
      <c r="G418" s="4" t="s">
        <v>2562</v>
      </c>
      <c r="H418" s="134">
        <v>10</v>
      </c>
      <c r="I418" s="2"/>
      <c r="J418" s="4" t="s">
        <v>2530</v>
      </c>
      <c r="K418" s="134">
        <v>8.5</v>
      </c>
      <c r="L418" s="2"/>
      <c r="M418" s="11" t="s">
        <v>2565</v>
      </c>
      <c r="N418" s="133">
        <v>9.5</v>
      </c>
      <c r="O418" s="16"/>
      <c r="R418"/>
      <c r="S418"/>
      <c r="T418"/>
      <c r="U418"/>
      <c r="V418"/>
      <c r="W418"/>
      <c r="X418"/>
      <c r="Y418"/>
      <c r="Z418"/>
      <c r="AA418"/>
      <c r="AB418"/>
      <c r="AC418"/>
      <c r="AD418"/>
      <c r="AE418"/>
      <c r="AF418"/>
      <c r="AG418"/>
      <c r="AH418"/>
      <c r="AI418"/>
    </row>
    <row r="419" spans="1:35" ht="16.05" customHeight="1" thickBot="1" x14ac:dyDescent="0.35">
      <c r="A419" s="4" t="s">
        <v>2514</v>
      </c>
      <c r="B419" s="136">
        <v>8.5</v>
      </c>
      <c r="C419" s="2"/>
      <c r="D419" s="4" t="s">
        <v>2547</v>
      </c>
      <c r="E419" s="134">
        <v>8.5</v>
      </c>
      <c r="F419" s="2"/>
      <c r="G419" s="7" t="s">
        <v>2563</v>
      </c>
      <c r="H419" s="135">
        <v>8.5</v>
      </c>
      <c r="I419" s="2"/>
      <c r="J419" s="7" t="s">
        <v>2531</v>
      </c>
      <c r="K419" s="135">
        <v>8</v>
      </c>
      <c r="L419" s="2"/>
      <c r="M419" s="4" t="s">
        <v>2566</v>
      </c>
      <c r="N419" s="134">
        <v>8</v>
      </c>
      <c r="O419" s="16"/>
      <c r="R419"/>
      <c r="S419"/>
      <c r="T419"/>
      <c r="U419"/>
      <c r="V419"/>
      <c r="W419"/>
      <c r="X419"/>
      <c r="Y419"/>
      <c r="Z419"/>
      <c r="AA419"/>
      <c r="AB419"/>
      <c r="AC419"/>
      <c r="AD419"/>
      <c r="AE419"/>
      <c r="AF419"/>
      <c r="AG419"/>
      <c r="AH419"/>
      <c r="AI419"/>
    </row>
    <row r="420" spans="1:35" ht="16.05" customHeight="1" thickBot="1" x14ac:dyDescent="0.35">
      <c r="A420" s="4" t="s">
        <v>2515</v>
      </c>
      <c r="B420" s="136">
        <v>10</v>
      </c>
      <c r="C420" s="2"/>
      <c r="D420" s="4" t="s">
        <v>2548</v>
      </c>
      <c r="E420" s="134">
        <v>8</v>
      </c>
      <c r="F420" s="2"/>
      <c r="G420" s="2"/>
      <c r="H420" s="2"/>
      <c r="I420" s="2"/>
      <c r="J420" s="2"/>
      <c r="K420" s="2"/>
      <c r="L420" s="2"/>
      <c r="M420" s="4" t="s">
        <v>2567</v>
      </c>
      <c r="N420" s="134"/>
      <c r="O420" s="16"/>
      <c r="R420"/>
      <c r="S420"/>
      <c r="T420"/>
      <c r="U420"/>
      <c r="V420"/>
      <c r="W420"/>
      <c r="X420"/>
      <c r="Y420"/>
      <c r="Z420"/>
      <c r="AA420"/>
      <c r="AB420"/>
      <c r="AC420"/>
      <c r="AD420"/>
      <c r="AE420"/>
      <c r="AF420"/>
      <c r="AG420"/>
      <c r="AH420"/>
      <c r="AI420"/>
    </row>
    <row r="421" spans="1:35" ht="16.05" customHeight="1" thickBot="1" x14ac:dyDescent="0.35">
      <c r="A421" s="4" t="s">
        <v>2516</v>
      </c>
      <c r="B421" s="136">
        <v>8</v>
      </c>
      <c r="C421" s="2"/>
      <c r="D421" s="4" t="s">
        <v>2549</v>
      </c>
      <c r="E421" s="134">
        <v>8</v>
      </c>
      <c r="F421" s="2"/>
      <c r="G421" s="206" t="s">
        <v>2587</v>
      </c>
      <c r="H421" s="12">
        <f>ROUND(SUM(H422:H432)/COUNT(H422:H432), 2)</f>
        <v>8.5500000000000007</v>
      </c>
      <c r="I421" s="2"/>
      <c r="J421" s="207" t="s">
        <v>2598</v>
      </c>
      <c r="K421" s="12">
        <f>ROUND(SUM(K422:K429)/COUNT(K422:K429), 2)</f>
        <v>8.31</v>
      </c>
      <c r="L421" s="2"/>
      <c r="M421" s="4" t="s">
        <v>2568</v>
      </c>
      <c r="N421" s="134">
        <v>7.5</v>
      </c>
      <c r="O421" s="16"/>
      <c r="R421"/>
      <c r="S421"/>
      <c r="T421"/>
      <c r="U421"/>
      <c r="V421"/>
      <c r="W421"/>
      <c r="X421"/>
      <c r="Y421"/>
      <c r="Z421"/>
      <c r="AA421"/>
      <c r="AB421"/>
      <c r="AC421"/>
      <c r="AD421"/>
      <c r="AE421"/>
      <c r="AF421"/>
      <c r="AG421"/>
      <c r="AH421"/>
      <c r="AI421"/>
    </row>
    <row r="422" spans="1:35" ht="16.05" customHeight="1" x14ac:dyDescent="0.3">
      <c r="A422" s="4" t="s">
        <v>2517</v>
      </c>
      <c r="B422" s="136">
        <v>8</v>
      </c>
      <c r="C422" s="2"/>
      <c r="D422" s="4" t="s">
        <v>2550</v>
      </c>
      <c r="E422" s="134">
        <v>7.5</v>
      </c>
      <c r="F422" s="2"/>
      <c r="G422" s="11" t="s">
        <v>2576</v>
      </c>
      <c r="H422" s="133">
        <v>9</v>
      </c>
      <c r="I422" s="2"/>
      <c r="J422" s="11" t="s">
        <v>2599</v>
      </c>
      <c r="K422" s="133">
        <v>9.5</v>
      </c>
      <c r="L422" s="2"/>
      <c r="M422" s="4" t="s">
        <v>2569</v>
      </c>
      <c r="N422" s="134">
        <v>10</v>
      </c>
      <c r="O422" s="16"/>
      <c r="R422"/>
      <c r="S422"/>
      <c r="T422"/>
      <c r="U422"/>
      <c r="V422"/>
      <c r="W422"/>
      <c r="X422"/>
      <c r="Y422"/>
      <c r="Z422"/>
      <c r="AA422"/>
      <c r="AB422"/>
      <c r="AC422"/>
      <c r="AD422"/>
      <c r="AE422"/>
      <c r="AF422"/>
      <c r="AG422"/>
      <c r="AH422"/>
      <c r="AI422"/>
    </row>
    <row r="423" spans="1:35" ht="16.05" customHeight="1" thickBot="1" x14ac:dyDescent="0.35">
      <c r="A423" s="4" t="s">
        <v>2518</v>
      </c>
      <c r="B423" s="136">
        <v>8</v>
      </c>
      <c r="C423" s="2"/>
      <c r="D423" s="7" t="s">
        <v>2551</v>
      </c>
      <c r="E423" s="135">
        <v>10</v>
      </c>
      <c r="F423" s="2"/>
      <c r="G423" s="4" t="s">
        <v>2577</v>
      </c>
      <c r="H423" s="134">
        <v>8.5</v>
      </c>
      <c r="I423" s="2"/>
      <c r="J423" s="4" t="s">
        <v>2600</v>
      </c>
      <c r="K423" s="134">
        <v>8.5</v>
      </c>
      <c r="L423" s="2"/>
      <c r="M423" s="4" t="s">
        <v>2570</v>
      </c>
      <c r="N423" s="134">
        <v>9</v>
      </c>
      <c r="O423" s="16"/>
      <c r="R423"/>
      <c r="S423"/>
      <c r="T423"/>
      <c r="U423"/>
      <c r="V423"/>
      <c r="W423"/>
      <c r="X423"/>
      <c r="Y423"/>
      <c r="Z423"/>
      <c r="AA423"/>
      <c r="AB423"/>
      <c r="AC423"/>
      <c r="AD423"/>
      <c r="AE423"/>
      <c r="AF423"/>
      <c r="AG423"/>
      <c r="AH423"/>
      <c r="AI423"/>
    </row>
    <row r="424" spans="1:35" ht="16.05" customHeight="1" thickBot="1" x14ac:dyDescent="0.35">
      <c r="A424" s="4" t="s">
        <v>2519</v>
      </c>
      <c r="B424" s="136">
        <v>8</v>
      </c>
      <c r="C424" s="2"/>
      <c r="D424" s="2"/>
      <c r="E424" s="2"/>
      <c r="F424" s="2"/>
      <c r="G424" s="4" t="s">
        <v>2578</v>
      </c>
      <c r="H424" s="134">
        <v>10</v>
      </c>
      <c r="I424" s="2"/>
      <c r="J424" s="4" t="s">
        <v>2601</v>
      </c>
      <c r="K424" s="134">
        <v>8</v>
      </c>
      <c r="L424" s="2"/>
      <c r="M424" s="4" t="s">
        <v>2571</v>
      </c>
      <c r="N424" s="134">
        <v>8.5</v>
      </c>
      <c r="O424" s="16"/>
      <c r="R424"/>
      <c r="S424"/>
      <c r="T424"/>
      <c r="U424"/>
      <c r="V424"/>
      <c r="W424"/>
      <c r="X424"/>
      <c r="Y424"/>
      <c r="Z424"/>
      <c r="AA424"/>
      <c r="AB424"/>
      <c r="AC424"/>
      <c r="AD424"/>
      <c r="AE424"/>
      <c r="AF424"/>
      <c r="AG424"/>
      <c r="AH424"/>
      <c r="AI424"/>
    </row>
    <row r="425" spans="1:35" ht="16.05" customHeight="1" thickBot="1" x14ac:dyDescent="0.35">
      <c r="A425" s="4" t="s">
        <v>2520</v>
      </c>
      <c r="B425" s="136">
        <v>7.5</v>
      </c>
      <c r="C425" s="2"/>
      <c r="D425" s="208" t="s">
        <v>2619</v>
      </c>
      <c r="E425" s="12">
        <f>ROUND(SUM(E426:E434)/COUNT(E426:E434), 2)</f>
        <v>9.06</v>
      </c>
      <c r="F425" s="2"/>
      <c r="G425" s="4" t="s">
        <v>2579</v>
      </c>
      <c r="H425" s="134">
        <v>8.5</v>
      </c>
      <c r="I425" s="2"/>
      <c r="J425" s="4" t="s">
        <v>2602</v>
      </c>
      <c r="K425" s="134">
        <v>7.5</v>
      </c>
      <c r="L425" s="2"/>
      <c r="M425" s="4" t="s">
        <v>2572</v>
      </c>
      <c r="N425" s="134">
        <v>9.5</v>
      </c>
      <c r="O425" s="16"/>
      <c r="R425"/>
      <c r="S425"/>
      <c r="T425"/>
      <c r="U425"/>
      <c r="V425"/>
      <c r="W425"/>
      <c r="X425"/>
      <c r="Y425"/>
      <c r="Z425"/>
      <c r="AA425"/>
      <c r="AB425"/>
      <c r="AC425"/>
      <c r="AD425"/>
      <c r="AE425"/>
      <c r="AF425"/>
      <c r="AG425"/>
      <c r="AH425"/>
      <c r="AI425"/>
    </row>
    <row r="426" spans="1:35" ht="16.05" customHeight="1" thickBot="1" x14ac:dyDescent="0.35">
      <c r="A426" s="7" t="s">
        <v>2521</v>
      </c>
      <c r="B426" s="191">
        <v>9</v>
      </c>
      <c r="C426" s="2"/>
      <c r="D426" s="11" t="s">
        <v>2610</v>
      </c>
      <c r="E426" s="190">
        <v>8.5</v>
      </c>
      <c r="F426" s="2"/>
      <c r="G426" s="4" t="s">
        <v>2580</v>
      </c>
      <c r="H426" s="134">
        <v>8</v>
      </c>
      <c r="I426" s="2"/>
      <c r="J426" s="4" t="s">
        <v>2603</v>
      </c>
      <c r="K426" s="134">
        <v>8</v>
      </c>
      <c r="L426" s="2"/>
      <c r="M426" s="4" t="s">
        <v>2573</v>
      </c>
      <c r="N426" s="134">
        <v>8</v>
      </c>
      <c r="O426" s="16"/>
      <c r="R426"/>
      <c r="S426"/>
      <c r="T426"/>
      <c r="U426"/>
      <c r="V426"/>
      <c r="W426"/>
      <c r="X426"/>
      <c r="Y426"/>
      <c r="Z426"/>
      <c r="AA426"/>
      <c r="AB426"/>
      <c r="AC426"/>
      <c r="AD426"/>
      <c r="AE426"/>
      <c r="AF426"/>
      <c r="AG426"/>
      <c r="AH426"/>
      <c r="AI426"/>
    </row>
    <row r="427" spans="1:35" ht="16.05" customHeight="1" thickBot="1" x14ac:dyDescent="0.35">
      <c r="A427" s="2"/>
      <c r="B427" s="2"/>
      <c r="C427" s="2"/>
      <c r="D427" s="4" t="s">
        <v>2611</v>
      </c>
      <c r="E427" s="136">
        <v>8</v>
      </c>
      <c r="F427" s="2"/>
      <c r="G427" s="4" t="s">
        <v>2581</v>
      </c>
      <c r="H427" s="134">
        <v>7.5</v>
      </c>
      <c r="I427" s="2"/>
      <c r="J427" s="4" t="s">
        <v>2604</v>
      </c>
      <c r="K427" s="134">
        <v>7</v>
      </c>
      <c r="L427" s="2"/>
      <c r="M427" s="4" t="s">
        <v>2574</v>
      </c>
      <c r="N427" s="134">
        <v>8.5</v>
      </c>
      <c r="O427" s="16"/>
      <c r="R427"/>
      <c r="S427"/>
      <c r="T427"/>
      <c r="U427"/>
      <c r="V427"/>
      <c r="W427"/>
      <c r="X427"/>
      <c r="Y427"/>
      <c r="Z427"/>
      <c r="AA427"/>
      <c r="AB427"/>
      <c r="AC427"/>
      <c r="AD427"/>
      <c r="AE427"/>
      <c r="AF427"/>
      <c r="AG427"/>
      <c r="AH427"/>
      <c r="AI427"/>
    </row>
    <row r="428" spans="1:35" ht="16.05" customHeight="1" thickBot="1" x14ac:dyDescent="0.35">
      <c r="A428" s="209" t="s">
        <v>2624</v>
      </c>
      <c r="B428" s="12">
        <f>ROUND(SUM(B429:B439)/COUNT(B429:B439), 2)</f>
        <v>8.91</v>
      </c>
      <c r="C428" s="2"/>
      <c r="D428" s="4" t="s">
        <v>2612</v>
      </c>
      <c r="E428" s="136">
        <v>8.5</v>
      </c>
      <c r="F428" s="2"/>
      <c r="G428" s="4" t="s">
        <v>2582</v>
      </c>
      <c r="H428" s="134">
        <v>8</v>
      </c>
      <c r="I428" s="2"/>
      <c r="J428" s="4" t="s">
        <v>2605</v>
      </c>
      <c r="K428" s="134">
        <v>10</v>
      </c>
      <c r="L428" s="2"/>
      <c r="M428" s="7" t="s">
        <v>2575</v>
      </c>
      <c r="N428" s="135">
        <v>9</v>
      </c>
      <c r="O428" s="16"/>
      <c r="R428"/>
      <c r="S428"/>
      <c r="T428"/>
      <c r="U428"/>
      <c r="V428"/>
      <c r="W428"/>
      <c r="X428"/>
      <c r="Y428"/>
      <c r="Z428"/>
      <c r="AA428"/>
      <c r="AB428"/>
      <c r="AC428"/>
      <c r="AD428"/>
      <c r="AE428"/>
      <c r="AF428"/>
      <c r="AG428"/>
      <c r="AH428"/>
      <c r="AI428"/>
    </row>
    <row r="429" spans="1:35" ht="16.05" customHeight="1" thickBot="1" x14ac:dyDescent="0.35">
      <c r="A429" s="11" t="s">
        <v>2625</v>
      </c>
      <c r="B429" s="190">
        <v>9.5</v>
      </c>
      <c r="C429" s="2"/>
      <c r="D429" s="4" t="s">
        <v>2613</v>
      </c>
      <c r="E429" s="136">
        <v>10</v>
      </c>
      <c r="F429" s="2"/>
      <c r="G429" s="4" t="s">
        <v>2583</v>
      </c>
      <c r="H429" s="134">
        <v>8</v>
      </c>
      <c r="I429" s="2"/>
      <c r="J429" s="7" t="s">
        <v>2606</v>
      </c>
      <c r="K429" s="135">
        <v>8</v>
      </c>
      <c r="L429" s="2"/>
      <c r="M429" s="2"/>
      <c r="N429" s="2"/>
      <c r="O429" s="16"/>
      <c r="R429"/>
      <c r="S429"/>
      <c r="T429"/>
      <c r="U429"/>
      <c r="V429"/>
      <c r="W429"/>
      <c r="X429"/>
      <c r="Y429"/>
      <c r="Z429"/>
      <c r="AA429"/>
      <c r="AB429"/>
      <c r="AC429"/>
      <c r="AD429"/>
      <c r="AE429"/>
      <c r="AF429"/>
      <c r="AG429"/>
      <c r="AH429"/>
      <c r="AI429"/>
    </row>
    <row r="430" spans="1:35" ht="16.05" customHeight="1" thickBot="1" x14ac:dyDescent="0.35">
      <c r="A430" s="4" t="s">
        <v>2626</v>
      </c>
      <c r="B430" s="136">
        <v>8</v>
      </c>
      <c r="C430" s="2"/>
      <c r="D430" s="4" t="s">
        <v>2614</v>
      </c>
      <c r="E430" s="136">
        <v>10</v>
      </c>
      <c r="F430" s="2"/>
      <c r="G430" s="4" t="s">
        <v>2584</v>
      </c>
      <c r="H430" s="134">
        <v>8</v>
      </c>
      <c r="I430" s="2"/>
      <c r="J430" s="2"/>
      <c r="K430" s="2"/>
      <c r="L430" s="2"/>
      <c r="M430" s="210" t="s">
        <v>2668</v>
      </c>
      <c r="N430" s="12">
        <f>ROUND(SUM(N431:N441)/COUNT(N431:N441), 2)</f>
        <v>8.5</v>
      </c>
      <c r="O430" s="16"/>
      <c r="R430"/>
      <c r="S430"/>
      <c r="T430"/>
      <c r="U430"/>
      <c r="V430"/>
      <c r="W430"/>
      <c r="X430"/>
      <c r="Y430"/>
      <c r="Z430"/>
      <c r="AA430"/>
      <c r="AB430"/>
      <c r="AC430"/>
      <c r="AD430"/>
      <c r="AE430"/>
      <c r="AF430"/>
      <c r="AG430"/>
      <c r="AH430"/>
      <c r="AI430"/>
    </row>
    <row r="431" spans="1:35" ht="16.05" customHeight="1" thickBot="1" x14ac:dyDescent="0.35">
      <c r="A431" s="4" t="s">
        <v>2627</v>
      </c>
      <c r="B431" s="136">
        <v>8</v>
      </c>
      <c r="C431" s="2"/>
      <c r="D431" s="4" t="s">
        <v>2615</v>
      </c>
      <c r="E431" s="136">
        <v>10</v>
      </c>
      <c r="F431" s="2"/>
      <c r="G431" s="4" t="s">
        <v>2585</v>
      </c>
      <c r="H431" s="134">
        <v>10</v>
      </c>
      <c r="I431" s="2"/>
      <c r="J431" s="211" t="s">
        <v>2681</v>
      </c>
      <c r="K431" s="12">
        <f>ROUND(SUM(K432:K443)/COUNT(K432:K443), 2)</f>
        <v>8.6300000000000008</v>
      </c>
      <c r="L431" s="2"/>
      <c r="M431" s="11" t="s">
        <v>2669</v>
      </c>
      <c r="N431" s="133">
        <v>8.5</v>
      </c>
      <c r="O431" s="16"/>
      <c r="R431"/>
      <c r="S431"/>
      <c r="T431"/>
      <c r="U431"/>
      <c r="V431"/>
      <c r="W431"/>
      <c r="X431"/>
      <c r="Y431"/>
      <c r="Z431"/>
      <c r="AA431"/>
      <c r="AB431"/>
      <c r="AC431"/>
      <c r="AD431"/>
      <c r="AE431"/>
      <c r="AF431"/>
      <c r="AG431"/>
      <c r="AH431"/>
      <c r="AI431"/>
    </row>
    <row r="432" spans="1:35" ht="16.05" customHeight="1" thickBot="1" x14ac:dyDescent="0.35">
      <c r="A432" s="4" t="s">
        <v>2628</v>
      </c>
      <c r="B432" s="136">
        <v>10</v>
      </c>
      <c r="C432" s="2"/>
      <c r="D432" s="4" t="s">
        <v>2616</v>
      </c>
      <c r="E432" s="136">
        <v>9</v>
      </c>
      <c r="F432" s="2"/>
      <c r="G432" s="7" t="s">
        <v>2586</v>
      </c>
      <c r="H432" s="135">
        <v>8.5</v>
      </c>
      <c r="I432" s="2"/>
      <c r="J432" s="11" t="s">
        <v>2682</v>
      </c>
      <c r="K432" s="133">
        <v>10</v>
      </c>
      <c r="L432" s="2"/>
      <c r="M432" s="4" t="s">
        <v>176</v>
      </c>
      <c r="N432" s="134">
        <v>8</v>
      </c>
      <c r="O432" s="16"/>
      <c r="R432"/>
      <c r="S432"/>
      <c r="T432"/>
      <c r="U432"/>
      <c r="V432"/>
      <c r="W432"/>
      <c r="X432"/>
      <c r="Y432"/>
      <c r="Z432"/>
      <c r="AA432"/>
      <c r="AB432"/>
      <c r="AC432"/>
      <c r="AD432"/>
      <c r="AE432"/>
      <c r="AF432"/>
      <c r="AG432"/>
      <c r="AH432"/>
      <c r="AI432"/>
    </row>
    <row r="433" spans="1:35" ht="16.05" customHeight="1" thickBot="1" x14ac:dyDescent="0.35">
      <c r="A433" s="4" t="s">
        <v>2629</v>
      </c>
      <c r="B433" s="136">
        <v>9</v>
      </c>
      <c r="C433" s="2"/>
      <c r="D433" s="4" t="s">
        <v>2617</v>
      </c>
      <c r="E433" s="136">
        <v>9</v>
      </c>
      <c r="F433" s="2"/>
      <c r="G433" s="2"/>
      <c r="H433" s="2"/>
      <c r="I433" s="2"/>
      <c r="J433" s="4" t="s">
        <v>2683</v>
      </c>
      <c r="K433" s="134">
        <v>9</v>
      </c>
      <c r="L433" s="2"/>
      <c r="M433" s="4" t="s">
        <v>2670</v>
      </c>
      <c r="N433" s="134">
        <v>8</v>
      </c>
      <c r="O433" s="16"/>
      <c r="R433"/>
      <c r="S433"/>
      <c r="T433"/>
      <c r="U433"/>
      <c r="V433"/>
      <c r="W433"/>
      <c r="X433"/>
      <c r="Y433"/>
      <c r="Z433"/>
      <c r="AA433"/>
      <c r="AB433"/>
      <c r="AC433"/>
      <c r="AD433"/>
      <c r="AE433"/>
      <c r="AF433"/>
      <c r="AG433"/>
      <c r="AH433"/>
      <c r="AI433"/>
    </row>
    <row r="434" spans="1:35" ht="16.05" customHeight="1" thickBot="1" x14ac:dyDescent="0.35">
      <c r="A434" s="4" t="s">
        <v>2630</v>
      </c>
      <c r="B434" s="136">
        <v>9.5</v>
      </c>
      <c r="C434" s="2"/>
      <c r="D434" s="7" t="s">
        <v>2618</v>
      </c>
      <c r="E434" s="191">
        <v>8.5</v>
      </c>
      <c r="F434" s="2"/>
      <c r="G434" s="212" t="s">
        <v>2698</v>
      </c>
      <c r="H434" s="12">
        <f>ROUND(SUM(H435:H449)/COUNT(H435:H449), 2)</f>
        <v>8.83</v>
      </c>
      <c r="I434" s="2"/>
      <c r="J434" s="4" t="s">
        <v>2684</v>
      </c>
      <c r="K434" s="134">
        <v>10</v>
      </c>
      <c r="L434" s="2"/>
      <c r="M434" s="4" t="s">
        <v>2671</v>
      </c>
      <c r="N434" s="134">
        <v>10.5</v>
      </c>
      <c r="O434" s="16"/>
      <c r="R434"/>
      <c r="S434"/>
      <c r="T434"/>
      <c r="U434"/>
      <c r="V434"/>
      <c r="W434"/>
      <c r="X434"/>
      <c r="Y434"/>
      <c r="Z434"/>
      <c r="AA434"/>
      <c r="AB434"/>
      <c r="AC434"/>
      <c r="AD434"/>
      <c r="AE434"/>
      <c r="AF434"/>
      <c r="AG434"/>
      <c r="AH434"/>
      <c r="AI434"/>
    </row>
    <row r="435" spans="1:35" ht="16.05" customHeight="1" thickBot="1" x14ac:dyDescent="0.35">
      <c r="A435" s="4" t="s">
        <v>2631</v>
      </c>
      <c r="B435" s="136">
        <v>9</v>
      </c>
      <c r="C435" s="2"/>
      <c r="D435" s="2"/>
      <c r="E435" s="2"/>
      <c r="F435" s="2"/>
      <c r="G435" s="11" t="s">
        <v>2699</v>
      </c>
      <c r="H435" s="190">
        <v>9</v>
      </c>
      <c r="I435" s="2"/>
      <c r="J435" s="4" t="s">
        <v>2685</v>
      </c>
      <c r="K435" s="134">
        <v>8.5</v>
      </c>
      <c r="L435" s="2"/>
      <c r="M435" s="4" t="s">
        <v>2672</v>
      </c>
      <c r="N435" s="134">
        <v>7.5</v>
      </c>
      <c r="O435" s="16"/>
      <c r="R435"/>
      <c r="S435"/>
      <c r="T435"/>
      <c r="U435"/>
      <c r="V435"/>
      <c r="W435"/>
      <c r="X435"/>
      <c r="Y435"/>
      <c r="Z435"/>
      <c r="AA435"/>
      <c r="AB435"/>
      <c r="AC435"/>
      <c r="AD435"/>
      <c r="AE435"/>
      <c r="AF435"/>
      <c r="AG435"/>
      <c r="AH435"/>
      <c r="AI435"/>
    </row>
    <row r="436" spans="1:35" ht="16.05" customHeight="1" thickBot="1" x14ac:dyDescent="0.35">
      <c r="A436" s="4" t="s">
        <v>2632</v>
      </c>
      <c r="B436" s="136">
        <v>9</v>
      </c>
      <c r="C436" s="2"/>
      <c r="D436" s="213" t="s">
        <v>2715</v>
      </c>
      <c r="E436" s="12">
        <f>ROUND(SUM(E437:E457)/COUNT(E437:E457), 2)</f>
        <v>8.73</v>
      </c>
      <c r="F436" s="2"/>
      <c r="G436" s="4" t="s">
        <v>2700</v>
      </c>
      <c r="H436" s="136">
        <v>9</v>
      </c>
      <c r="I436" s="2"/>
      <c r="J436" s="4" t="s">
        <v>2686</v>
      </c>
      <c r="K436" s="134">
        <v>8</v>
      </c>
      <c r="L436" s="2"/>
      <c r="M436" s="4" t="s">
        <v>2673</v>
      </c>
      <c r="N436" s="134">
        <v>9</v>
      </c>
      <c r="O436" s="16"/>
      <c r="R436"/>
      <c r="S436"/>
      <c r="T436"/>
      <c r="U436"/>
      <c r="V436"/>
      <c r="W436"/>
      <c r="X436"/>
      <c r="Y436"/>
      <c r="Z436"/>
      <c r="AA436"/>
      <c r="AB436"/>
      <c r="AC436"/>
      <c r="AD436"/>
      <c r="AE436"/>
      <c r="AF436"/>
      <c r="AG436"/>
      <c r="AH436"/>
      <c r="AI436"/>
    </row>
    <row r="437" spans="1:35" ht="16.05" customHeight="1" x14ac:dyDescent="0.3">
      <c r="A437" s="4" t="s">
        <v>2633</v>
      </c>
      <c r="B437" s="136">
        <v>8</v>
      </c>
      <c r="C437" s="2"/>
      <c r="D437" s="11" t="s">
        <v>1343</v>
      </c>
      <c r="E437" s="190"/>
      <c r="F437" s="2"/>
      <c r="G437" s="4" t="s">
        <v>2701</v>
      </c>
      <c r="H437" s="136">
        <v>8</v>
      </c>
      <c r="I437" s="2"/>
      <c r="J437" s="4" t="s">
        <v>2687</v>
      </c>
      <c r="K437" s="134">
        <v>9</v>
      </c>
      <c r="L437" s="2"/>
      <c r="M437" s="4" t="s">
        <v>2674</v>
      </c>
      <c r="N437" s="134">
        <v>9</v>
      </c>
      <c r="O437" s="16"/>
      <c r="R437"/>
      <c r="S437"/>
      <c r="T437"/>
      <c r="U437"/>
      <c r="V437"/>
      <c r="W437"/>
      <c r="X437"/>
      <c r="Y437"/>
      <c r="Z437"/>
      <c r="AA437"/>
      <c r="AB437"/>
      <c r="AC437"/>
      <c r="AD437"/>
      <c r="AE437"/>
      <c r="AF437"/>
      <c r="AG437"/>
      <c r="AH437"/>
      <c r="AI437"/>
    </row>
    <row r="438" spans="1:35" ht="16.05" customHeight="1" x14ac:dyDescent="0.3">
      <c r="A438" s="4" t="s">
        <v>2634</v>
      </c>
      <c r="B438" s="136">
        <v>8.5</v>
      </c>
      <c r="C438" s="2"/>
      <c r="D438" s="4" t="s">
        <v>2716</v>
      </c>
      <c r="E438" s="136">
        <v>9.5</v>
      </c>
      <c r="F438" s="2"/>
      <c r="G438" s="4" t="s">
        <v>2702</v>
      </c>
      <c r="H438" s="136">
        <v>7.5</v>
      </c>
      <c r="I438" s="2"/>
      <c r="J438" s="4" t="s">
        <v>2688</v>
      </c>
      <c r="K438" s="134">
        <v>8</v>
      </c>
      <c r="L438" s="2"/>
      <c r="M438" s="4" t="s">
        <v>1548</v>
      </c>
      <c r="N438" s="134">
        <v>9</v>
      </c>
      <c r="O438" s="16"/>
      <c r="R438"/>
      <c r="S438"/>
      <c r="T438"/>
      <c r="U438"/>
      <c r="V438"/>
      <c r="W438"/>
      <c r="X438"/>
      <c r="Y438"/>
      <c r="Z438"/>
      <c r="AA438"/>
      <c r="AB438"/>
      <c r="AC438"/>
      <c r="AD438"/>
      <c r="AE438"/>
      <c r="AF438"/>
      <c r="AG438"/>
      <c r="AH438"/>
      <c r="AI438"/>
    </row>
    <row r="439" spans="1:35" ht="16.05" customHeight="1" thickBot="1" x14ac:dyDescent="0.35">
      <c r="A439" s="7" t="s">
        <v>2635</v>
      </c>
      <c r="B439" s="191">
        <v>9.5</v>
      </c>
      <c r="C439" s="2"/>
      <c r="D439" s="4" t="s">
        <v>2717</v>
      </c>
      <c r="E439" s="136">
        <v>8.5</v>
      </c>
      <c r="F439" s="2"/>
      <c r="G439" s="4" t="s">
        <v>2703</v>
      </c>
      <c r="H439" s="136">
        <v>8</v>
      </c>
      <c r="I439" s="2"/>
      <c r="J439" s="4" t="s">
        <v>2689</v>
      </c>
      <c r="K439" s="134">
        <v>8.5</v>
      </c>
      <c r="L439" s="2"/>
      <c r="M439" s="4" t="s">
        <v>2675</v>
      </c>
      <c r="N439" s="134">
        <v>8</v>
      </c>
      <c r="O439" s="16"/>
      <c r="R439"/>
      <c r="S439"/>
      <c r="T439"/>
      <c r="U439"/>
      <c r="V439"/>
      <c r="W439"/>
      <c r="X439"/>
      <c r="Y439"/>
      <c r="Z439"/>
      <c r="AA439"/>
      <c r="AB439"/>
      <c r="AC439"/>
      <c r="AD439"/>
      <c r="AE439"/>
      <c r="AF439"/>
      <c r="AG439"/>
      <c r="AH439"/>
      <c r="AI439"/>
    </row>
    <row r="440" spans="1:35" ht="16.05" customHeight="1" thickBot="1" x14ac:dyDescent="0.35">
      <c r="A440" s="2"/>
      <c r="B440" s="2"/>
      <c r="C440" s="2"/>
      <c r="D440" s="4" t="s">
        <v>2718</v>
      </c>
      <c r="E440" s="136">
        <v>10</v>
      </c>
      <c r="F440" s="2"/>
      <c r="G440" s="4" t="s">
        <v>2704</v>
      </c>
      <c r="H440" s="136">
        <v>10.5</v>
      </c>
      <c r="I440" s="2"/>
      <c r="J440" s="4" t="s">
        <v>2690</v>
      </c>
      <c r="K440" s="134">
        <v>8.5</v>
      </c>
      <c r="L440" s="2"/>
      <c r="M440" s="4" t="s">
        <v>2676</v>
      </c>
      <c r="N440" s="134">
        <v>8</v>
      </c>
      <c r="O440" s="16"/>
      <c r="R440"/>
      <c r="S440"/>
      <c r="T440"/>
      <c r="U440"/>
      <c r="V440"/>
      <c r="W440"/>
      <c r="X440"/>
      <c r="Y440"/>
      <c r="Z440"/>
      <c r="AA440"/>
      <c r="AB440"/>
      <c r="AC440"/>
      <c r="AD440"/>
      <c r="AE440"/>
      <c r="AF440"/>
      <c r="AG440"/>
      <c r="AH440"/>
      <c r="AI440"/>
    </row>
    <row r="441" spans="1:35" ht="16.05" customHeight="1" thickBot="1" x14ac:dyDescent="0.35">
      <c r="A441" s="226" t="s">
        <v>2952</v>
      </c>
      <c r="B441" s="12">
        <f>ROUND(SUM(B442:B446)/COUNT(B442:B446), 2)</f>
        <v>8.8000000000000007</v>
      </c>
      <c r="C441" s="2"/>
      <c r="D441" s="4" t="s">
        <v>2719</v>
      </c>
      <c r="E441" s="136"/>
      <c r="F441" s="2"/>
      <c r="G441" s="4" t="s">
        <v>2705</v>
      </c>
      <c r="H441" s="136">
        <v>8.5</v>
      </c>
      <c r="I441" s="2"/>
      <c r="J441" s="4" t="s">
        <v>2691</v>
      </c>
      <c r="K441" s="134">
        <v>8</v>
      </c>
      <c r="L441" s="2"/>
      <c r="M441" s="7" t="s">
        <v>2677</v>
      </c>
      <c r="N441" s="135">
        <v>8</v>
      </c>
      <c r="O441" s="16"/>
      <c r="R441"/>
      <c r="S441"/>
      <c r="T441"/>
      <c r="U441"/>
      <c r="V441"/>
      <c r="W441"/>
      <c r="X441"/>
      <c r="Y441"/>
      <c r="Z441"/>
      <c r="AA441"/>
      <c r="AB441"/>
      <c r="AC441"/>
      <c r="AD441"/>
      <c r="AE441"/>
      <c r="AF441"/>
      <c r="AG441"/>
      <c r="AH441"/>
      <c r="AI441"/>
    </row>
    <row r="442" spans="1:35" ht="16.05" customHeight="1" thickBot="1" x14ac:dyDescent="0.35">
      <c r="A442" s="11" t="s">
        <v>2738</v>
      </c>
      <c r="B442" s="190">
        <v>10.5</v>
      </c>
      <c r="C442" s="2"/>
      <c r="D442" s="4" t="s">
        <v>2720</v>
      </c>
      <c r="E442" s="136">
        <v>9</v>
      </c>
      <c r="F442" s="2"/>
      <c r="G442" s="4" t="s">
        <v>2706</v>
      </c>
      <c r="H442" s="136">
        <v>9</v>
      </c>
      <c r="I442" s="2"/>
      <c r="J442" s="4" t="s">
        <v>2692</v>
      </c>
      <c r="K442" s="134">
        <v>8</v>
      </c>
      <c r="L442" s="2"/>
      <c r="M442" s="2"/>
      <c r="N442" s="2"/>
      <c r="O442" s="16"/>
      <c r="R442"/>
      <c r="S442"/>
      <c r="T442"/>
      <c r="U442"/>
      <c r="V442"/>
      <c r="W442"/>
      <c r="X442"/>
      <c r="Y442"/>
      <c r="Z442"/>
      <c r="AA442"/>
      <c r="AB442"/>
      <c r="AC442"/>
      <c r="AD442"/>
      <c r="AE442"/>
      <c r="AF442"/>
      <c r="AG442"/>
      <c r="AH442"/>
      <c r="AI442"/>
    </row>
    <row r="443" spans="1:35" ht="16.05" customHeight="1" thickBot="1" x14ac:dyDescent="0.35">
      <c r="A443" s="4" t="s">
        <v>2739</v>
      </c>
      <c r="B443" s="136">
        <v>9</v>
      </c>
      <c r="C443" s="2"/>
      <c r="D443" s="4" t="s">
        <v>2721</v>
      </c>
      <c r="E443" s="136">
        <v>8</v>
      </c>
      <c r="F443" s="2"/>
      <c r="G443" s="4" t="s">
        <v>2707</v>
      </c>
      <c r="H443" s="136">
        <v>9</v>
      </c>
      <c r="I443" s="2"/>
      <c r="J443" s="7" t="s">
        <v>527</v>
      </c>
      <c r="K443" s="135">
        <v>8</v>
      </c>
      <c r="L443" s="2"/>
      <c r="M443" s="214" t="s">
        <v>2746</v>
      </c>
      <c r="N443" s="12">
        <f>ROUND(SUM(N444:N466)/COUNT(N444:N466), 2)</f>
        <v>8.8800000000000008</v>
      </c>
      <c r="O443" s="16"/>
      <c r="R443"/>
      <c r="S443"/>
      <c r="T443"/>
      <c r="U443"/>
      <c r="V443"/>
      <c r="W443"/>
      <c r="X443"/>
      <c r="Y443"/>
      <c r="Z443"/>
      <c r="AA443"/>
      <c r="AB443"/>
      <c r="AC443"/>
      <c r="AD443"/>
      <c r="AE443"/>
      <c r="AF443"/>
      <c r="AG443"/>
      <c r="AH443"/>
      <c r="AI443"/>
    </row>
    <row r="444" spans="1:35" ht="16.05" customHeight="1" thickBot="1" x14ac:dyDescent="0.35">
      <c r="A444" s="4" t="s">
        <v>2740</v>
      </c>
      <c r="B444" s="136">
        <v>8.5</v>
      </c>
      <c r="C444" s="2"/>
      <c r="D444" s="4" t="s">
        <v>2722</v>
      </c>
      <c r="E444" s="136">
        <v>9.5</v>
      </c>
      <c r="F444" s="2"/>
      <c r="G444" s="4" t="s">
        <v>2708</v>
      </c>
      <c r="H444" s="136">
        <v>8</v>
      </c>
      <c r="I444" s="2"/>
      <c r="J444" s="2"/>
      <c r="K444" s="2"/>
      <c r="L444" s="2"/>
      <c r="M444" s="11" t="s">
        <v>2747</v>
      </c>
      <c r="N444" s="133"/>
      <c r="O444" s="16"/>
      <c r="R444"/>
      <c r="S444"/>
      <c r="T444"/>
      <c r="U444"/>
      <c r="V444"/>
      <c r="W444"/>
      <c r="X444"/>
      <c r="Y444"/>
      <c r="Z444"/>
      <c r="AA444"/>
      <c r="AB444"/>
      <c r="AC444"/>
      <c r="AD444"/>
      <c r="AE444"/>
      <c r="AF444"/>
      <c r="AG444"/>
      <c r="AH444"/>
      <c r="AI444"/>
    </row>
    <row r="445" spans="1:35" ht="16.05" customHeight="1" thickBot="1" x14ac:dyDescent="0.35">
      <c r="A445" s="4" t="s">
        <v>2741</v>
      </c>
      <c r="B445" s="136">
        <v>8</v>
      </c>
      <c r="C445" s="2"/>
      <c r="D445" s="4" t="s">
        <v>2723</v>
      </c>
      <c r="E445" s="136">
        <v>8</v>
      </c>
      <c r="F445" s="2"/>
      <c r="G445" s="4" t="s">
        <v>2709</v>
      </c>
      <c r="H445" s="136">
        <v>8.5</v>
      </c>
      <c r="I445" s="2"/>
      <c r="J445" s="216" t="s">
        <v>2777</v>
      </c>
      <c r="K445" s="12">
        <f>ROUND(SUM(K446:K463)/COUNT(K446:K463), 2)</f>
        <v>8.85</v>
      </c>
      <c r="L445" s="2"/>
      <c r="M445" s="4" t="s">
        <v>2748</v>
      </c>
      <c r="N445" s="134">
        <v>10</v>
      </c>
      <c r="O445" s="16"/>
      <c r="R445"/>
      <c r="S445"/>
      <c r="T445"/>
      <c r="U445"/>
      <c r="V445"/>
      <c r="W445"/>
      <c r="X445"/>
      <c r="Y445"/>
      <c r="Z445"/>
      <c r="AA445"/>
      <c r="AB445"/>
      <c r="AC445"/>
      <c r="AD445"/>
      <c r="AE445"/>
      <c r="AF445"/>
      <c r="AG445"/>
      <c r="AH445"/>
      <c r="AI445"/>
    </row>
    <row r="446" spans="1:35" ht="16.05" customHeight="1" thickBot="1" x14ac:dyDescent="0.35">
      <c r="A446" s="7" t="s">
        <v>2742</v>
      </c>
      <c r="B446" s="191">
        <v>8</v>
      </c>
      <c r="C446" s="2"/>
      <c r="D446" s="4" t="s">
        <v>2724</v>
      </c>
      <c r="E446" s="136"/>
      <c r="F446" s="2"/>
      <c r="G446" s="4" t="s">
        <v>2710</v>
      </c>
      <c r="H446" s="136">
        <v>10</v>
      </c>
      <c r="I446" s="2"/>
      <c r="J446" s="11" t="s">
        <v>2778</v>
      </c>
      <c r="K446" s="133">
        <v>9</v>
      </c>
      <c r="L446" s="2"/>
      <c r="M446" s="4" t="s">
        <v>2749</v>
      </c>
      <c r="N446" s="134">
        <v>10</v>
      </c>
      <c r="O446" s="16"/>
      <c r="R446"/>
      <c r="S446"/>
      <c r="T446"/>
      <c r="U446"/>
      <c r="V446"/>
      <c r="W446"/>
      <c r="X446"/>
      <c r="Y446"/>
      <c r="Z446"/>
      <c r="AA446"/>
      <c r="AB446"/>
      <c r="AC446"/>
      <c r="AD446"/>
      <c r="AE446"/>
      <c r="AF446"/>
      <c r="AG446"/>
      <c r="AH446"/>
      <c r="AI446"/>
    </row>
    <row r="447" spans="1:35" ht="16.05" customHeight="1" thickBot="1" x14ac:dyDescent="0.35">
      <c r="A447" s="2"/>
      <c r="B447" s="2"/>
      <c r="C447" s="2"/>
      <c r="D447" s="4" t="s">
        <v>2725</v>
      </c>
      <c r="E447" s="136">
        <v>8.5</v>
      </c>
      <c r="F447" s="2"/>
      <c r="G447" s="4" t="s">
        <v>2711</v>
      </c>
      <c r="H447" s="136">
        <v>8.5</v>
      </c>
      <c r="I447" s="2"/>
      <c r="J447" s="4" t="s">
        <v>2779</v>
      </c>
      <c r="K447" s="134">
        <v>10</v>
      </c>
      <c r="L447" s="2"/>
      <c r="M447" s="4" t="s">
        <v>2750</v>
      </c>
      <c r="N447" s="134">
        <v>9</v>
      </c>
      <c r="O447" s="16"/>
      <c r="R447"/>
      <c r="S447"/>
      <c r="T447"/>
      <c r="U447"/>
      <c r="V447"/>
      <c r="W447"/>
      <c r="X447"/>
      <c r="Y447"/>
      <c r="Z447"/>
      <c r="AA447"/>
      <c r="AB447"/>
      <c r="AC447"/>
      <c r="AD447"/>
      <c r="AE447"/>
      <c r="AF447"/>
      <c r="AG447"/>
      <c r="AH447"/>
      <c r="AI447"/>
    </row>
    <row r="448" spans="1:35" ht="16.05" customHeight="1" thickBot="1" x14ac:dyDescent="0.35">
      <c r="A448" s="215" t="s">
        <v>2769</v>
      </c>
      <c r="B448" s="12">
        <f>ROUND(SUM(B449:B455)/COUNT(B449:B455), 2)</f>
        <v>8.4</v>
      </c>
      <c r="C448" s="2"/>
      <c r="D448" s="4" t="s">
        <v>2726</v>
      </c>
      <c r="E448" s="136">
        <v>9</v>
      </c>
      <c r="F448" s="2"/>
      <c r="G448" s="4" t="s">
        <v>2712</v>
      </c>
      <c r="H448" s="136">
        <v>10.5</v>
      </c>
      <c r="I448" s="2"/>
      <c r="J448" s="4" t="s">
        <v>2780</v>
      </c>
      <c r="K448" s="134">
        <v>8</v>
      </c>
      <c r="L448" s="2"/>
      <c r="M448" s="4" t="s">
        <v>2751</v>
      </c>
      <c r="N448" s="134"/>
      <c r="O448" s="16"/>
      <c r="R448"/>
      <c r="S448"/>
      <c r="T448"/>
      <c r="U448"/>
      <c r="V448"/>
      <c r="W448"/>
      <c r="X448"/>
      <c r="Y448"/>
      <c r="Z448"/>
      <c r="AA448"/>
      <c r="AB448"/>
      <c r="AC448"/>
      <c r="AD448"/>
      <c r="AE448"/>
      <c r="AF448"/>
      <c r="AG448"/>
      <c r="AH448"/>
      <c r="AI448"/>
    </row>
    <row r="449" spans="1:35" ht="16.05" customHeight="1" thickBot="1" x14ac:dyDescent="0.35">
      <c r="A449" s="11" t="s">
        <v>2770</v>
      </c>
      <c r="B449" s="190"/>
      <c r="C449" s="2"/>
      <c r="D449" s="4" t="s">
        <v>2727</v>
      </c>
      <c r="E449" s="136">
        <v>8.5</v>
      </c>
      <c r="F449" s="2"/>
      <c r="G449" s="7" t="s">
        <v>2713</v>
      </c>
      <c r="H449" s="191">
        <v>8.5</v>
      </c>
      <c r="I449" s="2"/>
      <c r="J449" s="4" t="s">
        <v>2781</v>
      </c>
      <c r="K449" s="134">
        <v>10</v>
      </c>
      <c r="L449" s="2"/>
      <c r="M449" s="4" t="s">
        <v>2752</v>
      </c>
      <c r="N449" s="134">
        <v>8.5</v>
      </c>
      <c r="O449" s="16"/>
      <c r="R449"/>
      <c r="S449"/>
      <c r="T449"/>
      <c r="U449"/>
      <c r="V449"/>
      <c r="W449"/>
      <c r="X449"/>
      <c r="Y449"/>
      <c r="Z449"/>
      <c r="AA449"/>
      <c r="AB449"/>
      <c r="AC449"/>
      <c r="AD449"/>
      <c r="AE449"/>
      <c r="AF449"/>
      <c r="AG449"/>
      <c r="AH449"/>
      <c r="AI449"/>
    </row>
    <row r="450" spans="1:35" ht="16.05" customHeight="1" thickBot="1" x14ac:dyDescent="0.35">
      <c r="A450" s="4" t="s">
        <v>2771</v>
      </c>
      <c r="B450" s="136">
        <v>9</v>
      </c>
      <c r="C450" s="2"/>
      <c r="D450" s="4" t="s">
        <v>2728</v>
      </c>
      <c r="E450" s="136"/>
      <c r="F450" s="2"/>
      <c r="G450" s="2"/>
      <c r="H450" s="2"/>
      <c r="I450" s="2"/>
      <c r="J450" s="4" t="s">
        <v>2782</v>
      </c>
      <c r="K450" s="134">
        <v>8.5</v>
      </c>
      <c r="L450" s="2"/>
      <c r="M450" s="4" t="s">
        <v>2753</v>
      </c>
      <c r="N450" s="134"/>
      <c r="O450" s="16"/>
      <c r="R450"/>
      <c r="S450"/>
      <c r="T450"/>
      <c r="U450"/>
      <c r="V450"/>
      <c r="W450"/>
      <c r="X450"/>
      <c r="Y450"/>
      <c r="Z450"/>
      <c r="AA450"/>
      <c r="AB450"/>
      <c r="AC450"/>
      <c r="AD450"/>
      <c r="AE450"/>
      <c r="AF450"/>
      <c r="AG450"/>
      <c r="AH450"/>
      <c r="AI450"/>
    </row>
    <row r="451" spans="1:35" ht="16.05" customHeight="1" thickBot="1" x14ac:dyDescent="0.35">
      <c r="A451" s="4" t="s">
        <v>2772</v>
      </c>
      <c r="B451" s="136">
        <v>8</v>
      </c>
      <c r="C451" s="2"/>
      <c r="D451" s="4" t="s">
        <v>2729</v>
      </c>
      <c r="E451" s="136">
        <v>8.5</v>
      </c>
      <c r="F451" s="2"/>
      <c r="G451" s="217" t="s">
        <v>2806</v>
      </c>
      <c r="H451" s="12">
        <f>ROUND(SUM(H452:H465)/COUNT(H452:H465), 2)</f>
        <v>8.65</v>
      </c>
      <c r="I451" s="2"/>
      <c r="J451" s="4" t="s">
        <v>2783</v>
      </c>
      <c r="K451" s="134">
        <v>8.5</v>
      </c>
      <c r="L451" s="2"/>
      <c r="M451" s="4" t="s">
        <v>2754</v>
      </c>
      <c r="N451" s="134">
        <v>9</v>
      </c>
      <c r="O451" s="16"/>
      <c r="R451"/>
      <c r="S451"/>
      <c r="T451"/>
      <c r="U451"/>
      <c r="V451"/>
      <c r="W451"/>
      <c r="X451"/>
      <c r="Y451"/>
      <c r="Z451"/>
      <c r="AA451"/>
      <c r="AB451"/>
      <c r="AC451"/>
      <c r="AD451"/>
      <c r="AE451"/>
      <c r="AF451"/>
      <c r="AG451"/>
      <c r="AH451"/>
      <c r="AI451"/>
    </row>
    <row r="452" spans="1:35" ht="16.05" customHeight="1" x14ac:dyDescent="0.3">
      <c r="A452" s="4" t="s">
        <v>2773</v>
      </c>
      <c r="B452" s="136">
        <v>8.5</v>
      </c>
      <c r="C452" s="2"/>
      <c r="D452" s="4" t="s">
        <v>2730</v>
      </c>
      <c r="E452" s="136"/>
      <c r="F452" s="2"/>
      <c r="G452" s="11" t="s">
        <v>2807</v>
      </c>
      <c r="H452" s="190">
        <v>9.5</v>
      </c>
      <c r="I452" s="2"/>
      <c r="J452" s="4" t="s">
        <v>2784</v>
      </c>
      <c r="K452" s="134">
        <v>9</v>
      </c>
      <c r="L452" s="2"/>
      <c r="M452" s="4" t="s">
        <v>2755</v>
      </c>
      <c r="N452" s="134"/>
      <c r="O452" s="16"/>
      <c r="R452"/>
      <c r="S452"/>
      <c r="T452"/>
      <c r="U452"/>
      <c r="V452"/>
      <c r="W452"/>
      <c r="X452"/>
      <c r="Y452"/>
      <c r="Z452"/>
      <c r="AA452"/>
      <c r="AB452"/>
      <c r="AC452"/>
      <c r="AD452"/>
      <c r="AE452"/>
      <c r="AF452"/>
      <c r="AG452"/>
      <c r="AH452"/>
      <c r="AI452"/>
    </row>
    <row r="453" spans="1:35" ht="16.05" customHeight="1" x14ac:dyDescent="0.3">
      <c r="A453" s="4" t="s">
        <v>2774</v>
      </c>
      <c r="B453" s="136"/>
      <c r="C453" s="2"/>
      <c r="D453" s="4" t="s">
        <v>2731</v>
      </c>
      <c r="E453" s="136"/>
      <c r="F453" s="2"/>
      <c r="G453" s="4" t="s">
        <v>2808</v>
      </c>
      <c r="H453" s="136">
        <v>10</v>
      </c>
      <c r="I453" s="2"/>
      <c r="J453" s="4" t="s">
        <v>2785</v>
      </c>
      <c r="K453" s="134">
        <v>8</v>
      </c>
      <c r="L453" s="2"/>
      <c r="M453" s="145">
        <v>1969</v>
      </c>
      <c r="N453" s="134">
        <v>10</v>
      </c>
      <c r="O453" s="16"/>
      <c r="R453"/>
      <c r="S453"/>
      <c r="T453"/>
      <c r="U453"/>
      <c r="V453"/>
      <c r="W453"/>
      <c r="X453"/>
      <c r="Y453"/>
      <c r="Z453"/>
      <c r="AA453"/>
      <c r="AB453"/>
      <c r="AC453"/>
      <c r="AD453"/>
      <c r="AE453"/>
      <c r="AF453"/>
      <c r="AG453"/>
      <c r="AH453"/>
      <c r="AI453"/>
    </row>
    <row r="454" spans="1:35" ht="16.05" customHeight="1" x14ac:dyDescent="0.3">
      <c r="A454" s="4" t="s">
        <v>2775</v>
      </c>
      <c r="B454" s="136">
        <v>8</v>
      </c>
      <c r="C454" s="2"/>
      <c r="D454" s="4" t="s">
        <v>2732</v>
      </c>
      <c r="E454" s="136">
        <v>9</v>
      </c>
      <c r="F454" s="2"/>
      <c r="G454" s="4" t="s">
        <v>2809</v>
      </c>
      <c r="H454" s="136">
        <v>9</v>
      </c>
      <c r="I454" s="2"/>
      <c r="J454" s="4" t="s">
        <v>2786</v>
      </c>
      <c r="K454" s="134">
        <v>7.5</v>
      </c>
      <c r="L454" s="2"/>
      <c r="M454" s="4" t="s">
        <v>2756</v>
      </c>
      <c r="N454" s="134"/>
      <c r="O454" s="16"/>
      <c r="R454"/>
      <c r="S454"/>
      <c r="T454"/>
      <c r="U454"/>
      <c r="V454"/>
      <c r="W454"/>
      <c r="X454"/>
      <c r="Y454"/>
      <c r="Z454"/>
      <c r="AA454"/>
      <c r="AB454"/>
      <c r="AC454"/>
      <c r="AD454"/>
      <c r="AE454"/>
      <c r="AF454"/>
      <c r="AG454"/>
      <c r="AH454"/>
      <c r="AI454"/>
    </row>
    <row r="455" spans="1:35" ht="16.05" customHeight="1" thickBot="1" x14ac:dyDescent="0.35">
      <c r="A455" s="7" t="s">
        <v>2776</v>
      </c>
      <c r="B455" s="191">
        <v>8.5</v>
      </c>
      <c r="C455" s="2"/>
      <c r="D455" s="4" t="s">
        <v>2733</v>
      </c>
      <c r="E455" s="136">
        <v>8.5</v>
      </c>
      <c r="F455" s="2"/>
      <c r="G455" s="4" t="s">
        <v>2810</v>
      </c>
      <c r="H455" s="136">
        <v>8.5</v>
      </c>
      <c r="I455" s="2"/>
      <c r="J455" s="4" t="s">
        <v>2787</v>
      </c>
      <c r="K455" s="134">
        <v>10.5</v>
      </c>
      <c r="L455" s="2"/>
      <c r="M455" s="4" t="s">
        <v>2757</v>
      </c>
      <c r="N455" s="134">
        <v>8</v>
      </c>
      <c r="O455" s="16"/>
      <c r="R455"/>
      <c r="S455"/>
      <c r="T455"/>
      <c r="U455"/>
      <c r="V455"/>
      <c r="W455"/>
      <c r="X455"/>
      <c r="Y455"/>
      <c r="Z455"/>
      <c r="AA455"/>
      <c r="AB455"/>
      <c r="AC455"/>
      <c r="AD455"/>
      <c r="AE455"/>
      <c r="AF455"/>
      <c r="AG455"/>
      <c r="AH455"/>
      <c r="AI455"/>
    </row>
    <row r="456" spans="1:35" ht="16.05" customHeight="1" thickBot="1" x14ac:dyDescent="0.35">
      <c r="A456" s="2"/>
      <c r="B456" s="2"/>
      <c r="C456" s="2"/>
      <c r="D456" s="4" t="s">
        <v>2734</v>
      </c>
      <c r="E456" s="136">
        <v>8.5</v>
      </c>
      <c r="F456" s="2"/>
      <c r="G456" s="4" t="s">
        <v>2811</v>
      </c>
      <c r="H456" s="136">
        <v>10</v>
      </c>
      <c r="I456" s="2"/>
      <c r="J456" s="4" t="s">
        <v>2788</v>
      </c>
      <c r="K456" s="134">
        <v>8</v>
      </c>
      <c r="L456" s="2"/>
      <c r="M456" s="4" t="s">
        <v>2758</v>
      </c>
      <c r="N456" s="134"/>
      <c r="O456" s="16"/>
      <c r="R456"/>
      <c r="S456"/>
      <c r="T456"/>
      <c r="U456"/>
      <c r="V456"/>
      <c r="W456"/>
      <c r="X456"/>
      <c r="Y456"/>
      <c r="Z456"/>
      <c r="AA456"/>
      <c r="AB456"/>
      <c r="AC456"/>
      <c r="AD456"/>
      <c r="AE456"/>
      <c r="AF456"/>
      <c r="AG456"/>
      <c r="AH456"/>
      <c r="AI456"/>
    </row>
    <row r="457" spans="1:35" ht="16.05" customHeight="1" thickBot="1" x14ac:dyDescent="0.35">
      <c r="A457" s="218" t="s">
        <v>2825</v>
      </c>
      <c r="B457" s="12">
        <f>ROUND(SUM(B458:B471)/COUNT(B458:B471), 2)</f>
        <v>8.39</v>
      </c>
      <c r="C457" s="2"/>
      <c r="D457" s="7" t="s">
        <v>2735</v>
      </c>
      <c r="E457" s="191">
        <v>8</v>
      </c>
      <c r="F457" s="2"/>
      <c r="G457" s="4" t="s">
        <v>2812</v>
      </c>
      <c r="H457" s="136">
        <v>8</v>
      </c>
      <c r="I457" s="2"/>
      <c r="J457" s="4" t="s">
        <v>2789</v>
      </c>
      <c r="K457" s="134">
        <v>8.5</v>
      </c>
      <c r="L457" s="2"/>
      <c r="M457" s="4" t="s">
        <v>2759</v>
      </c>
      <c r="N457" s="134">
        <v>8.5</v>
      </c>
      <c r="O457" s="16"/>
      <c r="R457"/>
      <c r="S457"/>
      <c r="T457"/>
      <c r="U457"/>
      <c r="V457"/>
      <c r="W457"/>
      <c r="X457"/>
      <c r="Y457"/>
      <c r="Z457"/>
      <c r="AA457"/>
      <c r="AB457"/>
      <c r="AC457"/>
      <c r="AD457"/>
      <c r="AE457"/>
      <c r="AF457"/>
      <c r="AG457"/>
      <c r="AH457"/>
      <c r="AI457"/>
    </row>
    <row r="458" spans="1:35" ht="16.05" customHeight="1" thickBot="1" x14ac:dyDescent="0.35">
      <c r="A458" s="11" t="s">
        <v>2826</v>
      </c>
      <c r="B458" s="190">
        <v>8</v>
      </c>
      <c r="C458" s="2"/>
      <c r="D458" s="2"/>
      <c r="E458" s="2"/>
      <c r="F458" s="2"/>
      <c r="G458" s="4" t="s">
        <v>2813</v>
      </c>
      <c r="H458" s="136">
        <v>7.5</v>
      </c>
      <c r="I458" s="2"/>
      <c r="J458" s="4" t="s">
        <v>2790</v>
      </c>
      <c r="K458" s="134">
        <v>10.5</v>
      </c>
      <c r="L458" s="2"/>
      <c r="M458" s="4" t="s">
        <v>2760</v>
      </c>
      <c r="N458" s="134"/>
      <c r="O458" s="16"/>
      <c r="R458"/>
      <c r="S458"/>
      <c r="T458"/>
      <c r="U458"/>
      <c r="V458"/>
      <c r="W458"/>
      <c r="X458"/>
      <c r="Y458"/>
      <c r="Z458"/>
      <c r="AA458"/>
      <c r="AB458"/>
      <c r="AC458"/>
      <c r="AD458"/>
      <c r="AE458"/>
      <c r="AF458"/>
      <c r="AG458"/>
      <c r="AH458"/>
      <c r="AI458"/>
    </row>
    <row r="459" spans="1:35" ht="16.05" customHeight="1" thickBot="1" x14ac:dyDescent="0.35">
      <c r="A459" s="4" t="s">
        <v>2827</v>
      </c>
      <c r="B459" s="136">
        <v>10</v>
      </c>
      <c r="C459" s="2"/>
      <c r="D459" s="219" t="s">
        <v>2842</v>
      </c>
      <c r="E459" s="12">
        <f>ROUND(SUM(E460:E485)/COUNT(E460:E485), 2)</f>
        <v>8.8000000000000007</v>
      </c>
      <c r="F459" s="2"/>
      <c r="G459" s="4" t="s">
        <v>2814</v>
      </c>
      <c r="H459" s="136">
        <v>8.5</v>
      </c>
      <c r="I459" s="2"/>
      <c r="J459" s="4" t="s">
        <v>2791</v>
      </c>
      <c r="K459" s="134">
        <v>8.5</v>
      </c>
      <c r="L459" s="2"/>
      <c r="M459" s="4" t="s">
        <v>2761</v>
      </c>
      <c r="N459" s="134">
        <v>8</v>
      </c>
      <c r="O459" s="16"/>
      <c r="R459"/>
      <c r="S459"/>
      <c r="T459"/>
      <c r="U459"/>
      <c r="V459"/>
      <c r="W459"/>
      <c r="X459"/>
      <c r="Y459"/>
      <c r="Z459"/>
      <c r="AA459"/>
      <c r="AB459"/>
      <c r="AC459"/>
      <c r="AD459"/>
      <c r="AE459"/>
      <c r="AF459"/>
      <c r="AG459"/>
      <c r="AH459"/>
      <c r="AI459"/>
    </row>
    <row r="460" spans="1:35" ht="16.05" customHeight="1" x14ac:dyDescent="0.3">
      <c r="A460" s="4" t="s">
        <v>2828</v>
      </c>
      <c r="B460" s="136">
        <v>8</v>
      </c>
      <c r="C460" s="2"/>
      <c r="D460" s="11" t="s">
        <v>2843</v>
      </c>
      <c r="E460" s="190">
        <v>9</v>
      </c>
      <c r="F460" s="2"/>
      <c r="G460" s="4" t="s">
        <v>2819</v>
      </c>
      <c r="H460" s="136">
        <v>8</v>
      </c>
      <c r="I460" s="2"/>
      <c r="J460" s="4" t="s">
        <v>2792</v>
      </c>
      <c r="K460" s="134">
        <v>8.5</v>
      </c>
      <c r="L460" s="2"/>
      <c r="M460" s="4" t="s">
        <v>2762</v>
      </c>
      <c r="N460" s="134"/>
      <c r="O460" s="16"/>
      <c r="R460"/>
      <c r="S460"/>
      <c r="T460"/>
      <c r="U460"/>
      <c r="V460"/>
      <c r="W460"/>
      <c r="X460"/>
      <c r="Y460"/>
      <c r="Z460"/>
      <c r="AA460"/>
      <c r="AB460"/>
      <c r="AC460"/>
      <c r="AD460"/>
      <c r="AE460"/>
      <c r="AF460"/>
      <c r="AG460"/>
      <c r="AH460"/>
      <c r="AI460"/>
    </row>
    <row r="461" spans="1:35" ht="16.05" customHeight="1" x14ac:dyDescent="0.3">
      <c r="A461" s="4" t="s">
        <v>2829</v>
      </c>
      <c r="B461" s="136">
        <v>8</v>
      </c>
      <c r="C461" s="2"/>
      <c r="D461" s="4" t="s">
        <v>2844</v>
      </c>
      <c r="E461" s="136">
        <v>8.5</v>
      </c>
      <c r="F461" s="2"/>
      <c r="G461" s="4" t="s">
        <v>2815</v>
      </c>
      <c r="H461" s="136">
        <v>8</v>
      </c>
      <c r="I461" s="2"/>
      <c r="J461" s="4" t="s">
        <v>2793</v>
      </c>
      <c r="K461" s="134">
        <v>8.5</v>
      </c>
      <c r="L461" s="2"/>
      <c r="M461" s="4" t="s">
        <v>2763</v>
      </c>
      <c r="N461" s="134">
        <v>9</v>
      </c>
      <c r="O461" s="16"/>
      <c r="R461"/>
      <c r="S461"/>
      <c r="T461"/>
      <c r="U461"/>
      <c r="V461"/>
      <c r="W461"/>
      <c r="X461"/>
      <c r="Y461"/>
      <c r="Z461"/>
      <c r="AA461"/>
      <c r="AB461"/>
      <c r="AC461"/>
      <c r="AD461"/>
      <c r="AE461"/>
      <c r="AF461"/>
      <c r="AG461"/>
      <c r="AH461"/>
      <c r="AI461"/>
    </row>
    <row r="462" spans="1:35" ht="16.05" customHeight="1" x14ac:dyDescent="0.3">
      <c r="A462" s="4" t="s">
        <v>2830</v>
      </c>
      <c r="B462" s="136">
        <v>8.5</v>
      </c>
      <c r="C462" s="2"/>
      <c r="D462" s="4" t="s">
        <v>2845</v>
      </c>
      <c r="E462" s="136">
        <v>9</v>
      </c>
      <c r="F462" s="2"/>
      <c r="G462" s="4" t="s">
        <v>2816</v>
      </c>
      <c r="H462" s="136">
        <v>8.5</v>
      </c>
      <c r="I462" s="2"/>
      <c r="J462" s="4" t="s">
        <v>2794</v>
      </c>
      <c r="K462" s="134"/>
      <c r="L462" s="2"/>
      <c r="M462" s="4" t="s">
        <v>2764</v>
      </c>
      <c r="N462" s="134">
        <v>9.5</v>
      </c>
      <c r="O462" s="16"/>
      <c r="R462"/>
      <c r="S462"/>
      <c r="T462"/>
      <c r="U462"/>
      <c r="V462"/>
      <c r="W462"/>
      <c r="X462"/>
      <c r="Y462"/>
      <c r="Z462"/>
      <c r="AA462"/>
      <c r="AB462"/>
      <c r="AC462"/>
      <c r="AD462"/>
      <c r="AE462"/>
      <c r="AF462"/>
      <c r="AG462"/>
      <c r="AH462"/>
      <c r="AI462"/>
    </row>
    <row r="463" spans="1:35" ht="16.05" customHeight="1" thickBot="1" x14ac:dyDescent="0.35">
      <c r="A463" s="4" t="s">
        <v>2831</v>
      </c>
      <c r="B463" s="136">
        <v>10.5</v>
      </c>
      <c r="C463" s="2"/>
      <c r="D463" s="4" t="s">
        <v>2846</v>
      </c>
      <c r="E463" s="136">
        <v>8.5</v>
      </c>
      <c r="F463" s="2"/>
      <c r="G463" s="4" t="s">
        <v>2817</v>
      </c>
      <c r="H463" s="136">
        <v>8</v>
      </c>
      <c r="I463" s="2"/>
      <c r="J463" s="7" t="s">
        <v>2795</v>
      </c>
      <c r="K463" s="135">
        <v>9</v>
      </c>
      <c r="L463" s="2"/>
      <c r="M463" s="4" t="s">
        <v>2765</v>
      </c>
      <c r="N463" s="134"/>
      <c r="O463" s="16"/>
      <c r="R463"/>
      <c r="S463"/>
      <c r="T463"/>
      <c r="U463"/>
      <c r="V463"/>
      <c r="W463"/>
      <c r="X463"/>
      <c r="Y463"/>
      <c r="Z463"/>
      <c r="AA463"/>
      <c r="AB463"/>
      <c r="AC463"/>
      <c r="AD463"/>
      <c r="AE463"/>
      <c r="AF463"/>
      <c r="AG463"/>
      <c r="AH463"/>
      <c r="AI463"/>
    </row>
    <row r="464" spans="1:35" ht="16.05" customHeight="1" thickBot="1" x14ac:dyDescent="0.35">
      <c r="A464" s="4" t="s">
        <v>2832</v>
      </c>
      <c r="B464" s="136">
        <v>8.5</v>
      </c>
      <c r="C464" s="2"/>
      <c r="D464" s="4" t="s">
        <v>2847</v>
      </c>
      <c r="E464" s="136">
        <v>10.5</v>
      </c>
      <c r="F464" s="2"/>
      <c r="G464" s="4" t="s">
        <v>2874</v>
      </c>
      <c r="H464" s="136"/>
      <c r="I464" s="2"/>
      <c r="J464" s="2"/>
      <c r="K464" s="2"/>
      <c r="L464" s="2"/>
      <c r="M464" s="4" t="s">
        <v>2766</v>
      </c>
      <c r="N464" s="134">
        <v>8.5</v>
      </c>
      <c r="O464" s="16"/>
      <c r="R464"/>
      <c r="S464"/>
      <c r="T464"/>
      <c r="U464"/>
      <c r="V464"/>
      <c r="W464"/>
      <c r="X464"/>
      <c r="Y464"/>
      <c r="Z464"/>
      <c r="AA464"/>
      <c r="AB464"/>
      <c r="AC464"/>
      <c r="AD464"/>
      <c r="AE464"/>
      <c r="AF464"/>
      <c r="AG464"/>
      <c r="AH464"/>
      <c r="AI464"/>
    </row>
    <row r="465" spans="1:35" ht="16.05" customHeight="1" thickBot="1" x14ac:dyDescent="0.35">
      <c r="A465" s="4" t="s">
        <v>2833</v>
      </c>
      <c r="B465" s="136">
        <v>8</v>
      </c>
      <c r="C465" s="2"/>
      <c r="D465" s="4" t="s">
        <v>2848</v>
      </c>
      <c r="E465" s="136">
        <v>9.5</v>
      </c>
      <c r="F465" s="2"/>
      <c r="G465" s="7" t="s">
        <v>2818</v>
      </c>
      <c r="H465" s="191">
        <v>9</v>
      </c>
      <c r="I465" s="2"/>
      <c r="J465" s="220" t="s">
        <v>2880</v>
      </c>
      <c r="K465" s="12">
        <f>ROUND(SUM(K466:K477)/COUNT(K466:K477), 2)</f>
        <v>8.25</v>
      </c>
      <c r="L465" s="2"/>
      <c r="M465" s="4" t="s">
        <v>2767</v>
      </c>
      <c r="N465" s="134">
        <v>7.5</v>
      </c>
      <c r="O465" s="16"/>
      <c r="R465"/>
      <c r="S465"/>
      <c r="T465"/>
      <c r="U465"/>
      <c r="V465"/>
      <c r="W465"/>
      <c r="X465"/>
      <c r="Y465"/>
      <c r="Z465"/>
      <c r="AA465"/>
      <c r="AB465"/>
      <c r="AC465"/>
      <c r="AD465"/>
      <c r="AE465"/>
      <c r="AF465"/>
      <c r="AG465"/>
      <c r="AH465"/>
      <c r="AI465"/>
    </row>
    <row r="466" spans="1:35" ht="16.05" customHeight="1" thickBot="1" x14ac:dyDescent="0.35">
      <c r="A466" s="4" t="s">
        <v>2834</v>
      </c>
      <c r="B466" s="136">
        <v>8.5</v>
      </c>
      <c r="C466" s="2"/>
      <c r="D466" s="4" t="s">
        <v>2849</v>
      </c>
      <c r="E466" s="136">
        <v>8.5</v>
      </c>
      <c r="F466" s="2"/>
      <c r="G466" s="2"/>
      <c r="H466" s="2"/>
      <c r="I466" s="2"/>
      <c r="J466" s="11" t="s">
        <v>2881</v>
      </c>
      <c r="K466" s="190">
        <v>8.5</v>
      </c>
      <c r="L466" s="2"/>
      <c r="M466" s="7" t="s">
        <v>2768</v>
      </c>
      <c r="N466" s="135"/>
      <c r="O466" s="16"/>
      <c r="R466"/>
      <c r="S466"/>
      <c r="T466"/>
      <c r="U466"/>
      <c r="V466"/>
      <c r="W466"/>
      <c r="X466"/>
      <c r="Y466"/>
      <c r="Z466"/>
      <c r="AA466"/>
      <c r="AB466"/>
      <c r="AC466"/>
      <c r="AD466"/>
      <c r="AE466"/>
      <c r="AF466"/>
      <c r="AG466"/>
      <c r="AH466"/>
      <c r="AI466"/>
    </row>
    <row r="467" spans="1:35" ht="16.05" customHeight="1" thickBot="1" x14ac:dyDescent="0.35">
      <c r="A467" s="4" t="s">
        <v>2835</v>
      </c>
      <c r="B467" s="136">
        <v>8.5</v>
      </c>
      <c r="C467" s="2"/>
      <c r="D467" s="4" t="s">
        <v>2850</v>
      </c>
      <c r="E467" s="136"/>
      <c r="F467" s="2"/>
      <c r="G467" s="221" t="s">
        <v>2895</v>
      </c>
      <c r="H467" s="12">
        <f>ROUND(SUM(H468:H472)/COUNT(H468:H472), 2)</f>
        <v>8.8000000000000007</v>
      </c>
      <c r="I467" s="2"/>
      <c r="J467" s="4" t="s">
        <v>2882</v>
      </c>
      <c r="K467" s="136">
        <v>9</v>
      </c>
      <c r="L467" s="2"/>
      <c r="M467" s="2"/>
      <c r="N467" s="2"/>
      <c r="O467" s="16"/>
      <c r="R467"/>
      <c r="S467"/>
      <c r="T467"/>
      <c r="U467"/>
      <c r="V467"/>
      <c r="W467"/>
      <c r="X467"/>
      <c r="Y467"/>
      <c r="Z467"/>
      <c r="AA467"/>
      <c r="AB467"/>
      <c r="AC467"/>
      <c r="AD467"/>
      <c r="AE467"/>
      <c r="AF467"/>
      <c r="AG467"/>
      <c r="AH467"/>
      <c r="AI467"/>
    </row>
    <row r="468" spans="1:35" ht="16.05" customHeight="1" thickBot="1" x14ac:dyDescent="0.35">
      <c r="A468" s="4" t="s">
        <v>2836</v>
      </c>
      <c r="B468" s="136">
        <v>8</v>
      </c>
      <c r="C468" s="2"/>
      <c r="D468" s="4" t="s">
        <v>2851</v>
      </c>
      <c r="E468" s="136">
        <v>9</v>
      </c>
      <c r="F468" s="2"/>
      <c r="G468" s="11" t="s">
        <v>2896</v>
      </c>
      <c r="H468" s="190">
        <v>8</v>
      </c>
      <c r="I468" s="2"/>
      <c r="J468" s="4" t="s">
        <v>2883</v>
      </c>
      <c r="K468" s="136">
        <v>7.5</v>
      </c>
      <c r="L468" s="2"/>
      <c r="M468" s="222" t="s">
        <v>2903</v>
      </c>
      <c r="N468" s="12">
        <f>ROUND(SUM(N469:N478)/COUNT(N469:N478), 2)</f>
        <v>8.44</v>
      </c>
      <c r="O468" s="16"/>
      <c r="R468"/>
      <c r="S468"/>
      <c r="T468"/>
      <c r="U468"/>
      <c r="V468"/>
      <c r="W468"/>
      <c r="X468"/>
      <c r="Y468"/>
      <c r="Z468"/>
      <c r="AA468"/>
      <c r="AB468"/>
      <c r="AC468"/>
      <c r="AD468"/>
      <c r="AE468"/>
      <c r="AF468"/>
      <c r="AG468"/>
      <c r="AH468"/>
      <c r="AI468"/>
    </row>
    <row r="469" spans="1:35" ht="16.05" customHeight="1" x14ac:dyDescent="0.3">
      <c r="A469" s="4" t="s">
        <v>2837</v>
      </c>
      <c r="B469" s="136">
        <v>7.5</v>
      </c>
      <c r="C469" s="2"/>
      <c r="D469" s="4" t="s">
        <v>2852</v>
      </c>
      <c r="E469" s="136">
        <v>8</v>
      </c>
      <c r="F469" s="2"/>
      <c r="G469" s="4" t="s">
        <v>381</v>
      </c>
      <c r="H469" s="136">
        <v>9</v>
      </c>
      <c r="I469" s="2"/>
      <c r="J469" s="4" t="s">
        <v>2884</v>
      </c>
      <c r="K469" s="136">
        <v>8</v>
      </c>
      <c r="L469" s="2"/>
      <c r="M469" s="11" t="s">
        <v>2904</v>
      </c>
      <c r="N469" s="190">
        <v>8.5</v>
      </c>
      <c r="O469" s="16"/>
      <c r="R469"/>
      <c r="S469"/>
      <c r="T469"/>
      <c r="U469"/>
      <c r="V469"/>
      <c r="W469"/>
      <c r="X469"/>
      <c r="Y469"/>
      <c r="Z469"/>
      <c r="AA469"/>
      <c r="AB469"/>
      <c r="AC469"/>
      <c r="AD469"/>
      <c r="AE469"/>
      <c r="AF469"/>
      <c r="AG469"/>
      <c r="AH469"/>
      <c r="AI469"/>
    </row>
    <row r="470" spans="1:35" ht="16.05" customHeight="1" x14ac:dyDescent="0.3">
      <c r="A470" s="4" t="s">
        <v>2838</v>
      </c>
      <c r="B470" s="136">
        <v>8</v>
      </c>
      <c r="C470" s="2"/>
      <c r="D470" s="4" t="s">
        <v>2853</v>
      </c>
      <c r="E470" s="136">
        <v>8.5</v>
      </c>
      <c r="F470" s="2"/>
      <c r="G470" s="4" t="s">
        <v>2897</v>
      </c>
      <c r="H470" s="136">
        <v>8.5</v>
      </c>
      <c r="I470" s="2"/>
      <c r="J470" s="4" t="s">
        <v>2885</v>
      </c>
      <c r="K470" s="136">
        <v>8</v>
      </c>
      <c r="L470" s="2"/>
      <c r="M470" s="4" t="s">
        <v>2905</v>
      </c>
      <c r="N470" s="136">
        <v>9.5</v>
      </c>
      <c r="O470" s="16"/>
      <c r="R470"/>
      <c r="S470"/>
      <c r="T470"/>
      <c r="U470"/>
      <c r="V470"/>
      <c r="W470"/>
      <c r="X470"/>
      <c r="Y470"/>
      <c r="Z470"/>
      <c r="AA470"/>
      <c r="AB470"/>
      <c r="AC470"/>
      <c r="AD470"/>
      <c r="AE470"/>
      <c r="AF470"/>
      <c r="AG470"/>
      <c r="AH470"/>
      <c r="AI470"/>
    </row>
    <row r="471" spans="1:35" ht="16.05" customHeight="1" thickBot="1" x14ac:dyDescent="0.35">
      <c r="A471" s="7" t="s">
        <v>2839</v>
      </c>
      <c r="B471" s="191">
        <v>7.5</v>
      </c>
      <c r="C471" s="2"/>
      <c r="D471" s="4" t="s">
        <v>2854</v>
      </c>
      <c r="E471" s="136">
        <v>8</v>
      </c>
      <c r="F471" s="2"/>
      <c r="G471" s="4" t="s">
        <v>2898</v>
      </c>
      <c r="H471" s="136">
        <v>10</v>
      </c>
      <c r="I471" s="2"/>
      <c r="J471" s="4" t="s">
        <v>2886</v>
      </c>
      <c r="K471" s="136">
        <v>8</v>
      </c>
      <c r="L471" s="2"/>
      <c r="M471" s="4" t="s">
        <v>2906</v>
      </c>
      <c r="N471" s="136">
        <v>8.5</v>
      </c>
      <c r="O471" s="16"/>
      <c r="R471"/>
      <c r="S471"/>
      <c r="T471"/>
      <c r="U471"/>
      <c r="V471"/>
      <c r="W471"/>
      <c r="X471"/>
      <c r="Y471"/>
      <c r="Z471"/>
      <c r="AA471"/>
      <c r="AB471"/>
      <c r="AC471"/>
      <c r="AD471"/>
      <c r="AE471"/>
      <c r="AF471"/>
      <c r="AG471"/>
      <c r="AH471"/>
      <c r="AI471"/>
    </row>
    <row r="472" spans="1:35" ht="16.05" customHeight="1" thickBot="1" x14ac:dyDescent="0.35">
      <c r="A472" s="2"/>
      <c r="B472" s="2"/>
      <c r="C472" s="2"/>
      <c r="D472" s="4" t="s">
        <v>2855</v>
      </c>
      <c r="E472" s="136"/>
      <c r="F472" s="2"/>
      <c r="G472" s="7" t="s">
        <v>2517</v>
      </c>
      <c r="H472" s="191">
        <v>8.5</v>
      </c>
      <c r="I472" s="2"/>
      <c r="J472" s="4" t="s">
        <v>2887</v>
      </c>
      <c r="K472" s="136">
        <v>9</v>
      </c>
      <c r="L472" s="2"/>
      <c r="M472" s="4" t="s">
        <v>2907</v>
      </c>
      <c r="N472" s="136">
        <v>9</v>
      </c>
      <c r="O472" s="16"/>
      <c r="R472"/>
      <c r="S472"/>
      <c r="T472"/>
      <c r="U472"/>
      <c r="V472"/>
      <c r="W472"/>
      <c r="X472"/>
      <c r="Y472"/>
      <c r="Z472"/>
      <c r="AA472"/>
      <c r="AB472"/>
      <c r="AC472"/>
      <c r="AD472"/>
      <c r="AE472"/>
      <c r="AF472"/>
      <c r="AG472"/>
      <c r="AH472"/>
      <c r="AI472"/>
    </row>
    <row r="473" spans="1:35" ht="16.05" customHeight="1" thickBot="1" x14ac:dyDescent="0.35">
      <c r="A473" s="224" t="s">
        <v>2930</v>
      </c>
      <c r="B473" s="12">
        <f>ROUND(SUM(B474:B485)/COUNT(B474:B485), 2)</f>
        <v>8.41</v>
      </c>
      <c r="C473" s="2"/>
      <c r="D473" s="4" t="s">
        <v>2856</v>
      </c>
      <c r="E473" s="136">
        <v>10</v>
      </c>
      <c r="F473" s="2"/>
      <c r="G473" s="2"/>
      <c r="H473" s="2"/>
      <c r="I473" s="2"/>
      <c r="J473" s="4" t="s">
        <v>2888</v>
      </c>
      <c r="K473" s="136">
        <v>8.5</v>
      </c>
      <c r="L473" s="2"/>
      <c r="M473" s="4" t="s">
        <v>2908</v>
      </c>
      <c r="N473" s="136">
        <v>8.5</v>
      </c>
      <c r="O473" s="16"/>
      <c r="R473"/>
      <c r="S473"/>
      <c r="T473"/>
      <c r="U473"/>
      <c r="V473"/>
      <c r="W473"/>
      <c r="X473"/>
      <c r="Y473"/>
      <c r="Z473"/>
      <c r="AA473"/>
      <c r="AB473"/>
      <c r="AC473"/>
      <c r="AD473"/>
      <c r="AE473"/>
      <c r="AF473"/>
      <c r="AG473"/>
      <c r="AH473"/>
      <c r="AI473"/>
    </row>
    <row r="474" spans="1:35" ht="16.05" customHeight="1" thickBot="1" x14ac:dyDescent="0.35">
      <c r="A474" s="11" t="s">
        <v>2919</v>
      </c>
      <c r="B474" s="190">
        <v>10</v>
      </c>
      <c r="C474" s="2"/>
      <c r="D474" s="4" t="s">
        <v>2857</v>
      </c>
      <c r="E474" s="136">
        <v>8.5</v>
      </c>
      <c r="F474" s="2"/>
      <c r="G474" s="225" t="s">
        <v>2949</v>
      </c>
      <c r="H474" s="12">
        <f>ROUND(SUM(H475:H486)/COUNT(H475:H486), 2)</f>
        <v>8.9600000000000009</v>
      </c>
      <c r="I474" s="2"/>
      <c r="J474" s="4" t="s">
        <v>2889</v>
      </c>
      <c r="K474" s="136">
        <v>8</v>
      </c>
      <c r="L474" s="2"/>
      <c r="M474" s="4" t="s">
        <v>2909</v>
      </c>
      <c r="N474" s="136"/>
      <c r="O474" s="16"/>
      <c r="R474"/>
      <c r="S474"/>
      <c r="T474"/>
      <c r="U474"/>
      <c r="V474"/>
      <c r="W474"/>
      <c r="X474"/>
      <c r="Y474"/>
      <c r="Z474"/>
      <c r="AA474"/>
      <c r="AB474"/>
      <c r="AC474"/>
      <c r="AD474"/>
      <c r="AE474"/>
      <c r="AF474"/>
      <c r="AG474"/>
      <c r="AH474"/>
      <c r="AI474"/>
    </row>
    <row r="475" spans="1:35" x14ac:dyDescent="0.3">
      <c r="A475" s="4" t="s">
        <v>2920</v>
      </c>
      <c r="B475" s="136">
        <v>8.5</v>
      </c>
      <c r="C475" s="2"/>
      <c r="D475" s="4" t="s">
        <v>2858</v>
      </c>
      <c r="E475" s="136">
        <v>9</v>
      </c>
      <c r="F475" s="2"/>
      <c r="G475" s="11" t="s">
        <v>2937</v>
      </c>
      <c r="H475" s="190">
        <v>9.5</v>
      </c>
      <c r="I475" s="2"/>
      <c r="J475" s="4" t="s">
        <v>2890</v>
      </c>
      <c r="K475" s="136">
        <v>9</v>
      </c>
      <c r="L475" s="2"/>
      <c r="M475" s="4" t="s">
        <v>2910</v>
      </c>
      <c r="N475" s="136">
        <v>8</v>
      </c>
      <c r="O475" s="16"/>
      <c r="R475"/>
      <c r="S475"/>
      <c r="T475"/>
      <c r="U475"/>
      <c r="V475"/>
      <c r="W475"/>
      <c r="X475"/>
      <c r="Y475"/>
      <c r="Z475"/>
      <c r="AA475"/>
      <c r="AB475"/>
      <c r="AC475"/>
      <c r="AD475"/>
      <c r="AE475"/>
      <c r="AF475"/>
      <c r="AG475"/>
      <c r="AH475"/>
      <c r="AI475"/>
    </row>
    <row r="476" spans="1:35" x14ac:dyDescent="0.3">
      <c r="A476" s="4" t="s">
        <v>2921</v>
      </c>
      <c r="B476" s="136">
        <v>8.5</v>
      </c>
      <c r="C476" s="2"/>
      <c r="D476" s="4" t="s">
        <v>2859</v>
      </c>
      <c r="E476" s="136">
        <v>8.5</v>
      </c>
      <c r="F476" s="2"/>
      <c r="G476" s="4" t="s">
        <v>2938</v>
      </c>
      <c r="H476" s="136">
        <v>8</v>
      </c>
      <c r="I476" s="2"/>
      <c r="J476" s="4" t="s">
        <v>2891</v>
      </c>
      <c r="K476" s="136">
        <v>8.5</v>
      </c>
      <c r="L476" s="2"/>
      <c r="M476" s="4" t="s">
        <v>2911</v>
      </c>
      <c r="N476" s="136">
        <v>7.5</v>
      </c>
      <c r="O476" s="16"/>
      <c r="R476"/>
      <c r="S476"/>
      <c r="T476"/>
      <c r="U476"/>
      <c r="V476"/>
      <c r="W476"/>
      <c r="X476"/>
      <c r="Y476"/>
      <c r="Z476"/>
      <c r="AA476"/>
      <c r="AB476"/>
      <c r="AC476"/>
      <c r="AD476"/>
      <c r="AE476"/>
      <c r="AF476"/>
      <c r="AG476"/>
      <c r="AH476"/>
      <c r="AI476"/>
    </row>
    <row r="477" spans="1:35" ht="16.2" thickBot="1" x14ac:dyDescent="0.35">
      <c r="A477" s="4" t="s">
        <v>2922</v>
      </c>
      <c r="B477" s="136">
        <v>8</v>
      </c>
      <c r="C477" s="2"/>
      <c r="D477" s="4" t="s">
        <v>2860</v>
      </c>
      <c r="E477" s="136"/>
      <c r="F477" s="2"/>
      <c r="G477" s="4" t="s">
        <v>2939</v>
      </c>
      <c r="H477" s="136">
        <v>10</v>
      </c>
      <c r="I477" s="2"/>
      <c r="J477" s="7" t="s">
        <v>2892</v>
      </c>
      <c r="K477" s="191">
        <v>7</v>
      </c>
      <c r="L477" s="2"/>
      <c r="M477" s="4" t="s">
        <v>2912</v>
      </c>
      <c r="N477" s="136">
        <v>8.5</v>
      </c>
      <c r="O477" s="16"/>
      <c r="R477"/>
      <c r="S477"/>
      <c r="T477"/>
      <c r="U477"/>
      <c r="V477"/>
      <c r="W477"/>
      <c r="X477"/>
      <c r="Y477"/>
      <c r="Z477"/>
      <c r="AA477"/>
      <c r="AB477"/>
      <c r="AC477"/>
      <c r="AD477"/>
      <c r="AE477"/>
      <c r="AF477"/>
      <c r="AG477"/>
      <c r="AH477"/>
      <c r="AI477"/>
    </row>
    <row r="478" spans="1:35" ht="16.2" thickBot="1" x14ac:dyDescent="0.35">
      <c r="A478" s="4" t="s">
        <v>2923</v>
      </c>
      <c r="B478" s="136">
        <v>7.5</v>
      </c>
      <c r="C478" s="2"/>
      <c r="D478" s="4" t="s">
        <v>2861</v>
      </c>
      <c r="E478" s="136">
        <v>10.5</v>
      </c>
      <c r="F478" s="2"/>
      <c r="G478" s="4" t="s">
        <v>2940</v>
      </c>
      <c r="H478" s="136">
        <v>8.5</v>
      </c>
      <c r="I478" s="2"/>
      <c r="J478" s="2"/>
      <c r="K478" s="2"/>
      <c r="L478" s="2"/>
      <c r="M478" s="7" t="s">
        <v>2913</v>
      </c>
      <c r="N478" s="191">
        <v>8</v>
      </c>
      <c r="O478" s="16"/>
      <c r="R478"/>
      <c r="S478"/>
      <c r="T478"/>
      <c r="U478"/>
      <c r="V478"/>
      <c r="W478"/>
      <c r="X478"/>
      <c r="Y478"/>
      <c r="Z478"/>
      <c r="AA478"/>
      <c r="AB478"/>
      <c r="AC478"/>
      <c r="AD478"/>
      <c r="AE478"/>
      <c r="AF478"/>
      <c r="AG478"/>
      <c r="AH478"/>
      <c r="AI478"/>
    </row>
    <row r="479" spans="1:35" ht="15.45" customHeight="1" thickBot="1" x14ac:dyDescent="0.35">
      <c r="A479" s="4" t="s">
        <v>2924</v>
      </c>
      <c r="B479" s="136">
        <v>7.5</v>
      </c>
      <c r="C479" s="2"/>
      <c r="D479" s="4" t="s">
        <v>2862</v>
      </c>
      <c r="E479" s="136">
        <v>8.5</v>
      </c>
      <c r="F479" s="2"/>
      <c r="G479" s="4" t="s">
        <v>2941</v>
      </c>
      <c r="H479" s="136">
        <v>9</v>
      </c>
      <c r="I479" s="2"/>
      <c r="J479" s="354" t="s">
        <v>2955</v>
      </c>
      <c r="K479" s="12">
        <f>ROUND(SUM(K480:K489)/COUNT(K480:K489), 2)</f>
        <v>8.6</v>
      </c>
      <c r="L479" s="2"/>
      <c r="M479" s="2"/>
      <c r="N479" s="2"/>
      <c r="O479" s="16"/>
      <c r="R479"/>
      <c r="S479"/>
      <c r="T479"/>
      <c r="U479"/>
      <c r="V479"/>
      <c r="W479"/>
      <c r="X479"/>
      <c r="Y479"/>
      <c r="Z479"/>
      <c r="AA479"/>
      <c r="AB479"/>
      <c r="AC479"/>
      <c r="AD479"/>
      <c r="AE479"/>
      <c r="AF479"/>
      <c r="AG479"/>
      <c r="AH479"/>
      <c r="AI479"/>
    </row>
    <row r="480" spans="1:35" ht="15.45" customHeight="1" thickBot="1" x14ac:dyDescent="0.35">
      <c r="A480" s="4" t="s">
        <v>2925</v>
      </c>
      <c r="B480" s="136">
        <v>9.5</v>
      </c>
      <c r="C480" s="2"/>
      <c r="D480" s="4" t="s">
        <v>2863</v>
      </c>
      <c r="E480" s="136">
        <v>8.5</v>
      </c>
      <c r="F480" s="2"/>
      <c r="G480" s="4" t="s">
        <v>2942</v>
      </c>
      <c r="H480" s="136">
        <v>8</v>
      </c>
      <c r="I480" s="2"/>
      <c r="J480" s="11" t="s">
        <v>2956</v>
      </c>
      <c r="K480" s="190">
        <v>8</v>
      </c>
      <c r="L480" s="2"/>
      <c r="M480" s="355" t="s">
        <v>2969</v>
      </c>
      <c r="N480" s="12">
        <f>ROUND(SUM(N481:N486)/COUNT(N481:N486), 2)</f>
        <v>8.58</v>
      </c>
      <c r="O480" s="16"/>
      <c r="R480"/>
      <c r="S480"/>
      <c r="T480"/>
      <c r="U480"/>
      <c r="V480"/>
      <c r="W480"/>
      <c r="X480"/>
      <c r="Y480"/>
      <c r="Z480"/>
      <c r="AA480"/>
      <c r="AB480"/>
      <c r="AC480"/>
      <c r="AD480"/>
      <c r="AE480"/>
      <c r="AF480"/>
      <c r="AG480"/>
      <c r="AH480"/>
      <c r="AI480"/>
    </row>
    <row r="481" spans="1:35" x14ac:dyDescent="0.3">
      <c r="A481" s="4" t="s">
        <v>2926</v>
      </c>
      <c r="B481" s="136">
        <v>8</v>
      </c>
      <c r="C481" s="2"/>
      <c r="D481" s="4" t="s">
        <v>2864</v>
      </c>
      <c r="E481" s="136">
        <v>9</v>
      </c>
      <c r="F481" s="2"/>
      <c r="G481" s="4" t="s">
        <v>2943</v>
      </c>
      <c r="H481" s="136">
        <v>8</v>
      </c>
      <c r="I481" s="2"/>
      <c r="J481" s="4" t="s">
        <v>2957</v>
      </c>
      <c r="K481" s="136">
        <v>9</v>
      </c>
      <c r="L481" s="2"/>
      <c r="M481" s="11" t="s">
        <v>2970</v>
      </c>
      <c r="N481" s="190">
        <v>8</v>
      </c>
      <c r="O481" s="16"/>
      <c r="R481"/>
      <c r="S481"/>
      <c r="T481"/>
      <c r="U481"/>
      <c r="V481"/>
      <c r="W481"/>
      <c r="X481"/>
      <c r="Y481"/>
      <c r="Z481"/>
      <c r="AA481"/>
      <c r="AB481"/>
      <c r="AC481"/>
      <c r="AD481"/>
      <c r="AE481"/>
      <c r="AF481"/>
      <c r="AG481"/>
      <c r="AH481"/>
      <c r="AI481"/>
    </row>
    <row r="482" spans="1:35" x14ac:dyDescent="0.3">
      <c r="A482" s="4" t="s">
        <v>2927</v>
      </c>
      <c r="B482" s="136">
        <v>7.5</v>
      </c>
      <c r="C482" s="2"/>
      <c r="D482" s="4" t="s">
        <v>2865</v>
      </c>
      <c r="E482" s="136">
        <v>8</v>
      </c>
      <c r="F482" s="2"/>
      <c r="G482" s="4" t="s">
        <v>2944</v>
      </c>
      <c r="H482" s="136">
        <v>9</v>
      </c>
      <c r="I482" s="2"/>
      <c r="J482" s="4" t="s">
        <v>2958</v>
      </c>
      <c r="K482" s="136">
        <v>9</v>
      </c>
      <c r="L482" s="2"/>
      <c r="M482" s="4" t="s">
        <v>2971</v>
      </c>
      <c r="N482" s="136">
        <v>8.5</v>
      </c>
      <c r="O482" s="16"/>
      <c r="R482"/>
      <c r="S482"/>
      <c r="T482"/>
      <c r="U482"/>
      <c r="V482"/>
      <c r="W482"/>
      <c r="X482"/>
      <c r="Y482"/>
      <c r="Z482"/>
      <c r="AA482"/>
      <c r="AB482"/>
      <c r="AC482"/>
      <c r="AD482"/>
      <c r="AE482"/>
      <c r="AF482"/>
      <c r="AG482"/>
      <c r="AH482"/>
      <c r="AI482"/>
    </row>
    <row r="483" spans="1:35" x14ac:dyDescent="0.3">
      <c r="A483" s="4" t="s">
        <v>2928</v>
      </c>
      <c r="B483" s="136">
        <v>10</v>
      </c>
      <c r="C483" s="2"/>
      <c r="D483" s="4" t="s">
        <v>2866</v>
      </c>
      <c r="E483" s="136"/>
      <c r="F483" s="2"/>
      <c r="G483" s="4" t="s">
        <v>2945</v>
      </c>
      <c r="H483" s="136">
        <v>8.5</v>
      </c>
      <c r="I483" s="2"/>
      <c r="J483" s="4" t="s">
        <v>2959</v>
      </c>
      <c r="K483" s="136">
        <v>10</v>
      </c>
      <c r="L483" s="2"/>
      <c r="M483" s="4" t="s">
        <v>2972</v>
      </c>
      <c r="N483" s="136">
        <v>8.5</v>
      </c>
      <c r="O483" s="16"/>
      <c r="R483"/>
      <c r="S483"/>
      <c r="T483"/>
      <c r="U483"/>
      <c r="V483"/>
      <c r="W483"/>
      <c r="X483"/>
      <c r="Y483"/>
      <c r="Z483"/>
      <c r="AA483"/>
      <c r="AB483"/>
      <c r="AC483"/>
      <c r="AD483"/>
      <c r="AE483"/>
      <c r="AF483"/>
      <c r="AG483"/>
      <c r="AH483"/>
      <c r="AI483"/>
    </row>
    <row r="484" spans="1:35" x14ac:dyDescent="0.3">
      <c r="A484" s="4" t="s">
        <v>364</v>
      </c>
      <c r="B484" s="136"/>
      <c r="C484" s="2"/>
      <c r="D484" s="4" t="s">
        <v>2867</v>
      </c>
      <c r="E484" s="136">
        <v>8</v>
      </c>
      <c r="F484" s="2"/>
      <c r="G484" s="4" t="s">
        <v>2946</v>
      </c>
      <c r="H484" s="136">
        <v>10</v>
      </c>
      <c r="I484" s="2"/>
      <c r="J484" s="4" t="s">
        <v>2960</v>
      </c>
      <c r="K484" s="136">
        <v>7.5</v>
      </c>
      <c r="L484" s="2"/>
      <c r="M484" s="4" t="s">
        <v>2973</v>
      </c>
      <c r="N484" s="136">
        <v>7.5</v>
      </c>
      <c r="O484" s="16"/>
      <c r="R484"/>
      <c r="S484"/>
      <c r="T484"/>
      <c r="U484"/>
      <c r="V484"/>
      <c r="W484"/>
      <c r="X484"/>
      <c r="Y484"/>
      <c r="Z484"/>
      <c r="AA484"/>
      <c r="AB484"/>
      <c r="AC484"/>
      <c r="AD484"/>
      <c r="AE484"/>
      <c r="AF484"/>
      <c r="AG484"/>
      <c r="AH484"/>
      <c r="AI484"/>
    </row>
    <row r="485" spans="1:35" ht="16.2" thickBot="1" x14ac:dyDescent="0.35">
      <c r="A485" s="7" t="s">
        <v>2929</v>
      </c>
      <c r="B485" s="191">
        <v>7.5</v>
      </c>
      <c r="C485" s="2"/>
      <c r="D485" s="7" t="s">
        <v>2868</v>
      </c>
      <c r="E485" s="191">
        <v>8</v>
      </c>
      <c r="F485" s="2"/>
      <c r="G485" s="4" t="s">
        <v>2947</v>
      </c>
      <c r="H485" s="136">
        <v>10</v>
      </c>
      <c r="I485" s="2"/>
      <c r="J485" s="4" t="s">
        <v>2961</v>
      </c>
      <c r="K485" s="136">
        <v>10.5</v>
      </c>
      <c r="L485" s="2"/>
      <c r="M485" s="4" t="s">
        <v>2466</v>
      </c>
      <c r="N485" s="136">
        <v>10</v>
      </c>
      <c r="O485" s="16"/>
      <c r="R485"/>
      <c r="S485"/>
      <c r="T485"/>
      <c r="U485"/>
      <c r="V485"/>
      <c r="W485"/>
      <c r="X485"/>
      <c r="Y485"/>
      <c r="Z485"/>
      <c r="AA485"/>
      <c r="AB485"/>
      <c r="AC485"/>
      <c r="AD485"/>
      <c r="AE485"/>
      <c r="AF485"/>
      <c r="AG485"/>
      <c r="AH485"/>
      <c r="AI485"/>
    </row>
    <row r="486" spans="1:35" ht="16.2" thickBot="1" x14ac:dyDescent="0.35">
      <c r="A486" s="2"/>
      <c r="B486" s="2"/>
      <c r="C486" s="2"/>
      <c r="D486" s="2"/>
      <c r="E486" s="2"/>
      <c r="F486" s="2"/>
      <c r="G486" s="7" t="s">
        <v>2948</v>
      </c>
      <c r="H486" s="191">
        <v>9</v>
      </c>
      <c r="I486" s="2"/>
      <c r="J486" s="4" t="s">
        <v>2962</v>
      </c>
      <c r="K486" s="136">
        <v>8</v>
      </c>
      <c r="L486" s="2"/>
      <c r="M486" s="7" t="s">
        <v>2974</v>
      </c>
      <c r="N486" s="191">
        <v>9</v>
      </c>
      <c r="O486" s="16"/>
      <c r="R486"/>
      <c r="S486"/>
      <c r="T486"/>
      <c r="U486"/>
      <c r="V486"/>
      <c r="W486"/>
      <c r="X486"/>
      <c r="Y486"/>
      <c r="Z486"/>
      <c r="AA486"/>
      <c r="AB486"/>
      <c r="AC486"/>
      <c r="AD486"/>
      <c r="AE486"/>
      <c r="AF486"/>
      <c r="AG486"/>
      <c r="AH486"/>
      <c r="AI486"/>
    </row>
    <row r="487" spans="1:35" ht="15.45" customHeight="1" thickBot="1" x14ac:dyDescent="0.35">
      <c r="A487" s="357" t="s">
        <v>3024</v>
      </c>
      <c r="B487" s="12">
        <f>ROUND(SUM(B488:B501)/COUNT(B488:B501), 2)</f>
        <v>8.85</v>
      </c>
      <c r="C487" s="2"/>
      <c r="D487" s="356" t="s">
        <v>2996</v>
      </c>
      <c r="E487" s="12">
        <f>ROUND(SUM(E488:E497)/COUNT(E488:E497), 2)</f>
        <v>8.8000000000000007</v>
      </c>
      <c r="F487" s="2"/>
      <c r="G487" s="2"/>
      <c r="H487" s="2"/>
      <c r="I487" s="2"/>
      <c r="J487" s="4" t="s">
        <v>2963</v>
      </c>
      <c r="K487" s="136">
        <v>8</v>
      </c>
      <c r="L487" s="2"/>
      <c r="M487" s="2"/>
      <c r="N487" s="2"/>
      <c r="O487" s="16"/>
      <c r="R487"/>
      <c r="S487"/>
      <c r="T487"/>
      <c r="U487"/>
      <c r="V487"/>
      <c r="W487"/>
      <c r="X487"/>
      <c r="Y487"/>
      <c r="Z487"/>
      <c r="AA487"/>
      <c r="AB487"/>
      <c r="AC487"/>
      <c r="AD487"/>
      <c r="AE487"/>
      <c r="AF487"/>
      <c r="AG487"/>
      <c r="AH487"/>
      <c r="AI487"/>
    </row>
    <row r="488" spans="1:35" ht="15.45" customHeight="1" thickBot="1" x14ac:dyDescent="0.35">
      <c r="A488" s="11" t="s">
        <v>1734</v>
      </c>
      <c r="B488" s="190">
        <v>8.5</v>
      </c>
      <c r="C488" s="2"/>
      <c r="D488" s="11" t="s">
        <v>2997</v>
      </c>
      <c r="E488" s="190">
        <v>9</v>
      </c>
      <c r="F488" s="2"/>
      <c r="G488" s="358" t="s">
        <v>3028</v>
      </c>
      <c r="H488" s="12">
        <f>ROUND(SUM(H489:H498)/COUNT(H489:H498), 2)</f>
        <v>8.4</v>
      </c>
      <c r="I488" s="2"/>
      <c r="J488" s="4" t="s">
        <v>2964</v>
      </c>
      <c r="K488" s="136">
        <v>8.5</v>
      </c>
      <c r="L488" s="2"/>
      <c r="M488" s="360" t="s">
        <v>3043</v>
      </c>
      <c r="N488" s="12">
        <f>ROUND(SUM(N489:N498)/COUNT(N489:N498), 2)</f>
        <v>8.4499999999999993</v>
      </c>
      <c r="O488" s="16"/>
      <c r="R488"/>
      <c r="S488"/>
      <c r="T488"/>
      <c r="U488"/>
      <c r="V488"/>
      <c r="W488"/>
      <c r="X488"/>
      <c r="Y488"/>
      <c r="Z488"/>
      <c r="AA488"/>
      <c r="AB488"/>
      <c r="AC488"/>
      <c r="AD488"/>
      <c r="AE488"/>
      <c r="AF488"/>
      <c r="AG488"/>
      <c r="AH488"/>
      <c r="AI488"/>
    </row>
    <row r="489" spans="1:35" ht="16.2" thickBot="1" x14ac:dyDescent="0.35">
      <c r="A489" s="4" t="s">
        <v>2983</v>
      </c>
      <c r="B489" s="136">
        <v>9</v>
      </c>
      <c r="C489" s="2"/>
      <c r="D489" s="4" t="s">
        <v>2998</v>
      </c>
      <c r="E489" s="136">
        <v>8.5</v>
      </c>
      <c r="F489" s="2"/>
      <c r="G489" s="11" t="s">
        <v>3029</v>
      </c>
      <c r="H489" s="190">
        <v>10</v>
      </c>
      <c r="I489" s="2"/>
      <c r="J489" s="7" t="s">
        <v>2965</v>
      </c>
      <c r="K489" s="191">
        <v>7.5</v>
      </c>
      <c r="L489" s="2"/>
      <c r="M489" s="11" t="s">
        <v>3044</v>
      </c>
      <c r="N489" s="190">
        <v>9</v>
      </c>
      <c r="O489" s="16"/>
      <c r="R489"/>
      <c r="S489"/>
      <c r="T489"/>
      <c r="U489"/>
      <c r="V489"/>
      <c r="W489"/>
      <c r="X489"/>
      <c r="Y489"/>
      <c r="Z489"/>
      <c r="AA489"/>
      <c r="AB489"/>
      <c r="AC489"/>
      <c r="AD489"/>
      <c r="AE489"/>
      <c r="AF489"/>
      <c r="AG489"/>
      <c r="AH489"/>
      <c r="AI489"/>
    </row>
    <row r="490" spans="1:35" ht="16.2" thickBot="1" x14ac:dyDescent="0.35">
      <c r="A490" s="4" t="s">
        <v>2984</v>
      </c>
      <c r="B490" s="136">
        <v>8.5</v>
      </c>
      <c r="C490" s="2"/>
      <c r="D490" s="4" t="s">
        <v>2999</v>
      </c>
      <c r="E490" s="136">
        <v>9</v>
      </c>
      <c r="F490" s="2"/>
      <c r="G490" s="4" t="s">
        <v>3030</v>
      </c>
      <c r="H490" s="136">
        <v>8.5</v>
      </c>
      <c r="I490" s="2"/>
      <c r="J490" s="2"/>
      <c r="K490" s="2"/>
      <c r="L490" s="2"/>
      <c r="M490" s="4" t="s">
        <v>3045</v>
      </c>
      <c r="N490" s="136">
        <v>8</v>
      </c>
      <c r="O490" s="16"/>
      <c r="R490"/>
      <c r="S490"/>
      <c r="T490"/>
      <c r="U490"/>
      <c r="V490"/>
      <c r="W490"/>
      <c r="X490"/>
      <c r="Y490"/>
      <c r="Z490"/>
      <c r="AA490"/>
      <c r="AB490"/>
      <c r="AC490"/>
      <c r="AD490"/>
      <c r="AE490"/>
      <c r="AF490"/>
      <c r="AG490"/>
      <c r="AH490"/>
      <c r="AI490"/>
    </row>
    <row r="491" spans="1:35" ht="15.45" customHeight="1" thickBot="1" x14ac:dyDescent="0.35">
      <c r="A491" s="4" t="s">
        <v>2985</v>
      </c>
      <c r="B491" s="136">
        <v>8</v>
      </c>
      <c r="C491" s="2"/>
      <c r="D491" s="4" t="s">
        <v>3000</v>
      </c>
      <c r="E491" s="136">
        <v>8</v>
      </c>
      <c r="F491" s="2"/>
      <c r="G491" s="4" t="s">
        <v>3031</v>
      </c>
      <c r="H491" s="136">
        <v>8</v>
      </c>
      <c r="I491" s="2"/>
      <c r="J491" s="366" t="s">
        <v>3063</v>
      </c>
      <c r="K491" s="12">
        <f>ROUND(SUM(K492:K497)/COUNT(K492:K497), 2)</f>
        <v>7.92</v>
      </c>
      <c r="L491" s="2"/>
      <c r="M491" s="4" t="s">
        <v>3046</v>
      </c>
      <c r="N491" s="136">
        <v>8</v>
      </c>
      <c r="O491" s="16"/>
      <c r="R491"/>
      <c r="S491"/>
      <c r="T491"/>
      <c r="U491"/>
      <c r="V491"/>
      <c r="W491"/>
      <c r="X491"/>
      <c r="Y491"/>
      <c r="Z491"/>
      <c r="AA491"/>
      <c r="AB491"/>
      <c r="AC491"/>
      <c r="AD491"/>
      <c r="AE491"/>
      <c r="AF491"/>
      <c r="AG491"/>
      <c r="AH491"/>
      <c r="AI491"/>
    </row>
    <row r="492" spans="1:35" x14ac:dyDescent="0.3">
      <c r="A492" s="4" t="s">
        <v>2986</v>
      </c>
      <c r="B492" s="136">
        <v>8.5</v>
      </c>
      <c r="C492" s="2"/>
      <c r="D492" s="4" t="s">
        <v>3001</v>
      </c>
      <c r="E492" s="136">
        <v>8.5</v>
      </c>
      <c r="F492" s="2"/>
      <c r="G492" s="4" t="s">
        <v>3032</v>
      </c>
      <c r="H492" s="136">
        <v>9</v>
      </c>
      <c r="I492" s="2"/>
      <c r="J492" s="11" t="s">
        <v>3057</v>
      </c>
      <c r="K492" s="190">
        <v>8.5</v>
      </c>
      <c r="L492" s="2"/>
      <c r="M492" s="4" t="s">
        <v>3047</v>
      </c>
      <c r="N492" s="136">
        <v>8.5</v>
      </c>
      <c r="O492" s="16"/>
      <c r="R492"/>
      <c r="S492"/>
      <c r="T492"/>
      <c r="U492"/>
      <c r="V492"/>
      <c r="W492"/>
      <c r="X492"/>
      <c r="Y492"/>
      <c r="Z492"/>
      <c r="AA492"/>
      <c r="AB492"/>
      <c r="AC492"/>
      <c r="AD492"/>
      <c r="AE492"/>
      <c r="AF492"/>
      <c r="AG492"/>
      <c r="AH492"/>
      <c r="AI492"/>
    </row>
    <row r="493" spans="1:35" x14ac:dyDescent="0.3">
      <c r="A493" s="4" t="s">
        <v>2987</v>
      </c>
      <c r="B493" s="136">
        <v>9.5</v>
      </c>
      <c r="C493" s="2"/>
      <c r="D493" s="4" t="s">
        <v>3002</v>
      </c>
      <c r="E493" s="136">
        <v>10</v>
      </c>
      <c r="F493" s="2"/>
      <c r="G493" s="4" t="s">
        <v>3033</v>
      </c>
      <c r="H493" s="136">
        <v>8</v>
      </c>
      <c r="I493" s="2"/>
      <c r="J493" s="4" t="s">
        <v>3058</v>
      </c>
      <c r="K493" s="136">
        <v>8</v>
      </c>
      <c r="L493" s="2"/>
      <c r="M493" s="4" t="s">
        <v>3048</v>
      </c>
      <c r="N493" s="136">
        <v>9</v>
      </c>
      <c r="O493" s="16"/>
      <c r="R493"/>
      <c r="S493"/>
      <c r="T493"/>
      <c r="U493"/>
      <c r="V493"/>
      <c r="W493"/>
      <c r="X493"/>
      <c r="Y493"/>
      <c r="Z493"/>
      <c r="AA493"/>
      <c r="AB493"/>
      <c r="AC493"/>
      <c r="AD493"/>
      <c r="AE493"/>
      <c r="AF493"/>
      <c r="AG493"/>
      <c r="AH493"/>
      <c r="AI493"/>
    </row>
    <row r="494" spans="1:35" x14ac:dyDescent="0.3">
      <c r="A494" s="4" t="s">
        <v>2988</v>
      </c>
      <c r="B494" s="136"/>
      <c r="C494" s="2"/>
      <c r="D494" s="4" t="s">
        <v>3003</v>
      </c>
      <c r="E494" s="136">
        <v>9</v>
      </c>
      <c r="F494" s="2"/>
      <c r="G494" s="4" t="s">
        <v>3034</v>
      </c>
      <c r="H494" s="136">
        <v>9</v>
      </c>
      <c r="I494" s="2"/>
      <c r="J494" s="4" t="s">
        <v>3059</v>
      </c>
      <c r="K494" s="136">
        <v>7.5</v>
      </c>
      <c r="L494" s="2"/>
      <c r="M494" s="4" t="s">
        <v>3049</v>
      </c>
      <c r="N494" s="136">
        <v>8.5</v>
      </c>
      <c r="O494" s="16"/>
      <c r="R494"/>
      <c r="S494"/>
      <c r="T494"/>
      <c r="U494"/>
      <c r="V494"/>
      <c r="W494"/>
      <c r="X494"/>
      <c r="Y494"/>
      <c r="Z494"/>
      <c r="AA494"/>
      <c r="AB494"/>
      <c r="AC494"/>
      <c r="AD494"/>
      <c r="AE494"/>
      <c r="AF494"/>
      <c r="AG494"/>
      <c r="AH494"/>
      <c r="AI494"/>
    </row>
    <row r="495" spans="1:35" x14ac:dyDescent="0.3">
      <c r="A495" s="4" t="s">
        <v>2989</v>
      </c>
      <c r="B495" s="136">
        <v>9.5</v>
      </c>
      <c r="C495" s="2"/>
      <c r="D495" s="4" t="s">
        <v>3004</v>
      </c>
      <c r="E495" s="136">
        <v>7.5</v>
      </c>
      <c r="F495" s="2"/>
      <c r="G495" s="4" t="s">
        <v>3035</v>
      </c>
      <c r="H495" s="136">
        <v>7.5</v>
      </c>
      <c r="I495" s="2"/>
      <c r="J495" s="4" t="s">
        <v>3060</v>
      </c>
      <c r="K495" s="136">
        <v>8</v>
      </c>
      <c r="L495" s="2"/>
      <c r="M495" s="4" t="s">
        <v>1727</v>
      </c>
      <c r="N495" s="136">
        <v>8</v>
      </c>
      <c r="O495" s="16"/>
      <c r="V495" s="3"/>
      <c r="W495" s="3"/>
      <c r="X495" s="3"/>
      <c r="Y495" s="3"/>
      <c r="Z495" s="3"/>
    </row>
    <row r="496" spans="1:35" x14ac:dyDescent="0.3">
      <c r="A496" s="4" t="s">
        <v>2990</v>
      </c>
      <c r="B496" s="136">
        <v>8.5</v>
      </c>
      <c r="C496" s="2"/>
      <c r="D496" s="4" t="s">
        <v>3005</v>
      </c>
      <c r="E496" s="136">
        <v>10.5</v>
      </c>
      <c r="F496" s="2"/>
      <c r="G496" s="4" t="s">
        <v>473</v>
      </c>
      <c r="H496" s="136">
        <v>8.5</v>
      </c>
      <c r="I496" s="2"/>
      <c r="J496" s="4" t="s">
        <v>3061</v>
      </c>
      <c r="K496" s="136">
        <v>6.5</v>
      </c>
      <c r="L496" s="2"/>
      <c r="M496" s="4" t="s">
        <v>3050</v>
      </c>
      <c r="N496" s="136">
        <v>7.5</v>
      </c>
      <c r="O496" s="16"/>
      <c r="V496" s="3"/>
      <c r="W496" s="3"/>
      <c r="X496" s="3"/>
      <c r="Y496" s="3"/>
      <c r="Z496" s="3"/>
    </row>
    <row r="497" spans="1:15" s="3" customFormat="1" ht="16.2" thickBot="1" x14ac:dyDescent="0.35">
      <c r="A497" s="4" t="s">
        <v>2991</v>
      </c>
      <c r="B497" s="136">
        <v>10</v>
      </c>
      <c r="C497" s="2"/>
      <c r="D497" s="7" t="s">
        <v>3006</v>
      </c>
      <c r="E497" s="191">
        <v>8</v>
      </c>
      <c r="F497" s="2"/>
      <c r="G497" s="4" t="s">
        <v>3036</v>
      </c>
      <c r="H497" s="136">
        <v>8</v>
      </c>
      <c r="I497" s="2"/>
      <c r="J497" s="7" t="s">
        <v>3062</v>
      </c>
      <c r="K497" s="191">
        <v>9</v>
      </c>
      <c r="L497" s="2"/>
      <c r="M497" s="4" t="s">
        <v>3051</v>
      </c>
      <c r="N497" s="136">
        <v>8</v>
      </c>
      <c r="O497" s="16"/>
    </row>
    <row r="498" spans="1:15" s="3" customFormat="1" ht="16.2" thickBot="1" x14ac:dyDescent="0.35">
      <c r="A498" s="4" t="s">
        <v>2992</v>
      </c>
      <c r="B498" s="136">
        <v>8.5</v>
      </c>
      <c r="C498" s="2"/>
      <c r="D498" s="2"/>
      <c r="E498" s="2"/>
      <c r="F498" s="2"/>
      <c r="G498" s="7" t="s">
        <v>3037</v>
      </c>
      <c r="H498" s="191">
        <v>7.5</v>
      </c>
      <c r="I498" s="2"/>
      <c r="J498" s="2"/>
      <c r="K498" s="2"/>
      <c r="L498" s="2"/>
      <c r="M498" s="7" t="s">
        <v>3052</v>
      </c>
      <c r="N498" s="191">
        <v>10</v>
      </c>
      <c r="O498" s="16"/>
    </row>
    <row r="499" spans="1:15" s="3" customFormat="1" ht="15.45" customHeight="1" thickBot="1" x14ac:dyDescent="0.35">
      <c r="A499" s="4" t="s">
        <v>2993</v>
      </c>
      <c r="B499" s="136">
        <v>10</v>
      </c>
      <c r="C499" s="2"/>
      <c r="D499" s="376" t="s">
        <v>3354</v>
      </c>
      <c r="E499" s="12">
        <f>ROUND(SUM(E500:E512)/COUNT(E500:E512), 2)</f>
        <v>8.6300000000000008</v>
      </c>
      <c r="F499" s="2"/>
      <c r="G499" s="2"/>
      <c r="H499" s="2"/>
      <c r="I499" s="2"/>
      <c r="J499" s="365" t="s">
        <v>3081</v>
      </c>
      <c r="K499" s="12">
        <f>ROUND(SUM(K500:K517)/COUNT(K500:K517), 2)</f>
        <v>8.75</v>
      </c>
      <c r="L499" s="2"/>
      <c r="M499" s="2"/>
      <c r="N499" s="2"/>
      <c r="O499" s="16"/>
    </row>
    <row r="500" spans="1:15" s="3" customFormat="1" ht="16.05" customHeight="1" thickBot="1" x14ac:dyDescent="0.35">
      <c r="A500" s="4" t="s">
        <v>2994</v>
      </c>
      <c r="B500" s="136">
        <v>8</v>
      </c>
      <c r="C500" s="2"/>
      <c r="D500" s="11" t="s">
        <v>3066</v>
      </c>
      <c r="E500" s="190">
        <v>8.5</v>
      </c>
      <c r="F500" s="2"/>
      <c r="G500" s="367" t="s">
        <v>3110</v>
      </c>
      <c r="H500" s="12">
        <f>ROUND(SUM(H501:H510)/COUNT(H501:H510), 2)</f>
        <v>8.6</v>
      </c>
      <c r="I500" s="2"/>
      <c r="J500" s="11" t="s">
        <v>3082</v>
      </c>
      <c r="K500" s="190"/>
      <c r="L500" s="2"/>
      <c r="M500" s="369" t="s">
        <v>3126</v>
      </c>
      <c r="N500" s="12">
        <f>ROUND(SUM(N501:N510)/COUNT(N501:N510), 2)</f>
        <v>8.6999999999999993</v>
      </c>
      <c r="O500" s="16"/>
    </row>
    <row r="501" spans="1:15" s="3" customFormat="1" ht="16.2" thickBot="1" x14ac:dyDescent="0.35">
      <c r="A501" s="7" t="s">
        <v>2995</v>
      </c>
      <c r="B501" s="191">
        <v>8.5</v>
      </c>
      <c r="C501" s="2"/>
      <c r="D501" s="4" t="s">
        <v>3067</v>
      </c>
      <c r="E501" s="136">
        <v>8.5</v>
      </c>
      <c r="F501" s="2"/>
      <c r="G501" s="11" t="s">
        <v>3111</v>
      </c>
      <c r="H501" s="190">
        <v>9</v>
      </c>
      <c r="I501" s="2"/>
      <c r="J501" s="4" t="s">
        <v>3083</v>
      </c>
      <c r="K501" s="136">
        <v>9</v>
      </c>
      <c r="L501" s="2"/>
      <c r="M501" s="11" t="s">
        <v>3127</v>
      </c>
      <c r="N501" s="190">
        <v>9</v>
      </c>
      <c r="O501" s="16"/>
    </row>
    <row r="502" spans="1:15" s="3" customFormat="1" ht="16.2" thickBot="1" x14ac:dyDescent="0.35">
      <c r="A502" s="2"/>
      <c r="B502" s="2"/>
      <c r="C502" s="2"/>
      <c r="D502" s="4" t="s">
        <v>3068</v>
      </c>
      <c r="E502" s="136">
        <v>8</v>
      </c>
      <c r="F502" s="2"/>
      <c r="G502" s="4" t="s">
        <v>3112</v>
      </c>
      <c r="H502" s="136">
        <v>9</v>
      </c>
      <c r="I502" s="2"/>
      <c r="J502" s="4" t="s">
        <v>3084</v>
      </c>
      <c r="K502" s="136">
        <v>8.5</v>
      </c>
      <c r="L502" s="2"/>
      <c r="M502" s="4" t="s">
        <v>3128</v>
      </c>
      <c r="N502" s="136">
        <v>10</v>
      </c>
      <c r="O502" s="16"/>
    </row>
    <row r="503" spans="1:15" s="3" customFormat="1" ht="15" customHeight="1" thickBot="1" x14ac:dyDescent="0.35">
      <c r="A503" s="370" t="s">
        <v>3141</v>
      </c>
      <c r="B503" s="12">
        <f>ROUND(SUM(B504:B513)/COUNT(B504:B513), 2)</f>
        <v>7.95</v>
      </c>
      <c r="C503" s="2"/>
      <c r="D503" s="4" t="s">
        <v>3069</v>
      </c>
      <c r="E503" s="136">
        <v>9.5</v>
      </c>
      <c r="F503" s="2"/>
      <c r="G503" s="4" t="s">
        <v>3113</v>
      </c>
      <c r="H503" s="136">
        <v>8.5</v>
      </c>
      <c r="I503" s="2"/>
      <c r="J503" s="4" t="s">
        <v>3085</v>
      </c>
      <c r="K503" s="136">
        <v>9</v>
      </c>
      <c r="L503" s="2"/>
      <c r="M503" s="4" t="s">
        <v>3129</v>
      </c>
      <c r="N503" s="136">
        <v>8.5</v>
      </c>
      <c r="O503" s="16"/>
    </row>
    <row r="504" spans="1:15" s="3" customFormat="1" x14ac:dyDescent="0.3">
      <c r="A504" s="11" t="s">
        <v>3142</v>
      </c>
      <c r="B504" s="190">
        <v>7.5</v>
      </c>
      <c r="C504" s="2"/>
      <c r="D504" s="4" t="s">
        <v>3070</v>
      </c>
      <c r="E504" s="136">
        <v>8</v>
      </c>
      <c r="F504" s="2"/>
      <c r="G504" s="4" t="s">
        <v>3114</v>
      </c>
      <c r="H504" s="136">
        <v>10</v>
      </c>
      <c r="I504" s="2"/>
      <c r="J504" s="4" t="s">
        <v>2585</v>
      </c>
      <c r="K504" s="136">
        <v>8.5</v>
      </c>
      <c r="L504" s="2"/>
      <c r="M504" s="4" t="s">
        <v>3130</v>
      </c>
      <c r="N504" s="136">
        <v>8</v>
      </c>
      <c r="O504" s="16"/>
    </row>
    <row r="505" spans="1:15" s="3" customFormat="1" x14ac:dyDescent="0.3">
      <c r="A505" s="4" t="s">
        <v>3143</v>
      </c>
      <c r="B505" s="136">
        <v>8.5</v>
      </c>
      <c r="C505" s="2"/>
      <c r="D505" s="4" t="s">
        <v>3071</v>
      </c>
      <c r="E505" s="136">
        <v>10</v>
      </c>
      <c r="F505" s="2"/>
      <c r="G505" s="4" t="s">
        <v>3115</v>
      </c>
      <c r="H505" s="136">
        <v>8.5</v>
      </c>
      <c r="I505" s="2"/>
      <c r="J505" s="4" t="s">
        <v>3086</v>
      </c>
      <c r="K505" s="136">
        <v>8.5</v>
      </c>
      <c r="L505" s="2"/>
      <c r="M505" s="4" t="s">
        <v>3131</v>
      </c>
      <c r="N505" s="136">
        <v>8.5</v>
      </c>
      <c r="O505" s="16"/>
    </row>
    <row r="506" spans="1:15" s="3" customFormat="1" x14ac:dyDescent="0.3">
      <c r="A506" s="4" t="s">
        <v>3144</v>
      </c>
      <c r="B506" s="136">
        <v>9</v>
      </c>
      <c r="C506" s="2"/>
      <c r="D506" s="4" t="s">
        <v>3072</v>
      </c>
      <c r="E506" s="136"/>
      <c r="F506" s="2"/>
      <c r="G506" s="4" t="s">
        <v>3116</v>
      </c>
      <c r="H506" s="136">
        <v>8</v>
      </c>
      <c r="I506" s="2"/>
      <c r="J506" s="4" t="s">
        <v>3087</v>
      </c>
      <c r="K506" s="136">
        <v>9</v>
      </c>
      <c r="L506" s="2"/>
      <c r="M506" s="4" t="s">
        <v>3132</v>
      </c>
      <c r="N506" s="136">
        <v>8</v>
      </c>
      <c r="O506" s="16"/>
    </row>
    <row r="507" spans="1:15" s="3" customFormat="1" x14ac:dyDescent="0.3">
      <c r="A507" s="4" t="s">
        <v>3145</v>
      </c>
      <c r="B507" s="136">
        <v>7</v>
      </c>
      <c r="C507" s="2"/>
      <c r="D507" s="4" t="s">
        <v>3073</v>
      </c>
      <c r="E507" s="136">
        <v>8</v>
      </c>
      <c r="F507" s="2"/>
      <c r="G507" s="4" t="s">
        <v>3117</v>
      </c>
      <c r="H507" s="136">
        <v>8</v>
      </c>
      <c r="I507" s="2"/>
      <c r="J507" s="4" t="s">
        <v>3088</v>
      </c>
      <c r="K507" s="136"/>
      <c r="L507" s="2"/>
      <c r="M507" s="4" t="s">
        <v>3133</v>
      </c>
      <c r="N507" s="136">
        <v>8.5</v>
      </c>
      <c r="O507" s="16"/>
    </row>
    <row r="508" spans="1:15" s="3" customFormat="1" x14ac:dyDescent="0.3">
      <c r="A508" s="4" t="s">
        <v>3146</v>
      </c>
      <c r="B508" s="136">
        <v>8</v>
      </c>
      <c r="C508" s="2"/>
      <c r="D508" s="4" t="s">
        <v>3074</v>
      </c>
      <c r="E508" s="136">
        <v>8</v>
      </c>
      <c r="F508" s="2"/>
      <c r="G508" s="4" t="s">
        <v>3118</v>
      </c>
      <c r="H508" s="136">
        <v>8.5</v>
      </c>
      <c r="I508" s="2"/>
      <c r="J508" s="4" t="s">
        <v>3089</v>
      </c>
      <c r="K508" s="136">
        <v>9</v>
      </c>
      <c r="L508" s="2"/>
      <c r="M508" s="4" t="s">
        <v>3134</v>
      </c>
      <c r="N508" s="136">
        <v>9</v>
      </c>
      <c r="O508" s="16"/>
    </row>
    <row r="509" spans="1:15" s="3" customFormat="1" x14ac:dyDescent="0.3">
      <c r="A509" s="4" t="s">
        <v>3147</v>
      </c>
      <c r="B509" s="136">
        <v>7.5</v>
      </c>
      <c r="C509" s="2"/>
      <c r="D509" s="4" t="s">
        <v>3075</v>
      </c>
      <c r="E509" s="136">
        <v>8.5</v>
      </c>
      <c r="F509" s="2"/>
      <c r="G509" s="4" t="s">
        <v>3119</v>
      </c>
      <c r="H509" s="136">
        <v>8.5</v>
      </c>
      <c r="I509" s="2"/>
      <c r="J509" s="4" t="s">
        <v>3090</v>
      </c>
      <c r="K509" s="136">
        <v>8.5</v>
      </c>
      <c r="L509" s="2"/>
      <c r="M509" s="4" t="s">
        <v>3135</v>
      </c>
      <c r="N509" s="136">
        <v>9</v>
      </c>
      <c r="O509" s="16"/>
    </row>
    <row r="510" spans="1:15" s="3" customFormat="1" ht="16.2" thickBot="1" x14ac:dyDescent="0.35">
      <c r="A510" s="4" t="s">
        <v>3148</v>
      </c>
      <c r="B510" s="136">
        <v>8</v>
      </c>
      <c r="C510" s="2"/>
      <c r="D510" s="4" t="s">
        <v>3076</v>
      </c>
      <c r="E510" s="136">
        <v>9</v>
      </c>
      <c r="F510" s="2"/>
      <c r="G510" s="7" t="s">
        <v>3120</v>
      </c>
      <c r="H510" s="191">
        <v>8</v>
      </c>
      <c r="I510" s="2"/>
      <c r="J510" s="4" t="s">
        <v>3091</v>
      </c>
      <c r="K510" s="136">
        <v>9</v>
      </c>
      <c r="L510" s="2"/>
      <c r="M510" s="7" t="s">
        <v>3136</v>
      </c>
      <c r="N510" s="191">
        <v>8.5</v>
      </c>
      <c r="O510" s="16"/>
    </row>
    <row r="511" spans="1:15" s="3" customFormat="1" ht="16.2" thickBot="1" x14ac:dyDescent="0.35">
      <c r="A511" s="4" t="s">
        <v>3149</v>
      </c>
      <c r="B511" s="136">
        <v>8</v>
      </c>
      <c r="C511" s="2"/>
      <c r="D511" s="4" t="s">
        <v>3077</v>
      </c>
      <c r="E511" s="136">
        <v>9.5</v>
      </c>
      <c r="F511" s="2"/>
      <c r="G511" s="2"/>
      <c r="H511" s="2"/>
      <c r="I511" s="2"/>
      <c r="J511" s="4" t="s">
        <v>3092</v>
      </c>
      <c r="K511" s="136">
        <v>8.5</v>
      </c>
      <c r="L511" s="2"/>
      <c r="M511" s="2"/>
      <c r="N511" s="2"/>
      <c r="O511" s="16"/>
    </row>
    <row r="512" spans="1:15" s="3" customFormat="1" ht="15.45" customHeight="1" thickBot="1" x14ac:dyDescent="0.35">
      <c r="A512" s="4" t="s">
        <v>3150</v>
      </c>
      <c r="B512" s="136">
        <v>7.5</v>
      </c>
      <c r="C512" s="2"/>
      <c r="D512" s="7" t="s">
        <v>3078</v>
      </c>
      <c r="E512" s="191">
        <v>8</v>
      </c>
      <c r="F512" s="2"/>
      <c r="G512" s="372" t="s">
        <v>3156</v>
      </c>
      <c r="H512" s="12">
        <f>ROUND(SUM(H513:H519)/COUNT(H513:H519), 2)</f>
        <v>9.07</v>
      </c>
      <c r="I512" s="2"/>
      <c r="J512" s="4" t="s">
        <v>3093</v>
      </c>
      <c r="K512" s="136">
        <v>10</v>
      </c>
      <c r="L512" s="2"/>
      <c r="M512" s="375" t="s">
        <v>3339</v>
      </c>
      <c r="N512" s="12">
        <f>ROUND(SUM(N513:N523)/COUNT(N513:N523), 2)</f>
        <v>8.73</v>
      </c>
      <c r="O512" s="16"/>
    </row>
    <row r="513" spans="1:15" s="3" customFormat="1" ht="16.2" thickBot="1" x14ac:dyDescent="0.35">
      <c r="A513" s="7" t="s">
        <v>3151</v>
      </c>
      <c r="B513" s="191">
        <v>8.5</v>
      </c>
      <c r="C513" s="2"/>
      <c r="D513" s="2"/>
      <c r="E513" s="2"/>
      <c r="F513" s="2"/>
      <c r="G513" s="11" t="s">
        <v>3157</v>
      </c>
      <c r="H513" s="190">
        <v>8.5</v>
      </c>
      <c r="I513" s="2"/>
      <c r="J513" s="4" t="s">
        <v>3094</v>
      </c>
      <c r="K513" s="136">
        <v>8</v>
      </c>
      <c r="L513" s="2"/>
      <c r="M513" s="11" t="s">
        <v>3328</v>
      </c>
      <c r="N513" s="190">
        <v>10</v>
      </c>
      <c r="O513" s="16"/>
    </row>
    <row r="514" spans="1:15" s="3" customFormat="1" ht="15.45" customHeight="1" thickBot="1" x14ac:dyDescent="0.35">
      <c r="A514" s="2"/>
      <c r="B514" s="2"/>
      <c r="C514" s="2"/>
      <c r="D514" s="377" t="s">
        <v>3355</v>
      </c>
      <c r="E514" s="12">
        <f>ROUND(SUM(E515:E526)/COUNT(E515:E526), 2)</f>
        <v>8.58</v>
      </c>
      <c r="F514" s="2"/>
      <c r="G514" s="4" t="s">
        <v>3158</v>
      </c>
      <c r="H514" s="136">
        <v>9</v>
      </c>
      <c r="I514" s="2"/>
      <c r="J514" s="4" t="s">
        <v>3095</v>
      </c>
      <c r="K514" s="136">
        <v>8.5</v>
      </c>
      <c r="L514" s="2"/>
      <c r="M514" s="4" t="s">
        <v>3329</v>
      </c>
      <c r="N514" s="136">
        <v>8.5</v>
      </c>
      <c r="O514" s="16"/>
    </row>
    <row r="515" spans="1:15" s="3" customFormat="1" ht="15.45" customHeight="1" thickBot="1" x14ac:dyDescent="0.35">
      <c r="A515" s="129" t="s">
        <v>3381</v>
      </c>
      <c r="B515" s="12">
        <f>ROUND(SUM(B516:B522)/COUNT(B516:B522), 2)</f>
        <v>8.7899999999999991</v>
      </c>
      <c r="C515" s="2"/>
      <c r="D515" s="11" t="s">
        <v>3342</v>
      </c>
      <c r="E515" s="190">
        <v>8.5</v>
      </c>
      <c r="F515" s="2"/>
      <c r="G515" s="4" t="s">
        <v>3159</v>
      </c>
      <c r="H515" s="136">
        <v>9</v>
      </c>
      <c r="I515" s="2"/>
      <c r="J515" s="4" t="s">
        <v>3096</v>
      </c>
      <c r="K515" s="136">
        <v>7.5</v>
      </c>
      <c r="L515" s="2"/>
      <c r="M515" s="4" t="s">
        <v>3330</v>
      </c>
      <c r="N515" s="136">
        <v>8</v>
      </c>
      <c r="O515" s="16"/>
    </row>
    <row r="516" spans="1:15" s="3" customFormat="1" x14ac:dyDescent="0.3">
      <c r="A516" s="380" t="s">
        <v>3375</v>
      </c>
      <c r="B516" s="190">
        <v>9</v>
      </c>
      <c r="C516" s="2"/>
      <c r="D516" s="4" t="s">
        <v>3343</v>
      </c>
      <c r="E516" s="136">
        <v>9</v>
      </c>
      <c r="F516" s="2"/>
      <c r="G516" s="4" t="s">
        <v>3160</v>
      </c>
      <c r="H516" s="136">
        <v>10</v>
      </c>
      <c r="I516" s="2"/>
      <c r="J516" s="4" t="s">
        <v>3097</v>
      </c>
      <c r="K516" s="136">
        <v>10</v>
      </c>
      <c r="L516" s="2"/>
      <c r="M516" s="4" t="s">
        <v>3331</v>
      </c>
      <c r="N516" s="136">
        <v>8</v>
      </c>
      <c r="O516" s="16"/>
    </row>
    <row r="517" spans="1:15" s="3" customFormat="1" ht="16.2" thickBot="1" x14ac:dyDescent="0.35">
      <c r="A517" s="381" t="s">
        <v>3376</v>
      </c>
      <c r="B517" s="136">
        <v>8.5</v>
      </c>
      <c r="C517" s="2"/>
      <c r="D517" s="4" t="s">
        <v>3344</v>
      </c>
      <c r="E517" s="136">
        <v>10</v>
      </c>
      <c r="F517" s="2"/>
      <c r="G517" s="4" t="s">
        <v>3161</v>
      </c>
      <c r="H517" s="136">
        <v>10</v>
      </c>
      <c r="I517" s="2"/>
      <c r="J517" s="7" t="s">
        <v>3098</v>
      </c>
      <c r="K517" s="191">
        <v>8.5</v>
      </c>
      <c r="L517" s="2"/>
      <c r="M517" s="4" t="s">
        <v>3332</v>
      </c>
      <c r="N517" s="136">
        <v>10</v>
      </c>
      <c r="O517" s="16"/>
    </row>
    <row r="518" spans="1:15" s="3" customFormat="1" ht="16.2" thickBot="1" x14ac:dyDescent="0.35">
      <c r="A518" s="4" t="s">
        <v>450</v>
      </c>
      <c r="B518" s="136">
        <v>10</v>
      </c>
      <c r="C518" s="2"/>
      <c r="D518" s="4" t="s">
        <v>3345</v>
      </c>
      <c r="E518" s="136">
        <v>10</v>
      </c>
      <c r="F518" s="2"/>
      <c r="G518" s="4" t="s">
        <v>3162</v>
      </c>
      <c r="H518" s="136">
        <v>8.5</v>
      </c>
      <c r="I518" s="2"/>
      <c r="J518" s="2"/>
      <c r="K518" s="2"/>
      <c r="L518" s="2"/>
      <c r="M518" s="4" t="s">
        <v>3333</v>
      </c>
      <c r="N518" s="136">
        <v>7.5</v>
      </c>
      <c r="O518" s="16"/>
    </row>
    <row r="519" spans="1:15" s="3" customFormat="1" ht="15.6" customHeight="1" thickBot="1" x14ac:dyDescent="0.35">
      <c r="A519" s="4" t="s">
        <v>3377</v>
      </c>
      <c r="B519" s="136">
        <v>8</v>
      </c>
      <c r="C519" s="2"/>
      <c r="D519" s="4" t="s">
        <v>3346</v>
      </c>
      <c r="E519" s="136">
        <v>8</v>
      </c>
      <c r="F519" s="2"/>
      <c r="G519" s="7" t="s">
        <v>3163</v>
      </c>
      <c r="H519" s="191">
        <v>8.5</v>
      </c>
      <c r="I519" s="2"/>
      <c r="J519" s="398" t="s">
        <v>3400</v>
      </c>
      <c r="K519" s="12">
        <f>ROUND(SUM(K520:K526)/COUNT(K520:K526), 2)</f>
        <v>8</v>
      </c>
      <c r="L519" s="2"/>
      <c r="M519" s="4" t="s">
        <v>3334</v>
      </c>
      <c r="N519" s="136">
        <v>9</v>
      </c>
      <c r="O519" s="16"/>
    </row>
    <row r="520" spans="1:15" s="3" customFormat="1" x14ac:dyDescent="0.3">
      <c r="A520" s="4" t="s">
        <v>3378</v>
      </c>
      <c r="B520" s="136">
        <v>8</v>
      </c>
      <c r="C520" s="2"/>
      <c r="D520" s="4" t="s">
        <v>3347</v>
      </c>
      <c r="E520" s="136">
        <v>7.5</v>
      </c>
      <c r="F520" s="2"/>
      <c r="G520" s="2"/>
      <c r="H520" s="2"/>
      <c r="I520" s="2"/>
      <c r="J520" s="11" t="s">
        <v>3401</v>
      </c>
      <c r="K520" s="190">
        <v>9</v>
      </c>
      <c r="L520" s="2"/>
      <c r="M520" s="4" t="s">
        <v>3335</v>
      </c>
      <c r="N520" s="136">
        <v>8</v>
      </c>
      <c r="O520" s="16"/>
    </row>
    <row r="521" spans="1:15" s="3" customFormat="1" x14ac:dyDescent="0.3">
      <c r="A521" s="4" t="s">
        <v>3379</v>
      </c>
      <c r="B521" s="136">
        <v>9.5</v>
      </c>
      <c r="C521" s="2"/>
      <c r="D521" s="4" t="s">
        <v>3348</v>
      </c>
      <c r="E521" s="136">
        <v>8.5</v>
      </c>
      <c r="F521" s="2"/>
      <c r="I521" s="2"/>
      <c r="J521" s="4" t="s">
        <v>3402</v>
      </c>
      <c r="K521" s="136">
        <v>8</v>
      </c>
      <c r="L521" s="2"/>
      <c r="M521" s="4" t="s">
        <v>3336</v>
      </c>
      <c r="N521" s="136">
        <v>10.5</v>
      </c>
      <c r="O521" s="16"/>
    </row>
    <row r="522" spans="1:15" s="3" customFormat="1" ht="16.2" thickBot="1" x14ac:dyDescent="0.35">
      <c r="A522" s="7" t="s">
        <v>3380</v>
      </c>
      <c r="B522" s="191">
        <v>8.5</v>
      </c>
      <c r="C522" s="2"/>
      <c r="D522" s="4" t="s">
        <v>3349</v>
      </c>
      <c r="E522" s="136">
        <v>8</v>
      </c>
      <c r="F522" s="2"/>
      <c r="I522" s="2"/>
      <c r="J522" s="4" t="s">
        <v>3403</v>
      </c>
      <c r="K522" s="136">
        <v>8</v>
      </c>
      <c r="L522" s="2"/>
      <c r="M522" s="4" t="s">
        <v>3337</v>
      </c>
      <c r="N522" s="136">
        <v>8.5</v>
      </c>
      <c r="O522" s="16"/>
    </row>
    <row r="523" spans="1:15" s="3" customFormat="1" ht="16.2" thickBot="1" x14ac:dyDescent="0.35">
      <c r="A523" s="2"/>
      <c r="B523" s="2"/>
      <c r="C523" s="2"/>
      <c r="D523" s="4" t="s">
        <v>3350</v>
      </c>
      <c r="E523" s="136">
        <v>8</v>
      </c>
      <c r="F523" s="2"/>
      <c r="I523" s="2"/>
      <c r="J523" s="4" t="s">
        <v>3404</v>
      </c>
      <c r="K523" s="136">
        <v>7.5</v>
      </c>
      <c r="L523" s="2"/>
      <c r="M523" s="7" t="s">
        <v>3338</v>
      </c>
      <c r="N523" s="191">
        <v>8</v>
      </c>
      <c r="O523" s="16"/>
    </row>
    <row r="524" spans="1:15" s="3" customFormat="1" x14ac:dyDescent="0.3">
      <c r="C524" s="2"/>
      <c r="D524" s="4" t="s">
        <v>3351</v>
      </c>
      <c r="E524" s="136">
        <v>9</v>
      </c>
      <c r="F524" s="2"/>
      <c r="I524" s="2"/>
      <c r="J524" s="4" t="s">
        <v>3405</v>
      </c>
      <c r="K524" s="136">
        <v>8</v>
      </c>
      <c r="L524" s="2"/>
      <c r="M524" s="2"/>
      <c r="N524" s="2"/>
      <c r="O524" s="16"/>
    </row>
    <row r="525" spans="1:15" s="3" customFormat="1" x14ac:dyDescent="0.3">
      <c r="C525" s="2"/>
      <c r="D525" s="145" t="s">
        <v>3352</v>
      </c>
      <c r="E525" s="136">
        <v>8</v>
      </c>
      <c r="F525" s="2"/>
      <c r="I525" s="2"/>
      <c r="J525" s="4" t="s">
        <v>3406</v>
      </c>
      <c r="K525" s="136"/>
      <c r="L525" s="2"/>
    </row>
    <row r="526" spans="1:15" s="3" customFormat="1" ht="16.2" thickBot="1" x14ac:dyDescent="0.35">
      <c r="C526" s="2"/>
      <c r="D526" s="7" t="s">
        <v>3353</v>
      </c>
      <c r="E526" s="191">
        <v>8.5</v>
      </c>
      <c r="F526" s="2"/>
      <c r="I526" s="2"/>
      <c r="J526" s="7" t="s">
        <v>3407</v>
      </c>
      <c r="K526" s="191">
        <v>7.5</v>
      </c>
      <c r="L526" s="2"/>
    </row>
    <row r="527" spans="1:15" s="3" customFormat="1" x14ac:dyDescent="0.3">
      <c r="C527" s="2"/>
      <c r="D527" s="2"/>
      <c r="E527" s="2"/>
      <c r="F527" s="2"/>
      <c r="I527" s="2"/>
      <c r="J527" s="2"/>
      <c r="K527" s="2"/>
      <c r="L527" s="2"/>
    </row>
    <row r="528" spans="1:15" s="3" customFormat="1" x14ac:dyDescent="0.3">
      <c r="J528"/>
    </row>
    <row r="529" spans="5:10" s="3" customFormat="1" x14ac:dyDescent="0.3">
      <c r="J529"/>
    </row>
    <row r="530" spans="5:10" s="3" customFormat="1" x14ac:dyDescent="0.3">
      <c r="E530"/>
      <c r="F530"/>
      <c r="J530"/>
    </row>
    <row r="531" spans="5:10" s="3" customFormat="1" x14ac:dyDescent="0.3">
      <c r="E531"/>
      <c r="F531"/>
      <c r="J531"/>
    </row>
    <row r="532" spans="5:10" s="3" customFormat="1" x14ac:dyDescent="0.3">
      <c r="E532"/>
      <c r="F532"/>
      <c r="J532"/>
    </row>
    <row r="533" spans="5:10" s="3" customFormat="1" x14ac:dyDescent="0.3">
      <c r="E533"/>
      <c r="F533"/>
      <c r="J533"/>
    </row>
    <row r="534" spans="5:10" s="3" customFormat="1" x14ac:dyDescent="0.3"/>
    <row r="535" spans="5:10" s="3" customFormat="1" x14ac:dyDescent="0.3"/>
    <row r="536" spans="5:10" s="3" customFormat="1" x14ac:dyDescent="0.3"/>
    <row r="537" spans="5:10" s="3" customFormat="1" x14ac:dyDescent="0.3"/>
    <row r="538" spans="5:10" s="3" customFormat="1" x14ac:dyDescent="0.3"/>
    <row r="539" spans="5:10" s="3" customFormat="1" x14ac:dyDescent="0.3"/>
    <row r="540" spans="5:10" s="3" customFormat="1" x14ac:dyDescent="0.3"/>
    <row r="541" spans="5:10" s="3" customFormat="1" x14ac:dyDescent="0.3"/>
    <row r="542" spans="5:10" s="3" customFormat="1" x14ac:dyDescent="0.3"/>
    <row r="543" spans="5:10" s="3" customFormat="1" x14ac:dyDescent="0.3"/>
    <row r="544" spans="5:10" s="3" customFormat="1" x14ac:dyDescent="0.3"/>
    <row r="545" s="3" customFormat="1" x14ac:dyDescent="0.3"/>
    <row r="546" s="3" customFormat="1" x14ac:dyDescent="0.3"/>
    <row r="547" s="3" customFormat="1" x14ac:dyDescent="0.3"/>
    <row r="548" s="3" customFormat="1" x14ac:dyDescent="0.3"/>
    <row r="549" s="3" customFormat="1" x14ac:dyDescent="0.3"/>
    <row r="550" s="3" customFormat="1" x14ac:dyDescent="0.3"/>
    <row r="551" s="3" customFormat="1" x14ac:dyDescent="0.3"/>
    <row r="552" s="3" customFormat="1" x14ac:dyDescent="0.3"/>
    <row r="553" s="3" customFormat="1" x14ac:dyDescent="0.3"/>
    <row r="554" s="3" customFormat="1" x14ac:dyDescent="0.3"/>
    <row r="555" s="3" customFormat="1" x14ac:dyDescent="0.3"/>
    <row r="556" s="3" customFormat="1" x14ac:dyDescent="0.3"/>
    <row r="557" s="3" customFormat="1" x14ac:dyDescent="0.3"/>
    <row r="558" s="3" customFormat="1" x14ac:dyDescent="0.3"/>
    <row r="559" s="3" customFormat="1" x14ac:dyDescent="0.3"/>
    <row r="560" s="3" customFormat="1" x14ac:dyDescent="0.3"/>
    <row r="561" s="3" customFormat="1" x14ac:dyDescent="0.3"/>
    <row r="562" s="3" customFormat="1" x14ac:dyDescent="0.3"/>
    <row r="563" s="3" customFormat="1" x14ac:dyDescent="0.3"/>
    <row r="564" s="3" customFormat="1" x14ac:dyDescent="0.3"/>
    <row r="565" s="3" customFormat="1" x14ac:dyDescent="0.3"/>
    <row r="566" s="3" customFormat="1" x14ac:dyDescent="0.3"/>
    <row r="567" s="3" customFormat="1" x14ac:dyDescent="0.3"/>
    <row r="568" s="3" customFormat="1" x14ac:dyDescent="0.3"/>
    <row r="569" s="3" customFormat="1" x14ac:dyDescent="0.3"/>
    <row r="570" s="3" customFormat="1" x14ac:dyDescent="0.3"/>
    <row r="571" s="3" customFormat="1" x14ac:dyDescent="0.3"/>
    <row r="572" s="3" customFormat="1" x14ac:dyDescent="0.3"/>
    <row r="573" s="3" customFormat="1" x14ac:dyDescent="0.3"/>
    <row r="574" s="3" customFormat="1" x14ac:dyDescent="0.3"/>
    <row r="575" s="3" customFormat="1" x14ac:dyDescent="0.3"/>
    <row r="576" s="3" customFormat="1" x14ac:dyDescent="0.3"/>
    <row r="577" s="3" customFormat="1" x14ac:dyDescent="0.3"/>
    <row r="578" s="3" customFormat="1" x14ac:dyDescent="0.3"/>
    <row r="579" s="3" customFormat="1" x14ac:dyDescent="0.3"/>
    <row r="580" s="3" customFormat="1" x14ac:dyDescent="0.3"/>
    <row r="581" s="3" customFormat="1" x14ac:dyDescent="0.3"/>
    <row r="582" s="3" customFormat="1" x14ac:dyDescent="0.3"/>
    <row r="583" s="3" customFormat="1" x14ac:dyDescent="0.3"/>
    <row r="584" s="3" customFormat="1" x14ac:dyDescent="0.3"/>
    <row r="585" s="3" customFormat="1" x14ac:dyDescent="0.3"/>
    <row r="586" s="3" customFormat="1" x14ac:dyDescent="0.3"/>
    <row r="587" s="3" customFormat="1" x14ac:dyDescent="0.3"/>
    <row r="588" s="3" customFormat="1" x14ac:dyDescent="0.3"/>
    <row r="589" s="3" customFormat="1" x14ac:dyDescent="0.3"/>
    <row r="590" s="3" customFormat="1" x14ac:dyDescent="0.3"/>
    <row r="591" s="3" customFormat="1" x14ac:dyDescent="0.3"/>
    <row r="592" s="3" customFormat="1" x14ac:dyDescent="0.3"/>
    <row r="593" s="3" customFormat="1" x14ac:dyDescent="0.3"/>
    <row r="594" s="3" customFormat="1" x14ac:dyDescent="0.3"/>
    <row r="595" s="3" customFormat="1" x14ac:dyDescent="0.3"/>
    <row r="596" s="3" customFormat="1" x14ac:dyDescent="0.3"/>
    <row r="597" s="3" customFormat="1" x14ac:dyDescent="0.3"/>
    <row r="598" s="3" customFormat="1" x14ac:dyDescent="0.3"/>
    <row r="599" s="3" customFormat="1" x14ac:dyDescent="0.3"/>
    <row r="600" s="3" customFormat="1" x14ac:dyDescent="0.3"/>
    <row r="601" s="3" customFormat="1" x14ac:dyDescent="0.3"/>
    <row r="602" s="3" customFormat="1" x14ac:dyDescent="0.3"/>
    <row r="603" s="3" customFormat="1" x14ac:dyDescent="0.3"/>
    <row r="604" s="3" customFormat="1" x14ac:dyDescent="0.3"/>
    <row r="605" s="3" customFormat="1" x14ac:dyDescent="0.3"/>
    <row r="606" s="3" customFormat="1" x14ac:dyDescent="0.3"/>
    <row r="607" s="3" customFormat="1" x14ac:dyDescent="0.3"/>
    <row r="608" s="3" customFormat="1" x14ac:dyDescent="0.3"/>
    <row r="609" s="3" customFormat="1" x14ac:dyDescent="0.3"/>
    <row r="610" s="3" customFormat="1" x14ac:dyDescent="0.3"/>
    <row r="611" s="3" customFormat="1" x14ac:dyDescent="0.3"/>
    <row r="612" s="3" customFormat="1" x14ac:dyDescent="0.3"/>
    <row r="613" s="3" customFormat="1" x14ac:dyDescent="0.3"/>
    <row r="614" s="3" customFormat="1" x14ac:dyDescent="0.3"/>
    <row r="615" s="3" customFormat="1" x14ac:dyDescent="0.3"/>
    <row r="616" s="3" customFormat="1" x14ac:dyDescent="0.3"/>
    <row r="617" s="3" customFormat="1" x14ac:dyDescent="0.3"/>
    <row r="618" s="3" customFormat="1" x14ac:dyDescent="0.3"/>
    <row r="619" s="3" customFormat="1" x14ac:dyDescent="0.3"/>
    <row r="620" s="3" customFormat="1" x14ac:dyDescent="0.3"/>
    <row r="621" s="3" customFormat="1" x14ac:dyDescent="0.3"/>
    <row r="622" s="3" customFormat="1" x14ac:dyDescent="0.3"/>
    <row r="623" s="3" customFormat="1" x14ac:dyDescent="0.3"/>
    <row r="624" s="3" customFormat="1" x14ac:dyDescent="0.3"/>
    <row r="625" s="3" customFormat="1" x14ac:dyDescent="0.3"/>
    <row r="626" s="3" customFormat="1" x14ac:dyDescent="0.3"/>
    <row r="627" s="3" customFormat="1" x14ac:dyDescent="0.3"/>
    <row r="628" s="3" customFormat="1" x14ac:dyDescent="0.3"/>
    <row r="629" s="3" customFormat="1" x14ac:dyDescent="0.3"/>
    <row r="630" s="3" customFormat="1" x14ac:dyDescent="0.3"/>
    <row r="631" s="3" customFormat="1" x14ac:dyDescent="0.3"/>
    <row r="632" s="3" customFormat="1" x14ac:dyDescent="0.3"/>
    <row r="633" s="3" customFormat="1" x14ac:dyDescent="0.3"/>
    <row r="634" s="3" customFormat="1" x14ac:dyDescent="0.3"/>
    <row r="635" s="3" customFormat="1" x14ac:dyDescent="0.3"/>
    <row r="636" s="3" customFormat="1" x14ac:dyDescent="0.3"/>
    <row r="637" s="3" customFormat="1" x14ac:dyDescent="0.3"/>
    <row r="638" s="3" customFormat="1" x14ac:dyDescent="0.3"/>
    <row r="639" s="3" customFormat="1" x14ac:dyDescent="0.3"/>
    <row r="640" s="3" customFormat="1" x14ac:dyDescent="0.3"/>
    <row r="641" s="3" customFormat="1" x14ac:dyDescent="0.3"/>
    <row r="642" s="3" customFormat="1" x14ac:dyDescent="0.3"/>
    <row r="643" s="3" customFormat="1" x14ac:dyDescent="0.3"/>
    <row r="644" s="3" customFormat="1" x14ac:dyDescent="0.3"/>
    <row r="645" s="3" customFormat="1" x14ac:dyDescent="0.3"/>
    <row r="646" s="3" customFormat="1" x14ac:dyDescent="0.3"/>
    <row r="647" s="3" customFormat="1" x14ac:dyDescent="0.3"/>
    <row r="648" s="3" customFormat="1" x14ac:dyDescent="0.3"/>
    <row r="649" s="3" customFormat="1" x14ac:dyDescent="0.3"/>
    <row r="650" s="3" customFormat="1" x14ac:dyDescent="0.3"/>
    <row r="651" s="3" customFormat="1" x14ac:dyDescent="0.3"/>
    <row r="652" s="3" customFormat="1" x14ac:dyDescent="0.3"/>
    <row r="653" s="3" customFormat="1" x14ac:dyDescent="0.3"/>
    <row r="654" s="3" customFormat="1" x14ac:dyDescent="0.3"/>
    <row r="655" s="3" customFormat="1" x14ac:dyDescent="0.3"/>
    <row r="656" s="3" customFormat="1" x14ac:dyDescent="0.3"/>
    <row r="657" s="3" customFormat="1" x14ac:dyDescent="0.3"/>
    <row r="658" s="3" customFormat="1" x14ac:dyDescent="0.3"/>
    <row r="659" s="3" customFormat="1" x14ac:dyDescent="0.3"/>
    <row r="660" s="3" customFormat="1" x14ac:dyDescent="0.3"/>
    <row r="661" s="3" customFormat="1" x14ac:dyDescent="0.3"/>
    <row r="662" s="3" customFormat="1" x14ac:dyDescent="0.3"/>
    <row r="663" s="3" customFormat="1" x14ac:dyDescent="0.3"/>
    <row r="664" s="3" customFormat="1" x14ac:dyDescent="0.3"/>
    <row r="665" s="3" customFormat="1" x14ac:dyDescent="0.3"/>
    <row r="666" s="3" customFormat="1" x14ac:dyDescent="0.3"/>
    <row r="667" s="3" customFormat="1" x14ac:dyDescent="0.3"/>
    <row r="668" s="3" customFormat="1" x14ac:dyDescent="0.3"/>
    <row r="669" s="3" customFormat="1" x14ac:dyDescent="0.3"/>
    <row r="670" s="3" customFormat="1" x14ac:dyDescent="0.3"/>
    <row r="671" s="3" customFormat="1" x14ac:dyDescent="0.3"/>
    <row r="672" s="3" customFormat="1" x14ac:dyDescent="0.3"/>
    <row r="673" s="3" customFormat="1" x14ac:dyDescent="0.3"/>
    <row r="674" s="3" customFormat="1" x14ac:dyDescent="0.3"/>
    <row r="675" s="3" customFormat="1" x14ac:dyDescent="0.3"/>
    <row r="676" s="3" customFormat="1" x14ac:dyDescent="0.3"/>
    <row r="677" s="3" customFormat="1" x14ac:dyDescent="0.3"/>
    <row r="678" s="3" customFormat="1" x14ac:dyDescent="0.3"/>
    <row r="679" s="3" customFormat="1" x14ac:dyDescent="0.3"/>
    <row r="680" s="3" customFormat="1" x14ac:dyDescent="0.3"/>
    <row r="681" s="3" customFormat="1" x14ac:dyDescent="0.3"/>
    <row r="682" s="3" customFormat="1" x14ac:dyDescent="0.3"/>
    <row r="683" s="3" customFormat="1" x14ac:dyDescent="0.3"/>
    <row r="684" s="3" customFormat="1" x14ac:dyDescent="0.3"/>
    <row r="685" s="3" customFormat="1" x14ac:dyDescent="0.3"/>
    <row r="686" s="3" customFormat="1" x14ac:dyDescent="0.3"/>
    <row r="687" s="3" customFormat="1" x14ac:dyDescent="0.3"/>
    <row r="688" s="3" customFormat="1" x14ac:dyDescent="0.3"/>
    <row r="689" s="3" customFormat="1" x14ac:dyDescent="0.3"/>
    <row r="690" s="3" customFormat="1" x14ac:dyDescent="0.3"/>
    <row r="691" s="3" customFormat="1" x14ac:dyDescent="0.3"/>
    <row r="692" s="3" customFormat="1" x14ac:dyDescent="0.3"/>
    <row r="693" s="3" customFormat="1" x14ac:dyDescent="0.3"/>
    <row r="694" s="3" customFormat="1" x14ac:dyDescent="0.3"/>
    <row r="695" s="3" customFormat="1" x14ac:dyDescent="0.3"/>
    <row r="696" s="3" customFormat="1" x14ac:dyDescent="0.3"/>
    <row r="697" s="3" customFormat="1" x14ac:dyDescent="0.3"/>
    <row r="698" s="3" customFormat="1" x14ac:dyDescent="0.3"/>
    <row r="699" s="3" customFormat="1" x14ac:dyDescent="0.3"/>
    <row r="700" s="3" customFormat="1" x14ac:dyDescent="0.3"/>
    <row r="701" s="3" customFormat="1" x14ac:dyDescent="0.3"/>
    <row r="702" s="3" customFormat="1" x14ac:dyDescent="0.3"/>
    <row r="703" s="3" customFormat="1" x14ac:dyDescent="0.3"/>
    <row r="704" s="3" customFormat="1" x14ac:dyDescent="0.3"/>
    <row r="705" s="3" customFormat="1" x14ac:dyDescent="0.3"/>
    <row r="706" s="3" customFormat="1" x14ac:dyDescent="0.3"/>
    <row r="707" s="3" customFormat="1" x14ac:dyDescent="0.3"/>
    <row r="708" s="3" customFormat="1" x14ac:dyDescent="0.3"/>
    <row r="709" s="3" customFormat="1" x14ac:dyDescent="0.3"/>
    <row r="710" s="3" customFormat="1" x14ac:dyDescent="0.3"/>
    <row r="711" s="3" customFormat="1" x14ac:dyDescent="0.3"/>
    <row r="712" s="3" customFormat="1" x14ac:dyDescent="0.3"/>
    <row r="713" s="3" customFormat="1" x14ac:dyDescent="0.3"/>
    <row r="714" s="3" customFormat="1" x14ac:dyDescent="0.3"/>
    <row r="715" s="3" customFormat="1" x14ac:dyDescent="0.3"/>
    <row r="716" s="3" customFormat="1" x14ac:dyDescent="0.3"/>
    <row r="717" s="3" customFormat="1" x14ac:dyDescent="0.3"/>
    <row r="718" s="3" customFormat="1" x14ac:dyDescent="0.3"/>
    <row r="719" s="3" customFormat="1" x14ac:dyDescent="0.3"/>
    <row r="720" s="3" customFormat="1" x14ac:dyDescent="0.3"/>
    <row r="721" s="3" customFormat="1" x14ac:dyDescent="0.3"/>
    <row r="722" s="3" customFormat="1" x14ac:dyDescent="0.3"/>
    <row r="723" s="3" customFormat="1" x14ac:dyDescent="0.3"/>
    <row r="724" s="3" customFormat="1" x14ac:dyDescent="0.3"/>
    <row r="725" s="3" customFormat="1" x14ac:dyDescent="0.3"/>
    <row r="726" s="3" customFormat="1" x14ac:dyDescent="0.3"/>
    <row r="727" s="3" customFormat="1" x14ac:dyDescent="0.3"/>
    <row r="728" s="3" customFormat="1" x14ac:dyDescent="0.3"/>
    <row r="729" s="3" customFormat="1" x14ac:dyDescent="0.3"/>
    <row r="730" s="3" customFormat="1" x14ac:dyDescent="0.3"/>
    <row r="731" s="3" customFormat="1" x14ac:dyDescent="0.3"/>
    <row r="732" s="3" customFormat="1" x14ac:dyDescent="0.3"/>
    <row r="733" s="3" customFormat="1" x14ac:dyDescent="0.3"/>
    <row r="734" s="3" customFormat="1" x14ac:dyDescent="0.3"/>
    <row r="735" s="3" customFormat="1" x14ac:dyDescent="0.3"/>
    <row r="736" s="3" customFormat="1" x14ac:dyDescent="0.3"/>
    <row r="737" s="3" customFormat="1" x14ac:dyDescent="0.3"/>
    <row r="738" s="3" customFormat="1" x14ac:dyDescent="0.3"/>
    <row r="739" s="3" customFormat="1" x14ac:dyDescent="0.3"/>
    <row r="740" s="3" customFormat="1" x14ac:dyDescent="0.3"/>
    <row r="741" s="3" customFormat="1" x14ac:dyDescent="0.3"/>
    <row r="742" s="3" customFormat="1" x14ac:dyDescent="0.3"/>
    <row r="743" s="3" customFormat="1" x14ac:dyDescent="0.3"/>
    <row r="744" s="3" customFormat="1" x14ac:dyDescent="0.3"/>
    <row r="745" s="3" customFormat="1" x14ac:dyDescent="0.3"/>
    <row r="746" s="3" customFormat="1" x14ac:dyDescent="0.3"/>
    <row r="747" s="3" customFormat="1" x14ac:dyDescent="0.3"/>
    <row r="748" s="3" customFormat="1" x14ac:dyDescent="0.3"/>
    <row r="749" s="3" customFormat="1" x14ac:dyDescent="0.3"/>
    <row r="750" s="3" customFormat="1" x14ac:dyDescent="0.3"/>
    <row r="751" s="3" customFormat="1" x14ac:dyDescent="0.3"/>
    <row r="752" s="3" customFormat="1" x14ac:dyDescent="0.3"/>
    <row r="753" s="3" customFormat="1" x14ac:dyDescent="0.3"/>
    <row r="754" s="3" customFormat="1" x14ac:dyDescent="0.3"/>
    <row r="755" s="3" customFormat="1" x14ac:dyDescent="0.3"/>
    <row r="756" s="3" customFormat="1" x14ac:dyDescent="0.3"/>
    <row r="757" s="3" customFormat="1" x14ac:dyDescent="0.3"/>
    <row r="758" s="3" customFormat="1" x14ac:dyDescent="0.3"/>
    <row r="759" s="3" customFormat="1" x14ac:dyDescent="0.3"/>
    <row r="760" s="3" customFormat="1" x14ac:dyDescent="0.3"/>
    <row r="761" s="3" customFormat="1" x14ac:dyDescent="0.3"/>
    <row r="762" s="3" customFormat="1" x14ac:dyDescent="0.3"/>
    <row r="763" s="3" customFormat="1" x14ac:dyDescent="0.3"/>
    <row r="764" s="3" customFormat="1" x14ac:dyDescent="0.3"/>
    <row r="765" s="3" customFormat="1" x14ac:dyDescent="0.3"/>
    <row r="766" s="3" customFormat="1" x14ac:dyDescent="0.3"/>
    <row r="767" s="3" customFormat="1" x14ac:dyDescent="0.3"/>
    <row r="768" s="3" customFormat="1" x14ac:dyDescent="0.3"/>
    <row r="769" s="3" customFormat="1" x14ac:dyDescent="0.3"/>
    <row r="770" s="3" customFormat="1" x14ac:dyDescent="0.3"/>
    <row r="771" s="3" customFormat="1" x14ac:dyDescent="0.3"/>
    <row r="772" s="3" customFormat="1" x14ac:dyDescent="0.3"/>
    <row r="773" s="3" customFormat="1" x14ac:dyDescent="0.3"/>
    <row r="774" s="3" customFormat="1" x14ac:dyDescent="0.3"/>
    <row r="775" s="3" customFormat="1" x14ac:dyDescent="0.3"/>
    <row r="776" s="3" customFormat="1" x14ac:dyDescent="0.3"/>
    <row r="777" s="3" customFormat="1" x14ac:dyDescent="0.3"/>
    <row r="778" s="3" customFormat="1" x14ac:dyDescent="0.3"/>
    <row r="779" s="3" customFormat="1" x14ac:dyDescent="0.3"/>
    <row r="780" s="3" customFormat="1" x14ac:dyDescent="0.3"/>
    <row r="781" s="3" customFormat="1" x14ac:dyDescent="0.3"/>
    <row r="782" s="3" customFormat="1" x14ac:dyDescent="0.3"/>
    <row r="783" s="3" customFormat="1" x14ac:dyDescent="0.3"/>
    <row r="784" s="3" customFormat="1" x14ac:dyDescent="0.3"/>
    <row r="785" s="3" customFormat="1" x14ac:dyDescent="0.3"/>
    <row r="786" s="3" customFormat="1" x14ac:dyDescent="0.3"/>
    <row r="787" s="3" customFormat="1" x14ac:dyDescent="0.3"/>
    <row r="788" s="3" customFormat="1" x14ac:dyDescent="0.3"/>
    <row r="789" s="3" customFormat="1" x14ac:dyDescent="0.3"/>
    <row r="790" s="3" customFormat="1" x14ac:dyDescent="0.3"/>
    <row r="791" s="3" customFormat="1" x14ac:dyDescent="0.3"/>
    <row r="792" s="3" customFormat="1" x14ac:dyDescent="0.3"/>
    <row r="793" s="3" customFormat="1" x14ac:dyDescent="0.3"/>
    <row r="794" s="3" customFormat="1" x14ac:dyDescent="0.3"/>
    <row r="795" s="3" customFormat="1" x14ac:dyDescent="0.3"/>
    <row r="796" s="3" customFormat="1" x14ac:dyDescent="0.3"/>
    <row r="797" s="3" customFormat="1" x14ac:dyDescent="0.3"/>
    <row r="798" s="3" customFormat="1" x14ac:dyDescent="0.3"/>
    <row r="799" s="3" customFormat="1" x14ac:dyDescent="0.3"/>
    <row r="800" s="3" customFormat="1" x14ac:dyDescent="0.3"/>
    <row r="801" s="3" customFormat="1" x14ac:dyDescent="0.3"/>
    <row r="802" s="3" customFormat="1" x14ac:dyDescent="0.3"/>
    <row r="803" s="3" customFormat="1" x14ac:dyDescent="0.3"/>
    <row r="804" s="3" customFormat="1" x14ac:dyDescent="0.3"/>
    <row r="805" s="3" customFormat="1" x14ac:dyDescent="0.3"/>
    <row r="806" s="3" customFormat="1" x14ac:dyDescent="0.3"/>
    <row r="807" s="3" customFormat="1" x14ac:dyDescent="0.3"/>
    <row r="808" s="3" customFormat="1" x14ac:dyDescent="0.3"/>
    <row r="809" s="3" customFormat="1" x14ac:dyDescent="0.3"/>
    <row r="810" s="3" customFormat="1" x14ac:dyDescent="0.3"/>
    <row r="811" s="3" customFormat="1" x14ac:dyDescent="0.3"/>
    <row r="812" s="3" customFormat="1" x14ac:dyDescent="0.3"/>
    <row r="813" s="3" customFormat="1" x14ac:dyDescent="0.3"/>
    <row r="814" s="3" customFormat="1" x14ac:dyDescent="0.3"/>
    <row r="815" s="3" customFormat="1" x14ac:dyDescent="0.3"/>
    <row r="816" s="3" customFormat="1" x14ac:dyDescent="0.3"/>
    <row r="817" s="3" customFormat="1" x14ac:dyDescent="0.3"/>
    <row r="818" s="3" customFormat="1" x14ac:dyDescent="0.3"/>
    <row r="819" s="3" customFormat="1" x14ac:dyDescent="0.3"/>
    <row r="820" s="3" customFormat="1" x14ac:dyDescent="0.3"/>
    <row r="821" s="3" customFormat="1" x14ac:dyDescent="0.3"/>
    <row r="822" s="3" customFormat="1" x14ac:dyDescent="0.3"/>
    <row r="823" s="3" customFormat="1" x14ac:dyDescent="0.3"/>
    <row r="824" s="3" customFormat="1" x14ac:dyDescent="0.3"/>
    <row r="825" s="3" customFormat="1" x14ac:dyDescent="0.3"/>
    <row r="826" s="3" customFormat="1" x14ac:dyDescent="0.3"/>
    <row r="827" s="3" customFormat="1" x14ac:dyDescent="0.3"/>
    <row r="828" s="3" customFormat="1" x14ac:dyDescent="0.3"/>
    <row r="829" s="3" customFormat="1" x14ac:dyDescent="0.3"/>
    <row r="830" s="3" customFormat="1" x14ac:dyDescent="0.3"/>
    <row r="831" s="3" customFormat="1" x14ac:dyDescent="0.3"/>
    <row r="832" s="3" customFormat="1" x14ac:dyDescent="0.3"/>
    <row r="833" s="3" customFormat="1" x14ac:dyDescent="0.3"/>
    <row r="834" s="3" customFormat="1" x14ac:dyDescent="0.3"/>
    <row r="835" s="3" customFormat="1" x14ac:dyDescent="0.3"/>
    <row r="836" s="3" customFormat="1" x14ac:dyDescent="0.3"/>
    <row r="837" s="3" customFormat="1" x14ac:dyDescent="0.3"/>
    <row r="838" s="3" customFormat="1" x14ac:dyDescent="0.3"/>
    <row r="839" s="3" customFormat="1" x14ac:dyDescent="0.3"/>
    <row r="840" s="3" customFormat="1" x14ac:dyDescent="0.3"/>
    <row r="841" s="3" customFormat="1" x14ac:dyDescent="0.3"/>
    <row r="842" s="3" customFormat="1" x14ac:dyDescent="0.3"/>
    <row r="843" s="3" customFormat="1" x14ac:dyDescent="0.3"/>
    <row r="844" s="3" customFormat="1" x14ac:dyDescent="0.3"/>
    <row r="845" s="3" customFormat="1" x14ac:dyDescent="0.3"/>
    <row r="846" s="3" customFormat="1" x14ac:dyDescent="0.3"/>
    <row r="847" s="3" customFormat="1" x14ac:dyDescent="0.3"/>
    <row r="848" s="3" customFormat="1" x14ac:dyDescent="0.3"/>
    <row r="849" s="3" customFormat="1" x14ac:dyDescent="0.3"/>
    <row r="850" s="3" customFormat="1" x14ac:dyDescent="0.3"/>
    <row r="851" s="3" customFormat="1" x14ac:dyDescent="0.3"/>
    <row r="852" s="3" customFormat="1" x14ac:dyDescent="0.3"/>
    <row r="853" s="3" customFormat="1" x14ac:dyDescent="0.3"/>
    <row r="854" s="3" customFormat="1" x14ac:dyDescent="0.3"/>
    <row r="855" s="3" customFormat="1" x14ac:dyDescent="0.3"/>
    <row r="856" s="3" customFormat="1" x14ac:dyDescent="0.3"/>
    <row r="857" s="3" customFormat="1" x14ac:dyDescent="0.3"/>
    <row r="858" s="3" customFormat="1" x14ac:dyDescent="0.3"/>
    <row r="859" s="3" customFormat="1" x14ac:dyDescent="0.3"/>
    <row r="860" s="3" customFormat="1" x14ac:dyDescent="0.3"/>
    <row r="861" s="3" customFormat="1" x14ac:dyDescent="0.3"/>
    <row r="862" s="3" customFormat="1" x14ac:dyDescent="0.3"/>
    <row r="863" s="3" customFormat="1" x14ac:dyDescent="0.3"/>
    <row r="864" s="3" customFormat="1" x14ac:dyDescent="0.3"/>
    <row r="865" s="3" customFormat="1" x14ac:dyDescent="0.3"/>
    <row r="866" s="3" customFormat="1" x14ac:dyDescent="0.3"/>
    <row r="867" s="3" customFormat="1" x14ac:dyDescent="0.3"/>
    <row r="868" s="3" customFormat="1" x14ac:dyDescent="0.3"/>
    <row r="869" s="3" customFormat="1" x14ac:dyDescent="0.3"/>
    <row r="870" s="3" customFormat="1" x14ac:dyDescent="0.3"/>
    <row r="871" s="3" customFormat="1" x14ac:dyDescent="0.3"/>
    <row r="872" s="3" customFormat="1" x14ac:dyDescent="0.3"/>
    <row r="873" s="3" customFormat="1" x14ac:dyDescent="0.3"/>
    <row r="874" s="3" customFormat="1" x14ac:dyDescent="0.3"/>
    <row r="875" s="3" customFormat="1" x14ac:dyDescent="0.3"/>
    <row r="876" s="3" customFormat="1" x14ac:dyDescent="0.3"/>
    <row r="877" s="3" customFormat="1" x14ac:dyDescent="0.3"/>
    <row r="878" s="3" customFormat="1" x14ac:dyDescent="0.3"/>
    <row r="879" s="3" customFormat="1" x14ac:dyDescent="0.3"/>
    <row r="880" s="3" customFormat="1" x14ac:dyDescent="0.3"/>
    <row r="881" s="3" customFormat="1" x14ac:dyDescent="0.3"/>
    <row r="882" s="3" customFormat="1" x14ac:dyDescent="0.3"/>
    <row r="883" s="3" customFormat="1" x14ac:dyDescent="0.3"/>
    <row r="884" s="3" customFormat="1" x14ac:dyDescent="0.3"/>
    <row r="885" s="3" customFormat="1" x14ac:dyDescent="0.3"/>
    <row r="886" s="3" customFormat="1" x14ac:dyDescent="0.3"/>
    <row r="887" s="3" customFormat="1" x14ac:dyDescent="0.3"/>
    <row r="888" s="3" customFormat="1" x14ac:dyDescent="0.3"/>
    <row r="889" s="3" customFormat="1" x14ac:dyDescent="0.3"/>
    <row r="890" s="3" customFormat="1" x14ac:dyDescent="0.3"/>
    <row r="891" s="3" customFormat="1" x14ac:dyDescent="0.3"/>
    <row r="892" s="3" customFormat="1" x14ac:dyDescent="0.3"/>
    <row r="893" s="3" customFormat="1" x14ac:dyDescent="0.3"/>
    <row r="894" s="3" customFormat="1" x14ac:dyDescent="0.3"/>
    <row r="895" s="3" customFormat="1" x14ac:dyDescent="0.3"/>
    <row r="896" s="3" customFormat="1" x14ac:dyDescent="0.3"/>
    <row r="897" s="3" customFormat="1" x14ac:dyDescent="0.3"/>
    <row r="898" s="3" customFormat="1" x14ac:dyDescent="0.3"/>
    <row r="899" s="3" customFormat="1" x14ac:dyDescent="0.3"/>
    <row r="900" s="3" customFormat="1" x14ac:dyDescent="0.3"/>
    <row r="901" s="3" customFormat="1" x14ac:dyDescent="0.3"/>
    <row r="902" s="3" customFormat="1" x14ac:dyDescent="0.3"/>
    <row r="903" s="3" customFormat="1" x14ac:dyDescent="0.3"/>
    <row r="904" s="3" customFormat="1" x14ac:dyDescent="0.3"/>
    <row r="905" s="3" customFormat="1" x14ac:dyDescent="0.3"/>
    <row r="906" s="3" customFormat="1" x14ac:dyDescent="0.3"/>
    <row r="907" s="3" customFormat="1" x14ac:dyDescent="0.3"/>
    <row r="908" s="3" customFormat="1" x14ac:dyDescent="0.3"/>
    <row r="909" s="3" customFormat="1" x14ac:dyDescent="0.3"/>
    <row r="910" s="3" customFormat="1" x14ac:dyDescent="0.3"/>
    <row r="911" s="3" customFormat="1" x14ac:dyDescent="0.3"/>
    <row r="912" s="3" customFormat="1" x14ac:dyDescent="0.3"/>
    <row r="913" s="3" customFormat="1" x14ac:dyDescent="0.3"/>
    <row r="914" s="3" customFormat="1" x14ac:dyDescent="0.3"/>
    <row r="915" s="3" customFormat="1" x14ac:dyDescent="0.3"/>
    <row r="916" s="3" customFormat="1" x14ac:dyDescent="0.3"/>
    <row r="917" s="3" customFormat="1" x14ac:dyDescent="0.3"/>
    <row r="918" s="3" customFormat="1" x14ac:dyDescent="0.3"/>
    <row r="919" s="3" customFormat="1" x14ac:dyDescent="0.3"/>
    <row r="920" s="3" customFormat="1" x14ac:dyDescent="0.3"/>
    <row r="921" s="3" customFormat="1" x14ac:dyDescent="0.3"/>
    <row r="922" s="3" customFormat="1" x14ac:dyDescent="0.3"/>
    <row r="923" s="3" customFormat="1" x14ac:dyDescent="0.3"/>
    <row r="924" s="3" customFormat="1" x14ac:dyDescent="0.3"/>
    <row r="925" s="3" customFormat="1" x14ac:dyDescent="0.3"/>
    <row r="926" s="3" customFormat="1" x14ac:dyDescent="0.3"/>
    <row r="927" s="3" customFormat="1" x14ac:dyDescent="0.3"/>
    <row r="928" s="3" customFormat="1" x14ac:dyDescent="0.3"/>
    <row r="929" s="3" customFormat="1" x14ac:dyDescent="0.3"/>
    <row r="930" s="3" customFormat="1" x14ac:dyDescent="0.3"/>
    <row r="931" s="3" customFormat="1" x14ac:dyDescent="0.3"/>
    <row r="932" s="3" customFormat="1" x14ac:dyDescent="0.3"/>
    <row r="933" s="3" customFormat="1" x14ac:dyDescent="0.3"/>
    <row r="934" s="3" customFormat="1" x14ac:dyDescent="0.3"/>
    <row r="935" s="3" customFormat="1" x14ac:dyDescent="0.3"/>
    <row r="936" s="3" customFormat="1" x14ac:dyDescent="0.3"/>
    <row r="937" s="3" customFormat="1" x14ac:dyDescent="0.3"/>
    <row r="938" s="3" customFormat="1" x14ac:dyDescent="0.3"/>
    <row r="939" s="3" customFormat="1" x14ac:dyDescent="0.3"/>
    <row r="940" s="3" customFormat="1" x14ac:dyDescent="0.3"/>
    <row r="941" s="3" customFormat="1" x14ac:dyDescent="0.3"/>
    <row r="942" s="3" customFormat="1" x14ac:dyDescent="0.3"/>
    <row r="943" s="3" customFormat="1" x14ac:dyDescent="0.3"/>
    <row r="944" s="3" customFormat="1" x14ac:dyDescent="0.3"/>
    <row r="945" s="3" customFormat="1" x14ac:dyDescent="0.3"/>
    <row r="946" s="3" customFormat="1" x14ac:dyDescent="0.3"/>
    <row r="947" s="3" customFormat="1" x14ac:dyDescent="0.3"/>
    <row r="948" s="3" customFormat="1" x14ac:dyDescent="0.3"/>
    <row r="949" s="3" customFormat="1" x14ac:dyDescent="0.3"/>
    <row r="950" s="3" customFormat="1" x14ac:dyDescent="0.3"/>
    <row r="951" s="3" customFormat="1" x14ac:dyDescent="0.3"/>
    <row r="952" s="3" customFormat="1" x14ac:dyDescent="0.3"/>
    <row r="953" s="3" customFormat="1" x14ac:dyDescent="0.3"/>
    <row r="954" s="3" customFormat="1" x14ac:dyDescent="0.3"/>
    <row r="955" s="3" customFormat="1" x14ac:dyDescent="0.3"/>
    <row r="956" s="3" customFormat="1" x14ac:dyDescent="0.3"/>
    <row r="957" s="3" customFormat="1" x14ac:dyDescent="0.3"/>
    <row r="958" s="3" customFormat="1" x14ac:dyDescent="0.3"/>
    <row r="959" s="3" customFormat="1" x14ac:dyDescent="0.3"/>
    <row r="960" s="3" customFormat="1" x14ac:dyDescent="0.3"/>
    <row r="961" s="3" customFormat="1" x14ac:dyDescent="0.3"/>
    <row r="962" s="3" customFormat="1" x14ac:dyDescent="0.3"/>
    <row r="963" s="3" customFormat="1" x14ac:dyDescent="0.3"/>
    <row r="964" s="3" customFormat="1" x14ac:dyDescent="0.3"/>
    <row r="965" s="3" customFormat="1" x14ac:dyDescent="0.3"/>
    <row r="966" s="3" customFormat="1" x14ac:dyDescent="0.3"/>
    <row r="967" s="3" customFormat="1" x14ac:dyDescent="0.3"/>
    <row r="968" s="3" customFormat="1" x14ac:dyDescent="0.3"/>
    <row r="969" s="3" customFormat="1" x14ac:dyDescent="0.3"/>
    <row r="970" s="3" customFormat="1" x14ac:dyDescent="0.3"/>
    <row r="971" s="3" customFormat="1" x14ac:dyDescent="0.3"/>
    <row r="972" s="3" customFormat="1" x14ac:dyDescent="0.3"/>
    <row r="973" s="3" customFormat="1" x14ac:dyDescent="0.3"/>
    <row r="974" s="3" customFormat="1" x14ac:dyDescent="0.3"/>
    <row r="975" s="3" customFormat="1" x14ac:dyDescent="0.3"/>
    <row r="976" s="3" customFormat="1" x14ac:dyDescent="0.3"/>
    <row r="977" s="3" customFormat="1" x14ac:dyDescent="0.3"/>
    <row r="978" s="3" customFormat="1" x14ac:dyDescent="0.3"/>
    <row r="979" s="3" customFormat="1" x14ac:dyDescent="0.3"/>
    <row r="980" s="3" customFormat="1" x14ac:dyDescent="0.3"/>
    <row r="981" s="3" customFormat="1" x14ac:dyDescent="0.3"/>
    <row r="982" s="3" customFormat="1" x14ac:dyDescent="0.3"/>
    <row r="983" s="3" customFormat="1" x14ac:dyDescent="0.3"/>
    <row r="984" s="3" customFormat="1" x14ac:dyDescent="0.3"/>
    <row r="985" s="3" customFormat="1" x14ac:dyDescent="0.3"/>
    <row r="986" s="3" customFormat="1" x14ac:dyDescent="0.3"/>
    <row r="987" s="3" customFormat="1" x14ac:dyDescent="0.3"/>
    <row r="988" s="3" customFormat="1" x14ac:dyDescent="0.3"/>
    <row r="989" s="3" customFormat="1" x14ac:dyDescent="0.3"/>
    <row r="990" s="3" customFormat="1" x14ac:dyDescent="0.3"/>
    <row r="991" s="3" customFormat="1" x14ac:dyDescent="0.3"/>
    <row r="992" s="3" customFormat="1" x14ac:dyDescent="0.3"/>
    <row r="993" s="3" customFormat="1" x14ac:dyDescent="0.3"/>
    <row r="994" s="3" customFormat="1" x14ac:dyDescent="0.3"/>
    <row r="995" s="3" customFormat="1" x14ac:dyDescent="0.3"/>
    <row r="996" s="3" customFormat="1" x14ac:dyDescent="0.3"/>
    <row r="997" s="3" customFormat="1" x14ac:dyDescent="0.3"/>
    <row r="998" s="3" customFormat="1" x14ac:dyDescent="0.3"/>
    <row r="999" s="3" customFormat="1" x14ac:dyDescent="0.3"/>
    <row r="1000" s="3" customFormat="1" x14ac:dyDescent="0.3"/>
  </sheetData>
  <sortState xmlns:xlrd2="http://schemas.microsoft.com/office/spreadsheetml/2017/richdata2" ref="S197:W216">
    <sortCondition ref="W197:W216"/>
  </sortState>
  <phoneticPr fontId="192" type="noConversion"/>
  <conditionalFormatting sqref="A2:B2 D2:E2 G2:H2 J2:K2 M2:N2 A16:B16 A26:B26 D14:E14 G17:H17 J14:K14 M14:N14 D30:E30 J25:K25">
    <cfRule type="colorScale" priority="241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420">
      <colorScale>
        <cfvo type="num" val="5"/>
        <cfvo type="num" val="10"/>
        <color rgb="FFFF494D"/>
        <color rgb="FF00FF66"/>
      </colorScale>
    </cfRule>
  </conditionalFormatting>
  <conditionalFormatting sqref="B3:B14">
    <cfRule type="cellIs" dxfId="1532" priority="2038" operator="between">
      <formula>9</formula>
      <formula>9.9</formula>
    </cfRule>
    <cfRule type="cellIs" dxfId="1531" priority="2037" stopIfTrue="1" operator="between">
      <formula>8</formula>
      <formula>8.9</formula>
    </cfRule>
    <cfRule type="cellIs" dxfId="1530" priority="2039" stopIfTrue="1" operator="between">
      <formula>10</formula>
      <formula>10</formula>
    </cfRule>
    <cfRule type="cellIs" dxfId="1529" priority="1998" operator="between">
      <formula>10.1</formula>
      <formula>10.6</formula>
    </cfRule>
    <cfRule type="containsBlanks" dxfId="1528" priority="2040" stopIfTrue="1">
      <formula>LEN(TRIM(B3))=0</formula>
    </cfRule>
    <cfRule type="cellIs" dxfId="1527" priority="2036" operator="between">
      <formula>7</formula>
      <formula>7.9</formula>
    </cfRule>
  </conditionalFormatting>
  <conditionalFormatting sqref="B17:B24">
    <cfRule type="cellIs" dxfId="1526" priority="1974" operator="between">
      <formula>10.1</formula>
      <formula>10.6</formula>
    </cfRule>
    <cfRule type="cellIs" dxfId="1525" priority="1975" operator="between">
      <formula>7</formula>
      <formula>7.9</formula>
    </cfRule>
    <cfRule type="cellIs" dxfId="1524" priority="1976" stopIfTrue="1" operator="between">
      <formula>8</formula>
      <formula>8.9</formula>
    </cfRule>
    <cfRule type="cellIs" dxfId="1523" priority="1977" operator="between">
      <formula>9</formula>
      <formula>9.9</formula>
    </cfRule>
    <cfRule type="cellIs" dxfId="1522" priority="1978" stopIfTrue="1" operator="between">
      <formula>10</formula>
      <formula>10</formula>
    </cfRule>
    <cfRule type="containsBlanks" dxfId="1521" priority="1979" stopIfTrue="1">
      <formula>LEN(TRIM(B17))=0</formula>
    </cfRule>
  </conditionalFormatting>
  <conditionalFormatting sqref="B27:B31">
    <cfRule type="cellIs" dxfId="1520" priority="1969" operator="between">
      <formula>7</formula>
      <formula>7.9</formula>
    </cfRule>
    <cfRule type="cellIs" dxfId="1519" priority="1972" stopIfTrue="1" operator="between">
      <formula>10</formula>
      <formula>10</formula>
    </cfRule>
    <cfRule type="containsBlanks" dxfId="1518" priority="1973" stopIfTrue="1">
      <formula>LEN(TRIM(B27))=0</formula>
    </cfRule>
    <cfRule type="cellIs" dxfId="1517" priority="1970" stopIfTrue="1" operator="between">
      <formula>8</formula>
      <formula>8.9</formula>
    </cfRule>
    <cfRule type="cellIs" dxfId="1516" priority="1968" operator="between">
      <formula>10.1</formula>
      <formula>10.6</formula>
    </cfRule>
    <cfRule type="cellIs" dxfId="1515" priority="1971" operator="between">
      <formula>9</formula>
      <formula>9.9</formula>
    </cfRule>
  </conditionalFormatting>
  <conditionalFormatting sqref="B33">
    <cfRule type="colorScale" priority="2371">
      <colorScale>
        <cfvo type="num" val="5"/>
        <cfvo type="num" val="10"/>
        <color rgb="FFFF494D"/>
        <color rgb="FF00FF66"/>
      </colorScale>
    </cfRule>
    <cfRule type="colorScale" priority="237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34:B45">
    <cfRule type="containsBlanks" dxfId="1514" priority="1967" stopIfTrue="1">
      <formula>LEN(TRIM(B34))=0</formula>
    </cfRule>
    <cfRule type="cellIs" dxfId="1513" priority="1966" stopIfTrue="1" operator="between">
      <formula>10</formula>
      <formula>10</formula>
    </cfRule>
    <cfRule type="cellIs" dxfId="1512" priority="1964" stopIfTrue="1" operator="between">
      <formula>8</formula>
      <formula>8.9</formula>
    </cfRule>
    <cfRule type="cellIs" dxfId="1511" priority="1963" operator="between">
      <formula>7</formula>
      <formula>7.9</formula>
    </cfRule>
    <cfRule type="cellIs" dxfId="1510" priority="1962" operator="between">
      <formula>10.1</formula>
      <formula>10.6</formula>
    </cfRule>
    <cfRule type="cellIs" dxfId="1509" priority="1965" operator="between">
      <formula>9</formula>
      <formula>9.9</formula>
    </cfRule>
  </conditionalFormatting>
  <conditionalFormatting sqref="B47">
    <cfRule type="colorScale" priority="204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47">
      <colorScale>
        <cfvo type="num" val="5"/>
        <cfvo type="num" val="10"/>
        <color rgb="FFFF494D"/>
        <color rgb="FF00FF66"/>
      </colorScale>
    </cfRule>
  </conditionalFormatting>
  <conditionalFormatting sqref="B48:B57">
    <cfRule type="containsBlanks" dxfId="1508" priority="1937" stopIfTrue="1">
      <formula>LEN(TRIM(B48))=0</formula>
    </cfRule>
    <cfRule type="cellIs" dxfId="1507" priority="1936" stopIfTrue="1" operator="between">
      <formula>10</formula>
      <formula>10</formula>
    </cfRule>
    <cfRule type="cellIs" dxfId="1506" priority="1934" stopIfTrue="1" operator="between">
      <formula>8</formula>
      <formula>8.9</formula>
    </cfRule>
    <cfRule type="cellIs" dxfId="1505" priority="1932" operator="between">
      <formula>10.1</formula>
      <formula>10.6</formula>
    </cfRule>
    <cfRule type="cellIs" dxfId="1504" priority="1933" operator="between">
      <formula>7</formula>
      <formula>7.9</formula>
    </cfRule>
    <cfRule type="cellIs" dxfId="1503" priority="1935" operator="between">
      <formula>9</formula>
      <formula>9.9</formula>
    </cfRule>
  </conditionalFormatting>
  <conditionalFormatting sqref="B59">
    <cfRule type="colorScale" priority="191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17">
      <colorScale>
        <cfvo type="num" val="5"/>
        <cfvo type="num" val="10"/>
        <color rgb="FFFF494D"/>
        <color rgb="FF00FF66"/>
      </colorScale>
    </cfRule>
  </conditionalFormatting>
  <conditionalFormatting sqref="B60:B68">
    <cfRule type="cellIs" dxfId="1502" priority="1913" operator="between">
      <formula>9</formula>
      <formula>9.9</formula>
    </cfRule>
    <cfRule type="cellIs" dxfId="1501" priority="1912" stopIfTrue="1" operator="between">
      <formula>8</formula>
      <formula>8.9</formula>
    </cfRule>
    <cfRule type="cellIs" dxfId="1500" priority="1911" operator="between">
      <formula>7</formula>
      <formula>7.9</formula>
    </cfRule>
    <cfRule type="cellIs" dxfId="1499" priority="1910" operator="between">
      <formula>10.1</formula>
      <formula>10.6</formula>
    </cfRule>
    <cfRule type="containsBlanks" dxfId="1498" priority="1915" stopIfTrue="1">
      <formula>LEN(TRIM(B60))=0</formula>
    </cfRule>
    <cfRule type="cellIs" dxfId="1497" priority="1914" stopIfTrue="1" operator="between">
      <formula>10</formula>
      <formula>10</formula>
    </cfRule>
  </conditionalFormatting>
  <conditionalFormatting sqref="B70">
    <cfRule type="colorScale" priority="1844">
      <colorScale>
        <cfvo type="num" val="5"/>
        <cfvo type="num" val="10"/>
        <color rgb="FFFF494D"/>
        <color rgb="FF00FF66"/>
      </colorScale>
    </cfRule>
    <cfRule type="colorScale" priority="184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71:B77">
    <cfRule type="cellIs" dxfId="1496" priority="1824" operator="between">
      <formula>10.1</formula>
      <formula>10.6</formula>
    </cfRule>
    <cfRule type="cellIs" dxfId="1495" priority="1825" operator="between">
      <formula>7</formula>
      <formula>7.9</formula>
    </cfRule>
    <cfRule type="cellIs" dxfId="1494" priority="1826" stopIfTrue="1" operator="between">
      <formula>8</formula>
      <formula>8.9</formula>
    </cfRule>
    <cfRule type="containsBlanks" dxfId="1493" priority="1829" stopIfTrue="1">
      <formula>LEN(TRIM(B71))=0</formula>
    </cfRule>
    <cfRule type="cellIs" dxfId="1492" priority="1828" stopIfTrue="1" operator="between">
      <formula>10</formula>
      <formula>10</formula>
    </cfRule>
    <cfRule type="cellIs" dxfId="1491" priority="1827" operator="between">
      <formula>9</formula>
      <formula>9.9</formula>
    </cfRule>
  </conditionalFormatting>
  <conditionalFormatting sqref="B73">
    <cfRule type="cellIs" dxfId="1490" priority="1823" operator="between">
      <formula>6</formula>
      <formula>6.9</formula>
    </cfRule>
  </conditionalFormatting>
  <conditionalFormatting sqref="B79">
    <cfRule type="colorScale" priority="180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07">
      <colorScale>
        <cfvo type="num" val="5"/>
        <cfvo type="num" val="10"/>
        <color rgb="FFFF494D"/>
        <color rgb="FF00FF66"/>
      </colorScale>
    </cfRule>
  </conditionalFormatting>
  <conditionalFormatting sqref="B80:B91">
    <cfRule type="containsBlanks" dxfId="1489" priority="1805" stopIfTrue="1">
      <formula>LEN(TRIM(B80))=0</formula>
    </cfRule>
    <cfRule type="cellIs" dxfId="1488" priority="1800" operator="between">
      <formula>10.1</formula>
      <formula>10.6</formula>
    </cfRule>
    <cfRule type="cellIs" dxfId="1487" priority="1801" operator="between">
      <formula>7</formula>
      <formula>7.9</formula>
    </cfRule>
    <cfRule type="cellIs" dxfId="1486" priority="1802" stopIfTrue="1" operator="between">
      <formula>8</formula>
      <formula>8.9</formula>
    </cfRule>
    <cfRule type="cellIs" dxfId="1485" priority="1803" operator="between">
      <formula>9</formula>
      <formula>9.9</formula>
    </cfRule>
    <cfRule type="cellIs" dxfId="1484" priority="1804" stopIfTrue="1" operator="between">
      <formula>10</formula>
      <formula>10</formula>
    </cfRule>
  </conditionalFormatting>
  <conditionalFormatting sqref="B93">
    <cfRule type="colorScale" priority="1760">
      <colorScale>
        <cfvo type="num" val="5"/>
        <cfvo type="num" val="10"/>
        <color rgb="FFFF494D"/>
        <color rgb="FF00FF66"/>
      </colorScale>
    </cfRule>
    <cfRule type="colorScale" priority="175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94:B101">
    <cfRule type="containsBlanks" dxfId="1483" priority="1758" stopIfTrue="1">
      <formula>LEN(TRIM(B94))=0</formula>
    </cfRule>
    <cfRule type="cellIs" dxfId="1482" priority="1756" operator="between">
      <formula>9</formula>
      <formula>9.9</formula>
    </cfRule>
    <cfRule type="cellIs" dxfId="1481" priority="1753" operator="between">
      <formula>10.1</formula>
      <formula>10.6</formula>
    </cfRule>
    <cfRule type="cellIs" dxfId="1480" priority="1754" operator="between">
      <formula>7</formula>
      <formula>7.9</formula>
    </cfRule>
    <cfRule type="cellIs" dxfId="1479" priority="1755" stopIfTrue="1" operator="between">
      <formula>8</formula>
      <formula>8.9</formula>
    </cfRule>
    <cfRule type="cellIs" dxfId="1478" priority="1757" stopIfTrue="1" operator="between">
      <formula>10</formula>
      <formula>10</formula>
    </cfRule>
  </conditionalFormatting>
  <conditionalFormatting sqref="B103">
    <cfRule type="colorScale" priority="1711">
      <colorScale>
        <cfvo type="num" val="5"/>
        <cfvo type="num" val="10"/>
        <color rgb="FFFF494D"/>
        <color rgb="FF00FF66"/>
      </colorScale>
    </cfRule>
    <cfRule type="colorScale" priority="171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04:B112">
    <cfRule type="cellIs" dxfId="1477" priority="1707" operator="between">
      <formula>9</formula>
      <formula>9.9</formula>
    </cfRule>
    <cfRule type="containsBlanks" dxfId="1476" priority="1709" stopIfTrue="1">
      <formula>LEN(TRIM(B104))=0</formula>
    </cfRule>
    <cfRule type="cellIs" dxfId="1475" priority="1708" stopIfTrue="1" operator="between">
      <formula>10</formula>
      <formula>10</formula>
    </cfRule>
    <cfRule type="cellIs" dxfId="1474" priority="1706" stopIfTrue="1" operator="between">
      <formula>8</formula>
      <formula>8.9</formula>
    </cfRule>
    <cfRule type="cellIs" dxfId="1473" priority="1705" operator="between">
      <formula>7</formula>
      <formula>7.9</formula>
    </cfRule>
    <cfRule type="cellIs" dxfId="1472" priority="1704" operator="between">
      <formula>10.1</formula>
      <formula>10.6</formula>
    </cfRule>
  </conditionalFormatting>
  <conditionalFormatting sqref="B114">
    <cfRule type="colorScale" priority="1672">
      <colorScale>
        <cfvo type="num" val="5"/>
        <cfvo type="num" val="10"/>
        <color rgb="FFFF494D"/>
        <color rgb="FF00FF66"/>
      </colorScale>
    </cfRule>
    <cfRule type="colorScale" priority="167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15:B132">
    <cfRule type="cellIs" dxfId="1471" priority="1662" operator="between">
      <formula>9</formula>
      <formula>9.9</formula>
    </cfRule>
    <cfRule type="cellIs" dxfId="1470" priority="1658" operator="between">
      <formula>6</formula>
      <formula>6.9</formula>
    </cfRule>
    <cfRule type="cellIs" dxfId="1469" priority="1659" operator="between">
      <formula>10.1</formula>
      <formula>10.6</formula>
    </cfRule>
    <cfRule type="cellIs" dxfId="1468" priority="1660" operator="between">
      <formula>7</formula>
      <formula>7.9</formula>
    </cfRule>
    <cfRule type="containsBlanks" dxfId="1467" priority="1664" stopIfTrue="1">
      <formula>LEN(TRIM(B115))=0</formula>
    </cfRule>
    <cfRule type="cellIs" dxfId="1466" priority="1661" stopIfTrue="1" operator="between">
      <formula>8</formula>
      <formula>8.9</formula>
    </cfRule>
    <cfRule type="cellIs" dxfId="1465" priority="1663" stopIfTrue="1" operator="between">
      <formula>10</formula>
      <formula>10</formula>
    </cfRule>
  </conditionalFormatting>
  <conditionalFormatting sqref="B134">
    <cfRule type="colorScale" priority="158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89">
      <colorScale>
        <cfvo type="num" val="5"/>
        <cfvo type="num" val="10"/>
        <color rgb="FFFF494D"/>
        <color rgb="FF00FF66"/>
      </colorScale>
    </cfRule>
  </conditionalFormatting>
  <conditionalFormatting sqref="B135:B143">
    <cfRule type="cellIs" dxfId="1464" priority="1582" operator="between">
      <formula>10.1</formula>
      <formula>10.6</formula>
    </cfRule>
    <cfRule type="cellIs" dxfId="1463" priority="1583" operator="between">
      <formula>7</formula>
      <formula>7.9</formula>
    </cfRule>
    <cfRule type="cellIs" dxfId="1462" priority="1584" stopIfTrue="1" operator="between">
      <formula>8</formula>
      <formula>8.9</formula>
    </cfRule>
    <cfRule type="cellIs" dxfId="1461" priority="1585" operator="between">
      <formula>9</formula>
      <formula>9.9</formula>
    </cfRule>
    <cfRule type="cellIs" dxfId="1460" priority="1586" stopIfTrue="1" operator="between">
      <formula>10</formula>
      <formula>10</formula>
    </cfRule>
    <cfRule type="containsBlanks" dxfId="1459" priority="1587" stopIfTrue="1">
      <formula>LEN(TRIM(B135))=0</formula>
    </cfRule>
    <cfRule type="cellIs" dxfId="1458" priority="1581" operator="between">
      <formula>6</formula>
      <formula>6.9</formula>
    </cfRule>
  </conditionalFormatting>
  <conditionalFormatting sqref="B145">
    <cfRule type="colorScale" priority="1544">
      <colorScale>
        <cfvo type="num" val="5"/>
        <cfvo type="num" val="10"/>
        <color rgb="FFFF494D"/>
        <color rgb="FF00FF66"/>
      </colorScale>
    </cfRule>
    <cfRule type="colorScale" priority="154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46:B160">
    <cfRule type="cellIs" dxfId="1457" priority="1537" operator="between">
      <formula>10.1</formula>
      <formula>10.6</formula>
    </cfRule>
    <cfRule type="containsBlanks" dxfId="1456" priority="1542" stopIfTrue="1">
      <formula>LEN(TRIM(B146))=0</formula>
    </cfRule>
    <cfRule type="cellIs" dxfId="1455" priority="1541" stopIfTrue="1" operator="between">
      <formula>10</formula>
      <formula>10</formula>
    </cfRule>
    <cfRule type="cellIs" dxfId="1454" priority="1540" operator="between">
      <formula>9</formula>
      <formula>9.9</formula>
    </cfRule>
    <cfRule type="cellIs" dxfId="1453" priority="1539" stopIfTrue="1" operator="between">
      <formula>8</formula>
      <formula>8.9</formula>
    </cfRule>
    <cfRule type="cellIs" dxfId="1452" priority="1536" operator="between">
      <formula>6</formula>
      <formula>6.9</formula>
    </cfRule>
    <cfRule type="cellIs" dxfId="1451" priority="1538" operator="between">
      <formula>7</formula>
      <formula>7.9</formula>
    </cfRule>
  </conditionalFormatting>
  <conditionalFormatting sqref="B162">
    <cfRule type="colorScale" priority="1474">
      <colorScale>
        <cfvo type="num" val="5"/>
        <cfvo type="num" val="10"/>
        <color rgb="FFFF494D"/>
        <color rgb="FF00FF66"/>
      </colorScale>
    </cfRule>
    <cfRule type="colorScale" priority="147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63:B170">
    <cfRule type="cellIs" dxfId="1450" priority="1480" stopIfTrue="1" operator="between">
      <formula>10</formula>
      <formula>10</formula>
    </cfRule>
    <cfRule type="cellIs" dxfId="1449" priority="1475" operator="between">
      <formula>6</formula>
      <formula>6.9</formula>
    </cfRule>
    <cfRule type="containsBlanks" dxfId="1448" priority="1481" stopIfTrue="1">
      <formula>LEN(TRIM(B163))=0</formula>
    </cfRule>
    <cfRule type="cellIs" dxfId="1447" priority="1476" operator="between">
      <formula>10.1</formula>
      <formula>10.6</formula>
    </cfRule>
    <cfRule type="cellIs" dxfId="1446" priority="1477" operator="between">
      <formula>7</formula>
      <formula>7.9</formula>
    </cfRule>
    <cfRule type="cellIs" dxfId="1445" priority="1478" stopIfTrue="1" operator="between">
      <formula>8</formula>
      <formula>8.9</formula>
    </cfRule>
    <cfRule type="cellIs" dxfId="1444" priority="1479" operator="between">
      <formula>9</formula>
      <formula>9.9</formula>
    </cfRule>
  </conditionalFormatting>
  <conditionalFormatting sqref="B172">
    <cfRule type="colorScale" priority="1445">
      <colorScale>
        <cfvo type="num" val="5"/>
        <cfvo type="num" val="10"/>
        <color rgb="FFFF494D"/>
        <color rgb="FF00FF66"/>
      </colorScale>
    </cfRule>
    <cfRule type="colorScale" priority="144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73:B183">
    <cfRule type="cellIs" dxfId="1443" priority="1441" operator="between">
      <formula>9</formula>
      <formula>9.9</formula>
    </cfRule>
    <cfRule type="cellIs" dxfId="1442" priority="1440" stopIfTrue="1" operator="between">
      <formula>8</formula>
      <formula>8.9</formula>
    </cfRule>
    <cfRule type="cellIs" dxfId="1441" priority="1438" operator="between">
      <formula>10.1</formula>
      <formula>10.6</formula>
    </cfRule>
    <cfRule type="cellIs" dxfId="1440" priority="1439" operator="between">
      <formula>7</formula>
      <formula>7.9</formula>
    </cfRule>
    <cfRule type="cellIs" dxfId="1439" priority="1437" operator="between">
      <formula>6</formula>
      <formula>6.9</formula>
    </cfRule>
    <cfRule type="containsBlanks" dxfId="1438" priority="1443" stopIfTrue="1">
      <formula>LEN(TRIM(B173))=0</formula>
    </cfRule>
    <cfRule type="cellIs" dxfId="1437" priority="1442" stopIfTrue="1" operator="between">
      <formula>10</formula>
      <formula>10</formula>
    </cfRule>
  </conditionalFormatting>
  <conditionalFormatting sqref="B185">
    <cfRule type="colorScale" priority="140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07">
      <colorScale>
        <cfvo type="num" val="5"/>
        <cfvo type="num" val="10"/>
        <color rgb="FFFF494D"/>
        <color rgb="FF00FF66"/>
      </colorScale>
    </cfRule>
  </conditionalFormatting>
  <conditionalFormatting sqref="B186:B194">
    <cfRule type="cellIs" dxfId="1436" priority="1401" operator="between">
      <formula>7</formula>
      <formula>7.9</formula>
    </cfRule>
    <cfRule type="cellIs" dxfId="1435" priority="1400" operator="between">
      <formula>10.1</formula>
      <formula>10.6</formula>
    </cfRule>
    <cfRule type="cellIs" dxfId="1434" priority="1399" operator="between">
      <formula>6</formula>
      <formula>6.9</formula>
    </cfRule>
    <cfRule type="cellIs" dxfId="1433" priority="1402" stopIfTrue="1" operator="between">
      <formula>8</formula>
      <formula>8.9</formula>
    </cfRule>
    <cfRule type="cellIs" dxfId="1432" priority="1403" operator="between">
      <formula>9</formula>
      <formula>9.9</formula>
    </cfRule>
    <cfRule type="containsBlanks" dxfId="1431" priority="1405" stopIfTrue="1">
      <formula>LEN(TRIM(B186))=0</formula>
    </cfRule>
    <cfRule type="cellIs" dxfId="1430" priority="1404" stopIfTrue="1" operator="between">
      <formula>10</formula>
      <formula>10</formula>
    </cfRule>
  </conditionalFormatting>
  <conditionalFormatting sqref="B196">
    <cfRule type="colorScale" priority="134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49">
      <colorScale>
        <cfvo type="num" val="5"/>
        <cfvo type="num" val="10"/>
        <color rgb="FFFF494D"/>
        <color rgb="FF00FF66"/>
      </colorScale>
    </cfRule>
  </conditionalFormatting>
  <conditionalFormatting sqref="B197:B211">
    <cfRule type="cellIs" dxfId="1429" priority="1350" operator="between">
      <formula>6</formula>
      <formula>6.9</formula>
    </cfRule>
    <cfRule type="cellIs" dxfId="1428" priority="1351" operator="between">
      <formula>10.1</formula>
      <formula>10.6</formula>
    </cfRule>
    <cfRule type="cellIs" dxfId="1427" priority="1352" operator="between">
      <formula>7</formula>
      <formula>7.9</formula>
    </cfRule>
    <cfRule type="cellIs" dxfId="1426" priority="1353" stopIfTrue="1" operator="between">
      <formula>8</formula>
      <formula>8.9</formula>
    </cfRule>
    <cfRule type="cellIs" dxfId="1425" priority="1355" stopIfTrue="1" operator="between">
      <formula>10</formula>
      <formula>10</formula>
    </cfRule>
    <cfRule type="containsBlanks" dxfId="1424" priority="1356" stopIfTrue="1">
      <formula>LEN(TRIM(B197))=0</formula>
    </cfRule>
    <cfRule type="cellIs" dxfId="1423" priority="1354" operator="between">
      <formula>9</formula>
      <formula>9.9</formula>
    </cfRule>
  </conditionalFormatting>
  <conditionalFormatting sqref="B213">
    <cfRule type="colorScale" priority="128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82">
      <colorScale>
        <cfvo type="num" val="5"/>
        <cfvo type="num" val="10"/>
        <color rgb="FFFF494D"/>
        <color rgb="FF00FF66"/>
      </colorScale>
    </cfRule>
  </conditionalFormatting>
  <conditionalFormatting sqref="B214:B224 B227:B233">
    <cfRule type="containsBlanks" dxfId="1422" priority="1280" stopIfTrue="1">
      <formula>LEN(TRIM(B214))=0</formula>
    </cfRule>
    <cfRule type="cellIs" dxfId="1421" priority="1279" stopIfTrue="1" operator="between">
      <formula>10</formula>
      <formula>10</formula>
    </cfRule>
    <cfRule type="cellIs" dxfId="1420" priority="1278" operator="between">
      <formula>9</formula>
      <formula>9.9</formula>
    </cfRule>
    <cfRule type="cellIs" dxfId="1419" priority="1277" stopIfTrue="1" operator="between">
      <formula>8</formula>
      <formula>8.9</formula>
    </cfRule>
    <cfRule type="cellIs" dxfId="1418" priority="1276" operator="between">
      <formula>7</formula>
      <formula>7.9</formula>
    </cfRule>
    <cfRule type="cellIs" dxfId="1417" priority="1275" operator="between">
      <formula>10.1</formula>
      <formula>10.6</formula>
    </cfRule>
    <cfRule type="cellIs" dxfId="1416" priority="1274" operator="between">
      <formula>6</formula>
      <formula>6.9</formula>
    </cfRule>
  </conditionalFormatting>
  <conditionalFormatting sqref="B226">
    <cfRule type="colorScale" priority="125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55">
      <colorScale>
        <cfvo type="num" val="5"/>
        <cfvo type="num" val="10"/>
        <color rgb="FFFF494D"/>
        <color rgb="FF00FF66"/>
      </colorScale>
    </cfRule>
  </conditionalFormatting>
  <conditionalFormatting sqref="B235">
    <cfRule type="colorScale" priority="1226">
      <colorScale>
        <cfvo type="num" val="5"/>
        <cfvo type="num" val="10"/>
        <color rgb="FFFF494D"/>
        <color rgb="FF00FF66"/>
      </colorScale>
    </cfRule>
    <cfRule type="colorScale" priority="122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236:B244">
    <cfRule type="cellIs" dxfId="1415" priority="1211" operator="between">
      <formula>6</formula>
      <formula>6.9</formula>
    </cfRule>
    <cfRule type="cellIs" dxfId="1414" priority="1212" operator="between">
      <formula>10.1</formula>
      <formula>10.6</formula>
    </cfRule>
    <cfRule type="cellIs" dxfId="1413" priority="1213" operator="between">
      <formula>7</formula>
      <formula>7.9</formula>
    </cfRule>
    <cfRule type="containsBlanks" dxfId="1412" priority="1217" stopIfTrue="1">
      <formula>LEN(TRIM(B236))=0</formula>
    </cfRule>
    <cfRule type="cellIs" dxfId="1411" priority="1216" stopIfTrue="1" operator="between">
      <formula>10</formula>
      <formula>10</formula>
    </cfRule>
    <cfRule type="cellIs" dxfId="1410" priority="1215" operator="between">
      <formula>9</formula>
      <formula>9.9</formula>
    </cfRule>
    <cfRule type="cellIs" dxfId="1409" priority="1214" stopIfTrue="1" operator="between">
      <formula>8</formula>
      <formula>8.9</formula>
    </cfRule>
  </conditionalFormatting>
  <conditionalFormatting sqref="B246">
    <cfRule type="colorScale" priority="1174">
      <colorScale>
        <cfvo type="num" val="5"/>
        <cfvo type="num" val="10"/>
        <color rgb="FFFF494D"/>
        <color rgb="FF00FF66"/>
      </colorScale>
    </cfRule>
    <cfRule type="colorScale" priority="117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247:B258">
    <cfRule type="containsBlanks" dxfId="1408" priority="1172" stopIfTrue="1">
      <formula>LEN(TRIM(B247))=0</formula>
    </cfRule>
    <cfRule type="cellIs" dxfId="1407" priority="1171" stopIfTrue="1" operator="between">
      <formula>10</formula>
      <formula>10</formula>
    </cfRule>
    <cfRule type="cellIs" dxfId="1406" priority="1170" operator="between">
      <formula>9</formula>
      <formula>9.9</formula>
    </cfRule>
    <cfRule type="cellIs" dxfId="1405" priority="1169" stopIfTrue="1" operator="between">
      <formula>8</formula>
      <formula>8.9</formula>
    </cfRule>
    <cfRule type="cellIs" dxfId="1404" priority="1168" operator="between">
      <formula>7</formula>
      <formula>7.9</formula>
    </cfRule>
    <cfRule type="cellIs" dxfId="1403" priority="1167" operator="between">
      <formula>10.1</formula>
      <formula>10.6</formula>
    </cfRule>
    <cfRule type="cellIs" dxfId="1402" priority="1166" operator="between">
      <formula>6</formula>
      <formula>6.9</formula>
    </cfRule>
  </conditionalFormatting>
  <conditionalFormatting sqref="B260">
    <cfRule type="colorScale" priority="112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27">
      <colorScale>
        <cfvo type="num" val="5"/>
        <cfvo type="num" val="10"/>
        <color rgb="FFFF494D"/>
        <color rgb="FF00FF66"/>
      </colorScale>
    </cfRule>
  </conditionalFormatting>
  <conditionalFormatting sqref="B261:B270">
    <cfRule type="cellIs" dxfId="1401" priority="1131" stopIfTrue="1" operator="between">
      <formula>8</formula>
      <formula>8.9</formula>
    </cfRule>
    <cfRule type="containsBlanks" dxfId="1400" priority="1134" stopIfTrue="1">
      <formula>LEN(TRIM(B261))=0</formula>
    </cfRule>
    <cfRule type="cellIs" dxfId="1399" priority="1133" stopIfTrue="1" operator="between">
      <formula>10</formula>
      <formula>10</formula>
    </cfRule>
    <cfRule type="cellIs" dxfId="1398" priority="1132" operator="between">
      <formula>9</formula>
      <formula>9.9</formula>
    </cfRule>
    <cfRule type="cellIs" dxfId="1397" priority="1130" operator="between">
      <formula>7</formula>
      <formula>7.9</formula>
    </cfRule>
    <cfRule type="cellIs" dxfId="1396" priority="1129" operator="between">
      <formula>10.1</formula>
      <formula>10.6</formula>
    </cfRule>
    <cfRule type="cellIs" dxfId="1395" priority="1128" operator="between">
      <formula>6</formula>
      <formula>6.9</formula>
    </cfRule>
  </conditionalFormatting>
  <conditionalFormatting sqref="B272">
    <cfRule type="colorScale" priority="108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85">
      <colorScale>
        <cfvo type="num" val="5"/>
        <cfvo type="num" val="10"/>
        <color rgb="FFFF494D"/>
        <color rgb="FF00FF66"/>
      </colorScale>
    </cfRule>
  </conditionalFormatting>
  <conditionalFormatting sqref="B273:B277">
    <cfRule type="containsBlanks" dxfId="1394" priority="1092" stopIfTrue="1">
      <formula>LEN(TRIM(B273))=0</formula>
    </cfRule>
    <cfRule type="cellIs" dxfId="1393" priority="1091" stopIfTrue="1" operator="between">
      <formula>10</formula>
      <formula>10</formula>
    </cfRule>
    <cfRule type="cellIs" dxfId="1392" priority="1090" operator="between">
      <formula>9</formula>
      <formula>9.9</formula>
    </cfRule>
    <cfRule type="cellIs" dxfId="1391" priority="1087" operator="between">
      <formula>10.1</formula>
      <formula>10.6</formula>
    </cfRule>
    <cfRule type="cellIs" dxfId="1390" priority="1086" operator="between">
      <formula>6</formula>
      <formula>6.9</formula>
    </cfRule>
    <cfRule type="cellIs" dxfId="1389" priority="1089" stopIfTrue="1" operator="between">
      <formula>8</formula>
      <formula>8.9</formula>
    </cfRule>
    <cfRule type="cellIs" dxfId="1388" priority="1088" operator="between">
      <formula>7</formula>
      <formula>7.9</formula>
    </cfRule>
  </conditionalFormatting>
  <conditionalFormatting sqref="B279">
    <cfRule type="colorScale" priority="1046">
      <colorScale>
        <cfvo type="num" val="5"/>
        <cfvo type="num" val="10"/>
        <color rgb="FFFF494D"/>
        <color rgb="FF00FF66"/>
      </colorScale>
    </cfRule>
    <cfRule type="colorScale" priority="104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280:B307">
    <cfRule type="cellIs" dxfId="1387" priority="1039" operator="between">
      <formula>10.1</formula>
      <formula>10.6</formula>
    </cfRule>
    <cfRule type="containsBlanks" dxfId="1386" priority="1044" stopIfTrue="1">
      <formula>LEN(TRIM(B280))=0</formula>
    </cfRule>
    <cfRule type="cellIs" dxfId="1385" priority="1043" stopIfTrue="1" operator="between">
      <formula>10</formula>
      <formula>10</formula>
    </cfRule>
    <cfRule type="cellIs" dxfId="1384" priority="1042" operator="between">
      <formula>9</formula>
      <formula>9.9</formula>
    </cfRule>
    <cfRule type="cellIs" dxfId="1383" priority="1041" stopIfTrue="1" operator="between">
      <formula>8</formula>
      <formula>8.9</formula>
    </cfRule>
    <cfRule type="cellIs" dxfId="1382" priority="1040" operator="between">
      <formula>7</formula>
      <formula>7.9</formula>
    </cfRule>
    <cfRule type="cellIs" dxfId="1381" priority="1038" operator="between">
      <formula>6</formula>
      <formula>6.9</formula>
    </cfRule>
  </conditionalFormatting>
  <conditionalFormatting sqref="B309">
    <cfRule type="colorScale" priority="935">
      <colorScale>
        <cfvo type="num" val="5"/>
        <cfvo type="num" val="10"/>
        <color rgb="FFFF494D"/>
        <color rgb="FF00FF66"/>
      </colorScale>
    </cfRule>
    <cfRule type="colorScale" priority="93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310:B320">
    <cfRule type="containsBlanks" dxfId="1380" priority="933" stopIfTrue="1">
      <formula>LEN(TRIM(B310))=0</formula>
    </cfRule>
    <cfRule type="cellIs" dxfId="1379" priority="932" stopIfTrue="1" operator="between">
      <formula>10</formula>
      <formula>10</formula>
    </cfRule>
    <cfRule type="cellIs" dxfId="1378" priority="931" operator="between">
      <formula>9</formula>
      <formula>9.9</formula>
    </cfRule>
    <cfRule type="cellIs" dxfId="1377" priority="930" stopIfTrue="1" operator="between">
      <formula>8</formula>
      <formula>8.9</formula>
    </cfRule>
    <cfRule type="cellIs" dxfId="1376" priority="929" operator="between">
      <formula>7</formula>
      <formula>7.9</formula>
    </cfRule>
    <cfRule type="cellIs" dxfId="1375" priority="928" operator="between">
      <formula>10.1</formula>
      <formula>10.6</formula>
    </cfRule>
    <cfRule type="cellIs" dxfId="1374" priority="927" operator="between">
      <formula>6</formula>
      <formula>6.9</formula>
    </cfRule>
  </conditionalFormatting>
  <conditionalFormatting sqref="B322">
    <cfRule type="colorScale" priority="871">
      <colorScale>
        <cfvo type="num" val="5"/>
        <cfvo type="num" val="10"/>
        <color rgb="FFFF494D"/>
        <color rgb="FF00FF66"/>
      </colorScale>
    </cfRule>
    <cfRule type="colorScale" priority="87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323:B341">
    <cfRule type="cellIs" dxfId="1373" priority="869" stopIfTrue="1" operator="between">
      <formula>10</formula>
      <formula>10</formula>
    </cfRule>
    <cfRule type="cellIs" dxfId="1372" priority="868" operator="between">
      <formula>9</formula>
      <formula>9.9</formula>
    </cfRule>
    <cfRule type="cellIs" dxfId="1371" priority="866" operator="between">
      <formula>7</formula>
      <formula>7.9</formula>
    </cfRule>
    <cfRule type="cellIs" dxfId="1370" priority="865" operator="between">
      <formula>10.1</formula>
      <formula>10.6</formula>
    </cfRule>
    <cfRule type="cellIs" dxfId="1369" priority="867" stopIfTrue="1" operator="between">
      <formula>8</formula>
      <formula>8.9</formula>
    </cfRule>
    <cfRule type="containsBlanks" dxfId="1368" priority="861" stopIfTrue="1">
      <formula>LEN(TRIM(B323))=0</formula>
    </cfRule>
    <cfRule type="cellIs" dxfId="1367" priority="862" operator="lessThan">
      <formula>2</formula>
    </cfRule>
    <cfRule type="cellIs" dxfId="1366" priority="863" operator="between">
      <formula>2</formula>
      <formula>4.9</formula>
    </cfRule>
    <cfRule type="cellIs" dxfId="1365" priority="864" operator="between">
      <formula>5</formula>
      <formula>6.9</formula>
    </cfRule>
  </conditionalFormatting>
  <conditionalFormatting sqref="B343">
    <cfRule type="colorScale" priority="77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74">
      <colorScale>
        <cfvo type="num" val="5"/>
        <cfvo type="num" val="10"/>
        <color rgb="FFFF494D"/>
        <color rgb="FF00FF66"/>
      </colorScale>
    </cfRule>
  </conditionalFormatting>
  <conditionalFormatting sqref="B344:B358 B361:B377">
    <cfRule type="containsBlanks" dxfId="1364" priority="775" stopIfTrue="1">
      <formula>LEN(TRIM(B344))=0</formula>
    </cfRule>
    <cfRule type="cellIs" dxfId="1363" priority="776" operator="lessThan">
      <formula>2</formula>
    </cfRule>
    <cfRule type="cellIs" dxfId="1362" priority="777" operator="between">
      <formula>2</formula>
      <formula>4.9</formula>
    </cfRule>
    <cfRule type="cellIs" dxfId="1361" priority="778" operator="between">
      <formula>5</formula>
      <formula>6.9</formula>
    </cfRule>
    <cfRule type="cellIs" dxfId="1360" priority="780" operator="between">
      <formula>7</formula>
      <formula>7.9</formula>
    </cfRule>
    <cfRule type="cellIs" dxfId="1359" priority="779" operator="between">
      <formula>10.1</formula>
      <formula>10.6</formula>
    </cfRule>
    <cfRule type="cellIs" dxfId="1358" priority="781" stopIfTrue="1" operator="between">
      <formula>8</formula>
      <formula>8.9</formula>
    </cfRule>
    <cfRule type="cellIs" dxfId="1357" priority="782" operator="between">
      <formula>9</formula>
      <formula>9.9</formula>
    </cfRule>
    <cfRule type="cellIs" dxfId="1356" priority="783" stopIfTrue="1" operator="between">
      <formula>10</formula>
      <formula>10</formula>
    </cfRule>
  </conditionalFormatting>
  <conditionalFormatting sqref="B360">
    <cfRule type="colorScale" priority="739">
      <colorScale>
        <cfvo type="num" val="5"/>
        <cfvo type="num" val="10"/>
        <color rgb="FFFF494D"/>
        <color rgb="FF00FF66"/>
      </colorScale>
    </cfRule>
    <cfRule type="colorScale" priority="73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379">
    <cfRule type="colorScale" priority="64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48">
      <colorScale>
        <cfvo type="num" val="5"/>
        <cfvo type="num" val="10"/>
        <color rgb="FFFF494D"/>
        <color rgb="FF00FF66"/>
      </colorScale>
    </cfRule>
  </conditionalFormatting>
  <conditionalFormatting sqref="B380:B387">
    <cfRule type="cellIs" dxfId="1355" priority="643" operator="between">
      <formula>7</formula>
      <formula>7.9</formula>
    </cfRule>
    <cfRule type="cellIs" dxfId="1354" priority="640" operator="between">
      <formula>2</formula>
      <formula>4.9</formula>
    </cfRule>
    <cfRule type="containsBlanks" dxfId="1353" priority="638" stopIfTrue="1">
      <formula>LEN(TRIM(B380))=0</formula>
    </cfRule>
    <cfRule type="cellIs" dxfId="1352" priority="641" operator="between">
      <formula>5</formula>
      <formula>6.9</formula>
    </cfRule>
    <cfRule type="cellIs" dxfId="1351" priority="642" operator="between">
      <formula>10.1</formula>
      <formula>10.6</formula>
    </cfRule>
    <cfRule type="cellIs" dxfId="1350" priority="639" operator="lessThan">
      <formula>2</formula>
    </cfRule>
    <cfRule type="cellIs" dxfId="1349" priority="646" stopIfTrue="1" operator="between">
      <formula>10</formula>
      <formula>10</formula>
    </cfRule>
    <cfRule type="cellIs" dxfId="1348" priority="644" stopIfTrue="1" operator="between">
      <formula>8</formula>
      <formula>8.9</formula>
    </cfRule>
    <cfRule type="cellIs" dxfId="1347" priority="645" operator="between">
      <formula>9</formula>
      <formula>9.9</formula>
    </cfRule>
  </conditionalFormatting>
  <conditionalFormatting sqref="B389">
    <cfRule type="colorScale" priority="573">
      <colorScale>
        <cfvo type="num" val="5"/>
        <cfvo type="num" val="10"/>
        <color rgb="FFFF494D"/>
        <color rgb="FF00FF66"/>
      </colorScale>
    </cfRule>
    <cfRule type="colorScale" priority="57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390:B399">
    <cfRule type="cellIs" dxfId="1346" priority="575" operator="lessThan">
      <formula>2</formula>
    </cfRule>
    <cfRule type="cellIs" dxfId="1345" priority="579" operator="between">
      <formula>7</formula>
      <formula>7.9</formula>
    </cfRule>
    <cfRule type="containsBlanks" dxfId="1344" priority="574" stopIfTrue="1">
      <formula>LEN(TRIM(B390))=0</formula>
    </cfRule>
    <cfRule type="cellIs" dxfId="1343" priority="581" operator="between">
      <formula>9</formula>
      <formula>9.9</formula>
    </cfRule>
    <cfRule type="cellIs" dxfId="1342" priority="580" stopIfTrue="1" operator="between">
      <formula>8</formula>
      <formula>8.9</formula>
    </cfRule>
    <cfRule type="cellIs" dxfId="1341" priority="582" stopIfTrue="1" operator="between">
      <formula>10</formula>
      <formula>10</formula>
    </cfRule>
    <cfRule type="cellIs" dxfId="1340" priority="576" operator="between">
      <formula>2</formula>
      <formula>4.9</formula>
    </cfRule>
    <cfRule type="cellIs" dxfId="1339" priority="578" operator="between">
      <formula>10.1</formula>
      <formula>10.6</formula>
    </cfRule>
    <cfRule type="cellIs" dxfId="1338" priority="577" operator="between">
      <formula>5</formula>
      <formula>6.9</formula>
    </cfRule>
  </conditionalFormatting>
  <conditionalFormatting sqref="B401">
    <cfRule type="colorScale" priority="53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38">
      <colorScale>
        <cfvo type="num" val="5"/>
        <cfvo type="num" val="10"/>
        <color rgb="FFFF494D"/>
        <color rgb="FF00FF66"/>
      </colorScale>
    </cfRule>
  </conditionalFormatting>
  <conditionalFormatting sqref="B402:B407">
    <cfRule type="cellIs" dxfId="1337" priority="532" operator="between">
      <formula>10.1</formula>
      <formula>10.6</formula>
    </cfRule>
    <cfRule type="cellIs" dxfId="1336" priority="531" operator="between">
      <formula>5</formula>
      <formula>6.9</formula>
    </cfRule>
    <cfRule type="cellIs" dxfId="1335" priority="536" stopIfTrue="1" operator="between">
      <formula>10</formula>
      <formula>10</formula>
    </cfRule>
    <cfRule type="cellIs" dxfId="1334" priority="529" operator="lessThan">
      <formula>2</formula>
    </cfRule>
    <cfRule type="cellIs" dxfId="1333" priority="534" stopIfTrue="1" operator="between">
      <formula>8</formula>
      <formula>8.9</formula>
    </cfRule>
    <cfRule type="containsBlanks" dxfId="1332" priority="528" stopIfTrue="1">
      <formula>LEN(TRIM(B402))=0</formula>
    </cfRule>
    <cfRule type="cellIs" dxfId="1331" priority="530" operator="between">
      <formula>2</formula>
      <formula>4.9</formula>
    </cfRule>
    <cfRule type="cellIs" dxfId="1330" priority="535" operator="between">
      <formula>9</formula>
      <formula>9.9</formula>
    </cfRule>
    <cfRule type="cellIs" dxfId="1329" priority="533" operator="between">
      <formula>7</formula>
      <formula>7.9</formula>
    </cfRule>
  </conditionalFormatting>
  <conditionalFormatting sqref="B409">
    <cfRule type="colorScale" priority="49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96">
      <colorScale>
        <cfvo type="num" val="5"/>
        <cfvo type="num" val="10"/>
        <color rgb="FFFF494D"/>
        <color rgb="FF00FF66"/>
      </colorScale>
    </cfRule>
  </conditionalFormatting>
  <conditionalFormatting sqref="B410:B426">
    <cfRule type="cellIs" dxfId="1328" priority="504" operator="between">
      <formula>9</formula>
      <formula>9.9</formula>
    </cfRule>
    <cfRule type="cellIs" dxfId="1327" priority="502" operator="between">
      <formula>7</formula>
      <formula>7.9</formula>
    </cfRule>
    <cfRule type="cellIs" dxfId="1326" priority="505" stopIfTrue="1" operator="between">
      <formula>10</formula>
      <formula>10</formula>
    </cfRule>
    <cfRule type="cellIs" dxfId="1325" priority="501" operator="between">
      <formula>10.1</formula>
      <formula>10.6</formula>
    </cfRule>
    <cfRule type="cellIs" dxfId="1324" priority="500" operator="between">
      <formula>5</formula>
      <formula>6.9</formula>
    </cfRule>
    <cfRule type="cellIs" dxfId="1323" priority="499" operator="between">
      <formula>2</formula>
      <formula>4.9</formula>
    </cfRule>
    <cfRule type="cellIs" dxfId="1322" priority="498" operator="lessThan">
      <formula>2</formula>
    </cfRule>
    <cfRule type="cellIs" dxfId="1321" priority="503" stopIfTrue="1" operator="between">
      <formula>8</formula>
      <formula>8.9</formula>
    </cfRule>
    <cfRule type="containsBlanks" dxfId="1320" priority="497" stopIfTrue="1">
      <formula>LEN(TRIM(B410))=0</formula>
    </cfRule>
  </conditionalFormatting>
  <conditionalFormatting sqref="B428">
    <cfRule type="colorScale" priority="38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85">
      <colorScale>
        <cfvo type="num" val="5"/>
        <cfvo type="num" val="10"/>
        <color rgb="FFFF494D"/>
        <color rgb="FF00FF66"/>
      </colorScale>
    </cfRule>
  </conditionalFormatting>
  <conditionalFormatting sqref="B429:B439">
    <cfRule type="cellIs" dxfId="1319" priority="393" operator="between">
      <formula>9</formula>
      <formula>9.9</formula>
    </cfRule>
    <cfRule type="cellIs" dxfId="1318" priority="394" stopIfTrue="1" operator="between">
      <formula>10</formula>
      <formula>10</formula>
    </cfRule>
    <cfRule type="cellIs" dxfId="1317" priority="391" operator="between">
      <formula>7</formula>
      <formula>7.9</formula>
    </cfRule>
    <cfRule type="cellIs" dxfId="1316" priority="390" operator="between">
      <formula>10.1</formula>
      <formula>10.6</formula>
    </cfRule>
    <cfRule type="cellIs" dxfId="1315" priority="389" operator="between">
      <formula>5</formula>
      <formula>6.9</formula>
    </cfRule>
    <cfRule type="cellIs" dxfId="1314" priority="388" operator="between">
      <formula>2</formula>
      <formula>4.9</formula>
    </cfRule>
    <cfRule type="cellIs" dxfId="1313" priority="387" operator="lessThan">
      <formula>2</formula>
    </cfRule>
    <cfRule type="containsBlanks" dxfId="1312" priority="386" stopIfTrue="1">
      <formula>LEN(TRIM(B429))=0</formula>
    </cfRule>
    <cfRule type="cellIs" dxfId="1311" priority="392" stopIfTrue="1" operator="between">
      <formula>8</formula>
      <formula>8.9</formula>
    </cfRule>
  </conditionalFormatting>
  <conditionalFormatting sqref="B441">
    <cfRule type="colorScale" priority="32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30">
      <colorScale>
        <cfvo type="num" val="5"/>
        <cfvo type="num" val="10"/>
        <color rgb="FFFF494D"/>
        <color rgb="FF00FF66"/>
      </colorScale>
    </cfRule>
  </conditionalFormatting>
  <conditionalFormatting sqref="B442:B446">
    <cfRule type="cellIs" dxfId="1310" priority="334" operator="between">
      <formula>5</formula>
      <formula>6.9</formula>
    </cfRule>
    <cfRule type="cellIs" dxfId="1309" priority="333" operator="between">
      <formula>2</formula>
      <formula>4.9</formula>
    </cfRule>
    <cfRule type="cellIs" dxfId="1308" priority="339" stopIfTrue="1" operator="between">
      <formula>10</formula>
      <formula>10</formula>
    </cfRule>
    <cfRule type="cellIs" dxfId="1307" priority="332" operator="lessThan">
      <formula>2</formula>
    </cfRule>
    <cfRule type="cellIs" dxfId="1306" priority="338" operator="between">
      <formula>9</formula>
      <formula>9.9</formula>
    </cfRule>
    <cfRule type="containsBlanks" dxfId="1305" priority="331" stopIfTrue="1">
      <formula>LEN(TRIM(B442))=0</formula>
    </cfRule>
    <cfRule type="cellIs" dxfId="1304" priority="337" stopIfTrue="1" operator="between">
      <formula>8</formula>
      <formula>8.9</formula>
    </cfRule>
    <cfRule type="cellIs" dxfId="1303" priority="336" operator="between">
      <formula>7</formula>
      <formula>7.9</formula>
    </cfRule>
    <cfRule type="cellIs" dxfId="1302" priority="335" operator="between">
      <formula>10.1</formula>
      <formula>10.6</formula>
    </cfRule>
  </conditionalFormatting>
  <conditionalFormatting sqref="B448">
    <cfRule type="colorScale" priority="30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08">
      <colorScale>
        <cfvo type="num" val="5"/>
        <cfvo type="num" val="10"/>
        <color rgb="FFFF494D"/>
        <color rgb="FF00FF66"/>
      </colorScale>
    </cfRule>
  </conditionalFormatting>
  <conditionalFormatting sqref="B449:B455">
    <cfRule type="cellIs" dxfId="1301" priority="310" operator="lessThan">
      <formula>2</formula>
    </cfRule>
    <cfRule type="cellIs" dxfId="1300" priority="311" operator="between">
      <formula>2</formula>
      <formula>4.9</formula>
    </cfRule>
    <cfRule type="cellIs" dxfId="1299" priority="312" operator="between">
      <formula>5</formula>
      <formula>6.9</formula>
    </cfRule>
    <cfRule type="cellIs" dxfId="1298" priority="313" operator="between">
      <formula>10.1</formula>
      <formula>10.6</formula>
    </cfRule>
    <cfRule type="cellIs" dxfId="1297" priority="317" stopIfTrue="1" operator="between">
      <formula>10</formula>
      <formula>10</formula>
    </cfRule>
    <cfRule type="cellIs" dxfId="1296" priority="315" stopIfTrue="1" operator="between">
      <formula>8</formula>
      <formula>8.9</formula>
    </cfRule>
    <cfRule type="cellIs" dxfId="1295" priority="316" operator="between">
      <formula>9</formula>
      <formula>9.9</formula>
    </cfRule>
    <cfRule type="cellIs" dxfId="1294" priority="314" operator="between">
      <formula>7</formula>
      <formula>7.9</formula>
    </cfRule>
    <cfRule type="containsBlanks" dxfId="1293" priority="309" stopIfTrue="1">
      <formula>LEN(TRIM(B449))=0</formula>
    </cfRule>
  </conditionalFormatting>
  <conditionalFormatting sqref="B457">
    <cfRule type="colorScale" priority="25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55">
      <colorScale>
        <cfvo type="num" val="5"/>
        <cfvo type="num" val="10"/>
        <color rgb="FFFF494D"/>
        <color rgb="FF00FF66"/>
      </colorScale>
    </cfRule>
  </conditionalFormatting>
  <conditionalFormatting sqref="B458:B471">
    <cfRule type="containsBlanks" dxfId="1292" priority="256" stopIfTrue="1">
      <formula>LEN(TRIM(B458))=0</formula>
    </cfRule>
    <cfRule type="cellIs" dxfId="1291" priority="257" operator="lessThan">
      <formula>2</formula>
    </cfRule>
    <cfRule type="cellIs" dxfId="1290" priority="258" operator="between">
      <formula>2</formula>
      <formula>4.9</formula>
    </cfRule>
    <cfRule type="cellIs" dxfId="1289" priority="259" operator="between">
      <formula>5</formula>
      <formula>6.9</formula>
    </cfRule>
    <cfRule type="cellIs" dxfId="1288" priority="260" operator="between">
      <formula>10.1</formula>
      <formula>10.6</formula>
    </cfRule>
    <cfRule type="cellIs" dxfId="1287" priority="261" operator="between">
      <formula>7</formula>
      <formula>7.9</formula>
    </cfRule>
    <cfRule type="cellIs" dxfId="1286" priority="262" stopIfTrue="1" operator="between">
      <formula>8</formula>
      <formula>8.9</formula>
    </cfRule>
    <cfRule type="cellIs" dxfId="1285" priority="263" operator="between">
      <formula>9</formula>
      <formula>9.9</formula>
    </cfRule>
    <cfRule type="cellIs" dxfId="1284" priority="264" stopIfTrue="1" operator="between">
      <formula>10</formula>
      <formula>10</formula>
    </cfRule>
  </conditionalFormatting>
  <conditionalFormatting sqref="B473">
    <cfRule type="colorScale" priority="200">
      <colorScale>
        <cfvo type="num" val="5"/>
        <cfvo type="num" val="10"/>
        <color rgb="FFFF494D"/>
        <color rgb="FF00FF66"/>
      </colorScale>
    </cfRule>
    <cfRule type="colorScale" priority="19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474:B485">
    <cfRule type="cellIs" dxfId="1283" priority="202" operator="lessThan">
      <formula>2</formula>
    </cfRule>
    <cfRule type="cellIs" dxfId="1282" priority="206" operator="between">
      <formula>7</formula>
      <formula>7.9</formula>
    </cfRule>
    <cfRule type="cellIs" dxfId="1281" priority="205" operator="between">
      <formula>10.1</formula>
      <formula>10.6</formula>
    </cfRule>
    <cfRule type="containsBlanks" dxfId="1280" priority="201" stopIfTrue="1">
      <formula>LEN(TRIM(B474))=0</formula>
    </cfRule>
    <cfRule type="cellIs" dxfId="1279" priority="207" stopIfTrue="1" operator="between">
      <formula>8</formula>
      <formula>8.9</formula>
    </cfRule>
    <cfRule type="cellIs" dxfId="1278" priority="208" operator="between">
      <formula>9</formula>
      <formula>9.9</formula>
    </cfRule>
    <cfRule type="cellIs" dxfId="1277" priority="209" stopIfTrue="1" operator="between">
      <formula>10</formula>
      <formula>10</formula>
    </cfRule>
    <cfRule type="cellIs" dxfId="1276" priority="204" operator="between">
      <formula>5</formula>
      <formula>6.9</formula>
    </cfRule>
    <cfRule type="cellIs" dxfId="1275" priority="203" operator="between">
      <formula>2</formula>
      <formula>4.9</formula>
    </cfRule>
  </conditionalFormatting>
  <conditionalFormatting sqref="B487">
    <cfRule type="colorScale" priority="15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6">
      <colorScale>
        <cfvo type="num" val="5"/>
        <cfvo type="num" val="10"/>
        <color rgb="FFFF494D"/>
        <color rgb="FF00FF66"/>
      </colorScale>
    </cfRule>
  </conditionalFormatting>
  <conditionalFormatting sqref="B488:B501">
    <cfRule type="containsBlanks" dxfId="1274" priority="157" stopIfTrue="1">
      <formula>LEN(TRIM(B488))=0</formula>
    </cfRule>
    <cfRule type="cellIs" dxfId="1273" priority="158" operator="lessThan">
      <formula>2</formula>
    </cfRule>
    <cfRule type="cellIs" dxfId="1272" priority="159" operator="between">
      <formula>2</formula>
      <formula>4.9</formula>
    </cfRule>
    <cfRule type="cellIs" dxfId="1271" priority="160" operator="between">
      <formula>5</formula>
      <formula>6.9</formula>
    </cfRule>
    <cfRule type="cellIs" dxfId="1270" priority="161" operator="between">
      <formula>10.1</formula>
      <formula>10.6</formula>
    </cfRule>
    <cfRule type="cellIs" dxfId="1269" priority="162" operator="between">
      <formula>7</formula>
      <formula>7.9</formula>
    </cfRule>
    <cfRule type="cellIs" dxfId="1268" priority="163" stopIfTrue="1" operator="between">
      <formula>8</formula>
      <formula>8.9</formula>
    </cfRule>
    <cfRule type="cellIs" dxfId="1267" priority="164" operator="between">
      <formula>9</formula>
      <formula>9.9</formula>
    </cfRule>
    <cfRule type="cellIs" dxfId="1266" priority="165" stopIfTrue="1" operator="between">
      <formula>10</formula>
      <formula>10</formula>
    </cfRule>
  </conditionalFormatting>
  <conditionalFormatting sqref="B503">
    <cfRule type="colorScale" priority="5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7">
      <colorScale>
        <cfvo type="num" val="5"/>
        <cfvo type="num" val="10"/>
        <color rgb="FFFF494D"/>
        <color rgb="FF00FF66"/>
      </colorScale>
    </cfRule>
  </conditionalFormatting>
  <conditionalFormatting sqref="B504:B513">
    <cfRule type="cellIs" dxfId="1265" priority="66" stopIfTrue="1" operator="between">
      <formula>10</formula>
      <formula>10</formula>
    </cfRule>
    <cfRule type="cellIs" dxfId="1264" priority="61" operator="between">
      <formula>5</formula>
      <formula>6.9</formula>
    </cfRule>
    <cfRule type="cellIs" dxfId="1263" priority="62" operator="between">
      <formula>10.1</formula>
      <formula>10.6</formula>
    </cfRule>
    <cfRule type="cellIs" dxfId="1262" priority="60" operator="between">
      <formula>2</formula>
      <formula>4.9</formula>
    </cfRule>
    <cfRule type="cellIs" dxfId="1261" priority="59" operator="lessThan">
      <formula>2</formula>
    </cfRule>
    <cfRule type="containsBlanks" dxfId="1260" priority="58" stopIfTrue="1">
      <formula>LEN(TRIM(B504))=0</formula>
    </cfRule>
    <cfRule type="cellIs" dxfId="1259" priority="63" operator="between">
      <formula>7</formula>
      <formula>7.9</formula>
    </cfRule>
    <cfRule type="cellIs" dxfId="1258" priority="64" stopIfTrue="1" operator="between">
      <formula>8</formula>
      <formula>8.9</formula>
    </cfRule>
    <cfRule type="cellIs" dxfId="1257" priority="65" operator="between">
      <formula>9</formula>
      <formula>9.9</formula>
    </cfRule>
  </conditionalFormatting>
  <conditionalFormatting sqref="B515">
    <cfRule type="colorScale" priority="22">
      <colorScale>
        <cfvo type="num" val="5"/>
        <cfvo type="num" val="10"/>
        <color rgb="FFFF494D"/>
        <color rgb="FF00FF66"/>
      </colorScale>
    </cfRule>
    <cfRule type="colorScale" priority="2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516:B522">
    <cfRule type="cellIs" dxfId="1256" priority="19" operator="between">
      <formula>9</formula>
      <formula>9.9</formula>
    </cfRule>
    <cfRule type="cellIs" dxfId="1255" priority="17" operator="between">
      <formula>7</formula>
      <formula>7.9</formula>
    </cfRule>
    <cfRule type="cellIs" dxfId="1254" priority="18" stopIfTrue="1" operator="between">
      <formula>8</formula>
      <formula>8.9</formula>
    </cfRule>
    <cfRule type="cellIs" dxfId="1253" priority="20" stopIfTrue="1" operator="between">
      <formula>10</formula>
      <formula>10</formula>
    </cfRule>
    <cfRule type="cellIs" dxfId="1252" priority="16" operator="between">
      <formula>10.1</formula>
      <formula>10.6</formula>
    </cfRule>
    <cfRule type="cellIs" dxfId="1251" priority="15" operator="between">
      <formula>5</formula>
      <formula>6.9</formula>
    </cfRule>
    <cfRule type="cellIs" dxfId="1250" priority="13" operator="lessThan">
      <formula>2</formula>
    </cfRule>
    <cfRule type="containsBlanks" dxfId="1249" priority="12" stopIfTrue="1">
      <formula>LEN(TRIM(B516))=0</formula>
    </cfRule>
    <cfRule type="cellIs" dxfId="1248" priority="14" operator="between">
      <formula>2</formula>
      <formula>4.9</formula>
    </cfRule>
  </conditionalFormatting>
  <conditionalFormatting sqref="E3:E12">
    <cfRule type="cellIs" dxfId="1247" priority="1995" operator="between">
      <formula>9</formula>
      <formula>9.9</formula>
    </cfRule>
    <cfRule type="cellIs" dxfId="1246" priority="1994" stopIfTrue="1" operator="between">
      <formula>8</formula>
      <formula>8.9</formula>
    </cfRule>
    <cfRule type="containsBlanks" dxfId="1245" priority="1997" stopIfTrue="1">
      <formula>LEN(TRIM(E3))=0</formula>
    </cfRule>
    <cfRule type="cellIs" dxfId="1244" priority="1993" operator="between">
      <formula>7</formula>
      <formula>7.9</formula>
    </cfRule>
    <cfRule type="cellIs" dxfId="1243" priority="1992" operator="between">
      <formula>10.1</formula>
      <formula>10.6</formula>
    </cfRule>
    <cfRule type="cellIs" dxfId="1242" priority="1996" stopIfTrue="1" operator="between">
      <formula>10</formula>
      <formula>10</formula>
    </cfRule>
  </conditionalFormatting>
  <conditionalFormatting sqref="E15:E28">
    <cfRule type="cellIs" dxfId="1241" priority="1304" operator="between">
      <formula>9</formula>
      <formula>9.9</formula>
    </cfRule>
    <cfRule type="cellIs" dxfId="1240" priority="1303" stopIfTrue="1" operator="between">
      <formula>8</formula>
      <formula>8.9</formula>
    </cfRule>
    <cfRule type="cellIs" dxfId="1239" priority="1302" operator="between">
      <formula>7</formula>
      <formula>7.9</formula>
    </cfRule>
    <cfRule type="containsBlanks" dxfId="1238" priority="1306" stopIfTrue="1">
      <formula>LEN(TRIM(E15))=0</formula>
    </cfRule>
    <cfRule type="cellIs" dxfId="1237" priority="1305" stopIfTrue="1" operator="between">
      <formula>10</formula>
      <formula>10</formula>
    </cfRule>
  </conditionalFormatting>
  <conditionalFormatting sqref="E16">
    <cfRule type="cellIs" dxfId="1236" priority="1301" operator="between">
      <formula>10.1</formula>
      <formula>10.6</formula>
    </cfRule>
  </conditionalFormatting>
  <conditionalFormatting sqref="E31:E37">
    <cfRule type="cellIs" dxfId="1235" priority="1960" stopIfTrue="1" operator="between">
      <formula>10</formula>
      <formula>10</formula>
    </cfRule>
    <cfRule type="containsBlanks" dxfId="1234" priority="1961" stopIfTrue="1">
      <formula>LEN(TRIM(E31))=0</formula>
    </cfRule>
    <cfRule type="cellIs" dxfId="1233" priority="1958" stopIfTrue="1" operator="between">
      <formula>8</formula>
      <formula>8.9</formula>
    </cfRule>
    <cfRule type="cellIs" dxfId="1232" priority="1956" operator="between">
      <formula>10.1</formula>
      <formula>10.6</formula>
    </cfRule>
    <cfRule type="cellIs" dxfId="1231" priority="1959" operator="between">
      <formula>9</formula>
      <formula>9.9</formula>
    </cfRule>
    <cfRule type="cellIs" dxfId="1230" priority="1957" operator="between">
      <formula>7</formula>
      <formula>7.9</formula>
    </cfRule>
  </conditionalFormatting>
  <conditionalFormatting sqref="E39">
    <cfRule type="colorScale" priority="2357">
      <colorScale>
        <cfvo type="num" val="5"/>
        <cfvo type="num" val="10"/>
        <color rgb="FFFF494D"/>
        <color rgb="FF00FF66"/>
      </colorScale>
    </cfRule>
    <cfRule type="colorScale" priority="235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40:E52">
    <cfRule type="cellIs" dxfId="1229" priority="2068" operator="between">
      <formula>7</formula>
      <formula>7.9</formula>
    </cfRule>
    <cfRule type="cellIs" dxfId="1228" priority="2069" stopIfTrue="1" operator="between">
      <formula>8</formula>
      <formula>8.9</formula>
    </cfRule>
    <cfRule type="cellIs" dxfId="1227" priority="2070" operator="between">
      <formula>9</formula>
      <formula>9.9</formula>
    </cfRule>
    <cfRule type="cellIs" dxfId="1226" priority="2071" stopIfTrue="1" operator="between">
      <formula>10</formula>
      <formula>10</formula>
    </cfRule>
  </conditionalFormatting>
  <conditionalFormatting sqref="E54">
    <cfRule type="colorScale" priority="2000">
      <colorScale>
        <cfvo type="num" val="5"/>
        <cfvo type="num" val="10"/>
        <color rgb="FFFF494D"/>
        <color rgb="FF00FF66"/>
      </colorScale>
    </cfRule>
    <cfRule type="colorScale" priority="199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55:E63">
    <cfRule type="cellIs" dxfId="1225" priority="1938" operator="between">
      <formula>10.1</formula>
      <formula>10.6</formula>
    </cfRule>
    <cfRule type="cellIs" dxfId="1224" priority="1939" operator="between">
      <formula>7</formula>
      <formula>7.9</formula>
    </cfRule>
    <cfRule type="cellIs" dxfId="1223" priority="1941" operator="between">
      <formula>9</formula>
      <formula>9.9</formula>
    </cfRule>
    <cfRule type="containsBlanks" dxfId="1222" priority="1943" stopIfTrue="1">
      <formula>LEN(TRIM(E55))=0</formula>
    </cfRule>
    <cfRule type="cellIs" dxfId="1221" priority="1940" stopIfTrue="1" operator="between">
      <formula>8</formula>
      <formula>8.9</formula>
    </cfRule>
    <cfRule type="cellIs" dxfId="1220" priority="1942" stopIfTrue="1" operator="between">
      <formula>10</formula>
      <formula>10</formula>
    </cfRule>
  </conditionalFormatting>
  <conditionalFormatting sqref="E65">
    <cfRule type="colorScale" priority="186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70">
      <colorScale>
        <cfvo type="num" val="5"/>
        <cfvo type="num" val="10"/>
        <color rgb="FFFF494D"/>
        <color rgb="FF00FF66"/>
      </colorScale>
    </cfRule>
  </conditionalFormatting>
  <conditionalFormatting sqref="E66:E78">
    <cfRule type="containsBlanks" dxfId="1219" priority="1876" stopIfTrue="1">
      <formula>LEN(TRIM(E66))=0</formula>
    </cfRule>
    <cfRule type="cellIs" dxfId="1218" priority="1875" stopIfTrue="1" operator="between">
      <formula>10</formula>
      <formula>10</formula>
    </cfRule>
    <cfRule type="cellIs" dxfId="1217" priority="1874" operator="between">
      <formula>9</formula>
      <formula>9.9</formula>
    </cfRule>
    <cfRule type="cellIs" dxfId="1216" priority="1871" operator="between">
      <formula>10.1</formula>
      <formula>10.6</formula>
    </cfRule>
    <cfRule type="cellIs" dxfId="1215" priority="1873" stopIfTrue="1" operator="between">
      <formula>8</formula>
      <formula>8.9</formula>
    </cfRule>
    <cfRule type="cellIs" dxfId="1214" priority="1872" operator="between">
      <formula>7</formula>
      <formula>7.9</formula>
    </cfRule>
  </conditionalFormatting>
  <conditionalFormatting sqref="E80">
    <cfRule type="colorScale" priority="179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99">
      <colorScale>
        <cfvo type="num" val="5"/>
        <cfvo type="num" val="10"/>
        <color rgb="FFFF494D"/>
        <color rgb="FF00FF66"/>
      </colorScale>
    </cfRule>
  </conditionalFormatting>
  <conditionalFormatting sqref="E81:E99">
    <cfRule type="containsBlanks" dxfId="1213" priority="1797" stopIfTrue="1">
      <formula>LEN(TRIM(E81))=0</formula>
    </cfRule>
    <cfRule type="cellIs" dxfId="1212" priority="1794" stopIfTrue="1" operator="between">
      <formula>8</formula>
      <formula>8.9</formula>
    </cfRule>
    <cfRule type="cellIs" dxfId="1211" priority="1792" operator="between">
      <formula>10.1</formula>
      <formula>10.6</formula>
    </cfRule>
    <cfRule type="cellIs" dxfId="1210" priority="1793" operator="between">
      <formula>7</formula>
      <formula>7.9</formula>
    </cfRule>
    <cfRule type="cellIs" dxfId="1209" priority="1795" operator="between">
      <formula>9</formula>
      <formula>9.9</formula>
    </cfRule>
    <cfRule type="cellIs" dxfId="1208" priority="1796" stopIfTrue="1" operator="between">
      <formula>10</formula>
      <formula>10</formula>
    </cfRule>
  </conditionalFormatting>
  <conditionalFormatting sqref="E101">
    <cfRule type="colorScale" priority="1713">
      <colorScale>
        <cfvo type="num" val="5"/>
        <cfvo type="num" val="10"/>
        <color rgb="FFFF494D"/>
        <color rgb="FF00FF66"/>
      </colorScale>
    </cfRule>
    <cfRule type="colorScale" priority="171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102:E115">
    <cfRule type="containsBlanks" dxfId="1207" priority="1719" stopIfTrue="1">
      <formula>LEN(TRIM(E102))=0</formula>
    </cfRule>
    <cfRule type="cellIs" dxfId="1206" priority="1718" stopIfTrue="1" operator="between">
      <formula>10</formula>
      <formula>10</formula>
    </cfRule>
    <cfRule type="cellIs" dxfId="1205" priority="1717" operator="between">
      <formula>9</formula>
      <formula>9.9</formula>
    </cfRule>
    <cfRule type="cellIs" dxfId="1204" priority="1716" stopIfTrue="1" operator="between">
      <formula>8</formula>
      <formula>8.9</formula>
    </cfRule>
    <cfRule type="cellIs" dxfId="1203" priority="1715" operator="between">
      <formula>7</formula>
      <formula>7.9</formula>
    </cfRule>
    <cfRule type="cellIs" dxfId="1202" priority="1714" operator="between">
      <formula>10.1</formula>
      <formula>10.6</formula>
    </cfRule>
  </conditionalFormatting>
  <conditionalFormatting sqref="E117">
    <cfRule type="colorScale" priority="1655">
      <colorScale>
        <cfvo type="num" val="5"/>
        <cfvo type="num" val="10"/>
        <color rgb="FFFF494D"/>
        <color rgb="FF00FF66"/>
      </colorScale>
    </cfRule>
    <cfRule type="colorScale" priority="165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118:E126">
    <cfRule type="cellIs" dxfId="1201" priority="1652" stopIfTrue="1" operator="between">
      <formula>10</formula>
      <formula>10</formula>
    </cfRule>
    <cfRule type="cellIs" dxfId="1200" priority="1648" operator="between">
      <formula>10.1</formula>
      <formula>10.6</formula>
    </cfRule>
    <cfRule type="cellIs" dxfId="1199" priority="1651" operator="between">
      <formula>9</formula>
      <formula>9.9</formula>
    </cfRule>
    <cfRule type="cellIs" dxfId="1198" priority="1650" stopIfTrue="1" operator="between">
      <formula>8</formula>
      <formula>8.9</formula>
    </cfRule>
    <cfRule type="cellIs" dxfId="1197" priority="1649" operator="between">
      <formula>7</formula>
      <formula>7.9</formula>
    </cfRule>
    <cfRule type="cellIs" dxfId="1196" priority="1647" operator="between">
      <formula>6</formula>
      <formula>6.9</formula>
    </cfRule>
    <cfRule type="containsBlanks" dxfId="1195" priority="1653" stopIfTrue="1">
      <formula>LEN(TRIM(E118))=0</formula>
    </cfRule>
  </conditionalFormatting>
  <conditionalFormatting sqref="E128">
    <cfRule type="colorScale" priority="162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22">
      <colorScale>
        <cfvo type="num" val="5"/>
        <cfvo type="num" val="10"/>
        <color rgb="FFFF494D"/>
        <color rgb="FF00FF66"/>
      </colorScale>
    </cfRule>
  </conditionalFormatting>
  <conditionalFormatting sqref="E129:E144">
    <cfRule type="cellIs" dxfId="1194" priority="1618" operator="between">
      <formula>9</formula>
      <formula>9.9</formula>
    </cfRule>
    <cfRule type="cellIs" dxfId="1193" priority="1617" stopIfTrue="1" operator="between">
      <formula>8</formula>
      <formula>8.9</formula>
    </cfRule>
    <cfRule type="cellIs" dxfId="1192" priority="1616" operator="between">
      <formula>7</formula>
      <formula>7.9</formula>
    </cfRule>
    <cfRule type="cellIs" dxfId="1191" priority="1615" operator="between">
      <formula>10.1</formula>
      <formula>10.6</formula>
    </cfRule>
    <cfRule type="cellIs" dxfId="1190" priority="1614" operator="between">
      <formula>6</formula>
      <formula>6.9</formula>
    </cfRule>
    <cfRule type="containsBlanks" dxfId="1189" priority="1620" stopIfTrue="1">
      <formula>LEN(TRIM(E129))=0</formula>
    </cfRule>
    <cfRule type="cellIs" dxfId="1188" priority="1619" stopIfTrue="1" operator="between">
      <formula>10</formula>
      <formula>10</formula>
    </cfRule>
  </conditionalFormatting>
  <conditionalFormatting sqref="E146">
    <cfRule type="colorScale" priority="1535">
      <colorScale>
        <cfvo type="num" val="5"/>
        <cfvo type="num" val="10"/>
        <color rgb="FFFF494D"/>
        <color rgb="FF00FF66"/>
      </colorScale>
    </cfRule>
    <cfRule type="colorScale" priority="153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147:E159">
    <cfRule type="cellIs" dxfId="1187" priority="1527" operator="between">
      <formula>6</formula>
      <formula>6.9</formula>
    </cfRule>
    <cfRule type="cellIs" dxfId="1186" priority="1528" operator="between">
      <formula>10.1</formula>
      <formula>10.6</formula>
    </cfRule>
    <cfRule type="cellIs" dxfId="1185" priority="1529" operator="between">
      <formula>7</formula>
      <formula>7.9</formula>
    </cfRule>
    <cfRule type="cellIs" dxfId="1184" priority="1530" stopIfTrue="1" operator="between">
      <formula>8</formula>
      <formula>8.9</formula>
    </cfRule>
    <cfRule type="cellIs" dxfId="1183" priority="1531" operator="between">
      <formula>9</formula>
      <formula>9.9</formula>
    </cfRule>
    <cfRule type="cellIs" dxfId="1182" priority="1532" stopIfTrue="1" operator="between">
      <formula>10</formula>
      <formula>10</formula>
    </cfRule>
    <cfRule type="containsBlanks" dxfId="1181" priority="1533" stopIfTrue="1">
      <formula>LEN(TRIM(E147))=0</formula>
    </cfRule>
  </conditionalFormatting>
  <conditionalFormatting sqref="E161">
    <cfRule type="colorScale" priority="149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99">
      <colorScale>
        <cfvo type="num" val="5"/>
        <cfvo type="num" val="10"/>
        <color rgb="FFFF494D"/>
        <color rgb="FF00FF66"/>
      </colorScale>
    </cfRule>
  </conditionalFormatting>
  <conditionalFormatting sqref="E162:E170">
    <cfRule type="cellIs" dxfId="1180" priority="1491" operator="between">
      <formula>6</formula>
      <formula>6.9</formula>
    </cfRule>
    <cfRule type="containsBlanks" dxfId="1179" priority="1497" stopIfTrue="1">
      <formula>LEN(TRIM(E162))=0</formula>
    </cfRule>
    <cfRule type="cellIs" dxfId="1178" priority="1496" stopIfTrue="1" operator="between">
      <formula>10</formula>
      <formula>10</formula>
    </cfRule>
    <cfRule type="cellIs" dxfId="1177" priority="1495" operator="between">
      <formula>9</formula>
      <formula>9.9</formula>
    </cfRule>
    <cfRule type="cellIs" dxfId="1176" priority="1494" stopIfTrue="1" operator="between">
      <formula>8</formula>
      <formula>8.9</formula>
    </cfRule>
    <cfRule type="cellIs" dxfId="1175" priority="1493" operator="between">
      <formula>7</formula>
      <formula>7.9</formula>
    </cfRule>
    <cfRule type="cellIs" dxfId="1174" priority="1492" operator="between">
      <formula>10.1</formula>
      <formula>10.6</formula>
    </cfRule>
  </conditionalFormatting>
  <conditionalFormatting sqref="E172">
    <cfRule type="colorScale" priority="1454">
      <colorScale>
        <cfvo type="num" val="5"/>
        <cfvo type="num" val="10"/>
        <color rgb="FFFF494D"/>
        <color rgb="FF00FF66"/>
      </colorScale>
    </cfRule>
    <cfRule type="colorScale" priority="145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173:E184">
    <cfRule type="containsBlanks" dxfId="1173" priority="1452" stopIfTrue="1">
      <formula>LEN(TRIM(E173))=0</formula>
    </cfRule>
    <cfRule type="cellIs" dxfId="1172" priority="1451" stopIfTrue="1" operator="between">
      <formula>10</formula>
      <formula>10</formula>
    </cfRule>
    <cfRule type="cellIs" dxfId="1171" priority="1450" operator="between">
      <formula>9</formula>
      <formula>9.9</formula>
    </cfRule>
    <cfRule type="cellIs" dxfId="1170" priority="1449" stopIfTrue="1" operator="between">
      <formula>8</formula>
      <formula>8.9</formula>
    </cfRule>
    <cfRule type="cellIs" dxfId="1169" priority="1448" operator="between">
      <formula>7</formula>
      <formula>7.9</formula>
    </cfRule>
    <cfRule type="cellIs" dxfId="1168" priority="1447" operator="between">
      <formula>10.1</formula>
      <formula>10.6</formula>
    </cfRule>
    <cfRule type="cellIs" dxfId="1167" priority="1446" operator="between">
      <formula>6</formula>
      <formula>6.9</formula>
    </cfRule>
  </conditionalFormatting>
  <conditionalFormatting sqref="E186">
    <cfRule type="colorScale" priority="1392">
      <colorScale>
        <cfvo type="num" val="5"/>
        <cfvo type="num" val="10"/>
        <color rgb="FFFF494D"/>
        <color rgb="FF00FF66"/>
      </colorScale>
    </cfRule>
    <cfRule type="colorScale" priority="139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187:E199">
    <cfRule type="cellIs" dxfId="1166" priority="1386" operator="between">
      <formula>7</formula>
      <formula>7.9</formula>
    </cfRule>
    <cfRule type="cellIs" dxfId="1165" priority="1385" operator="between">
      <formula>10.1</formula>
      <formula>10.6</formula>
    </cfRule>
    <cfRule type="cellIs" dxfId="1164" priority="1387" stopIfTrue="1" operator="between">
      <formula>8</formula>
      <formula>8.9</formula>
    </cfRule>
    <cfRule type="cellIs" dxfId="1163" priority="1388" operator="between">
      <formula>9</formula>
      <formula>9.9</formula>
    </cfRule>
    <cfRule type="containsBlanks" dxfId="1162" priority="1390" stopIfTrue="1">
      <formula>LEN(TRIM(E187))=0</formula>
    </cfRule>
    <cfRule type="cellIs" dxfId="1161" priority="1384" operator="between">
      <formula>6</formula>
      <formula>6.9</formula>
    </cfRule>
    <cfRule type="cellIs" dxfId="1160" priority="1389" stopIfTrue="1" operator="between">
      <formula>10</formula>
      <formula>10</formula>
    </cfRule>
  </conditionalFormatting>
  <conditionalFormatting sqref="E201">
    <cfRule type="colorScale" priority="1338">
      <colorScale>
        <cfvo type="num" val="5"/>
        <cfvo type="num" val="10"/>
        <color rgb="FFFF494D"/>
        <color rgb="FF00FF66"/>
      </colorScale>
    </cfRule>
    <cfRule type="colorScale" priority="133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202:E211">
    <cfRule type="cellIs" dxfId="1159" priority="1332" operator="between">
      <formula>7</formula>
      <formula>7.9</formula>
    </cfRule>
    <cfRule type="containsBlanks" dxfId="1158" priority="1336" stopIfTrue="1">
      <formula>LEN(TRIM(E202))=0</formula>
    </cfRule>
    <cfRule type="cellIs" dxfId="1157" priority="1335" stopIfTrue="1" operator="between">
      <formula>10</formula>
      <formula>10</formula>
    </cfRule>
    <cfRule type="cellIs" dxfId="1156" priority="1334" operator="between">
      <formula>9</formula>
      <formula>9.9</formula>
    </cfRule>
    <cfRule type="cellIs" dxfId="1155" priority="1333" stopIfTrue="1" operator="between">
      <formula>8</formula>
      <formula>8.9</formula>
    </cfRule>
    <cfRule type="cellIs" dxfId="1154" priority="1331" operator="between">
      <formula>10.1</formula>
      <formula>11</formula>
    </cfRule>
    <cfRule type="cellIs" dxfId="1153" priority="1330" operator="between">
      <formula>6</formula>
      <formula>6.9</formula>
    </cfRule>
  </conditionalFormatting>
  <conditionalFormatting sqref="E213">
    <cfRule type="colorScale" priority="1284">
      <colorScale>
        <cfvo type="num" val="5"/>
        <cfvo type="num" val="10"/>
        <color rgb="FFFF494D"/>
        <color rgb="FF00FF66"/>
      </colorScale>
    </cfRule>
    <cfRule type="colorScale" priority="128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214:E227">
    <cfRule type="cellIs" dxfId="1152" priority="1288" stopIfTrue="1" operator="between">
      <formula>8</formula>
      <formula>8.9</formula>
    </cfRule>
    <cfRule type="cellIs" dxfId="1151" priority="1287" operator="between">
      <formula>7</formula>
      <formula>7.9</formula>
    </cfRule>
    <cfRule type="cellIs" dxfId="1150" priority="1285" operator="between">
      <formula>6</formula>
      <formula>6.9</formula>
    </cfRule>
    <cfRule type="cellIs" dxfId="1149" priority="1286" operator="between">
      <formula>10.1</formula>
      <formula>10.6</formula>
    </cfRule>
    <cfRule type="containsBlanks" dxfId="1148" priority="1291" stopIfTrue="1">
      <formula>LEN(TRIM(E214))=0</formula>
    </cfRule>
    <cfRule type="cellIs" dxfId="1147" priority="1290" stopIfTrue="1" operator="between">
      <formula>10</formula>
      <formula>10</formula>
    </cfRule>
    <cfRule type="cellIs" dxfId="1146" priority="1289" operator="between">
      <formula>9</formula>
      <formula>9.9</formula>
    </cfRule>
  </conditionalFormatting>
  <conditionalFormatting sqref="E229">
    <cfRule type="colorScale" priority="1253">
      <colorScale>
        <cfvo type="num" val="5"/>
        <cfvo type="num" val="10"/>
        <color rgb="FFFF494D"/>
        <color rgb="FF00FF66"/>
      </colorScale>
    </cfRule>
    <cfRule type="colorScale" priority="125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230:E235">
    <cfRule type="cellIs" dxfId="1145" priority="1250" stopIfTrue="1" operator="between">
      <formula>10</formula>
      <formula>10</formula>
    </cfRule>
    <cfRule type="containsBlanks" dxfId="1144" priority="1251" stopIfTrue="1">
      <formula>LEN(TRIM(E230))=0</formula>
    </cfRule>
    <cfRule type="cellIs" dxfId="1143" priority="1246" operator="between">
      <formula>10.1</formula>
      <formula>10.6</formula>
    </cfRule>
    <cfRule type="cellIs" dxfId="1142" priority="1247" operator="between">
      <formula>7</formula>
      <formula>7.9</formula>
    </cfRule>
    <cfRule type="cellIs" dxfId="1141" priority="1248" stopIfTrue="1" operator="between">
      <formula>8</formula>
      <formula>8.9</formula>
    </cfRule>
    <cfRule type="cellIs" dxfId="1140" priority="1249" operator="between">
      <formula>9</formula>
      <formula>9.9</formula>
    </cfRule>
    <cfRule type="cellIs" dxfId="1139" priority="1245" operator="between">
      <formula>6</formula>
      <formula>6.9</formula>
    </cfRule>
  </conditionalFormatting>
  <conditionalFormatting sqref="E237">
    <cfRule type="colorScale" priority="1203">
      <colorScale>
        <cfvo type="num" val="5"/>
        <cfvo type="num" val="10"/>
        <color rgb="FFFF494D"/>
        <color rgb="FF00FF66"/>
      </colorScale>
    </cfRule>
    <cfRule type="colorScale" priority="120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238:E252 E255:E264">
    <cfRule type="cellIs" dxfId="1138" priority="1205" operator="between">
      <formula>10.1</formula>
      <formula>10.6</formula>
    </cfRule>
    <cfRule type="cellIs" dxfId="1137" priority="1209" stopIfTrue="1" operator="between">
      <formula>10</formula>
      <formula>10</formula>
    </cfRule>
    <cfRule type="cellIs" dxfId="1136" priority="1204" operator="between">
      <formula>6</formula>
      <formula>6.9</formula>
    </cfRule>
    <cfRule type="containsBlanks" dxfId="1135" priority="1210" stopIfTrue="1">
      <formula>LEN(TRIM(E238))=0</formula>
    </cfRule>
    <cfRule type="cellIs" dxfId="1134" priority="1207" stopIfTrue="1" operator="between">
      <formula>8</formula>
      <formula>8.9</formula>
    </cfRule>
    <cfRule type="cellIs" dxfId="1133" priority="1208" operator="between">
      <formula>9</formula>
      <formula>9.9</formula>
    </cfRule>
    <cfRule type="cellIs" dxfId="1132" priority="1206" operator="between">
      <formula>7</formula>
      <formula>7.9</formula>
    </cfRule>
  </conditionalFormatting>
  <conditionalFormatting sqref="E254">
    <cfRule type="colorScale" priority="114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47">
      <colorScale>
        <cfvo type="num" val="5"/>
        <cfvo type="num" val="10"/>
        <color rgb="FFFF494D"/>
        <color rgb="FF00FF66"/>
      </colorScale>
    </cfRule>
  </conditionalFormatting>
  <conditionalFormatting sqref="E266">
    <cfRule type="colorScale" priority="1109">
      <colorScale>
        <cfvo type="num" val="5"/>
        <cfvo type="num" val="10"/>
        <color rgb="FFFF494D"/>
        <color rgb="FF00FF66"/>
      </colorScale>
    </cfRule>
    <cfRule type="colorScale" priority="110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267:E276">
    <cfRule type="cellIs" dxfId="1131" priority="1113" stopIfTrue="1" operator="between">
      <formula>8</formula>
      <formula>8.9</formula>
    </cfRule>
    <cfRule type="cellIs" dxfId="1130" priority="1112" operator="between">
      <formula>7</formula>
      <formula>7.9</formula>
    </cfRule>
    <cfRule type="cellIs" dxfId="1129" priority="1111" operator="between">
      <formula>10.1</formula>
      <formula>10.6</formula>
    </cfRule>
    <cfRule type="cellIs" dxfId="1128" priority="1110" operator="between">
      <formula>6</formula>
      <formula>6.9</formula>
    </cfRule>
    <cfRule type="containsBlanks" dxfId="1127" priority="1116" stopIfTrue="1">
      <formula>LEN(TRIM(E267))=0</formula>
    </cfRule>
    <cfRule type="cellIs" dxfId="1126" priority="1115" stopIfTrue="1" operator="between">
      <formula>10</formula>
      <formula>10</formula>
    </cfRule>
    <cfRule type="cellIs" dxfId="1125" priority="1114" operator="between">
      <formula>9</formula>
      <formula>9.9</formula>
    </cfRule>
  </conditionalFormatting>
  <conditionalFormatting sqref="E278">
    <cfRule type="colorScale" priority="106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65">
      <colorScale>
        <cfvo type="num" val="5"/>
        <cfvo type="num" val="10"/>
        <color rgb="FFFF494D"/>
        <color rgb="FF00FF66"/>
      </colorScale>
    </cfRule>
  </conditionalFormatting>
  <conditionalFormatting sqref="E279:E286">
    <cfRule type="cellIs" dxfId="1124" priority="1060" stopIfTrue="1" operator="between">
      <formula>8</formula>
      <formula>8.9</formula>
    </cfRule>
    <cfRule type="cellIs" dxfId="1123" priority="1061" operator="between">
      <formula>9</formula>
      <formula>9.9</formula>
    </cfRule>
    <cfRule type="cellIs" dxfId="1122" priority="1062" stopIfTrue="1" operator="between">
      <formula>10</formula>
      <formula>10</formula>
    </cfRule>
    <cfRule type="containsBlanks" dxfId="1121" priority="1063" stopIfTrue="1">
      <formula>LEN(TRIM(E279))=0</formula>
    </cfRule>
    <cfRule type="cellIs" dxfId="1120" priority="1059" operator="between">
      <formula>7</formula>
      <formula>7.9</formula>
    </cfRule>
    <cfRule type="cellIs" dxfId="1119" priority="1058" operator="between">
      <formula>10.1</formula>
      <formula>10.6</formula>
    </cfRule>
    <cfRule type="cellIs" dxfId="1118" priority="1057" operator="between">
      <formula>6</formula>
      <formula>6.9</formula>
    </cfRule>
  </conditionalFormatting>
  <conditionalFormatting sqref="E288">
    <cfRule type="colorScale" priority="1017">
      <colorScale>
        <cfvo type="num" val="5"/>
        <cfvo type="num" val="10"/>
        <color rgb="FFFF494D"/>
        <color rgb="FF00FF66"/>
      </colorScale>
    </cfRule>
    <cfRule type="colorScale" priority="101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289:E297">
    <cfRule type="cellIs" dxfId="1117" priority="1009" operator="between">
      <formula>6</formula>
      <formula>6.9</formula>
    </cfRule>
    <cfRule type="cellIs" dxfId="1116" priority="1010" operator="between">
      <formula>10.1</formula>
      <formula>10.6</formula>
    </cfRule>
    <cfRule type="containsBlanks" dxfId="1115" priority="1015" stopIfTrue="1">
      <formula>LEN(TRIM(E289))=0</formula>
    </cfRule>
    <cfRule type="cellIs" dxfId="1114" priority="1014" stopIfTrue="1" operator="between">
      <formula>10</formula>
      <formula>10</formula>
    </cfRule>
    <cfRule type="cellIs" dxfId="1113" priority="1013" operator="between">
      <formula>9</formula>
      <formula>9.9</formula>
    </cfRule>
    <cfRule type="cellIs" dxfId="1112" priority="1012" stopIfTrue="1" operator="between">
      <formula>8</formula>
      <formula>8.9</formula>
    </cfRule>
    <cfRule type="cellIs" dxfId="1111" priority="1011" operator="between">
      <formula>7</formula>
      <formula>7.9</formula>
    </cfRule>
  </conditionalFormatting>
  <conditionalFormatting sqref="E299">
    <cfRule type="colorScale" priority="96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66">
      <colorScale>
        <cfvo type="num" val="5"/>
        <cfvo type="num" val="10"/>
        <color rgb="FFFF494D"/>
        <color rgb="FF00FF66"/>
      </colorScale>
    </cfRule>
  </conditionalFormatting>
  <conditionalFormatting sqref="E300:E308">
    <cfRule type="containsBlanks" dxfId="1110" priority="964" stopIfTrue="1">
      <formula>LEN(TRIM(E300))=0</formula>
    </cfRule>
    <cfRule type="cellIs" dxfId="1109" priority="958" operator="between">
      <formula>6</formula>
      <formula>6.9</formula>
    </cfRule>
    <cfRule type="cellIs" dxfId="1108" priority="959" operator="between">
      <formula>10.1</formula>
      <formula>10.6</formula>
    </cfRule>
    <cfRule type="cellIs" dxfId="1107" priority="961" stopIfTrue="1" operator="between">
      <formula>8</formula>
      <formula>8.9</formula>
    </cfRule>
    <cfRule type="cellIs" dxfId="1106" priority="963" stopIfTrue="1" operator="between">
      <formula>10</formula>
      <formula>10</formula>
    </cfRule>
    <cfRule type="cellIs" dxfId="1105" priority="960" operator="between">
      <formula>7</formula>
      <formula>7.9</formula>
    </cfRule>
    <cfRule type="cellIs" dxfId="1104" priority="962" operator="between">
      <formula>9</formula>
      <formula>9.9</formula>
    </cfRule>
  </conditionalFormatting>
  <conditionalFormatting sqref="E310">
    <cfRule type="colorScale" priority="915">
      <colorScale>
        <cfvo type="num" val="5"/>
        <cfvo type="num" val="10"/>
        <color rgb="FFFF494D"/>
        <color rgb="FF00FF66"/>
      </colorScale>
    </cfRule>
    <cfRule type="colorScale" priority="91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311:E318">
    <cfRule type="cellIs" dxfId="1103" priority="907" operator="between">
      <formula>2</formula>
      <formula>4.9</formula>
    </cfRule>
    <cfRule type="cellIs" dxfId="1102" priority="908" operator="between">
      <formula>5</formula>
      <formula>6.9</formula>
    </cfRule>
    <cfRule type="cellIs" dxfId="1101" priority="909" operator="between">
      <formula>10.1</formula>
      <formula>10.6</formula>
    </cfRule>
    <cfRule type="cellIs" dxfId="1100" priority="910" operator="between">
      <formula>7</formula>
      <formula>7.9</formula>
    </cfRule>
    <cfRule type="cellIs" dxfId="1099" priority="911" stopIfTrue="1" operator="between">
      <formula>8</formula>
      <formula>8.9</formula>
    </cfRule>
    <cfRule type="cellIs" dxfId="1098" priority="912" operator="between">
      <formula>9</formula>
      <formula>9.9</formula>
    </cfRule>
    <cfRule type="cellIs" dxfId="1097" priority="913" stopIfTrue="1" operator="between">
      <formula>10</formula>
      <formula>10</formula>
    </cfRule>
    <cfRule type="containsBlanks" dxfId="1096" priority="905" stopIfTrue="1">
      <formula>LEN(TRIM(E311))=0</formula>
    </cfRule>
    <cfRule type="cellIs" dxfId="1095" priority="906" operator="lessThan">
      <formula>2</formula>
    </cfRule>
  </conditionalFormatting>
  <conditionalFormatting sqref="E320">
    <cfRule type="colorScale" priority="895">
      <colorScale>
        <cfvo type="num" val="5"/>
        <cfvo type="num" val="10"/>
        <color rgb="FFFF494D"/>
        <color rgb="FF00FF66"/>
      </colorScale>
    </cfRule>
    <cfRule type="colorScale" priority="89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321:E326">
    <cfRule type="cellIs" dxfId="1094" priority="900" operator="between">
      <formula>10.1</formula>
      <formula>10.6</formula>
    </cfRule>
    <cfRule type="cellIs" dxfId="1093" priority="897" operator="lessThan">
      <formula>2</formula>
    </cfRule>
    <cfRule type="cellIs" dxfId="1092" priority="902" stopIfTrue="1" operator="between">
      <formula>8</formula>
      <formula>8.9</formula>
    </cfRule>
    <cfRule type="cellIs" dxfId="1091" priority="903" operator="between">
      <formula>9</formula>
      <formula>9.9</formula>
    </cfRule>
    <cfRule type="cellIs" dxfId="1090" priority="904" stopIfTrue="1" operator="between">
      <formula>10</formula>
      <formula>10</formula>
    </cfRule>
    <cfRule type="cellIs" dxfId="1089" priority="898" operator="between">
      <formula>2</formula>
      <formula>4.9</formula>
    </cfRule>
    <cfRule type="cellIs" dxfId="1088" priority="899" operator="between">
      <formula>5</formula>
      <formula>6.9</formula>
    </cfRule>
    <cfRule type="cellIs" dxfId="1087" priority="901" operator="between">
      <formula>7</formula>
      <formula>7.9</formula>
    </cfRule>
    <cfRule type="containsBlanks" dxfId="1086" priority="896" stopIfTrue="1">
      <formula>LEN(TRIM(E321))=0</formula>
    </cfRule>
  </conditionalFormatting>
  <conditionalFormatting sqref="E328">
    <cfRule type="colorScale" priority="851">
      <colorScale>
        <cfvo type="num" val="5"/>
        <cfvo type="num" val="10"/>
        <color rgb="FFFF494D"/>
        <color rgb="FF00FF66"/>
      </colorScale>
    </cfRule>
    <cfRule type="colorScale" priority="85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329:E358">
    <cfRule type="cellIs" dxfId="1085" priority="856" operator="between">
      <formula>10.1</formula>
      <formula>10.6</formula>
    </cfRule>
    <cfRule type="cellIs" dxfId="1084" priority="853" operator="lessThan">
      <formula>2</formula>
    </cfRule>
    <cfRule type="containsBlanks" dxfId="1083" priority="852" stopIfTrue="1">
      <formula>LEN(TRIM(E329))=0</formula>
    </cfRule>
    <cfRule type="cellIs" dxfId="1082" priority="854" operator="between">
      <formula>2</formula>
      <formula>4.9</formula>
    </cfRule>
    <cfRule type="cellIs" dxfId="1081" priority="860" stopIfTrue="1" operator="between">
      <formula>10</formula>
      <formula>10</formula>
    </cfRule>
    <cfRule type="cellIs" dxfId="1080" priority="859" operator="between">
      <formula>9</formula>
      <formula>9.9</formula>
    </cfRule>
    <cfRule type="cellIs" dxfId="1079" priority="855" operator="between">
      <formula>5</formula>
      <formula>6.9</formula>
    </cfRule>
    <cfRule type="cellIs" dxfId="1078" priority="857" operator="between">
      <formula>7</formula>
      <formula>7.9</formula>
    </cfRule>
    <cfRule type="cellIs" dxfId="1077" priority="858" stopIfTrue="1" operator="between">
      <formula>8</formula>
      <formula>8.9</formula>
    </cfRule>
  </conditionalFormatting>
  <conditionalFormatting sqref="E360">
    <cfRule type="colorScale" priority="728">
      <colorScale>
        <cfvo type="num" val="5"/>
        <cfvo type="num" val="10"/>
        <color rgb="FFFF494D"/>
        <color rgb="FF00FF66"/>
      </colorScale>
    </cfRule>
    <cfRule type="colorScale" priority="72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361:E370">
    <cfRule type="cellIs" dxfId="1076" priority="737" stopIfTrue="1" operator="between">
      <formula>10</formula>
      <formula>10</formula>
    </cfRule>
    <cfRule type="cellIs" dxfId="1075" priority="736" operator="between">
      <formula>9</formula>
      <formula>9.9</formula>
    </cfRule>
    <cfRule type="cellIs" dxfId="1074" priority="735" stopIfTrue="1" operator="between">
      <formula>8</formula>
      <formula>8.9</formula>
    </cfRule>
    <cfRule type="cellIs" dxfId="1073" priority="734" operator="between">
      <formula>7</formula>
      <formula>7.9</formula>
    </cfRule>
    <cfRule type="cellIs" dxfId="1072" priority="733" operator="between">
      <formula>10.1</formula>
      <formula>10.6</formula>
    </cfRule>
    <cfRule type="cellIs" dxfId="1071" priority="732" operator="between">
      <formula>5</formula>
      <formula>6.9</formula>
    </cfRule>
    <cfRule type="cellIs" dxfId="1070" priority="731" operator="between">
      <formula>2</formula>
      <formula>4.9</formula>
    </cfRule>
    <cfRule type="containsBlanks" dxfId="1069" priority="729" stopIfTrue="1">
      <formula>LEN(TRIM(E361))=0</formula>
    </cfRule>
    <cfRule type="cellIs" dxfId="1068" priority="730" operator="lessThan">
      <formula>2</formula>
    </cfRule>
  </conditionalFormatting>
  <conditionalFormatting sqref="E372">
    <cfRule type="colorScale" priority="68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82">
      <colorScale>
        <cfvo type="num" val="5"/>
        <cfvo type="num" val="10"/>
        <color rgb="FFFF494D"/>
        <color rgb="FF00FF66"/>
      </colorScale>
    </cfRule>
  </conditionalFormatting>
  <conditionalFormatting sqref="E373:E381">
    <cfRule type="cellIs" dxfId="1067" priority="686" operator="between">
      <formula>5</formula>
      <formula>6.9</formula>
    </cfRule>
    <cfRule type="cellIs" dxfId="1066" priority="690" operator="between">
      <formula>9</formula>
      <formula>9.9</formula>
    </cfRule>
    <cfRule type="cellIs" dxfId="1065" priority="689" stopIfTrue="1" operator="between">
      <formula>8</formula>
      <formula>8.9</formula>
    </cfRule>
    <cfRule type="cellIs" dxfId="1064" priority="687" operator="between">
      <formula>10.1</formula>
      <formula>10.6</formula>
    </cfRule>
    <cfRule type="cellIs" dxfId="1063" priority="685" operator="between">
      <formula>2</formula>
      <formula>4.9</formula>
    </cfRule>
    <cfRule type="cellIs" dxfId="1062" priority="691" stopIfTrue="1" operator="between">
      <formula>10</formula>
      <formula>10</formula>
    </cfRule>
    <cfRule type="cellIs" dxfId="1061" priority="684" operator="lessThan">
      <formula>2</formula>
    </cfRule>
    <cfRule type="containsBlanks" dxfId="1060" priority="683" stopIfTrue="1">
      <formula>LEN(TRIM(E373))=0</formula>
    </cfRule>
    <cfRule type="cellIs" dxfId="1059" priority="688" operator="between">
      <formula>7</formula>
      <formula>7.9</formula>
    </cfRule>
  </conditionalFormatting>
  <conditionalFormatting sqref="E383">
    <cfRule type="colorScale" priority="626">
      <colorScale>
        <cfvo type="num" val="5"/>
        <cfvo type="num" val="10"/>
        <color rgb="FFFF494D"/>
        <color rgb="FF00FF66"/>
      </colorScale>
    </cfRule>
    <cfRule type="colorScale" priority="62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384:E386">
    <cfRule type="cellIs" dxfId="1058" priority="622" stopIfTrue="1" operator="between">
      <formula>8</formula>
      <formula>8.9</formula>
    </cfRule>
    <cfRule type="cellIs" dxfId="1057" priority="623" operator="between">
      <formula>9</formula>
      <formula>9.9</formula>
    </cfRule>
    <cfRule type="containsBlanks" dxfId="1056" priority="616" stopIfTrue="1">
      <formula>LEN(TRIM(E384))=0</formula>
    </cfRule>
    <cfRule type="cellIs" dxfId="1055" priority="624" stopIfTrue="1" operator="between">
      <formula>10</formula>
      <formula>10</formula>
    </cfRule>
    <cfRule type="cellIs" dxfId="1054" priority="620" operator="between">
      <formula>10.1</formula>
      <formula>10.6</formula>
    </cfRule>
    <cfRule type="cellIs" dxfId="1053" priority="621" operator="between">
      <formula>7</formula>
      <formula>7.9</formula>
    </cfRule>
    <cfRule type="cellIs" dxfId="1052" priority="618" operator="between">
      <formula>2</formula>
      <formula>4.9</formula>
    </cfRule>
    <cfRule type="cellIs" dxfId="1051" priority="617" operator="lessThan">
      <formula>2</formula>
    </cfRule>
    <cfRule type="cellIs" dxfId="1050" priority="619" operator="between">
      <formula>5</formula>
      <formula>6.9</formula>
    </cfRule>
  </conditionalFormatting>
  <conditionalFormatting sqref="E388">
    <cfRule type="colorScale" priority="584">
      <colorScale>
        <cfvo type="num" val="5"/>
        <cfvo type="num" val="10"/>
        <color rgb="FFFF494D"/>
        <color rgb="FF00FF66"/>
      </colorScale>
    </cfRule>
    <cfRule type="colorScale" priority="58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389:E401">
    <cfRule type="cellIs" dxfId="1049" priority="592" operator="between">
      <formula>9</formula>
      <formula>9.9</formula>
    </cfRule>
    <cfRule type="cellIs" dxfId="1048" priority="593" stopIfTrue="1" operator="between">
      <formula>10</formula>
      <formula>10</formula>
    </cfRule>
    <cfRule type="cellIs" dxfId="1047" priority="591" stopIfTrue="1" operator="between">
      <formula>8</formula>
      <formula>8.9</formula>
    </cfRule>
    <cfRule type="cellIs" dxfId="1046" priority="589" operator="between">
      <formula>10.1</formula>
      <formula>10.6</formula>
    </cfRule>
    <cfRule type="cellIs" dxfId="1045" priority="588" operator="between">
      <formula>5</formula>
      <formula>6.9</formula>
    </cfRule>
    <cfRule type="cellIs" dxfId="1044" priority="587" operator="between">
      <formula>2</formula>
      <formula>4.9</formula>
    </cfRule>
    <cfRule type="cellIs" dxfId="1043" priority="586" operator="lessThan">
      <formula>2</formula>
    </cfRule>
    <cfRule type="containsBlanks" dxfId="1042" priority="585" stopIfTrue="1">
      <formula>LEN(TRIM(E389))=0</formula>
    </cfRule>
    <cfRule type="cellIs" dxfId="1041" priority="590" operator="between">
      <formula>7</formula>
      <formula>7.9</formula>
    </cfRule>
  </conditionalFormatting>
  <conditionalFormatting sqref="E403">
    <cfRule type="colorScale" priority="507">
      <colorScale>
        <cfvo type="num" val="5"/>
        <cfvo type="num" val="10"/>
        <color rgb="FFFF494D"/>
        <color rgb="FF00FF66"/>
      </colorScale>
    </cfRule>
    <cfRule type="colorScale" priority="50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404:E413">
    <cfRule type="cellIs" dxfId="1040" priority="514" stopIfTrue="1" operator="between">
      <formula>8</formula>
      <formula>8.9</formula>
    </cfRule>
    <cfRule type="cellIs" dxfId="1039" priority="515" operator="between">
      <formula>9</formula>
      <formula>9.9</formula>
    </cfRule>
    <cfRule type="cellIs" dxfId="1038" priority="516" stopIfTrue="1" operator="between">
      <formula>10</formula>
      <formula>10</formula>
    </cfRule>
    <cfRule type="containsBlanks" dxfId="1037" priority="508" stopIfTrue="1">
      <formula>LEN(TRIM(E404))=0</formula>
    </cfRule>
    <cfRule type="cellIs" dxfId="1036" priority="513" operator="between">
      <formula>7</formula>
      <formula>7.9</formula>
    </cfRule>
    <cfRule type="cellIs" dxfId="1035" priority="509" operator="lessThan">
      <formula>2</formula>
    </cfRule>
    <cfRule type="cellIs" dxfId="1034" priority="510" operator="between">
      <formula>2</formula>
      <formula>4.9</formula>
    </cfRule>
    <cfRule type="cellIs" dxfId="1033" priority="511" operator="between">
      <formula>5</formula>
      <formula>6.9</formula>
    </cfRule>
    <cfRule type="cellIs" dxfId="1032" priority="512" operator="between">
      <formula>10.1</formula>
      <formula>10.6</formula>
    </cfRule>
  </conditionalFormatting>
  <conditionalFormatting sqref="E415">
    <cfRule type="colorScale" priority="471">
      <colorScale>
        <cfvo type="num" val="5"/>
        <cfvo type="num" val="10"/>
        <color rgb="FFFF494D"/>
        <color rgb="FF00FF66"/>
      </colorScale>
    </cfRule>
    <cfRule type="colorScale" priority="47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416:E423">
    <cfRule type="cellIs" dxfId="1031" priority="467" stopIfTrue="1" operator="between">
      <formula>8</formula>
      <formula>8.9</formula>
    </cfRule>
    <cfRule type="cellIs" dxfId="1030" priority="464" operator="between">
      <formula>5</formula>
      <formula>6.9</formula>
    </cfRule>
    <cfRule type="cellIs" dxfId="1029" priority="465" operator="between">
      <formula>10.1</formula>
      <formula>10.6</formula>
    </cfRule>
    <cfRule type="cellIs" dxfId="1028" priority="466" operator="between">
      <formula>7</formula>
      <formula>7.9</formula>
    </cfRule>
    <cfRule type="cellIs" dxfId="1027" priority="468" operator="between">
      <formula>9</formula>
      <formula>9.9</formula>
    </cfRule>
    <cfRule type="cellIs" dxfId="1026" priority="469" stopIfTrue="1" operator="between">
      <formula>10</formula>
      <formula>10</formula>
    </cfRule>
    <cfRule type="containsBlanks" dxfId="1025" priority="461" stopIfTrue="1">
      <formula>LEN(TRIM(E416))=0</formula>
    </cfRule>
    <cfRule type="cellIs" dxfId="1024" priority="462" operator="lessThan">
      <formula>2</formula>
    </cfRule>
    <cfRule type="cellIs" dxfId="1023" priority="463" operator="between">
      <formula>2</formula>
      <formula>4.9</formula>
    </cfRule>
  </conditionalFormatting>
  <conditionalFormatting sqref="E425">
    <cfRule type="colorScale" priority="39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96">
      <colorScale>
        <cfvo type="num" val="5"/>
        <cfvo type="num" val="10"/>
        <color rgb="FFFF494D"/>
        <color rgb="FF00FF66"/>
      </colorScale>
    </cfRule>
  </conditionalFormatting>
  <conditionalFormatting sqref="E426:E434">
    <cfRule type="cellIs" dxfId="1022" priority="402" operator="between">
      <formula>7</formula>
      <formula>7.9</formula>
    </cfRule>
    <cfRule type="cellIs" dxfId="1021" priority="403" stopIfTrue="1" operator="between">
      <formula>8</formula>
      <formula>8.9</formula>
    </cfRule>
    <cfRule type="cellIs" dxfId="1020" priority="404" operator="between">
      <formula>9</formula>
      <formula>9.9</formula>
    </cfRule>
    <cfRule type="containsBlanks" dxfId="1019" priority="397" stopIfTrue="1">
      <formula>LEN(TRIM(E426))=0</formula>
    </cfRule>
    <cfRule type="cellIs" dxfId="1018" priority="398" operator="lessThan">
      <formula>2</formula>
    </cfRule>
    <cfRule type="cellIs" dxfId="1017" priority="405" stopIfTrue="1" operator="between">
      <formula>10</formula>
      <formula>10</formula>
    </cfRule>
    <cfRule type="cellIs" dxfId="1016" priority="401" operator="between">
      <formula>10.1</formula>
      <formula>10.6</formula>
    </cfRule>
    <cfRule type="cellIs" dxfId="1015" priority="400" operator="between">
      <formula>5</formula>
      <formula>6.9</formula>
    </cfRule>
    <cfRule type="cellIs" dxfId="1014" priority="399" operator="between">
      <formula>2</formula>
      <formula>4.9</formula>
    </cfRule>
  </conditionalFormatting>
  <conditionalFormatting sqref="E436">
    <cfRule type="colorScale" priority="341">
      <colorScale>
        <cfvo type="num" val="5"/>
        <cfvo type="num" val="10"/>
        <color rgb="FFFF494D"/>
        <color rgb="FF00FF66"/>
      </colorScale>
    </cfRule>
    <cfRule type="colorScale" priority="34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437:E457">
    <cfRule type="cellIs" dxfId="1013" priority="344" operator="between">
      <formula>2</formula>
      <formula>4.9</formula>
    </cfRule>
    <cfRule type="cellIs" dxfId="1012" priority="345" operator="between">
      <formula>5</formula>
      <formula>6.9</formula>
    </cfRule>
    <cfRule type="cellIs" dxfId="1011" priority="346" operator="between">
      <formula>10.1</formula>
      <formula>10.6</formula>
    </cfRule>
    <cfRule type="cellIs" dxfId="1010" priority="343" operator="lessThan">
      <formula>2</formula>
    </cfRule>
    <cfRule type="cellIs" dxfId="1009" priority="347" operator="between">
      <formula>7</formula>
      <formula>7.9</formula>
    </cfRule>
    <cfRule type="cellIs" dxfId="1008" priority="348" stopIfTrue="1" operator="between">
      <formula>8</formula>
      <formula>8.9</formula>
    </cfRule>
    <cfRule type="cellIs" dxfId="1007" priority="349" operator="between">
      <formula>9</formula>
      <formula>9.9</formula>
    </cfRule>
    <cfRule type="cellIs" dxfId="1006" priority="350" stopIfTrue="1" operator="between">
      <formula>10</formula>
      <formula>10</formula>
    </cfRule>
    <cfRule type="containsBlanks" dxfId="1005" priority="342" stopIfTrue="1">
      <formula>LEN(TRIM(E437))=0</formula>
    </cfRule>
  </conditionalFormatting>
  <conditionalFormatting sqref="E459">
    <cfRule type="colorScale" priority="244">
      <colorScale>
        <cfvo type="num" val="5"/>
        <cfvo type="num" val="10"/>
        <color rgb="FFFF494D"/>
        <color rgb="FF00FF66"/>
      </colorScale>
    </cfRule>
    <cfRule type="colorScale" priority="24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460:E485">
    <cfRule type="cellIs" dxfId="1004" priority="250" operator="between">
      <formula>7</formula>
      <formula>7.9</formula>
    </cfRule>
    <cfRule type="cellIs" dxfId="1003" priority="249" operator="between">
      <formula>10.1</formula>
      <formula>10.6</formula>
    </cfRule>
    <cfRule type="cellIs" dxfId="1002" priority="248" operator="between">
      <formula>5</formula>
      <formula>6.9</formula>
    </cfRule>
    <cfRule type="cellIs" dxfId="1001" priority="247" operator="between">
      <formula>2</formula>
      <formula>4.9</formula>
    </cfRule>
    <cfRule type="cellIs" dxfId="1000" priority="246" operator="lessThan">
      <formula>2</formula>
    </cfRule>
    <cfRule type="containsBlanks" dxfId="999" priority="245" stopIfTrue="1">
      <formula>LEN(TRIM(E460))=0</formula>
    </cfRule>
    <cfRule type="cellIs" dxfId="998" priority="253" stopIfTrue="1" operator="between">
      <formula>10</formula>
      <formula>10</formula>
    </cfRule>
    <cfRule type="cellIs" dxfId="997" priority="252" operator="between">
      <formula>9</formula>
      <formula>9.9</formula>
    </cfRule>
    <cfRule type="cellIs" dxfId="996" priority="251" stopIfTrue="1" operator="between">
      <formula>8</formula>
      <formula>8.9</formula>
    </cfRule>
  </conditionalFormatting>
  <conditionalFormatting sqref="E487">
    <cfRule type="colorScale" priority="154">
      <colorScale>
        <cfvo type="num" val="5"/>
        <cfvo type="num" val="10"/>
        <color rgb="FFFF494D"/>
        <color rgb="FF00FF66"/>
      </colorScale>
    </cfRule>
    <cfRule type="colorScale" priority="15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488:E497">
    <cfRule type="cellIs" dxfId="995" priority="145" operator="lessThan">
      <formula>2</formula>
    </cfRule>
    <cfRule type="containsBlanks" dxfId="994" priority="144" stopIfTrue="1">
      <formula>LEN(TRIM(E488))=0</formula>
    </cfRule>
    <cfRule type="cellIs" dxfId="993" priority="146" operator="between">
      <formula>2</formula>
      <formula>4.9</formula>
    </cfRule>
    <cfRule type="cellIs" dxfId="992" priority="147" operator="between">
      <formula>5</formula>
      <formula>6.9</formula>
    </cfRule>
    <cfRule type="cellIs" dxfId="991" priority="148" operator="between">
      <formula>10.1</formula>
      <formula>10.6</formula>
    </cfRule>
    <cfRule type="cellIs" dxfId="990" priority="149" operator="between">
      <formula>7</formula>
      <formula>7.9</formula>
    </cfRule>
    <cfRule type="cellIs" dxfId="989" priority="150" stopIfTrue="1" operator="between">
      <formula>8</formula>
      <formula>8.9</formula>
    </cfRule>
    <cfRule type="cellIs" dxfId="988" priority="151" operator="between">
      <formula>9</formula>
      <formula>9.9</formula>
    </cfRule>
    <cfRule type="cellIs" dxfId="987" priority="152" stopIfTrue="1" operator="between">
      <formula>10</formula>
      <formula>10</formula>
    </cfRule>
  </conditionalFormatting>
  <conditionalFormatting sqref="E499">
    <cfRule type="colorScale" priority="10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1">
      <colorScale>
        <cfvo type="num" val="5"/>
        <cfvo type="num" val="10"/>
        <color rgb="FFFF494D"/>
        <color rgb="FF00FF66"/>
      </colorScale>
    </cfRule>
  </conditionalFormatting>
  <conditionalFormatting sqref="E500:E512">
    <cfRule type="cellIs" dxfId="986" priority="103" operator="lessThan">
      <formula>2</formula>
    </cfRule>
    <cfRule type="cellIs" dxfId="985" priority="104" operator="between">
      <formula>2</formula>
      <formula>4.9</formula>
    </cfRule>
    <cfRule type="cellIs" dxfId="984" priority="105" operator="between">
      <formula>5</formula>
      <formula>6.9</formula>
    </cfRule>
    <cfRule type="cellIs" dxfId="983" priority="107" operator="between">
      <formula>7</formula>
      <formula>7.9</formula>
    </cfRule>
    <cfRule type="cellIs" dxfId="982" priority="108" stopIfTrue="1" operator="between">
      <formula>8</formula>
      <formula>8.9</formula>
    </cfRule>
    <cfRule type="cellIs" dxfId="981" priority="109" operator="between">
      <formula>9</formula>
      <formula>9.9</formula>
    </cfRule>
    <cfRule type="cellIs" dxfId="980" priority="110" stopIfTrue="1" operator="between">
      <formula>10</formula>
      <formula>10</formula>
    </cfRule>
    <cfRule type="cellIs" dxfId="979" priority="106" operator="between">
      <formula>10.1</formula>
      <formula>10.6</formula>
    </cfRule>
    <cfRule type="containsBlanks" dxfId="978" priority="102" stopIfTrue="1">
      <formula>LEN(TRIM(E500))=0</formula>
    </cfRule>
  </conditionalFormatting>
  <conditionalFormatting sqref="E514">
    <cfRule type="colorScale" priority="24">
      <colorScale>
        <cfvo type="num" val="5"/>
        <cfvo type="num" val="10"/>
        <color rgb="FFFF494D"/>
        <color rgb="FF00FF66"/>
      </colorScale>
    </cfRule>
    <cfRule type="colorScale" priority="2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515:E526">
    <cfRule type="cellIs" dxfId="977" priority="28" operator="between">
      <formula>5</formula>
      <formula>6.9</formula>
    </cfRule>
    <cfRule type="cellIs" dxfId="976" priority="27" operator="between">
      <formula>2</formula>
      <formula>4.9</formula>
    </cfRule>
    <cfRule type="cellIs" dxfId="975" priority="26" operator="lessThan">
      <formula>2</formula>
    </cfRule>
    <cfRule type="cellIs" dxfId="974" priority="33" stopIfTrue="1" operator="between">
      <formula>10</formula>
      <formula>10</formula>
    </cfRule>
    <cfRule type="containsBlanks" dxfId="973" priority="25" stopIfTrue="1">
      <formula>LEN(TRIM(E515))=0</formula>
    </cfRule>
    <cfRule type="cellIs" dxfId="972" priority="32" operator="between">
      <formula>9</formula>
      <formula>9.9</formula>
    </cfRule>
    <cfRule type="cellIs" dxfId="971" priority="31" stopIfTrue="1" operator="between">
      <formula>8</formula>
      <formula>8.9</formula>
    </cfRule>
    <cfRule type="cellIs" dxfId="970" priority="30" operator="between">
      <formula>7</formula>
      <formula>7.9</formula>
    </cfRule>
    <cfRule type="cellIs" dxfId="969" priority="29" operator="between">
      <formula>10.1</formula>
      <formula>10.6</formula>
    </cfRule>
  </conditionalFormatting>
  <conditionalFormatting sqref="H3:H15">
    <cfRule type="cellIs" dxfId="968" priority="1094" operator="between">
      <formula>7</formula>
      <formula>7.9</formula>
    </cfRule>
    <cfRule type="cellIs" dxfId="967" priority="1095" stopIfTrue="1" operator="between">
      <formula>8</formula>
      <formula>8.9</formula>
    </cfRule>
    <cfRule type="cellIs" dxfId="966" priority="1097" stopIfTrue="1" operator="between">
      <formula>10</formula>
      <formula>10</formula>
    </cfRule>
    <cfRule type="cellIs" dxfId="965" priority="1096" operator="between">
      <formula>9</formula>
      <formula>9.9</formula>
    </cfRule>
  </conditionalFormatting>
  <conditionalFormatting sqref="H7">
    <cfRule type="containsBlanks" dxfId="964" priority="1098" stopIfTrue="1">
      <formula>LEN(TRIM(H7))=0</formula>
    </cfRule>
    <cfRule type="cellIs" dxfId="963" priority="1093" operator="between">
      <formula>10.1</formula>
      <formula>10.6</formula>
    </cfRule>
  </conditionalFormatting>
  <conditionalFormatting sqref="H18:H28">
    <cfRule type="cellIs" dxfId="962" priority="2090" operator="between">
      <formula>9</formula>
      <formula>9.9</formula>
    </cfRule>
    <cfRule type="cellIs" dxfId="961" priority="2091" stopIfTrue="1" operator="between">
      <formula>10</formula>
      <formula>10</formula>
    </cfRule>
    <cfRule type="cellIs" dxfId="960" priority="2088" operator="between">
      <formula>7</formula>
      <formula>7.9</formula>
    </cfRule>
    <cfRule type="cellIs" dxfId="959" priority="2089" stopIfTrue="1" operator="between">
      <formula>8</formula>
      <formula>8.9</formula>
    </cfRule>
  </conditionalFormatting>
  <conditionalFormatting sqref="H30">
    <cfRule type="colorScale" priority="2373">
      <colorScale>
        <cfvo type="num" val="5"/>
        <cfvo type="num" val="10"/>
        <color rgb="FFFF494D"/>
        <color rgb="FF00FF66"/>
      </colorScale>
    </cfRule>
    <cfRule type="colorScale" priority="237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31:H45">
    <cfRule type="cellIs" dxfId="958" priority="1952" stopIfTrue="1" operator="between">
      <formula>8</formula>
      <formula>8.9</formula>
    </cfRule>
    <cfRule type="containsBlanks" dxfId="957" priority="1955" stopIfTrue="1">
      <formula>LEN(TRIM(H31))=0</formula>
    </cfRule>
    <cfRule type="cellIs" dxfId="956" priority="1954" stopIfTrue="1" operator="between">
      <formula>10</formula>
      <formula>10</formula>
    </cfRule>
    <cfRule type="cellIs" dxfId="955" priority="1953" operator="between">
      <formula>9</formula>
      <formula>9.9</formula>
    </cfRule>
    <cfRule type="cellIs" dxfId="954" priority="1951" operator="between">
      <formula>7</formula>
      <formula>7.9</formula>
    </cfRule>
    <cfRule type="cellIs" dxfId="953" priority="1950" operator="between">
      <formula>10.1</formula>
      <formula>10.6</formula>
    </cfRule>
  </conditionalFormatting>
  <conditionalFormatting sqref="H47">
    <cfRule type="colorScale" priority="2305">
      <colorScale>
        <cfvo type="num" val="5"/>
        <cfvo type="num" val="10"/>
        <color rgb="FFFF494D"/>
        <color rgb="FF00FF66"/>
      </colorScale>
    </cfRule>
    <cfRule type="colorScale" priority="230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48:H55">
    <cfRule type="cellIs" dxfId="952" priority="1945" operator="between">
      <formula>7</formula>
      <formula>7.9</formula>
    </cfRule>
    <cfRule type="containsBlanks" dxfId="951" priority="1949" stopIfTrue="1">
      <formula>LEN(TRIM(H48))=0</formula>
    </cfRule>
    <cfRule type="cellIs" dxfId="950" priority="1944" operator="between">
      <formula>10.1</formula>
      <formula>10.6</formula>
    </cfRule>
    <cfRule type="cellIs" dxfId="949" priority="1946" stopIfTrue="1" operator="between">
      <formula>8</formula>
      <formula>8.9</formula>
    </cfRule>
    <cfRule type="cellIs" dxfId="948" priority="1947" operator="between">
      <formula>9</formula>
      <formula>9.9</formula>
    </cfRule>
    <cfRule type="cellIs" dxfId="947" priority="1948" stopIfTrue="1" operator="between">
      <formula>10</formula>
      <formula>10</formula>
    </cfRule>
  </conditionalFormatting>
  <conditionalFormatting sqref="H57">
    <cfRule type="colorScale" priority="1887">
      <colorScale>
        <cfvo type="num" val="5"/>
        <cfvo type="num" val="10"/>
        <color rgb="FFFF494D"/>
        <color rgb="FF00FF66"/>
      </colorScale>
    </cfRule>
    <cfRule type="colorScale" priority="188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58:H67">
    <cfRule type="containsBlanks" dxfId="946" priority="1822" stopIfTrue="1">
      <formula>LEN(TRIM(H58))=0</formula>
    </cfRule>
    <cfRule type="cellIs" dxfId="945" priority="1817" operator="between">
      <formula>10.1</formula>
      <formula>10.6</formula>
    </cfRule>
    <cfRule type="cellIs" dxfId="944" priority="1821" stopIfTrue="1" operator="between">
      <formula>10</formula>
      <formula>10</formula>
    </cfRule>
    <cfRule type="cellIs" dxfId="943" priority="1818" operator="between">
      <formula>7</formula>
      <formula>7.9</formula>
    </cfRule>
    <cfRule type="cellIs" dxfId="942" priority="1819" stopIfTrue="1" operator="between">
      <formula>8</formula>
      <formula>8.9</formula>
    </cfRule>
    <cfRule type="cellIs" dxfId="941" priority="1820" operator="between">
      <formula>9</formula>
      <formula>9.9</formula>
    </cfRule>
    <cfRule type="cellIs" dxfId="940" priority="1816" operator="between">
      <formula>6</formula>
      <formula>6.9</formula>
    </cfRule>
  </conditionalFormatting>
  <conditionalFormatting sqref="H69">
    <cfRule type="colorScale" priority="1852">
      <colorScale>
        <cfvo type="num" val="5"/>
        <cfvo type="num" val="10"/>
        <color rgb="FFFF494D"/>
        <color rgb="FF00FF66"/>
      </colorScale>
    </cfRule>
    <cfRule type="colorScale" priority="185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70:H81">
    <cfRule type="cellIs" dxfId="939" priority="1845" operator="between">
      <formula>10.1</formula>
      <formula>10.6</formula>
    </cfRule>
    <cfRule type="cellIs" dxfId="938" priority="1846" operator="between">
      <formula>7</formula>
      <formula>7.9</formula>
    </cfRule>
    <cfRule type="cellIs" dxfId="937" priority="1847" stopIfTrue="1" operator="between">
      <formula>8</formula>
      <formula>8.9</formula>
    </cfRule>
    <cfRule type="containsBlanks" dxfId="936" priority="1850" stopIfTrue="1">
      <formula>LEN(TRIM(H70))=0</formula>
    </cfRule>
    <cfRule type="cellIs" dxfId="935" priority="1849" stopIfTrue="1" operator="between">
      <formula>10</formula>
      <formula>10</formula>
    </cfRule>
    <cfRule type="cellIs" dxfId="934" priority="1848" operator="between">
      <formula>9</formula>
      <formula>9.9</formula>
    </cfRule>
  </conditionalFormatting>
  <conditionalFormatting sqref="H83">
    <cfRule type="colorScale" priority="1783">
      <colorScale>
        <cfvo type="num" val="5"/>
        <cfvo type="num" val="10"/>
        <color rgb="FFFF494D"/>
        <color rgb="FF00FF66"/>
      </colorScale>
    </cfRule>
    <cfRule type="colorScale" priority="178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84:H95">
    <cfRule type="cellIs" dxfId="933" priority="1770" operator="between">
      <formula>10.1</formula>
      <formula>10.6</formula>
    </cfRule>
    <cfRule type="cellIs" dxfId="932" priority="1772" stopIfTrue="1" operator="between">
      <formula>8</formula>
      <formula>8.9</formula>
    </cfRule>
    <cfRule type="cellIs" dxfId="931" priority="1769" operator="between">
      <formula>6</formula>
      <formula>6.9</formula>
    </cfRule>
    <cfRule type="cellIs" dxfId="930" priority="1771" operator="between">
      <formula>7</formula>
      <formula>7.9</formula>
    </cfRule>
    <cfRule type="cellIs" dxfId="929" priority="1773" operator="between">
      <formula>9</formula>
      <formula>9.9</formula>
    </cfRule>
    <cfRule type="cellIs" dxfId="928" priority="1774" stopIfTrue="1" operator="between">
      <formula>10</formula>
      <formula>10</formula>
    </cfRule>
    <cfRule type="containsBlanks" dxfId="927" priority="1775" stopIfTrue="1">
      <formula>LEN(TRIM(H84))=0</formula>
    </cfRule>
  </conditionalFormatting>
  <conditionalFormatting sqref="H97">
    <cfRule type="colorScale" priority="1737">
      <colorScale>
        <cfvo type="num" val="5"/>
        <cfvo type="num" val="10"/>
        <color rgb="FFFF494D"/>
        <color rgb="FF00FF66"/>
      </colorScale>
    </cfRule>
    <cfRule type="colorScale" priority="173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98:H108">
    <cfRule type="cellIs" dxfId="926" priority="1724" operator="between">
      <formula>9</formula>
      <formula>9.9</formula>
    </cfRule>
    <cfRule type="cellIs" dxfId="925" priority="1725" stopIfTrue="1" operator="between">
      <formula>10</formula>
      <formula>10</formula>
    </cfRule>
    <cfRule type="containsBlanks" dxfId="924" priority="1726" stopIfTrue="1">
      <formula>LEN(TRIM(H98))=0</formula>
    </cfRule>
    <cfRule type="cellIs" dxfId="923" priority="1723" stopIfTrue="1" operator="between">
      <formula>8</formula>
      <formula>8.9</formula>
    </cfRule>
    <cfRule type="cellIs" dxfId="922" priority="1722" operator="between">
      <formula>7</formula>
      <formula>7.9</formula>
    </cfRule>
    <cfRule type="cellIs" dxfId="921" priority="1721" operator="between">
      <formula>10.1</formula>
      <formula>10.6</formula>
    </cfRule>
    <cfRule type="cellIs" dxfId="920" priority="1720" operator="between">
      <formula>6</formula>
      <formula>6.9</formula>
    </cfRule>
  </conditionalFormatting>
  <conditionalFormatting sqref="H110">
    <cfRule type="colorScale" priority="170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03">
      <colorScale>
        <cfvo type="num" val="5"/>
        <cfvo type="num" val="10"/>
        <color rgb="FFFF494D"/>
        <color rgb="FF00FF66"/>
      </colorScale>
    </cfRule>
  </conditionalFormatting>
  <conditionalFormatting sqref="H111:H123">
    <cfRule type="cellIs" dxfId="919" priority="1698" stopIfTrue="1" operator="between">
      <formula>8</formula>
      <formula>8.9</formula>
    </cfRule>
    <cfRule type="cellIs" dxfId="918" priority="1697" operator="between">
      <formula>7</formula>
      <formula>7.9</formula>
    </cfRule>
    <cfRule type="cellIs" dxfId="917" priority="1696" operator="between">
      <formula>10.1</formula>
      <formula>10.6</formula>
    </cfRule>
    <cfRule type="cellIs" dxfId="916" priority="1700" stopIfTrue="1" operator="between">
      <formula>10</formula>
      <formula>10</formula>
    </cfRule>
    <cfRule type="containsBlanks" dxfId="915" priority="1701" stopIfTrue="1">
      <formula>LEN(TRIM(H111))=0</formula>
    </cfRule>
    <cfRule type="cellIs" dxfId="914" priority="1699" operator="between">
      <formula>9</formula>
      <formula>9.9</formula>
    </cfRule>
  </conditionalFormatting>
  <conditionalFormatting sqref="H125">
    <cfRule type="colorScale" priority="163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31">
      <colorScale>
        <cfvo type="num" val="5"/>
        <cfvo type="num" val="10"/>
        <color rgb="FFFF494D"/>
        <color rgb="FF00FF66"/>
      </colorScale>
    </cfRule>
  </conditionalFormatting>
  <conditionalFormatting sqref="H126:H129">
    <cfRule type="containsBlanks" dxfId="913" priority="1629" stopIfTrue="1">
      <formula>LEN(TRIM(H126))=0</formula>
    </cfRule>
    <cfRule type="cellIs" dxfId="912" priority="1624" operator="between">
      <formula>10.1</formula>
      <formula>10.6</formula>
    </cfRule>
    <cfRule type="cellIs" dxfId="911" priority="1626" stopIfTrue="1" operator="between">
      <formula>8</formula>
      <formula>8.9</formula>
    </cfRule>
    <cfRule type="cellIs" dxfId="910" priority="1627" operator="between">
      <formula>9</formula>
      <formula>9.9</formula>
    </cfRule>
    <cfRule type="cellIs" dxfId="909" priority="1628" stopIfTrue="1" operator="between">
      <formula>10</formula>
      <formula>10</formula>
    </cfRule>
    <cfRule type="cellIs" dxfId="908" priority="1623" operator="between">
      <formula>6</formula>
      <formula>6.9</formula>
    </cfRule>
    <cfRule type="cellIs" dxfId="907" priority="1625" operator="between">
      <formula>7</formula>
      <formula>7.9</formula>
    </cfRule>
  </conditionalFormatting>
  <conditionalFormatting sqref="H131">
    <cfRule type="colorScale" priority="159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98">
      <colorScale>
        <cfvo type="num" val="5"/>
        <cfvo type="num" val="10"/>
        <color rgb="FFFF494D"/>
        <color rgb="FF00FF66"/>
      </colorScale>
    </cfRule>
  </conditionalFormatting>
  <conditionalFormatting sqref="H132:H147">
    <cfRule type="cellIs" dxfId="906" priority="1594" operator="between">
      <formula>9</formula>
      <formula>9.9</formula>
    </cfRule>
    <cfRule type="containsBlanks" dxfId="905" priority="1596" stopIfTrue="1">
      <formula>LEN(TRIM(H132))=0</formula>
    </cfRule>
    <cfRule type="cellIs" dxfId="904" priority="1592" operator="between">
      <formula>7</formula>
      <formula>7.9</formula>
    </cfRule>
    <cfRule type="cellIs" dxfId="903" priority="1591" operator="between">
      <formula>10.1</formula>
      <formula>10.6</formula>
    </cfRule>
    <cfRule type="cellIs" dxfId="902" priority="1590" operator="between">
      <formula>6</formula>
      <formula>6.9</formula>
    </cfRule>
    <cfRule type="cellIs" dxfId="901" priority="1595" stopIfTrue="1" operator="between">
      <formula>10</formula>
      <formula>10</formula>
    </cfRule>
    <cfRule type="cellIs" dxfId="900" priority="1593" stopIfTrue="1" operator="between">
      <formula>8</formula>
      <formula>8.9</formula>
    </cfRule>
  </conditionalFormatting>
  <conditionalFormatting sqref="H149">
    <cfRule type="colorScale" priority="1526">
      <colorScale>
        <cfvo type="num" val="5"/>
        <cfvo type="num" val="10"/>
        <color rgb="FFFF494D"/>
        <color rgb="FF00FF66"/>
      </colorScale>
    </cfRule>
    <cfRule type="colorScale" priority="152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150:H163">
    <cfRule type="cellIs" dxfId="899" priority="1522" operator="between">
      <formula>9</formula>
      <formula>9.9</formula>
    </cfRule>
    <cfRule type="cellIs" dxfId="898" priority="1523" stopIfTrue="1" operator="between">
      <formula>10</formula>
      <formula>10</formula>
    </cfRule>
    <cfRule type="cellIs" dxfId="897" priority="1521" stopIfTrue="1" operator="between">
      <formula>8</formula>
      <formula>8.9</formula>
    </cfRule>
    <cfRule type="containsBlanks" dxfId="896" priority="1524" stopIfTrue="1">
      <formula>LEN(TRIM(H150))=0</formula>
    </cfRule>
    <cfRule type="cellIs" dxfId="895" priority="1520" operator="between">
      <formula>7</formula>
      <formula>7.9</formula>
    </cfRule>
    <cfRule type="cellIs" dxfId="894" priority="1519" operator="between">
      <formula>10.1</formula>
      <formula>10.6</formula>
    </cfRule>
    <cfRule type="cellIs" dxfId="893" priority="1518" operator="between">
      <formula>6</formula>
      <formula>6.9</formula>
    </cfRule>
  </conditionalFormatting>
  <conditionalFormatting sqref="H165">
    <cfRule type="colorScale" priority="1465">
      <colorScale>
        <cfvo type="num" val="5"/>
        <cfvo type="num" val="10"/>
        <color rgb="FFFF494D"/>
        <color rgb="FF00FF66"/>
      </colorScale>
    </cfRule>
    <cfRule type="colorScale" priority="146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166:H175">
    <cfRule type="cellIs" dxfId="892" priority="1470" operator="between">
      <formula>9</formula>
      <formula>9.9</formula>
    </cfRule>
    <cfRule type="cellIs" dxfId="891" priority="1466" operator="between">
      <formula>6</formula>
      <formula>6.9</formula>
    </cfRule>
    <cfRule type="cellIs" dxfId="890" priority="1471" stopIfTrue="1" operator="between">
      <formula>10</formula>
      <formula>10</formula>
    </cfRule>
    <cfRule type="cellIs" dxfId="889" priority="1467" operator="between">
      <formula>10.1</formula>
      <formula>10.6</formula>
    </cfRule>
    <cfRule type="cellIs" dxfId="888" priority="1468" operator="between">
      <formula>7</formula>
      <formula>7.9</formula>
    </cfRule>
    <cfRule type="cellIs" dxfId="887" priority="1469" stopIfTrue="1" operator="between">
      <formula>8</formula>
      <formula>8.9</formula>
    </cfRule>
    <cfRule type="containsBlanks" dxfId="886" priority="1472" stopIfTrue="1">
      <formula>LEN(TRIM(H166))=0</formula>
    </cfRule>
  </conditionalFormatting>
  <conditionalFormatting sqref="H177">
    <cfRule type="colorScale" priority="1425">
      <colorScale>
        <cfvo type="num" val="5"/>
        <cfvo type="num" val="10"/>
        <color rgb="FFFF494D"/>
        <color rgb="FF00FF66"/>
      </colorScale>
    </cfRule>
    <cfRule type="colorScale" priority="142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178:H189">
    <cfRule type="cellIs" dxfId="885" priority="1419" operator="between">
      <formula>7</formula>
      <formula>7.9</formula>
    </cfRule>
    <cfRule type="cellIs" dxfId="884" priority="1420" stopIfTrue="1" operator="between">
      <formula>8</formula>
      <formula>8.9</formula>
    </cfRule>
    <cfRule type="cellIs" dxfId="883" priority="1422" stopIfTrue="1" operator="between">
      <formula>10</formula>
      <formula>10</formula>
    </cfRule>
    <cfRule type="containsBlanks" dxfId="882" priority="1423" stopIfTrue="1">
      <formula>LEN(TRIM(H178))=0</formula>
    </cfRule>
    <cfRule type="cellIs" dxfId="881" priority="1421" operator="between">
      <formula>9</formula>
      <formula>9.9</formula>
    </cfRule>
    <cfRule type="cellIs" dxfId="880" priority="1417" operator="between">
      <formula>6</formula>
      <formula>6.9</formula>
    </cfRule>
    <cfRule type="cellIs" dxfId="879" priority="1418" operator="between">
      <formula>10.1</formula>
      <formula>10.6</formula>
    </cfRule>
  </conditionalFormatting>
  <conditionalFormatting sqref="H191">
    <cfRule type="colorScale" priority="136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65">
      <colorScale>
        <cfvo type="num" val="5"/>
        <cfvo type="num" val="10"/>
        <color rgb="FFFF494D"/>
        <color rgb="FF00FF66"/>
      </colorScale>
    </cfRule>
  </conditionalFormatting>
  <conditionalFormatting sqref="H192:H200">
    <cfRule type="cellIs" dxfId="878" priority="1361" operator="between">
      <formula>9</formula>
      <formula>9.9</formula>
    </cfRule>
    <cfRule type="cellIs" dxfId="877" priority="1362" stopIfTrue="1" operator="between">
      <formula>10</formula>
      <formula>10</formula>
    </cfRule>
    <cfRule type="containsBlanks" dxfId="876" priority="1363" stopIfTrue="1">
      <formula>LEN(TRIM(H192))=0</formula>
    </cfRule>
    <cfRule type="cellIs" dxfId="875" priority="1358" operator="between">
      <formula>10.1</formula>
      <formula>10.6</formula>
    </cfRule>
    <cfRule type="cellIs" dxfId="874" priority="1360" stopIfTrue="1" operator="between">
      <formula>8</formula>
      <formula>8.9</formula>
    </cfRule>
    <cfRule type="cellIs" dxfId="873" priority="1357" operator="between">
      <formula>6</formula>
      <formula>6.9</formula>
    </cfRule>
    <cfRule type="cellIs" dxfId="872" priority="1359" operator="between">
      <formula>7</formula>
      <formula>7.9</formula>
    </cfRule>
  </conditionalFormatting>
  <conditionalFormatting sqref="H202">
    <cfRule type="colorScale" priority="131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17">
      <colorScale>
        <cfvo type="num" val="5"/>
        <cfvo type="num" val="10"/>
        <color rgb="FFFF494D"/>
        <color rgb="FF00FF66"/>
      </colorScale>
    </cfRule>
  </conditionalFormatting>
  <conditionalFormatting sqref="H203:H213">
    <cfRule type="cellIs" dxfId="871" priority="1323" stopIfTrue="1" operator="between">
      <formula>10</formula>
      <formula>10</formula>
    </cfRule>
    <cfRule type="cellIs" dxfId="870" priority="1319" operator="between">
      <formula>10.1</formula>
      <formula>11</formula>
    </cfRule>
    <cfRule type="cellIs" dxfId="869" priority="1318" operator="between">
      <formula>6</formula>
      <formula>6.9</formula>
    </cfRule>
    <cfRule type="cellIs" dxfId="868" priority="1322" operator="between">
      <formula>9</formula>
      <formula>9.9</formula>
    </cfRule>
    <cfRule type="cellIs" dxfId="867" priority="1320" operator="between">
      <formula>7</formula>
      <formula>7.9</formula>
    </cfRule>
    <cfRule type="cellIs" dxfId="866" priority="1321" stopIfTrue="1" operator="between">
      <formula>8</formula>
      <formula>8.9</formula>
    </cfRule>
    <cfRule type="containsBlanks" dxfId="865" priority="1324" stopIfTrue="1">
      <formula>LEN(TRIM(H203))=0</formula>
    </cfRule>
  </conditionalFormatting>
  <conditionalFormatting sqref="H215">
    <cfRule type="colorScale" priority="1266">
      <colorScale>
        <cfvo type="num" val="5"/>
        <cfvo type="num" val="10"/>
        <color rgb="FFFF494D"/>
        <color rgb="FF00FF66"/>
      </colorScale>
    </cfRule>
    <cfRule type="colorScale" priority="126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216:H227">
    <cfRule type="cellIs" dxfId="864" priority="1272" stopIfTrue="1" operator="between">
      <formula>10</formula>
      <formula>10</formula>
    </cfRule>
    <cfRule type="cellIs" dxfId="863" priority="1271" operator="between">
      <formula>9</formula>
      <formula>9.9</formula>
    </cfRule>
    <cfRule type="cellIs" dxfId="862" priority="1270" stopIfTrue="1" operator="between">
      <formula>8</formula>
      <formula>8.9</formula>
    </cfRule>
    <cfRule type="cellIs" dxfId="861" priority="1269" operator="between">
      <formula>7</formula>
      <formula>7.9</formula>
    </cfRule>
    <cfRule type="cellIs" dxfId="860" priority="1267" operator="between">
      <formula>6</formula>
      <formula>6.9</formula>
    </cfRule>
    <cfRule type="containsBlanks" dxfId="859" priority="1273" stopIfTrue="1">
      <formula>LEN(TRIM(H216))=0</formula>
    </cfRule>
    <cfRule type="cellIs" dxfId="858" priority="1268" operator="between">
      <formula>10.1</formula>
      <formula>10.6</formula>
    </cfRule>
  </conditionalFormatting>
  <conditionalFormatting sqref="H229">
    <cfRule type="colorScale" priority="1235">
      <colorScale>
        <cfvo type="num" val="5"/>
        <cfvo type="num" val="10"/>
        <color rgb="FFFF494D"/>
        <color rgb="FF00FF66"/>
      </colorScale>
    </cfRule>
    <cfRule type="colorScale" priority="123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230:H244">
    <cfRule type="cellIs" dxfId="857" priority="1229" operator="between">
      <formula>7</formula>
      <formula>7.9</formula>
    </cfRule>
    <cfRule type="cellIs" dxfId="856" priority="1230" stopIfTrue="1" operator="between">
      <formula>8</formula>
      <formula>8.9</formula>
    </cfRule>
    <cfRule type="cellIs" dxfId="855" priority="1231" operator="between">
      <formula>9</formula>
      <formula>9.9</formula>
    </cfRule>
    <cfRule type="cellIs" dxfId="854" priority="1232" stopIfTrue="1" operator="between">
      <formula>10</formula>
      <formula>10</formula>
    </cfRule>
    <cfRule type="containsBlanks" dxfId="853" priority="1233" stopIfTrue="1">
      <formula>LEN(TRIM(H230))=0</formula>
    </cfRule>
    <cfRule type="cellIs" dxfId="852" priority="1227" operator="between">
      <formula>6</formula>
      <formula>6.9</formula>
    </cfRule>
    <cfRule type="cellIs" dxfId="851" priority="1228" operator="between">
      <formula>10.1</formula>
      <formula>10.6</formula>
    </cfRule>
  </conditionalFormatting>
  <conditionalFormatting sqref="H246">
    <cfRule type="colorScale" priority="1176">
      <colorScale>
        <cfvo type="num" val="5"/>
        <cfvo type="num" val="10"/>
        <color rgb="FFFF494D"/>
        <color rgb="FF00FF66"/>
      </colorScale>
    </cfRule>
    <cfRule type="colorScale" priority="117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247:H256">
    <cfRule type="cellIs" dxfId="850" priority="1177" operator="between">
      <formula>6</formula>
      <formula>6.9</formula>
    </cfRule>
    <cfRule type="containsBlanks" dxfId="849" priority="1183" stopIfTrue="1">
      <formula>LEN(TRIM(H247))=0</formula>
    </cfRule>
    <cfRule type="cellIs" dxfId="848" priority="1178" operator="between">
      <formula>10.1</formula>
      <formula>10.6</formula>
    </cfRule>
    <cfRule type="cellIs" dxfId="847" priority="1179" operator="between">
      <formula>7</formula>
      <formula>7.9</formula>
    </cfRule>
    <cfRule type="cellIs" dxfId="846" priority="1180" stopIfTrue="1" operator="between">
      <formula>8</formula>
      <formula>8.9</formula>
    </cfRule>
    <cfRule type="cellIs" dxfId="845" priority="1181" operator="between">
      <formula>9</formula>
      <formula>9.9</formula>
    </cfRule>
    <cfRule type="cellIs" dxfId="844" priority="1182" stopIfTrue="1" operator="between">
      <formula>10</formula>
      <formula>10</formula>
    </cfRule>
  </conditionalFormatting>
  <conditionalFormatting sqref="H258">
    <cfRule type="colorScale" priority="1136">
      <colorScale>
        <cfvo type="num" val="5"/>
        <cfvo type="num" val="10"/>
        <color rgb="FFFF494D"/>
        <color rgb="FF00FF66"/>
      </colorScale>
    </cfRule>
    <cfRule type="colorScale" priority="113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259:H263">
    <cfRule type="containsBlanks" dxfId="843" priority="1143" stopIfTrue="1">
      <formula>LEN(TRIM(H259))=0</formula>
    </cfRule>
    <cfRule type="cellIs" dxfId="842" priority="1141" operator="between">
      <formula>9</formula>
      <formula>9.9</formula>
    </cfRule>
    <cfRule type="cellIs" dxfId="841" priority="1140" stopIfTrue="1" operator="between">
      <formula>8</formula>
      <formula>8.9</formula>
    </cfRule>
    <cfRule type="cellIs" dxfId="840" priority="1139" operator="between">
      <formula>7</formula>
      <formula>7.9</formula>
    </cfRule>
    <cfRule type="cellIs" dxfId="839" priority="1138" operator="between">
      <formula>10.1</formula>
      <formula>10.6</formula>
    </cfRule>
    <cfRule type="cellIs" dxfId="838" priority="1137" operator="between">
      <formula>6</formula>
      <formula>6.9</formula>
    </cfRule>
    <cfRule type="cellIs" dxfId="837" priority="1142" stopIfTrue="1" operator="between">
      <formula>10</formula>
      <formula>10</formula>
    </cfRule>
  </conditionalFormatting>
  <conditionalFormatting sqref="H265">
    <cfRule type="colorScale" priority="110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07">
      <colorScale>
        <cfvo type="num" val="5"/>
        <cfvo type="num" val="10"/>
        <color rgb="FFFF494D"/>
        <color rgb="FF00FF66"/>
      </colorScale>
    </cfRule>
  </conditionalFormatting>
  <conditionalFormatting sqref="H266:H274">
    <cfRule type="cellIs" dxfId="836" priority="1100" operator="between">
      <formula>10.1</formula>
      <formula>10.6</formula>
    </cfRule>
    <cfRule type="cellIs" dxfId="835" priority="1099" operator="between">
      <formula>6</formula>
      <formula>6.9</formula>
    </cfRule>
    <cfRule type="containsBlanks" dxfId="834" priority="1105" stopIfTrue="1">
      <formula>LEN(TRIM(H266))=0</formula>
    </cfRule>
    <cfRule type="cellIs" dxfId="833" priority="1104" stopIfTrue="1" operator="between">
      <formula>10</formula>
      <formula>10</formula>
    </cfRule>
    <cfRule type="cellIs" dxfId="832" priority="1103" operator="between">
      <formula>9</formula>
      <formula>9.9</formula>
    </cfRule>
    <cfRule type="cellIs" dxfId="831" priority="1102" stopIfTrue="1" operator="between">
      <formula>8</formula>
      <formula>8.9</formula>
    </cfRule>
    <cfRule type="cellIs" dxfId="830" priority="1101" operator="between">
      <formula>7</formula>
      <formula>7.9</formula>
    </cfRule>
  </conditionalFormatting>
  <conditionalFormatting sqref="H276">
    <cfRule type="colorScale" priority="108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83">
      <colorScale>
        <cfvo type="num" val="5"/>
        <cfvo type="num" val="10"/>
        <color rgb="FFFF494D"/>
        <color rgb="FF00FF66"/>
      </colorScale>
    </cfRule>
  </conditionalFormatting>
  <conditionalFormatting sqref="H277:H286">
    <cfRule type="cellIs" dxfId="829" priority="1076" operator="between">
      <formula>10.1</formula>
      <formula>10.6</formula>
    </cfRule>
    <cfRule type="cellIs" dxfId="828" priority="1075" operator="between">
      <formula>6</formula>
      <formula>6.9</formula>
    </cfRule>
    <cfRule type="containsBlanks" dxfId="827" priority="1081" stopIfTrue="1">
      <formula>LEN(TRIM(H277))=0</formula>
    </cfRule>
    <cfRule type="cellIs" dxfId="826" priority="1080" stopIfTrue="1" operator="between">
      <formula>10</formula>
      <formula>10</formula>
    </cfRule>
    <cfRule type="cellIs" dxfId="825" priority="1079" operator="between">
      <formula>9</formula>
      <formula>9.9</formula>
    </cfRule>
    <cfRule type="cellIs" dxfId="824" priority="1078" stopIfTrue="1" operator="between">
      <formula>8</formula>
      <formula>8.9</formula>
    </cfRule>
    <cfRule type="cellIs" dxfId="823" priority="1077" operator="between">
      <formula>7</formula>
      <formula>7.9</formula>
    </cfRule>
  </conditionalFormatting>
  <conditionalFormatting sqref="H288">
    <cfRule type="colorScale" priority="1008">
      <colorScale>
        <cfvo type="num" val="5"/>
        <cfvo type="num" val="10"/>
        <color rgb="FFFF494D"/>
        <color rgb="FF00FF66"/>
      </colorScale>
    </cfRule>
    <cfRule type="colorScale" priority="100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289:H294">
    <cfRule type="containsBlanks" dxfId="822" priority="1006" stopIfTrue="1">
      <formula>LEN(TRIM(H289))=0</formula>
    </cfRule>
    <cfRule type="cellIs" dxfId="821" priority="1005" stopIfTrue="1" operator="between">
      <formula>10</formula>
      <formula>10</formula>
    </cfRule>
    <cfRule type="cellIs" dxfId="820" priority="1000" operator="between">
      <formula>6</formula>
      <formula>6.9</formula>
    </cfRule>
    <cfRule type="cellIs" dxfId="819" priority="1001" operator="between">
      <formula>10.1</formula>
      <formula>10.6</formula>
    </cfRule>
    <cfRule type="cellIs" dxfId="818" priority="1002" operator="between">
      <formula>7</formula>
      <formula>7.9</formula>
    </cfRule>
    <cfRule type="cellIs" dxfId="817" priority="1003" stopIfTrue="1" operator="between">
      <formula>8</formula>
      <formula>8.9</formula>
    </cfRule>
    <cfRule type="cellIs" dxfId="816" priority="1004" operator="between">
      <formula>9</formula>
      <formula>9.9</formula>
    </cfRule>
  </conditionalFormatting>
  <conditionalFormatting sqref="H296">
    <cfRule type="colorScale" priority="99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99">
      <colorScale>
        <cfvo type="num" val="5"/>
        <cfvo type="num" val="10"/>
        <color rgb="FFFF494D"/>
        <color rgb="FF00FF66"/>
      </colorScale>
    </cfRule>
  </conditionalFormatting>
  <conditionalFormatting sqref="H297:H307">
    <cfRule type="cellIs" dxfId="815" priority="991" operator="between">
      <formula>2</formula>
      <formula>4.9</formula>
    </cfRule>
    <cfRule type="cellIs" dxfId="814" priority="990" operator="lessThan">
      <formula>2</formula>
    </cfRule>
    <cfRule type="containsBlanks" dxfId="813" priority="989" stopIfTrue="1">
      <formula>LEN(TRIM(H297))=0</formula>
    </cfRule>
    <cfRule type="cellIs" dxfId="812" priority="996" operator="between">
      <formula>9</formula>
      <formula>9.9</formula>
    </cfRule>
    <cfRule type="cellIs" dxfId="811" priority="997" stopIfTrue="1" operator="between">
      <formula>10</formula>
      <formula>10</formula>
    </cfRule>
    <cfRule type="cellIs" dxfId="810" priority="995" stopIfTrue="1" operator="between">
      <formula>8</formula>
      <formula>8.9</formula>
    </cfRule>
    <cfRule type="cellIs" dxfId="809" priority="992" operator="between">
      <formula>5</formula>
      <formula>6.9</formula>
    </cfRule>
    <cfRule type="cellIs" dxfId="808" priority="993" operator="between">
      <formula>10.1</formula>
      <formula>10.6</formula>
    </cfRule>
    <cfRule type="cellIs" dxfId="807" priority="994" operator="between">
      <formula>7</formula>
      <formula>7.9</formula>
    </cfRule>
  </conditionalFormatting>
  <conditionalFormatting sqref="H309">
    <cfRule type="colorScale" priority="926">
      <colorScale>
        <cfvo type="num" val="5"/>
        <cfvo type="num" val="10"/>
        <color rgb="FFFF494D"/>
        <color rgb="FF00FF66"/>
      </colorScale>
    </cfRule>
    <cfRule type="colorScale" priority="92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310:H327">
    <cfRule type="cellIs" dxfId="806" priority="920" operator="between">
      <formula>10.1</formula>
      <formula>10.6</formula>
    </cfRule>
    <cfRule type="cellIs" dxfId="805" priority="921" operator="between">
      <formula>7</formula>
      <formula>7.9</formula>
    </cfRule>
    <cfRule type="cellIs" dxfId="804" priority="922" stopIfTrue="1" operator="between">
      <formula>8</formula>
      <formula>8.9</formula>
    </cfRule>
    <cfRule type="cellIs" dxfId="803" priority="923" operator="between">
      <formula>9</formula>
      <formula>9.9</formula>
    </cfRule>
    <cfRule type="cellIs" dxfId="802" priority="924" stopIfTrue="1" operator="between">
      <formula>10</formula>
      <formula>10</formula>
    </cfRule>
    <cfRule type="cellIs" dxfId="801" priority="918" operator="between">
      <formula>2</formula>
      <formula>4.9</formula>
    </cfRule>
    <cfRule type="containsBlanks" dxfId="800" priority="916" stopIfTrue="1">
      <formula>LEN(TRIM(H310))=0</formula>
    </cfRule>
    <cfRule type="cellIs" dxfId="799" priority="919" operator="between">
      <formula>5</formula>
      <formula>6.9</formula>
    </cfRule>
    <cfRule type="cellIs" dxfId="798" priority="917" operator="lessThan">
      <formula>2</formula>
    </cfRule>
  </conditionalFormatting>
  <conditionalFormatting sqref="H329">
    <cfRule type="colorScale" priority="827">
      <colorScale>
        <cfvo type="num" val="5"/>
        <cfvo type="num" val="10"/>
        <color rgb="FFFF494D"/>
        <color rgb="FF00FF66"/>
      </colorScale>
    </cfRule>
    <cfRule type="colorScale" priority="82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330:H337">
    <cfRule type="containsBlanks" dxfId="797" priority="817" stopIfTrue="1">
      <formula>LEN(TRIM(H330))=0</formula>
    </cfRule>
    <cfRule type="cellIs" dxfId="796" priority="825" stopIfTrue="1" operator="between">
      <formula>10</formula>
      <formula>10</formula>
    </cfRule>
    <cfRule type="cellIs" dxfId="795" priority="824" operator="between">
      <formula>9</formula>
      <formula>9.9</formula>
    </cfRule>
    <cfRule type="cellIs" dxfId="794" priority="823" stopIfTrue="1" operator="between">
      <formula>8</formula>
      <formula>8.9</formula>
    </cfRule>
    <cfRule type="cellIs" dxfId="793" priority="818" operator="lessThan">
      <formula>2</formula>
    </cfRule>
    <cfRule type="cellIs" dxfId="792" priority="819" operator="between">
      <formula>2</formula>
      <formula>4.9</formula>
    </cfRule>
    <cfRule type="cellIs" dxfId="791" priority="820" operator="between">
      <formula>5</formula>
      <formula>6.9</formula>
    </cfRule>
    <cfRule type="cellIs" dxfId="790" priority="821" operator="between">
      <formula>10.1</formula>
      <formula>10.6</formula>
    </cfRule>
    <cfRule type="cellIs" dxfId="789" priority="822" operator="between">
      <formula>7</formula>
      <formula>7.9</formula>
    </cfRule>
  </conditionalFormatting>
  <conditionalFormatting sqref="H339">
    <cfRule type="colorScale" priority="796">
      <colorScale>
        <cfvo type="num" val="5"/>
        <cfvo type="num" val="10"/>
        <color rgb="FFFF494D"/>
        <color rgb="FF00FF66"/>
      </colorScale>
    </cfRule>
    <cfRule type="colorScale" priority="79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340:H351">
    <cfRule type="containsBlanks" dxfId="788" priority="797" stopIfTrue="1">
      <formula>LEN(TRIM(H340))=0</formula>
    </cfRule>
    <cfRule type="cellIs" dxfId="787" priority="799" operator="between">
      <formula>2</formula>
      <formula>4.9</formula>
    </cfRule>
    <cfRule type="cellIs" dxfId="786" priority="800" operator="between">
      <formula>5</formula>
      <formula>6.9</formula>
    </cfRule>
    <cfRule type="cellIs" dxfId="785" priority="801" operator="between">
      <formula>10.1</formula>
      <formula>10.6</formula>
    </cfRule>
    <cfRule type="cellIs" dxfId="784" priority="802" operator="between">
      <formula>7</formula>
      <formula>7.9</formula>
    </cfRule>
    <cfRule type="cellIs" dxfId="783" priority="804" operator="between">
      <formula>9</formula>
      <formula>9.9</formula>
    </cfRule>
    <cfRule type="cellIs" dxfId="782" priority="798" operator="lessThan">
      <formula>2</formula>
    </cfRule>
    <cfRule type="cellIs" dxfId="781" priority="803" stopIfTrue="1" operator="between">
      <formula>8</formula>
      <formula>8.9</formula>
    </cfRule>
    <cfRule type="cellIs" dxfId="780" priority="805" stopIfTrue="1" operator="between">
      <formula>10</formula>
      <formula>10</formula>
    </cfRule>
  </conditionalFormatting>
  <conditionalFormatting sqref="H353">
    <cfRule type="colorScale" priority="763">
      <colorScale>
        <cfvo type="num" val="5"/>
        <cfvo type="num" val="10"/>
        <color rgb="FFFF494D"/>
        <color rgb="FF00FF66"/>
      </colorScale>
    </cfRule>
    <cfRule type="colorScale" priority="76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354:H363">
    <cfRule type="cellIs" dxfId="779" priority="765" operator="lessThan">
      <formula>2</formula>
    </cfRule>
    <cfRule type="containsBlanks" dxfId="778" priority="764" stopIfTrue="1">
      <formula>LEN(TRIM(H354))=0</formula>
    </cfRule>
    <cfRule type="cellIs" dxfId="777" priority="766" operator="between">
      <formula>2</formula>
      <formula>4.9</formula>
    </cfRule>
    <cfRule type="cellIs" dxfId="776" priority="767" operator="between">
      <formula>5</formula>
      <formula>6.9</formula>
    </cfRule>
    <cfRule type="cellIs" dxfId="775" priority="768" operator="between">
      <formula>10.1</formula>
      <formula>10.6</formula>
    </cfRule>
    <cfRule type="cellIs" dxfId="774" priority="769" operator="between">
      <formula>7</formula>
      <formula>7.9</formula>
    </cfRule>
    <cfRule type="cellIs" dxfId="773" priority="770" stopIfTrue="1" operator="between">
      <formula>8</formula>
      <formula>8.9</formula>
    </cfRule>
    <cfRule type="cellIs" dxfId="772" priority="771" operator="between">
      <formula>9</formula>
      <formula>9.9</formula>
    </cfRule>
    <cfRule type="cellIs" dxfId="771" priority="772" stopIfTrue="1" operator="between">
      <formula>10</formula>
      <formula>10</formula>
    </cfRule>
  </conditionalFormatting>
  <conditionalFormatting sqref="H365">
    <cfRule type="colorScale" priority="717">
      <colorScale>
        <cfvo type="num" val="5"/>
        <cfvo type="num" val="10"/>
        <color rgb="FFFF494D"/>
        <color rgb="FF00FF66"/>
      </colorScale>
    </cfRule>
    <cfRule type="colorScale" priority="71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366:H372">
    <cfRule type="cellIs" dxfId="770" priority="723" operator="between">
      <formula>7</formula>
      <formula>7.9</formula>
    </cfRule>
    <cfRule type="cellIs" dxfId="769" priority="724" stopIfTrue="1" operator="between">
      <formula>8</formula>
      <formula>8.9</formula>
    </cfRule>
    <cfRule type="cellIs" dxfId="768" priority="721" operator="between">
      <formula>5</formula>
      <formula>6.9</formula>
    </cfRule>
    <cfRule type="cellIs" dxfId="767" priority="726" stopIfTrue="1" operator="between">
      <formula>10</formula>
      <formula>10</formula>
    </cfRule>
    <cfRule type="cellIs" dxfId="766" priority="725" operator="between">
      <formula>9</formula>
      <formula>9.9</formula>
    </cfRule>
    <cfRule type="cellIs" dxfId="765" priority="720" operator="between">
      <formula>2</formula>
      <formula>4.9</formula>
    </cfRule>
    <cfRule type="cellIs" dxfId="764" priority="719" operator="lessThan">
      <formula>2</formula>
    </cfRule>
    <cfRule type="containsBlanks" dxfId="763" priority="718" stopIfTrue="1">
      <formula>LEN(TRIM(H366))=0</formula>
    </cfRule>
    <cfRule type="cellIs" dxfId="762" priority="722" operator="between">
      <formula>10.1</formula>
      <formula>10.6</formula>
    </cfRule>
  </conditionalFormatting>
  <conditionalFormatting sqref="H374">
    <cfRule type="colorScale" priority="680">
      <colorScale>
        <cfvo type="num" val="5"/>
        <cfvo type="num" val="10"/>
        <color rgb="FFFF494D"/>
        <color rgb="FF00FF66"/>
      </colorScale>
    </cfRule>
    <cfRule type="colorScale" priority="67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375:H385">
    <cfRule type="cellIs" dxfId="761" priority="673" operator="between">
      <formula>5</formula>
      <formula>6.9</formula>
    </cfRule>
    <cfRule type="cellIs" dxfId="760" priority="672" operator="between">
      <formula>2</formula>
      <formula>4.9</formula>
    </cfRule>
    <cfRule type="cellIs" dxfId="759" priority="671" operator="lessThan">
      <formula>2</formula>
    </cfRule>
    <cfRule type="cellIs" dxfId="758" priority="675" operator="between">
      <formula>7</formula>
      <formula>7.9</formula>
    </cfRule>
    <cfRule type="cellIs" dxfId="757" priority="678" stopIfTrue="1" operator="between">
      <formula>10</formula>
      <formula>10</formula>
    </cfRule>
    <cfRule type="cellIs" dxfId="756" priority="674" operator="between">
      <formula>10.1</formula>
      <formula>10.6</formula>
    </cfRule>
    <cfRule type="cellIs" dxfId="755" priority="677" operator="between">
      <formula>9</formula>
      <formula>9.9</formula>
    </cfRule>
    <cfRule type="cellIs" dxfId="754" priority="676" stopIfTrue="1" operator="between">
      <formula>8</formula>
      <formula>8.9</formula>
    </cfRule>
    <cfRule type="containsBlanks" dxfId="753" priority="670" stopIfTrue="1">
      <formula>LEN(TRIM(H375))=0</formula>
    </cfRule>
  </conditionalFormatting>
  <conditionalFormatting sqref="H387">
    <cfRule type="colorScale" priority="604">
      <colorScale>
        <cfvo type="num" val="5"/>
        <cfvo type="num" val="10"/>
        <color rgb="FFFF494D"/>
        <color rgb="FF00FF66"/>
      </colorScale>
    </cfRule>
    <cfRule type="colorScale" priority="60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388:H399">
    <cfRule type="containsBlanks" dxfId="752" priority="594" stopIfTrue="1">
      <formula>LEN(TRIM(H388))=0</formula>
    </cfRule>
    <cfRule type="cellIs" dxfId="751" priority="597" operator="between">
      <formula>5</formula>
      <formula>6.9</formula>
    </cfRule>
    <cfRule type="cellIs" dxfId="750" priority="595" operator="lessThan">
      <formula>2</formula>
    </cfRule>
    <cfRule type="cellIs" dxfId="749" priority="602" stopIfTrue="1" operator="between">
      <formula>10</formula>
      <formula>10</formula>
    </cfRule>
    <cfRule type="cellIs" dxfId="748" priority="601" operator="between">
      <formula>9</formula>
      <formula>9.9</formula>
    </cfRule>
    <cfRule type="cellIs" dxfId="747" priority="600" stopIfTrue="1" operator="between">
      <formula>8</formula>
      <formula>8.9</formula>
    </cfRule>
    <cfRule type="cellIs" dxfId="746" priority="599" operator="between">
      <formula>7</formula>
      <formula>7.9</formula>
    </cfRule>
    <cfRule type="cellIs" dxfId="745" priority="596" operator="between">
      <formula>2</formula>
      <formula>4.9</formula>
    </cfRule>
    <cfRule type="cellIs" dxfId="744" priority="598" operator="between">
      <formula>10.1</formula>
      <formula>10.6</formula>
    </cfRule>
  </conditionalFormatting>
  <conditionalFormatting sqref="H401">
    <cfRule type="colorScale" priority="51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18">
      <colorScale>
        <cfvo type="num" val="5"/>
        <cfvo type="num" val="10"/>
        <color rgb="FFFF494D"/>
        <color rgb="FF00FF66"/>
      </colorScale>
    </cfRule>
  </conditionalFormatting>
  <conditionalFormatting sqref="H402:H413">
    <cfRule type="cellIs" dxfId="743" priority="525" stopIfTrue="1" operator="between">
      <formula>8</formula>
      <formula>8.9</formula>
    </cfRule>
    <cfRule type="cellIs" dxfId="742" priority="524" operator="between">
      <formula>7</formula>
      <formula>7.9</formula>
    </cfRule>
    <cfRule type="cellIs" dxfId="741" priority="523" operator="between">
      <formula>10.1</formula>
      <formula>10.6</formula>
    </cfRule>
    <cfRule type="cellIs" dxfId="740" priority="521" operator="between">
      <formula>2</formula>
      <formula>4.9</formula>
    </cfRule>
    <cfRule type="cellIs" dxfId="739" priority="520" operator="lessThan">
      <formula>2</formula>
    </cfRule>
    <cfRule type="containsBlanks" dxfId="738" priority="519" stopIfTrue="1">
      <formula>LEN(TRIM(H402))=0</formula>
    </cfRule>
    <cfRule type="cellIs" dxfId="737" priority="522" operator="between">
      <formula>5</formula>
      <formula>6.9</formula>
    </cfRule>
    <cfRule type="cellIs" dxfId="736" priority="527" stopIfTrue="1" operator="between">
      <formula>10</formula>
      <formula>10</formula>
    </cfRule>
    <cfRule type="cellIs" dxfId="735" priority="526" operator="between">
      <formula>9</formula>
      <formula>9.9</formula>
    </cfRule>
  </conditionalFormatting>
  <conditionalFormatting sqref="H415">
    <cfRule type="colorScale" priority="460">
      <colorScale>
        <cfvo type="num" val="5"/>
        <cfvo type="num" val="10"/>
        <color rgb="FFFF494D"/>
        <color rgb="FF00FF66"/>
      </colorScale>
    </cfRule>
    <cfRule type="colorScale" priority="45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416:H419">
    <cfRule type="cellIs" dxfId="734" priority="445" operator="between">
      <formula>10.1</formula>
      <formula>10.6</formula>
    </cfRule>
    <cfRule type="cellIs" dxfId="733" priority="449" stopIfTrue="1" operator="between">
      <formula>10</formula>
      <formula>10</formula>
    </cfRule>
    <cfRule type="cellIs" dxfId="732" priority="444" operator="between">
      <formula>5</formula>
      <formula>6.9</formula>
    </cfRule>
    <cfRule type="cellIs" dxfId="731" priority="443" operator="between">
      <formula>2</formula>
      <formula>4.9</formula>
    </cfRule>
    <cfRule type="cellIs" dxfId="730" priority="447" stopIfTrue="1" operator="between">
      <formula>8</formula>
      <formula>8.9</formula>
    </cfRule>
    <cfRule type="cellIs" dxfId="729" priority="448" operator="between">
      <formula>9</formula>
      <formula>9.9</formula>
    </cfRule>
    <cfRule type="cellIs" dxfId="728" priority="446" operator="between">
      <formula>7</formula>
      <formula>7.9</formula>
    </cfRule>
    <cfRule type="containsBlanks" dxfId="727" priority="441" stopIfTrue="1">
      <formula>LEN(TRIM(H416))=0</formula>
    </cfRule>
    <cfRule type="cellIs" dxfId="726" priority="442" operator="lessThan">
      <formula>2</formula>
    </cfRule>
  </conditionalFormatting>
  <conditionalFormatting sqref="H421">
    <cfRule type="colorScale" priority="42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29">
      <colorScale>
        <cfvo type="num" val="5"/>
        <cfvo type="num" val="10"/>
        <color rgb="FFFF494D"/>
        <color rgb="FF00FF66"/>
      </colorScale>
    </cfRule>
  </conditionalFormatting>
  <conditionalFormatting sqref="H422:H432">
    <cfRule type="cellIs" dxfId="725" priority="426" operator="between">
      <formula>9</formula>
      <formula>9.9</formula>
    </cfRule>
    <cfRule type="cellIs" dxfId="724" priority="427" stopIfTrue="1" operator="between">
      <formula>10</formula>
      <formula>10</formula>
    </cfRule>
    <cfRule type="cellIs" dxfId="723" priority="422" operator="between">
      <formula>5</formula>
      <formula>6.9</formula>
    </cfRule>
    <cfRule type="cellIs" dxfId="722" priority="423" operator="between">
      <formula>10.1</formula>
      <formula>10.6</formula>
    </cfRule>
    <cfRule type="cellIs" dxfId="721" priority="421" operator="between">
      <formula>2</formula>
      <formula>4.9</formula>
    </cfRule>
    <cfRule type="cellIs" dxfId="720" priority="424" operator="between">
      <formula>7</formula>
      <formula>7.9</formula>
    </cfRule>
    <cfRule type="containsBlanks" dxfId="719" priority="419" stopIfTrue="1">
      <formula>LEN(TRIM(H422))=0</formula>
    </cfRule>
    <cfRule type="cellIs" dxfId="718" priority="420" operator="lessThan">
      <formula>2</formula>
    </cfRule>
    <cfRule type="cellIs" dxfId="717" priority="425" stopIfTrue="1" operator="between">
      <formula>8</formula>
      <formula>8.9</formula>
    </cfRule>
  </conditionalFormatting>
  <conditionalFormatting sqref="H434">
    <cfRule type="colorScale" priority="35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52">
      <colorScale>
        <cfvo type="num" val="5"/>
        <cfvo type="num" val="10"/>
        <color rgb="FFFF494D"/>
        <color rgb="FF00FF66"/>
      </colorScale>
    </cfRule>
  </conditionalFormatting>
  <conditionalFormatting sqref="H435:H449">
    <cfRule type="cellIs" dxfId="716" priority="360" operator="between">
      <formula>9</formula>
      <formula>9.9</formula>
    </cfRule>
    <cfRule type="cellIs" dxfId="715" priority="359" stopIfTrue="1" operator="between">
      <formula>8</formula>
      <formula>8.9</formula>
    </cfRule>
    <cfRule type="cellIs" dxfId="714" priority="355" operator="between">
      <formula>2</formula>
      <formula>4.9</formula>
    </cfRule>
    <cfRule type="cellIs" dxfId="713" priority="361" stopIfTrue="1" operator="between">
      <formula>10</formula>
      <formula>10</formula>
    </cfRule>
    <cfRule type="cellIs" dxfId="712" priority="358" operator="between">
      <formula>7</formula>
      <formula>7.9</formula>
    </cfRule>
    <cfRule type="cellIs" dxfId="711" priority="354" operator="lessThan">
      <formula>2</formula>
    </cfRule>
    <cfRule type="containsBlanks" dxfId="710" priority="353" stopIfTrue="1">
      <formula>LEN(TRIM(H435))=0</formula>
    </cfRule>
    <cfRule type="cellIs" dxfId="709" priority="357" operator="between">
      <formula>10.1</formula>
      <formula>10.6</formula>
    </cfRule>
    <cfRule type="cellIs" dxfId="708" priority="356" operator="between">
      <formula>5</formula>
      <formula>6.9</formula>
    </cfRule>
  </conditionalFormatting>
  <conditionalFormatting sqref="H451">
    <cfRule type="colorScale" priority="26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66">
      <colorScale>
        <cfvo type="num" val="5"/>
        <cfvo type="num" val="10"/>
        <color rgb="FFFF494D"/>
        <color rgb="FF00FF66"/>
      </colorScale>
    </cfRule>
  </conditionalFormatting>
  <conditionalFormatting sqref="H452:H465">
    <cfRule type="cellIs" dxfId="707" priority="274" operator="between">
      <formula>9</formula>
      <formula>9.9</formula>
    </cfRule>
    <cfRule type="cellIs" dxfId="706" priority="275" stopIfTrue="1" operator="between">
      <formula>10</formula>
      <formula>10</formula>
    </cfRule>
    <cfRule type="cellIs" dxfId="705" priority="271" operator="between">
      <formula>10.1</formula>
      <formula>10.6</formula>
    </cfRule>
    <cfRule type="cellIs" dxfId="704" priority="270" operator="between">
      <formula>5</formula>
      <formula>6.9</formula>
    </cfRule>
    <cfRule type="cellIs" dxfId="703" priority="269" operator="between">
      <formula>2</formula>
      <formula>4.9</formula>
    </cfRule>
    <cfRule type="cellIs" dxfId="702" priority="272" operator="between">
      <formula>7</formula>
      <formula>7.9</formula>
    </cfRule>
    <cfRule type="cellIs" dxfId="701" priority="268" operator="lessThan">
      <formula>2</formula>
    </cfRule>
    <cfRule type="containsBlanks" dxfId="700" priority="267" stopIfTrue="1">
      <formula>LEN(TRIM(H452))=0</formula>
    </cfRule>
    <cfRule type="cellIs" dxfId="699" priority="273" stopIfTrue="1" operator="between">
      <formula>8</formula>
      <formula>8.9</formula>
    </cfRule>
  </conditionalFormatting>
  <conditionalFormatting sqref="H467">
    <cfRule type="colorScale" priority="22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22">
      <colorScale>
        <cfvo type="num" val="5"/>
        <cfvo type="num" val="10"/>
        <color rgb="FFFF494D"/>
        <color rgb="FF00FF66"/>
      </colorScale>
    </cfRule>
  </conditionalFormatting>
  <conditionalFormatting sqref="H468:H472">
    <cfRule type="cellIs" dxfId="698" priority="230" operator="between">
      <formula>9</formula>
      <formula>9.9</formula>
    </cfRule>
    <cfRule type="cellIs" dxfId="697" priority="229" stopIfTrue="1" operator="between">
      <formula>8</formula>
      <formula>8.9</formula>
    </cfRule>
    <cfRule type="cellIs" dxfId="696" priority="228" operator="between">
      <formula>7</formula>
      <formula>7.9</formula>
    </cfRule>
    <cfRule type="cellIs" dxfId="695" priority="225" operator="between">
      <formula>2</formula>
      <formula>4.9</formula>
    </cfRule>
    <cfRule type="cellIs" dxfId="694" priority="224" operator="lessThan">
      <formula>2</formula>
    </cfRule>
    <cfRule type="cellIs" dxfId="693" priority="226" operator="between">
      <formula>5</formula>
      <formula>6.9</formula>
    </cfRule>
    <cfRule type="containsBlanks" dxfId="692" priority="223" stopIfTrue="1">
      <formula>LEN(TRIM(H468))=0</formula>
    </cfRule>
    <cfRule type="cellIs" dxfId="691" priority="227" operator="between">
      <formula>10.1</formula>
      <formula>10.6</formula>
    </cfRule>
    <cfRule type="cellIs" dxfId="690" priority="231" stopIfTrue="1" operator="between">
      <formula>10</formula>
      <formula>10</formula>
    </cfRule>
  </conditionalFormatting>
  <conditionalFormatting sqref="H474">
    <cfRule type="colorScale" priority="18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9">
      <colorScale>
        <cfvo type="num" val="5"/>
        <cfvo type="num" val="10"/>
        <color rgb="FFFF494D"/>
        <color rgb="FF00FF66"/>
      </colorScale>
    </cfRule>
  </conditionalFormatting>
  <conditionalFormatting sqref="H475:H486">
    <cfRule type="cellIs" dxfId="689" priority="195" operator="between">
      <formula>7</formula>
      <formula>7.9</formula>
    </cfRule>
    <cfRule type="cellIs" dxfId="688" priority="194" operator="between">
      <formula>10.1</formula>
      <formula>10.6</formula>
    </cfRule>
    <cfRule type="cellIs" dxfId="687" priority="193" operator="between">
      <formula>5</formula>
      <formula>6.9</formula>
    </cfRule>
    <cfRule type="cellIs" dxfId="686" priority="192" operator="between">
      <formula>2</formula>
      <formula>4.9</formula>
    </cfRule>
    <cfRule type="cellIs" dxfId="685" priority="191" operator="lessThan">
      <formula>2</formula>
    </cfRule>
    <cfRule type="containsBlanks" dxfId="684" priority="190" stopIfTrue="1">
      <formula>LEN(TRIM(H475))=0</formula>
    </cfRule>
    <cfRule type="cellIs" dxfId="683" priority="198" stopIfTrue="1" operator="between">
      <formula>10</formula>
      <formula>10</formula>
    </cfRule>
    <cfRule type="cellIs" dxfId="682" priority="197" operator="between">
      <formula>9</formula>
      <formula>9.9</formula>
    </cfRule>
    <cfRule type="cellIs" dxfId="681" priority="196" stopIfTrue="1" operator="between">
      <formula>8</formula>
      <formula>8.9</formula>
    </cfRule>
  </conditionalFormatting>
  <conditionalFormatting sqref="H488">
    <cfRule type="colorScale" priority="143">
      <colorScale>
        <cfvo type="num" val="5"/>
        <cfvo type="num" val="10"/>
        <color rgb="FFFF494D"/>
        <color rgb="FF00FF66"/>
      </colorScale>
    </cfRule>
    <cfRule type="colorScale" priority="14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489:H498">
    <cfRule type="cellIs" dxfId="680" priority="134" operator="lessThan">
      <formula>2</formula>
    </cfRule>
    <cfRule type="cellIs" dxfId="679" priority="139" stopIfTrue="1" operator="between">
      <formula>8</formula>
      <formula>8.9</formula>
    </cfRule>
    <cfRule type="containsBlanks" dxfId="678" priority="133" stopIfTrue="1">
      <formula>LEN(TRIM(H489))=0</formula>
    </cfRule>
    <cfRule type="cellIs" dxfId="677" priority="135" operator="between">
      <formula>2</formula>
      <formula>4.9</formula>
    </cfRule>
    <cfRule type="cellIs" dxfId="676" priority="141" stopIfTrue="1" operator="between">
      <formula>10</formula>
      <formula>10</formula>
    </cfRule>
    <cfRule type="cellIs" dxfId="675" priority="140" operator="between">
      <formula>9</formula>
      <formula>9.9</formula>
    </cfRule>
    <cfRule type="cellIs" dxfId="674" priority="138" operator="between">
      <formula>7</formula>
      <formula>7.9</formula>
    </cfRule>
    <cfRule type="cellIs" dxfId="673" priority="137" operator="between">
      <formula>10.1</formula>
      <formula>10.6</formula>
    </cfRule>
    <cfRule type="cellIs" dxfId="672" priority="136" operator="between">
      <formula>5</formula>
      <formula>6.9</formula>
    </cfRule>
  </conditionalFormatting>
  <conditionalFormatting sqref="H500">
    <cfRule type="colorScale" priority="7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9">
      <colorScale>
        <cfvo type="num" val="5"/>
        <cfvo type="num" val="10"/>
        <color rgb="FFFF494D"/>
        <color rgb="FF00FF66"/>
      </colorScale>
    </cfRule>
  </conditionalFormatting>
  <conditionalFormatting sqref="H501:H510">
    <cfRule type="cellIs" dxfId="671" priority="85" operator="between">
      <formula>7</formula>
      <formula>7.9</formula>
    </cfRule>
    <cfRule type="cellIs" dxfId="670" priority="87" operator="between">
      <formula>9</formula>
      <formula>9.9</formula>
    </cfRule>
    <cfRule type="cellIs" dxfId="669" priority="83" operator="between">
      <formula>5</formula>
      <formula>6.9</formula>
    </cfRule>
    <cfRule type="cellIs" dxfId="668" priority="88" stopIfTrue="1" operator="between">
      <formula>10</formula>
      <formula>10</formula>
    </cfRule>
    <cfRule type="cellIs" dxfId="667" priority="84" operator="between">
      <formula>10.1</formula>
      <formula>10.6</formula>
    </cfRule>
    <cfRule type="cellIs" dxfId="666" priority="82" operator="between">
      <formula>2</formula>
      <formula>4.9</formula>
    </cfRule>
    <cfRule type="containsBlanks" dxfId="665" priority="80" stopIfTrue="1">
      <formula>LEN(TRIM(H501))=0</formula>
    </cfRule>
    <cfRule type="cellIs" dxfId="664" priority="81" operator="lessThan">
      <formula>2</formula>
    </cfRule>
    <cfRule type="cellIs" dxfId="663" priority="86" stopIfTrue="1" operator="between">
      <formula>8</formula>
      <formula>8.9</formula>
    </cfRule>
  </conditionalFormatting>
  <conditionalFormatting sqref="H512">
    <cfRule type="colorScale" priority="46">
      <colorScale>
        <cfvo type="num" val="5"/>
        <cfvo type="num" val="10"/>
        <color rgb="FFFF494D"/>
        <color rgb="FF00FF66"/>
      </colorScale>
    </cfRule>
    <cfRule type="colorScale" priority="4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513:H519">
    <cfRule type="cellIs" dxfId="662" priority="49" operator="between">
      <formula>2</formula>
      <formula>4.9</formula>
    </cfRule>
    <cfRule type="cellIs" dxfId="661" priority="50" operator="between">
      <formula>5</formula>
      <formula>6.9</formula>
    </cfRule>
    <cfRule type="containsBlanks" dxfId="660" priority="47" stopIfTrue="1">
      <formula>LEN(TRIM(H513))=0</formula>
    </cfRule>
    <cfRule type="cellIs" dxfId="659" priority="51" operator="between">
      <formula>10.1</formula>
      <formula>10.6</formula>
    </cfRule>
    <cfRule type="cellIs" dxfId="658" priority="52" operator="between">
      <formula>7</formula>
      <formula>7.9</formula>
    </cfRule>
    <cfRule type="cellIs" dxfId="657" priority="53" stopIfTrue="1" operator="between">
      <formula>8</formula>
      <formula>8.9</formula>
    </cfRule>
    <cfRule type="cellIs" dxfId="656" priority="54" operator="between">
      <formula>9</formula>
      <formula>9.9</formula>
    </cfRule>
    <cfRule type="cellIs" dxfId="655" priority="55" stopIfTrue="1" operator="between">
      <formula>10</formula>
      <formula>10</formula>
    </cfRule>
    <cfRule type="cellIs" dxfId="654" priority="48" operator="lessThan">
      <formula>2</formula>
    </cfRule>
  </conditionalFormatting>
  <conditionalFormatting sqref="K3:K12">
    <cfRule type="cellIs" dxfId="653" priority="1988" stopIfTrue="1" operator="between">
      <formula>8</formula>
      <formula>8.9</formula>
    </cfRule>
    <cfRule type="cellIs" dxfId="652" priority="1987" operator="between">
      <formula>7</formula>
      <formula>7.9</formula>
    </cfRule>
    <cfRule type="cellIs" dxfId="651" priority="1990" stopIfTrue="1" operator="between">
      <formula>10</formula>
      <formula>10</formula>
    </cfRule>
    <cfRule type="containsBlanks" dxfId="650" priority="1991" stopIfTrue="1">
      <formula>LEN(TRIM(K3))=0</formula>
    </cfRule>
    <cfRule type="cellIs" dxfId="649" priority="1986" operator="between">
      <formula>10.1</formula>
      <formula>10.6</formula>
    </cfRule>
    <cfRule type="cellIs" dxfId="648" priority="1989" operator="between">
      <formula>9</formula>
      <formula>9.9</formula>
    </cfRule>
  </conditionalFormatting>
  <conditionalFormatting sqref="K15:K23">
    <cfRule type="cellIs" dxfId="647" priority="1394" operator="between">
      <formula>7</formula>
      <formula>7.9</formula>
    </cfRule>
    <cfRule type="cellIs" dxfId="646" priority="1395" stopIfTrue="1" operator="between">
      <formula>8</formula>
      <formula>8.9</formula>
    </cfRule>
    <cfRule type="cellIs" dxfId="645" priority="1396" operator="between">
      <formula>9</formula>
      <formula>9.9</formula>
    </cfRule>
    <cfRule type="cellIs" dxfId="644" priority="1397" stopIfTrue="1" operator="between">
      <formula>10</formula>
      <formula>10</formula>
    </cfRule>
  </conditionalFormatting>
  <conditionalFormatting sqref="K23">
    <cfRule type="containsBlanks" dxfId="643" priority="1398" stopIfTrue="1">
      <formula>LEN(TRIM(K23))=0</formula>
    </cfRule>
    <cfRule type="cellIs" dxfId="642" priority="1393" operator="between">
      <formula>10.1</formula>
      <formula>10.6</formula>
    </cfRule>
  </conditionalFormatting>
  <conditionalFormatting sqref="K26:K38">
    <cfRule type="containsBlanks" dxfId="641" priority="2025" stopIfTrue="1">
      <formula>LEN(TRIM(K26))=0</formula>
    </cfRule>
    <cfRule type="cellIs" dxfId="640" priority="2024" stopIfTrue="1" operator="between">
      <formula>10</formula>
      <formula>10</formula>
    </cfRule>
    <cfRule type="cellIs" dxfId="639" priority="2023" operator="between">
      <formula>9</formula>
      <formula>9.9</formula>
    </cfRule>
    <cfRule type="cellIs" dxfId="638" priority="2022" stopIfTrue="1" operator="between">
      <formula>8</formula>
      <formula>8.9</formula>
    </cfRule>
    <cfRule type="cellIs" dxfId="637" priority="2021" operator="between">
      <formula>7</formula>
      <formula>7.9</formula>
    </cfRule>
  </conditionalFormatting>
  <conditionalFormatting sqref="K40">
    <cfRule type="colorScale" priority="2344">
      <colorScale>
        <cfvo type="num" val="5"/>
        <cfvo type="num" val="10"/>
        <color rgb="FFFF494D"/>
        <color rgb="FF00FF66"/>
      </colorScale>
    </cfRule>
    <cfRule type="colorScale" priority="234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41:K52">
    <cfRule type="cellIs" dxfId="636" priority="1929" operator="between">
      <formula>9</formula>
      <formula>9.9</formula>
    </cfRule>
    <cfRule type="cellIs" dxfId="635" priority="1928" stopIfTrue="1" operator="between">
      <formula>8</formula>
      <formula>8.9</formula>
    </cfRule>
    <cfRule type="cellIs" dxfId="634" priority="1926" operator="between">
      <formula>10.1</formula>
      <formula>10.6</formula>
    </cfRule>
    <cfRule type="cellIs" dxfId="633" priority="1927" operator="between">
      <formula>7</formula>
      <formula>7.9</formula>
    </cfRule>
    <cfRule type="containsBlanks" dxfId="632" priority="1931" stopIfTrue="1">
      <formula>LEN(TRIM(K41))=0</formula>
    </cfRule>
    <cfRule type="cellIs" dxfId="631" priority="1930" stopIfTrue="1" operator="between">
      <formula>10</formula>
      <formula>10</formula>
    </cfRule>
  </conditionalFormatting>
  <conditionalFormatting sqref="K54">
    <cfRule type="colorScale" priority="1895">
      <colorScale>
        <cfvo type="num" val="5"/>
        <cfvo type="num" val="10"/>
        <color rgb="FFFF494D"/>
        <color rgb="FF00FF66"/>
      </colorScale>
    </cfRule>
    <cfRule type="colorScale" priority="189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55:K64">
    <cfRule type="containsBlanks" dxfId="630" priority="1893" stopIfTrue="1">
      <formula>LEN(TRIM(K55))=0</formula>
    </cfRule>
    <cfRule type="cellIs" dxfId="629" priority="1888" operator="between">
      <formula>10.1</formula>
      <formula>10.6</formula>
    </cfRule>
    <cfRule type="cellIs" dxfId="628" priority="1889" operator="between">
      <formula>7</formula>
      <formula>7.9</formula>
    </cfRule>
    <cfRule type="cellIs" dxfId="627" priority="1891" operator="between">
      <formula>9</formula>
      <formula>9.9</formula>
    </cfRule>
    <cfRule type="cellIs" dxfId="626" priority="1892" stopIfTrue="1" operator="between">
      <formula>10</formula>
      <formula>10</formula>
    </cfRule>
    <cfRule type="cellIs" dxfId="625" priority="1890" stopIfTrue="1" operator="between">
      <formula>8</formula>
      <formula>8.9</formula>
    </cfRule>
  </conditionalFormatting>
  <conditionalFormatting sqref="K66">
    <cfRule type="colorScale" priority="1868">
      <colorScale>
        <cfvo type="num" val="5"/>
        <cfvo type="num" val="10"/>
        <color rgb="FFFF494D"/>
        <color rgb="FF00FF66"/>
      </colorScale>
    </cfRule>
    <cfRule type="colorScale" priority="186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67:K75">
    <cfRule type="cellIs" dxfId="624" priority="1862" operator="between">
      <formula>7</formula>
      <formula>7.9</formula>
    </cfRule>
    <cfRule type="cellIs" dxfId="623" priority="1865" stopIfTrue="1" operator="between">
      <formula>10</formula>
      <formula>10</formula>
    </cfRule>
    <cfRule type="containsBlanks" dxfId="622" priority="1866" stopIfTrue="1">
      <formula>LEN(TRIM(K67))=0</formula>
    </cfRule>
    <cfRule type="cellIs" dxfId="621" priority="1861" operator="between">
      <formula>10.1</formula>
      <formula>10.6</formula>
    </cfRule>
    <cfRule type="cellIs" dxfId="620" priority="1864" operator="between">
      <formula>9</formula>
      <formula>9.9</formula>
    </cfRule>
    <cfRule type="cellIs" dxfId="619" priority="1863" stopIfTrue="1" operator="between">
      <formula>8</formula>
      <formula>8.9</formula>
    </cfRule>
  </conditionalFormatting>
  <conditionalFormatting sqref="K77">
    <cfRule type="colorScale" priority="181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15">
      <colorScale>
        <cfvo type="num" val="5"/>
        <cfvo type="num" val="10"/>
        <color rgb="FFFF494D"/>
        <color rgb="FF00FF66"/>
      </colorScale>
    </cfRule>
  </conditionalFormatting>
  <conditionalFormatting sqref="K78:K88">
    <cfRule type="containsBlanks" dxfId="618" priority="1813" stopIfTrue="1">
      <formula>LEN(TRIM(K78))=0</formula>
    </cfRule>
    <cfRule type="cellIs" dxfId="617" priority="1811" operator="between">
      <formula>9</formula>
      <formula>9.9</formula>
    </cfRule>
    <cfRule type="cellIs" dxfId="616" priority="1810" stopIfTrue="1" operator="between">
      <formula>8</formula>
      <formula>8.9</formula>
    </cfRule>
    <cfRule type="cellIs" dxfId="615" priority="1809" operator="between">
      <formula>7</formula>
      <formula>7.9</formula>
    </cfRule>
    <cfRule type="cellIs" dxfId="614" priority="1808" operator="between">
      <formula>10.1</formula>
      <formula>10.6</formula>
    </cfRule>
    <cfRule type="cellIs" dxfId="613" priority="1812" stopIfTrue="1" operator="between">
      <formula>10</formula>
      <formula>10</formula>
    </cfRule>
  </conditionalFormatting>
  <conditionalFormatting sqref="K90">
    <cfRule type="colorScale" priority="176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62">
      <colorScale>
        <cfvo type="num" val="5"/>
        <cfvo type="num" val="10"/>
        <color rgb="FFFF494D"/>
        <color rgb="FF00FF66"/>
      </colorScale>
    </cfRule>
  </conditionalFormatting>
  <conditionalFormatting sqref="K91:K96">
    <cfRule type="cellIs" dxfId="612" priority="1765" stopIfTrue="1" operator="between">
      <formula>8</formula>
      <formula>8.9</formula>
    </cfRule>
    <cfRule type="cellIs" dxfId="611" priority="1764" operator="between">
      <formula>7</formula>
      <formula>7.9</formula>
    </cfRule>
    <cfRule type="cellIs" dxfId="610" priority="1763" operator="between">
      <formula>10.1</formula>
      <formula>10.6</formula>
    </cfRule>
    <cfRule type="containsBlanks" dxfId="609" priority="1768" stopIfTrue="1">
      <formula>LEN(TRIM(K91))=0</formula>
    </cfRule>
    <cfRule type="cellIs" dxfId="608" priority="1767" stopIfTrue="1" operator="between">
      <formula>10</formula>
      <formula>10</formula>
    </cfRule>
    <cfRule type="cellIs" dxfId="607" priority="1766" operator="between">
      <formula>9</formula>
      <formula>9.9</formula>
    </cfRule>
  </conditionalFormatting>
  <conditionalFormatting sqref="K98">
    <cfRule type="colorScale" priority="1728">
      <colorScale>
        <cfvo type="num" val="5"/>
        <cfvo type="num" val="10"/>
        <color rgb="FFFF494D"/>
        <color rgb="FF00FF66"/>
      </colorScale>
    </cfRule>
    <cfRule type="colorScale" priority="172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99:K109">
    <cfRule type="cellIs" dxfId="606" priority="1730" operator="between">
      <formula>10.1</formula>
      <formula>10.6</formula>
    </cfRule>
    <cfRule type="containsBlanks" dxfId="605" priority="1735" stopIfTrue="1">
      <formula>LEN(TRIM(K99))=0</formula>
    </cfRule>
    <cfRule type="cellIs" dxfId="604" priority="1734" stopIfTrue="1" operator="between">
      <formula>10</formula>
      <formula>10</formula>
    </cfRule>
    <cfRule type="cellIs" dxfId="603" priority="1733" operator="between">
      <formula>9</formula>
      <formula>9.9</formula>
    </cfRule>
    <cfRule type="cellIs" dxfId="602" priority="1732" stopIfTrue="1" operator="between">
      <formula>8</formula>
      <formula>8.9</formula>
    </cfRule>
    <cfRule type="cellIs" dxfId="601" priority="1731" operator="between">
      <formula>7</formula>
      <formula>7.9</formula>
    </cfRule>
    <cfRule type="cellIs" dxfId="600" priority="1729" operator="between">
      <formula>6</formula>
      <formula>6.9</formula>
    </cfRule>
  </conditionalFormatting>
  <conditionalFormatting sqref="K111">
    <cfRule type="colorScale" priority="169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95">
      <colorScale>
        <cfvo type="num" val="5"/>
        <cfvo type="num" val="10"/>
        <color rgb="FFFF494D"/>
        <color rgb="FF00FF66"/>
      </colorScale>
    </cfRule>
  </conditionalFormatting>
  <conditionalFormatting sqref="K112:K122">
    <cfRule type="cellIs" dxfId="599" priority="1684" stopIfTrue="1" operator="between">
      <formula>8</formula>
      <formula>8.9</formula>
    </cfRule>
    <cfRule type="cellIs" dxfId="598" priority="1685" operator="between">
      <formula>9</formula>
      <formula>9.9</formula>
    </cfRule>
    <cfRule type="cellIs" dxfId="597" priority="1686" stopIfTrue="1" operator="between">
      <formula>10</formula>
      <formula>10</formula>
    </cfRule>
    <cfRule type="containsBlanks" dxfId="596" priority="1687" stopIfTrue="1">
      <formula>LEN(TRIM(K112))=0</formula>
    </cfRule>
    <cfRule type="cellIs" dxfId="595" priority="1683" operator="between">
      <formula>7</formula>
      <formula>7.9</formula>
    </cfRule>
    <cfRule type="cellIs" dxfId="594" priority="1682" operator="between">
      <formula>10.1</formula>
      <formula>10.6</formula>
    </cfRule>
  </conditionalFormatting>
  <conditionalFormatting sqref="K114">
    <cfRule type="cellIs" dxfId="593" priority="1681" operator="between">
      <formula>6</formula>
      <formula>6.9</formula>
    </cfRule>
  </conditionalFormatting>
  <conditionalFormatting sqref="K124">
    <cfRule type="colorScale" priority="1646">
      <colorScale>
        <cfvo type="num" val="5"/>
        <cfvo type="num" val="10"/>
        <color rgb="FFFF494D"/>
        <color rgb="FF00FF66"/>
      </colorScale>
    </cfRule>
    <cfRule type="colorScale" priority="164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125:K128 K130:K134">
    <cfRule type="cellIs" dxfId="592" priority="1639" operator="between">
      <formula>10.1</formula>
      <formula>10.6</formula>
    </cfRule>
    <cfRule type="cellIs" dxfId="591" priority="1640" operator="between">
      <formula>7</formula>
      <formula>7.9</formula>
    </cfRule>
    <cfRule type="cellIs" dxfId="590" priority="1641" stopIfTrue="1" operator="between">
      <formula>8</formula>
      <formula>8.9</formula>
    </cfRule>
    <cfRule type="containsBlanks" dxfId="589" priority="1644" stopIfTrue="1">
      <formula>LEN(TRIM(K125))=0</formula>
    </cfRule>
    <cfRule type="cellIs" dxfId="588" priority="1643" stopIfTrue="1" operator="between">
      <formula>10</formula>
      <formula>10</formula>
    </cfRule>
    <cfRule type="cellIs" dxfId="587" priority="1642" operator="between">
      <formula>9</formula>
      <formula>9.9</formula>
    </cfRule>
  </conditionalFormatting>
  <conditionalFormatting sqref="K125:K134">
    <cfRule type="cellIs" dxfId="586" priority="1637" stopIfTrue="1" operator="between">
      <formula>10</formula>
      <formula>10</formula>
    </cfRule>
    <cfRule type="cellIs" dxfId="585" priority="1633" operator="between">
      <formula>10.1</formula>
      <formula>10.6</formula>
    </cfRule>
    <cfRule type="containsBlanks" dxfId="584" priority="1638" stopIfTrue="1">
      <formula>LEN(TRIM(K125))=0</formula>
    </cfRule>
    <cfRule type="cellIs" dxfId="583" priority="1632" operator="between">
      <formula>6</formula>
      <formula>6.9</formula>
    </cfRule>
    <cfRule type="cellIs" dxfId="582" priority="1635" stopIfTrue="1" operator="between">
      <formula>8</formula>
      <formula>8.9</formula>
    </cfRule>
    <cfRule type="cellIs" dxfId="581" priority="1634" operator="between">
      <formula>7</formula>
      <formula>7.9</formula>
    </cfRule>
    <cfRule type="cellIs" dxfId="580" priority="1636" operator="between">
      <formula>9</formula>
      <formula>9.9</formula>
    </cfRule>
  </conditionalFormatting>
  <conditionalFormatting sqref="K136">
    <cfRule type="colorScale" priority="1573">
      <colorScale>
        <cfvo type="num" val="5"/>
        <cfvo type="num" val="10"/>
        <color rgb="FFFF494D"/>
        <color rgb="FF00FF66"/>
      </colorScale>
    </cfRule>
    <cfRule type="colorScale" priority="157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137:K147">
    <cfRule type="cellIs" dxfId="579" priority="1575" operator="between">
      <formula>10.1</formula>
      <formula>10.6</formula>
    </cfRule>
    <cfRule type="cellIs" dxfId="578" priority="1579" stopIfTrue="1" operator="between">
      <formula>10</formula>
      <formula>10</formula>
    </cfRule>
    <cfRule type="cellIs" dxfId="577" priority="1578" operator="between">
      <formula>9</formula>
      <formula>9.9</formula>
    </cfRule>
    <cfRule type="cellIs" dxfId="576" priority="1577" stopIfTrue="1" operator="between">
      <formula>8</formula>
      <formula>8.9</formula>
    </cfRule>
    <cfRule type="containsBlanks" dxfId="575" priority="1580" stopIfTrue="1">
      <formula>LEN(TRIM(K137))=0</formula>
    </cfRule>
    <cfRule type="cellIs" dxfId="574" priority="1576" operator="between">
      <formula>7</formula>
      <formula>7.9</formula>
    </cfRule>
    <cfRule type="cellIs" dxfId="573" priority="1574" operator="between">
      <formula>6</formula>
      <formula>6.9</formula>
    </cfRule>
  </conditionalFormatting>
  <conditionalFormatting sqref="K149">
    <cfRule type="colorScale" priority="1510">
      <colorScale>
        <cfvo type="num" val="5"/>
        <cfvo type="num" val="10"/>
        <color rgb="FFFF494D"/>
        <color rgb="FF00FF66"/>
      </colorScale>
    </cfRule>
    <cfRule type="colorScale" priority="150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150:K163">
    <cfRule type="cellIs" dxfId="572" priority="1511" operator="between">
      <formula>6</formula>
      <formula>6.9</formula>
    </cfRule>
    <cfRule type="cellIs" dxfId="571" priority="1515" operator="between">
      <formula>9</formula>
      <formula>9.9</formula>
    </cfRule>
    <cfRule type="cellIs" dxfId="570" priority="1516" stopIfTrue="1" operator="between">
      <formula>10</formula>
      <formula>10</formula>
    </cfRule>
    <cfRule type="cellIs" dxfId="569" priority="1512" operator="between">
      <formula>10.1</formula>
      <formula>10.6</formula>
    </cfRule>
    <cfRule type="containsBlanks" dxfId="568" priority="1517" stopIfTrue="1">
      <formula>LEN(TRIM(K150))=0</formula>
    </cfRule>
    <cfRule type="cellIs" dxfId="567" priority="1513" operator="between">
      <formula>7</formula>
      <formula>7.9</formula>
    </cfRule>
    <cfRule type="cellIs" dxfId="566" priority="1514" stopIfTrue="1" operator="between">
      <formula>8</formula>
      <formula>8.9</formula>
    </cfRule>
  </conditionalFormatting>
  <conditionalFormatting sqref="K165">
    <cfRule type="colorScale" priority="146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63">
      <colorScale>
        <cfvo type="num" val="5"/>
        <cfvo type="num" val="10"/>
        <color rgb="FFFF494D"/>
        <color rgb="FF00FF66"/>
      </colorScale>
    </cfRule>
  </conditionalFormatting>
  <conditionalFormatting sqref="K166:K173">
    <cfRule type="cellIs" dxfId="565" priority="1455" operator="between">
      <formula>6</formula>
      <formula>6.9</formula>
    </cfRule>
    <cfRule type="cellIs" dxfId="564" priority="1456" operator="between">
      <formula>10.1</formula>
      <formula>10.6</formula>
    </cfRule>
    <cfRule type="cellIs" dxfId="563" priority="1457" operator="between">
      <formula>7</formula>
      <formula>7.9</formula>
    </cfRule>
    <cfRule type="cellIs" dxfId="562" priority="1458" stopIfTrue="1" operator="between">
      <formula>8</formula>
      <formula>8.9</formula>
    </cfRule>
    <cfRule type="cellIs" dxfId="561" priority="1459" operator="between">
      <formula>9</formula>
      <formula>9.9</formula>
    </cfRule>
    <cfRule type="cellIs" dxfId="560" priority="1460" stopIfTrue="1" operator="between">
      <formula>10</formula>
      <formula>10</formula>
    </cfRule>
    <cfRule type="containsBlanks" dxfId="559" priority="1461" stopIfTrue="1">
      <formula>LEN(TRIM(K166))=0</formula>
    </cfRule>
  </conditionalFormatting>
  <conditionalFormatting sqref="K175">
    <cfRule type="colorScale" priority="142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27">
      <colorScale>
        <cfvo type="num" val="5"/>
        <cfvo type="num" val="10"/>
        <color rgb="FFFF494D"/>
        <color rgb="FF00FF66"/>
      </colorScale>
    </cfRule>
  </conditionalFormatting>
  <conditionalFormatting sqref="K176:K180">
    <cfRule type="cellIs" dxfId="558" priority="1428" operator="between">
      <formula>6</formula>
      <formula>6.9</formula>
    </cfRule>
    <cfRule type="cellIs" dxfId="557" priority="1429" operator="between">
      <formula>10.1</formula>
      <formula>10.6</formula>
    </cfRule>
    <cfRule type="cellIs" dxfId="556" priority="1430" operator="between">
      <formula>7</formula>
      <formula>7.9</formula>
    </cfRule>
    <cfRule type="cellIs" dxfId="555" priority="1431" stopIfTrue="1" operator="between">
      <formula>8</formula>
      <formula>8.9</formula>
    </cfRule>
    <cfRule type="containsBlanks" dxfId="554" priority="1434" stopIfTrue="1">
      <formula>LEN(TRIM(K176))=0</formula>
    </cfRule>
    <cfRule type="cellIs" dxfId="553" priority="1432" operator="between">
      <formula>9</formula>
      <formula>9.9</formula>
    </cfRule>
    <cfRule type="cellIs" dxfId="552" priority="1433" stopIfTrue="1" operator="between">
      <formula>10</formula>
      <formula>10</formula>
    </cfRule>
  </conditionalFormatting>
  <conditionalFormatting sqref="K182">
    <cfRule type="colorScale" priority="1416">
      <colorScale>
        <cfvo type="num" val="5"/>
        <cfvo type="num" val="10"/>
        <color rgb="FFFF494D"/>
        <color rgb="FF00FF66"/>
      </colorScale>
    </cfRule>
    <cfRule type="colorScale" priority="141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183:K187">
    <cfRule type="containsBlanks" dxfId="551" priority="1414" stopIfTrue="1">
      <formula>LEN(TRIM(K183))=0</formula>
    </cfRule>
    <cfRule type="cellIs" dxfId="550" priority="1408" operator="between">
      <formula>6</formula>
      <formula>6.9</formula>
    </cfRule>
    <cfRule type="cellIs" dxfId="549" priority="1409" operator="between">
      <formula>10.1</formula>
      <formula>10.6</formula>
    </cfRule>
    <cfRule type="cellIs" dxfId="548" priority="1410" operator="between">
      <formula>7</formula>
      <formula>7.9</formula>
    </cfRule>
    <cfRule type="cellIs" dxfId="547" priority="1411" stopIfTrue="1" operator="between">
      <formula>8</formula>
      <formula>8.9</formula>
    </cfRule>
    <cfRule type="cellIs" dxfId="546" priority="1412" operator="between">
      <formula>9</formula>
      <formula>9.9</formula>
    </cfRule>
    <cfRule type="cellIs" dxfId="545" priority="1413" stopIfTrue="1" operator="between">
      <formula>10</formula>
      <formula>10</formula>
    </cfRule>
  </conditionalFormatting>
  <conditionalFormatting sqref="K189">
    <cfRule type="colorScale" priority="136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67">
      <colorScale>
        <cfvo type="num" val="5"/>
        <cfvo type="num" val="10"/>
        <color rgb="FFFF494D"/>
        <color rgb="FF00FF66"/>
      </colorScale>
    </cfRule>
  </conditionalFormatting>
  <conditionalFormatting sqref="K190:K197">
    <cfRule type="cellIs" dxfId="544" priority="1372" operator="between">
      <formula>9</formula>
      <formula>9.9</formula>
    </cfRule>
    <cfRule type="cellIs" dxfId="543" priority="1371" stopIfTrue="1" operator="between">
      <formula>8</formula>
      <formula>8.9</formula>
    </cfRule>
    <cfRule type="cellIs" dxfId="542" priority="1370" operator="between">
      <formula>7</formula>
      <formula>7.9</formula>
    </cfRule>
    <cfRule type="cellIs" dxfId="541" priority="1373" stopIfTrue="1" operator="between">
      <formula>10</formula>
      <formula>10</formula>
    </cfRule>
    <cfRule type="containsBlanks" dxfId="540" priority="1374" stopIfTrue="1">
      <formula>LEN(TRIM(K190))=0</formula>
    </cfRule>
    <cfRule type="cellIs" dxfId="539" priority="1369" operator="between">
      <formula>10.1</formula>
      <formula>10.6</formula>
    </cfRule>
    <cfRule type="cellIs" dxfId="538" priority="1368" operator="between">
      <formula>6</formula>
      <formula>6.9</formula>
    </cfRule>
  </conditionalFormatting>
  <conditionalFormatting sqref="K199">
    <cfRule type="colorScale" priority="134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47">
      <colorScale>
        <cfvo type="num" val="5"/>
        <cfvo type="num" val="10"/>
        <color rgb="FFFF494D"/>
        <color rgb="FF00FF66"/>
      </colorScale>
    </cfRule>
  </conditionalFormatting>
  <conditionalFormatting sqref="K200:K206">
    <cfRule type="cellIs" dxfId="537" priority="1342" stopIfTrue="1" operator="between">
      <formula>8</formula>
      <formula>8.9</formula>
    </cfRule>
    <cfRule type="cellIs" dxfId="536" priority="1344" stopIfTrue="1" operator="between">
      <formula>10</formula>
      <formula>10</formula>
    </cfRule>
    <cfRule type="cellIs" dxfId="535" priority="1343" operator="between">
      <formula>9</formula>
      <formula>9.9</formula>
    </cfRule>
    <cfRule type="cellIs" dxfId="534" priority="1339" operator="between">
      <formula>6</formula>
      <formula>6.9</formula>
    </cfRule>
    <cfRule type="cellIs" dxfId="533" priority="1340" operator="between">
      <formula>10.1</formula>
      <formula>10.6</formula>
    </cfRule>
    <cfRule type="containsBlanks" dxfId="532" priority="1345" stopIfTrue="1">
      <formula>LEN(TRIM(K200))=0</formula>
    </cfRule>
    <cfRule type="cellIs" dxfId="531" priority="1341" operator="between">
      <formula>7</formula>
      <formula>7.9</formula>
    </cfRule>
  </conditionalFormatting>
  <conditionalFormatting sqref="K208">
    <cfRule type="colorScale" priority="130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08">
      <colorScale>
        <cfvo type="num" val="5"/>
        <cfvo type="num" val="10"/>
        <color rgb="FFFF494D"/>
        <color rgb="FF00FF66"/>
      </colorScale>
    </cfRule>
  </conditionalFormatting>
  <conditionalFormatting sqref="K209:K217">
    <cfRule type="cellIs" dxfId="530" priority="1309" operator="between">
      <formula>6</formula>
      <formula>6.9</formula>
    </cfRule>
    <cfRule type="cellIs" dxfId="529" priority="1310" operator="between">
      <formula>10.1</formula>
      <formula>11</formula>
    </cfRule>
    <cfRule type="cellIs" dxfId="528" priority="1311" operator="between">
      <formula>7</formula>
      <formula>7.9</formula>
    </cfRule>
    <cfRule type="cellIs" dxfId="527" priority="1313" operator="between">
      <formula>9</formula>
      <formula>9.9</formula>
    </cfRule>
    <cfRule type="cellIs" dxfId="526" priority="1314" stopIfTrue="1" operator="between">
      <formula>10</formula>
      <formula>10</formula>
    </cfRule>
    <cfRule type="containsBlanks" dxfId="525" priority="1315" stopIfTrue="1">
      <formula>LEN(TRIM(K209))=0</formula>
    </cfRule>
    <cfRule type="cellIs" dxfId="524" priority="1312" stopIfTrue="1" operator="between">
      <formula>8</formula>
      <formula>8.9</formula>
    </cfRule>
  </conditionalFormatting>
  <conditionalFormatting sqref="K219">
    <cfRule type="colorScale" priority="126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64">
      <colorScale>
        <cfvo type="num" val="5"/>
        <cfvo type="num" val="10"/>
        <color rgb="FFFF494D"/>
        <color rgb="FF00FF66"/>
      </colorScale>
    </cfRule>
  </conditionalFormatting>
  <conditionalFormatting sqref="K220:K235">
    <cfRule type="cellIs" dxfId="523" priority="1260" operator="between">
      <formula>9</formula>
      <formula>9.9</formula>
    </cfRule>
    <cfRule type="cellIs" dxfId="522" priority="1259" stopIfTrue="1" operator="between">
      <formula>8</formula>
      <formula>8.9</formula>
    </cfRule>
    <cfRule type="cellIs" dxfId="521" priority="1258" operator="between">
      <formula>7</formula>
      <formula>7.9</formula>
    </cfRule>
    <cfRule type="cellIs" dxfId="520" priority="1261" stopIfTrue="1" operator="between">
      <formula>10</formula>
      <formula>10</formula>
    </cfRule>
    <cfRule type="containsBlanks" dxfId="519" priority="1262" stopIfTrue="1">
      <formula>LEN(TRIM(K220))=0</formula>
    </cfRule>
    <cfRule type="cellIs" dxfId="518" priority="1257" operator="between">
      <formula>10.1</formula>
      <formula>10.6</formula>
    </cfRule>
    <cfRule type="cellIs" dxfId="517" priority="1256" operator="between">
      <formula>6</formula>
      <formula>6.9</formula>
    </cfRule>
  </conditionalFormatting>
  <conditionalFormatting sqref="K237">
    <cfRule type="colorScale" priority="120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01">
      <colorScale>
        <cfvo type="num" val="5"/>
        <cfvo type="num" val="10"/>
        <color rgb="FFFF494D"/>
        <color rgb="FF00FF66"/>
      </colorScale>
    </cfRule>
  </conditionalFormatting>
  <conditionalFormatting sqref="K238:K250">
    <cfRule type="cellIs" dxfId="516" priority="1198" stopIfTrue="1" operator="between">
      <formula>10</formula>
      <formula>10</formula>
    </cfRule>
    <cfRule type="cellIs" dxfId="515" priority="1194" operator="between">
      <formula>10.1</formula>
      <formula>10.6</formula>
    </cfRule>
    <cfRule type="cellIs" dxfId="514" priority="1193" operator="between">
      <formula>6</formula>
      <formula>6.9</formula>
    </cfRule>
    <cfRule type="cellIs" dxfId="513" priority="1195" operator="between">
      <formula>7</formula>
      <formula>7.9</formula>
    </cfRule>
    <cfRule type="cellIs" dxfId="512" priority="1196" stopIfTrue="1" operator="between">
      <formula>8</formula>
      <formula>8.9</formula>
    </cfRule>
    <cfRule type="cellIs" dxfId="511" priority="1197" operator="between">
      <formula>9</formula>
      <formula>9.9</formula>
    </cfRule>
    <cfRule type="containsBlanks" dxfId="510" priority="1199" stopIfTrue="1">
      <formula>LEN(TRIM(K238))=0</formula>
    </cfRule>
  </conditionalFormatting>
  <conditionalFormatting sqref="K252">
    <cfRule type="colorScale" priority="1156">
      <colorScale>
        <cfvo type="num" val="5"/>
        <cfvo type="num" val="10"/>
        <color rgb="FFFF494D"/>
        <color rgb="FF00FF66"/>
      </colorScale>
    </cfRule>
    <cfRule type="colorScale" priority="115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53:K262">
    <cfRule type="cellIs" dxfId="509" priority="1152" operator="between">
      <formula>9</formula>
      <formula>9.9</formula>
    </cfRule>
    <cfRule type="cellIs" dxfId="508" priority="1151" stopIfTrue="1" operator="between">
      <formula>8</formula>
      <formula>8.9</formula>
    </cfRule>
    <cfRule type="cellIs" dxfId="507" priority="1150" operator="between">
      <formula>7</formula>
      <formula>7.9</formula>
    </cfRule>
    <cfRule type="cellIs" dxfId="506" priority="1149" operator="between">
      <formula>10.1</formula>
      <formula>10.6</formula>
    </cfRule>
    <cfRule type="cellIs" dxfId="505" priority="1148" operator="between">
      <formula>6</formula>
      <formula>6.9</formula>
    </cfRule>
    <cfRule type="cellIs" dxfId="504" priority="1153" stopIfTrue="1" operator="between">
      <formula>10</formula>
      <formula>10</formula>
    </cfRule>
    <cfRule type="containsBlanks" dxfId="503" priority="1154" stopIfTrue="1">
      <formula>LEN(TRIM(K253))=0</formula>
    </cfRule>
  </conditionalFormatting>
  <conditionalFormatting sqref="K264">
    <cfRule type="colorScale" priority="1118">
      <colorScale>
        <cfvo type="num" val="5"/>
        <cfvo type="num" val="10"/>
        <color rgb="FFFF494D"/>
        <color rgb="FF00FF66"/>
      </colorScale>
    </cfRule>
    <cfRule type="colorScale" priority="111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65:K274">
    <cfRule type="cellIs" dxfId="502" priority="1119" operator="between">
      <formula>6</formula>
      <formula>6.9</formula>
    </cfRule>
    <cfRule type="cellIs" dxfId="501" priority="1123" operator="between">
      <formula>9</formula>
      <formula>9.9</formula>
    </cfRule>
    <cfRule type="cellIs" dxfId="500" priority="1122" stopIfTrue="1" operator="between">
      <formula>8</formula>
      <formula>8.9</formula>
    </cfRule>
    <cfRule type="cellIs" dxfId="499" priority="1121" operator="between">
      <formula>7</formula>
      <formula>7.9</formula>
    </cfRule>
    <cfRule type="cellIs" dxfId="498" priority="1120" operator="between">
      <formula>10.1</formula>
      <formula>10.6</formula>
    </cfRule>
    <cfRule type="containsBlanks" dxfId="497" priority="1125" stopIfTrue="1">
      <formula>LEN(TRIM(K265))=0</formula>
    </cfRule>
    <cfRule type="cellIs" dxfId="496" priority="1124" stopIfTrue="1" operator="between">
      <formula>10</formula>
      <formula>10</formula>
    </cfRule>
  </conditionalFormatting>
  <conditionalFormatting sqref="K276">
    <cfRule type="colorScale" priority="107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74">
      <colorScale>
        <cfvo type="num" val="5"/>
        <cfvo type="num" val="10"/>
        <color rgb="FFFF494D"/>
        <color rgb="FF00FF66"/>
      </colorScale>
    </cfRule>
  </conditionalFormatting>
  <conditionalFormatting sqref="K277:K284">
    <cfRule type="cellIs" dxfId="495" priority="1067" operator="between">
      <formula>10.1</formula>
      <formula>10.6</formula>
    </cfRule>
    <cfRule type="cellIs" dxfId="494" priority="1066" operator="between">
      <formula>6</formula>
      <formula>6.9</formula>
    </cfRule>
    <cfRule type="containsBlanks" dxfId="493" priority="1072" stopIfTrue="1">
      <formula>LEN(TRIM(K277))=0</formula>
    </cfRule>
    <cfRule type="cellIs" dxfId="492" priority="1070" operator="between">
      <formula>9</formula>
      <formula>9.9</formula>
    </cfRule>
    <cfRule type="cellIs" dxfId="491" priority="1069" stopIfTrue="1" operator="between">
      <formula>8</formula>
      <formula>8.9</formula>
    </cfRule>
    <cfRule type="cellIs" dxfId="490" priority="1068" operator="between">
      <formula>7</formula>
      <formula>7.9</formula>
    </cfRule>
    <cfRule type="cellIs" dxfId="489" priority="1071" stopIfTrue="1" operator="between">
      <formula>10</formula>
      <formula>10</formula>
    </cfRule>
  </conditionalFormatting>
  <conditionalFormatting sqref="K286">
    <cfRule type="colorScale" priority="102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26">
      <colorScale>
        <cfvo type="num" val="5"/>
        <cfvo type="num" val="10"/>
        <color rgb="FFFF494D"/>
        <color rgb="FF00FF66"/>
      </colorScale>
    </cfRule>
  </conditionalFormatting>
  <conditionalFormatting sqref="K287:K294">
    <cfRule type="containsBlanks" dxfId="488" priority="1024" stopIfTrue="1">
      <formula>LEN(TRIM(K287))=0</formula>
    </cfRule>
    <cfRule type="cellIs" dxfId="487" priority="1023" stopIfTrue="1" operator="between">
      <formula>10</formula>
      <formula>10</formula>
    </cfRule>
    <cfRule type="cellIs" dxfId="486" priority="1021" stopIfTrue="1" operator="between">
      <formula>8</formula>
      <formula>8.9</formula>
    </cfRule>
    <cfRule type="cellIs" dxfId="485" priority="1020" operator="between">
      <formula>7</formula>
      <formula>7.9</formula>
    </cfRule>
    <cfRule type="cellIs" dxfId="484" priority="1019" operator="between">
      <formula>10.1</formula>
      <formula>10.6</formula>
    </cfRule>
    <cfRule type="cellIs" dxfId="483" priority="1018" operator="between">
      <formula>6</formula>
      <formula>6.9</formula>
    </cfRule>
    <cfRule type="cellIs" dxfId="482" priority="1022" operator="between">
      <formula>9</formula>
      <formula>9.9</formula>
    </cfRule>
  </conditionalFormatting>
  <conditionalFormatting sqref="K296">
    <cfRule type="colorScale" priority="98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88">
      <colorScale>
        <cfvo type="num" val="5"/>
        <cfvo type="num" val="10"/>
        <color rgb="FFFF494D"/>
        <color rgb="FF00FF66"/>
      </colorScale>
    </cfRule>
  </conditionalFormatting>
  <conditionalFormatting sqref="K297:K302">
    <cfRule type="cellIs" dxfId="481" priority="982" operator="between">
      <formula>10.1</formula>
      <formula>10.6</formula>
    </cfRule>
    <cfRule type="cellIs" dxfId="480" priority="983" operator="between">
      <formula>7</formula>
      <formula>7.9</formula>
    </cfRule>
    <cfRule type="cellIs" dxfId="479" priority="984" stopIfTrue="1" operator="between">
      <formula>8</formula>
      <formula>8.9</formula>
    </cfRule>
    <cfRule type="cellIs" dxfId="478" priority="985" operator="between">
      <formula>9</formula>
      <formula>9.9</formula>
    </cfRule>
    <cfRule type="cellIs" dxfId="477" priority="986" stopIfTrue="1" operator="between">
      <formula>10</formula>
      <formula>10</formula>
    </cfRule>
    <cfRule type="containsBlanks" dxfId="476" priority="978" stopIfTrue="1">
      <formula>LEN(TRIM(K297))=0</formula>
    </cfRule>
    <cfRule type="cellIs" dxfId="475" priority="979" operator="lessThan">
      <formula>2</formula>
    </cfRule>
    <cfRule type="cellIs" dxfId="474" priority="980" operator="between">
      <formula>2</formula>
      <formula>4.9</formula>
    </cfRule>
    <cfRule type="cellIs" dxfId="473" priority="981" operator="between">
      <formula>5</formula>
      <formula>6.9</formula>
    </cfRule>
  </conditionalFormatting>
  <conditionalFormatting sqref="K304">
    <cfRule type="colorScale" priority="95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57">
      <colorScale>
        <cfvo type="num" val="5"/>
        <cfvo type="num" val="10"/>
        <color rgb="FFFF494D"/>
        <color rgb="FF00FF66"/>
      </colorScale>
    </cfRule>
  </conditionalFormatting>
  <conditionalFormatting sqref="K305:K316">
    <cfRule type="cellIs" dxfId="472" priority="955" stopIfTrue="1" operator="between">
      <formula>10</formula>
      <formula>10</formula>
    </cfRule>
    <cfRule type="cellIs" dxfId="471" priority="953" stopIfTrue="1" operator="between">
      <formula>8</formula>
      <formula>8.9</formula>
    </cfRule>
    <cfRule type="cellIs" dxfId="470" priority="952" operator="between">
      <formula>7</formula>
      <formula>7.9</formula>
    </cfRule>
    <cfRule type="cellIs" dxfId="469" priority="951" operator="between">
      <formula>10.1</formula>
      <formula>10.6</formula>
    </cfRule>
    <cfRule type="cellIs" dxfId="468" priority="948" operator="lessThan">
      <formula>2</formula>
    </cfRule>
    <cfRule type="cellIs" dxfId="467" priority="949" operator="between">
      <formula>2</formula>
      <formula>4.9</formula>
    </cfRule>
    <cfRule type="cellIs" dxfId="466" priority="950" operator="between">
      <formula>5</formula>
      <formula>6.9</formula>
    </cfRule>
    <cfRule type="cellIs" dxfId="465" priority="954" operator="between">
      <formula>9</formula>
      <formula>9.9</formula>
    </cfRule>
    <cfRule type="containsBlanks" dxfId="464" priority="947" stopIfTrue="1">
      <formula>LEN(TRIM(K305))=0</formula>
    </cfRule>
  </conditionalFormatting>
  <conditionalFormatting sqref="K318">
    <cfRule type="colorScale" priority="884">
      <colorScale>
        <cfvo type="num" val="5"/>
        <cfvo type="num" val="10"/>
        <color rgb="FFFF494D"/>
        <color rgb="FF00FF66"/>
      </colorScale>
    </cfRule>
    <cfRule type="colorScale" priority="88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319:K326">
    <cfRule type="cellIs" dxfId="463" priority="888" operator="between">
      <formula>5</formula>
      <formula>6.9</formula>
    </cfRule>
    <cfRule type="cellIs" dxfId="462" priority="889" operator="between">
      <formula>10.1</formula>
      <formula>10.6</formula>
    </cfRule>
    <cfRule type="cellIs" dxfId="461" priority="890" operator="between">
      <formula>7</formula>
      <formula>7.9</formula>
    </cfRule>
    <cfRule type="cellIs" dxfId="460" priority="891" stopIfTrue="1" operator="between">
      <formula>8</formula>
      <formula>8.9</formula>
    </cfRule>
    <cfRule type="cellIs" dxfId="459" priority="892" operator="between">
      <formula>9</formula>
      <formula>9.9</formula>
    </cfRule>
    <cfRule type="cellIs" dxfId="458" priority="893" stopIfTrue="1" operator="between">
      <formula>10</formula>
      <formula>10</formula>
    </cfRule>
    <cfRule type="cellIs" dxfId="457" priority="887" operator="between">
      <formula>2</formula>
      <formula>4.9</formula>
    </cfRule>
    <cfRule type="cellIs" dxfId="456" priority="886" operator="lessThan">
      <formula>2</formula>
    </cfRule>
    <cfRule type="containsBlanks" dxfId="455" priority="885" stopIfTrue="1">
      <formula>LEN(TRIM(K319))=0</formula>
    </cfRule>
  </conditionalFormatting>
  <conditionalFormatting sqref="K328">
    <cfRule type="colorScale" priority="83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40">
      <colorScale>
        <cfvo type="num" val="5"/>
        <cfvo type="num" val="10"/>
        <color rgb="FFFF494D"/>
        <color rgb="FF00FF66"/>
      </colorScale>
    </cfRule>
  </conditionalFormatting>
  <conditionalFormatting sqref="K329:K338">
    <cfRule type="cellIs" dxfId="454" priority="846" operator="between">
      <formula>7</formula>
      <formula>7.9</formula>
    </cfRule>
    <cfRule type="cellIs" dxfId="453" priority="845" operator="between">
      <formula>10.1</formula>
      <formula>10.6</formula>
    </cfRule>
    <cfRule type="cellIs" dxfId="452" priority="844" operator="between">
      <formula>5</formula>
      <formula>6.9</formula>
    </cfRule>
    <cfRule type="cellIs" dxfId="451" priority="843" operator="between">
      <formula>2</formula>
      <formula>4.9</formula>
    </cfRule>
    <cfRule type="cellIs" dxfId="450" priority="842" operator="lessThan">
      <formula>2</formula>
    </cfRule>
    <cfRule type="containsBlanks" dxfId="449" priority="841" stopIfTrue="1">
      <formula>LEN(TRIM(K329))=0</formula>
    </cfRule>
    <cfRule type="cellIs" dxfId="448" priority="849" stopIfTrue="1" operator="between">
      <formula>10</formula>
      <formula>10</formula>
    </cfRule>
    <cfRule type="cellIs" dxfId="447" priority="848" operator="between">
      <formula>9</formula>
      <formula>9.9</formula>
    </cfRule>
    <cfRule type="cellIs" dxfId="446" priority="847" stopIfTrue="1" operator="between">
      <formula>8</formula>
      <formula>8.9</formula>
    </cfRule>
  </conditionalFormatting>
  <conditionalFormatting sqref="K340">
    <cfRule type="colorScale" priority="785">
      <colorScale>
        <cfvo type="num" val="5"/>
        <cfvo type="num" val="10"/>
        <color rgb="FFFF494D"/>
        <color rgb="FF00FF66"/>
      </colorScale>
    </cfRule>
    <cfRule type="colorScale" priority="78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341:K354">
    <cfRule type="cellIs" dxfId="445" priority="788" operator="between">
      <formula>2</formula>
      <formula>4.9</formula>
    </cfRule>
    <cfRule type="containsBlanks" dxfId="444" priority="786" stopIfTrue="1">
      <formula>LEN(TRIM(K341))=0</formula>
    </cfRule>
    <cfRule type="cellIs" dxfId="443" priority="792" stopIfTrue="1" operator="between">
      <formula>8</formula>
      <formula>8.9</formula>
    </cfRule>
    <cfRule type="cellIs" dxfId="442" priority="794" stopIfTrue="1" operator="between">
      <formula>10</formula>
      <formula>10</formula>
    </cfRule>
    <cfRule type="cellIs" dxfId="441" priority="793" operator="between">
      <formula>9</formula>
      <formula>9.9</formula>
    </cfRule>
    <cfRule type="cellIs" dxfId="440" priority="791" operator="between">
      <formula>7</formula>
      <formula>7.9</formula>
    </cfRule>
    <cfRule type="cellIs" dxfId="439" priority="790" operator="between">
      <formula>10.1</formula>
      <formula>10.6</formula>
    </cfRule>
    <cfRule type="cellIs" dxfId="438" priority="789" operator="between">
      <formula>5</formula>
      <formula>6.9</formula>
    </cfRule>
    <cfRule type="cellIs" dxfId="437" priority="787" operator="lessThan">
      <formula>2</formula>
    </cfRule>
  </conditionalFormatting>
  <conditionalFormatting sqref="K356">
    <cfRule type="colorScale" priority="741">
      <colorScale>
        <cfvo type="num" val="5"/>
        <cfvo type="num" val="10"/>
        <color rgb="FFFF494D"/>
        <color rgb="FF00FF66"/>
      </colorScale>
    </cfRule>
    <cfRule type="colorScale" priority="74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357:K363">
    <cfRule type="containsBlanks" dxfId="436" priority="742" stopIfTrue="1">
      <formula>LEN(TRIM(K357))=0</formula>
    </cfRule>
    <cfRule type="cellIs" dxfId="435" priority="745" operator="between">
      <formula>5</formula>
      <formula>6.9</formula>
    </cfRule>
    <cfRule type="cellIs" dxfId="434" priority="750" stopIfTrue="1" operator="between">
      <formula>10</formula>
      <formula>10</formula>
    </cfRule>
    <cfRule type="cellIs" dxfId="433" priority="749" operator="between">
      <formula>9</formula>
      <formula>9.9</formula>
    </cfRule>
    <cfRule type="cellIs" dxfId="432" priority="748" stopIfTrue="1" operator="between">
      <formula>8</formula>
      <formula>8.9</formula>
    </cfRule>
    <cfRule type="cellIs" dxfId="431" priority="747" operator="between">
      <formula>7</formula>
      <formula>7.9</formula>
    </cfRule>
    <cfRule type="cellIs" dxfId="430" priority="743" operator="lessThan">
      <formula>2</formula>
    </cfRule>
    <cfRule type="cellIs" dxfId="429" priority="746" operator="between">
      <formula>10.1</formula>
      <formula>10.6</formula>
    </cfRule>
    <cfRule type="cellIs" dxfId="428" priority="744" operator="between">
      <formula>2</formula>
      <formula>4.9</formula>
    </cfRule>
  </conditionalFormatting>
  <conditionalFormatting sqref="K365">
    <cfRule type="colorScale" priority="715">
      <colorScale>
        <cfvo type="num" val="5"/>
        <cfvo type="num" val="10"/>
        <color rgb="FFFF494D"/>
        <color rgb="FF00FF66"/>
      </colorScale>
    </cfRule>
    <cfRule type="colorScale" priority="71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366:K378">
    <cfRule type="cellIs" dxfId="427" priority="706" operator="lessThan">
      <formula>2</formula>
    </cfRule>
    <cfRule type="cellIs" dxfId="426" priority="707" operator="between">
      <formula>2</formula>
      <formula>4.9</formula>
    </cfRule>
    <cfRule type="cellIs" dxfId="425" priority="708" operator="between">
      <formula>5</formula>
      <formula>6.9</formula>
    </cfRule>
    <cfRule type="cellIs" dxfId="424" priority="709" operator="between">
      <formula>10.1</formula>
      <formula>10.6</formula>
    </cfRule>
    <cfRule type="cellIs" dxfId="423" priority="711" stopIfTrue="1" operator="between">
      <formula>8</formula>
      <formula>8.9</formula>
    </cfRule>
    <cfRule type="cellIs" dxfId="422" priority="712" operator="between">
      <formula>9</formula>
      <formula>9.9</formula>
    </cfRule>
    <cfRule type="cellIs" dxfId="421" priority="713" stopIfTrue="1" operator="between">
      <formula>10</formula>
      <formula>10</formula>
    </cfRule>
    <cfRule type="cellIs" dxfId="420" priority="710" operator="between">
      <formula>7</formula>
      <formula>7.9</formula>
    </cfRule>
    <cfRule type="containsBlanks" dxfId="419" priority="705" stopIfTrue="1">
      <formula>LEN(TRIM(K366))=0</formula>
    </cfRule>
  </conditionalFormatting>
  <conditionalFormatting sqref="K380">
    <cfRule type="colorScale" priority="63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37">
      <colorScale>
        <cfvo type="num" val="5"/>
        <cfvo type="num" val="10"/>
        <color rgb="FFFF494D"/>
        <color rgb="FF00FF66"/>
      </colorScale>
    </cfRule>
  </conditionalFormatting>
  <conditionalFormatting sqref="K381:K389">
    <cfRule type="cellIs" dxfId="418" priority="635" stopIfTrue="1" operator="between">
      <formula>10</formula>
      <formula>10</formula>
    </cfRule>
    <cfRule type="cellIs" dxfId="417" priority="631" operator="between">
      <formula>10.1</formula>
      <formula>10.6</formula>
    </cfRule>
    <cfRule type="cellIs" dxfId="416" priority="634" operator="between">
      <formula>9</formula>
      <formula>9.9</formula>
    </cfRule>
    <cfRule type="cellIs" dxfId="415" priority="628" operator="lessThan">
      <formula>2</formula>
    </cfRule>
    <cfRule type="cellIs" dxfId="414" priority="629" operator="between">
      <formula>2</formula>
      <formula>4.9</formula>
    </cfRule>
    <cfRule type="cellIs" dxfId="413" priority="633" stopIfTrue="1" operator="between">
      <formula>8</formula>
      <formula>8.9</formula>
    </cfRule>
    <cfRule type="cellIs" dxfId="412" priority="632" operator="between">
      <formula>7</formula>
      <formula>7.9</formula>
    </cfRule>
    <cfRule type="containsBlanks" dxfId="411" priority="627" stopIfTrue="1">
      <formula>LEN(TRIM(K381))=0</formula>
    </cfRule>
    <cfRule type="cellIs" dxfId="410" priority="630" operator="between">
      <formula>5</formula>
      <formula>6.9</formula>
    </cfRule>
  </conditionalFormatting>
  <conditionalFormatting sqref="K391">
    <cfRule type="colorScale" priority="571">
      <colorScale>
        <cfvo type="num" val="5"/>
        <cfvo type="num" val="10"/>
        <color rgb="FFFF494D"/>
        <color rgb="FF00FF66"/>
      </colorScale>
    </cfRule>
    <cfRule type="colorScale" priority="57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392:K397">
    <cfRule type="cellIs" dxfId="409" priority="566" operator="between">
      <formula>7</formula>
      <formula>7.9</formula>
    </cfRule>
    <cfRule type="cellIs" dxfId="408" priority="565" operator="between">
      <formula>10.1</formula>
      <formula>10.6</formula>
    </cfRule>
    <cfRule type="cellIs" dxfId="407" priority="563" operator="between">
      <formula>2</formula>
      <formula>4.9</formula>
    </cfRule>
    <cfRule type="cellIs" dxfId="406" priority="564" operator="between">
      <formula>5</formula>
      <formula>6.9</formula>
    </cfRule>
    <cfRule type="cellIs" dxfId="405" priority="567" stopIfTrue="1" operator="between">
      <formula>8</formula>
      <formula>8.9</formula>
    </cfRule>
    <cfRule type="cellIs" dxfId="404" priority="562" operator="lessThan">
      <formula>2</formula>
    </cfRule>
    <cfRule type="containsBlanks" dxfId="403" priority="561" stopIfTrue="1">
      <formula>LEN(TRIM(K392))=0</formula>
    </cfRule>
    <cfRule type="cellIs" dxfId="402" priority="569" stopIfTrue="1" operator="between">
      <formula>10</formula>
      <formula>10</formula>
    </cfRule>
    <cfRule type="cellIs" dxfId="401" priority="568" operator="between">
      <formula>9</formula>
      <formula>9.9</formula>
    </cfRule>
  </conditionalFormatting>
  <conditionalFormatting sqref="K399">
    <cfRule type="colorScale" priority="549">
      <colorScale>
        <cfvo type="num" val="5"/>
        <cfvo type="num" val="10"/>
        <color rgb="FFFF494D"/>
        <color rgb="FF00FF66"/>
      </colorScale>
    </cfRule>
    <cfRule type="colorScale" priority="54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400:K410">
    <cfRule type="cellIs" dxfId="400" priority="546" operator="between">
      <formula>9</formula>
      <formula>9.9</formula>
    </cfRule>
    <cfRule type="cellIs" dxfId="399" priority="547" stopIfTrue="1" operator="between">
      <formula>10</formula>
      <formula>10</formula>
    </cfRule>
    <cfRule type="cellIs" dxfId="398" priority="541" operator="between">
      <formula>2</formula>
      <formula>4.9</formula>
    </cfRule>
    <cfRule type="cellIs" dxfId="397" priority="540" operator="lessThan">
      <formula>2</formula>
    </cfRule>
    <cfRule type="containsBlanks" dxfId="396" priority="539" stopIfTrue="1">
      <formula>LEN(TRIM(K400))=0</formula>
    </cfRule>
    <cfRule type="cellIs" dxfId="395" priority="542" operator="between">
      <formula>5</formula>
      <formula>6.9</formula>
    </cfRule>
    <cfRule type="cellIs" dxfId="394" priority="543" operator="between">
      <formula>10.1</formula>
      <formula>10.6</formula>
    </cfRule>
    <cfRule type="cellIs" dxfId="393" priority="544" operator="between">
      <formula>7</formula>
      <formula>7.9</formula>
    </cfRule>
    <cfRule type="cellIs" dxfId="392" priority="545" stopIfTrue="1" operator="between">
      <formula>8</formula>
      <formula>8.9</formula>
    </cfRule>
  </conditionalFormatting>
  <conditionalFormatting sqref="K412">
    <cfRule type="colorScale" priority="48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85">
      <colorScale>
        <cfvo type="num" val="5"/>
        <cfvo type="num" val="10"/>
        <color rgb="FFFF494D"/>
        <color rgb="FF00FF66"/>
      </colorScale>
    </cfRule>
  </conditionalFormatting>
  <conditionalFormatting sqref="K413:K419">
    <cfRule type="cellIs" dxfId="391" priority="491" operator="between">
      <formula>7</formula>
      <formula>7.9</formula>
    </cfRule>
    <cfRule type="cellIs" dxfId="390" priority="492" stopIfTrue="1" operator="between">
      <formula>8</formula>
      <formula>8.9</formula>
    </cfRule>
    <cfRule type="cellIs" dxfId="389" priority="493" operator="between">
      <formula>9</formula>
      <formula>9.9</formula>
    </cfRule>
    <cfRule type="cellIs" dxfId="388" priority="487" operator="lessThan">
      <formula>2</formula>
    </cfRule>
    <cfRule type="cellIs" dxfId="387" priority="488" operator="between">
      <formula>2</formula>
      <formula>4.9</formula>
    </cfRule>
    <cfRule type="cellIs" dxfId="386" priority="494" stopIfTrue="1" operator="between">
      <formula>10</formula>
      <formula>10</formula>
    </cfRule>
    <cfRule type="containsBlanks" dxfId="385" priority="486" stopIfTrue="1">
      <formula>LEN(TRIM(K413))=0</formula>
    </cfRule>
    <cfRule type="cellIs" dxfId="384" priority="490" operator="between">
      <formula>10.1</formula>
      <formula>10.6</formula>
    </cfRule>
    <cfRule type="cellIs" dxfId="383" priority="489" operator="between">
      <formula>5</formula>
      <formula>6.9</formula>
    </cfRule>
  </conditionalFormatting>
  <conditionalFormatting sqref="K421">
    <cfRule type="colorScale" priority="40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07">
      <colorScale>
        <cfvo type="num" val="5"/>
        <cfvo type="num" val="10"/>
        <color rgb="FFFF494D"/>
        <color rgb="FF00FF66"/>
      </colorScale>
    </cfRule>
  </conditionalFormatting>
  <conditionalFormatting sqref="K422:K429">
    <cfRule type="containsBlanks" dxfId="382" priority="410" stopIfTrue="1">
      <formula>LEN(TRIM(K422))=0</formula>
    </cfRule>
    <cfRule type="cellIs" dxfId="381" priority="411" operator="lessThan">
      <formula>2</formula>
    </cfRule>
    <cfRule type="cellIs" dxfId="380" priority="415" operator="between">
      <formula>7</formula>
      <formula>7.9</formula>
    </cfRule>
    <cfRule type="cellIs" dxfId="379" priority="418" stopIfTrue="1" operator="between">
      <formula>10</formula>
      <formula>10</formula>
    </cfRule>
    <cfRule type="cellIs" dxfId="378" priority="417" operator="between">
      <formula>9</formula>
      <formula>9.9</formula>
    </cfRule>
    <cfRule type="cellIs" dxfId="377" priority="416" stopIfTrue="1" operator="between">
      <formula>8</formula>
      <formula>8.9</formula>
    </cfRule>
    <cfRule type="cellIs" dxfId="376" priority="414" operator="between">
      <formula>10.1</formula>
      <formula>10.6</formula>
    </cfRule>
    <cfRule type="cellIs" dxfId="375" priority="413" operator="between">
      <formula>5</formula>
      <formula>6.9</formula>
    </cfRule>
    <cfRule type="cellIs" dxfId="374" priority="412" operator="between">
      <formula>2</formula>
      <formula>4.9</formula>
    </cfRule>
  </conditionalFormatting>
  <conditionalFormatting sqref="K431">
    <cfRule type="colorScale" priority="372">
      <colorScale>
        <cfvo type="num" val="5"/>
        <cfvo type="num" val="10"/>
        <color rgb="FFFF494D"/>
        <color rgb="FF00FF66"/>
      </colorScale>
    </cfRule>
    <cfRule type="colorScale" priority="37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432:K443">
    <cfRule type="cellIs" dxfId="373" priority="302" operator="between">
      <formula>10.1</formula>
      <formula>10.6</formula>
    </cfRule>
    <cfRule type="cellIs" dxfId="372" priority="303" operator="between">
      <formula>7</formula>
      <formula>7.9</formula>
    </cfRule>
    <cfRule type="cellIs" dxfId="371" priority="304" stopIfTrue="1" operator="between">
      <formula>8</formula>
      <formula>8.9</formula>
    </cfRule>
    <cfRule type="cellIs" dxfId="370" priority="305" operator="between">
      <formula>9</formula>
      <formula>9.9</formula>
    </cfRule>
    <cfRule type="cellIs" dxfId="369" priority="306" stopIfTrue="1" operator="between">
      <formula>10</formula>
      <formula>10</formula>
    </cfRule>
    <cfRule type="containsBlanks" dxfId="368" priority="298" stopIfTrue="1">
      <formula>LEN(TRIM(K432))=0</formula>
    </cfRule>
    <cfRule type="cellIs" dxfId="367" priority="299" operator="lessThan">
      <formula>2</formula>
    </cfRule>
    <cfRule type="cellIs" dxfId="366" priority="300" operator="between">
      <formula>2</formula>
      <formula>4.9</formula>
    </cfRule>
    <cfRule type="cellIs" dxfId="365" priority="301" operator="between">
      <formula>5</formula>
      <formula>6.9</formula>
    </cfRule>
  </conditionalFormatting>
  <conditionalFormatting sqref="K445">
    <cfRule type="colorScale" priority="277">
      <colorScale>
        <cfvo type="num" val="5"/>
        <cfvo type="num" val="10"/>
        <color rgb="FFFF494D"/>
        <color rgb="FF00FF66"/>
      </colorScale>
    </cfRule>
    <cfRule type="colorScale" priority="27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446:K463">
    <cfRule type="cellIs" dxfId="364" priority="282" operator="between">
      <formula>10.1</formula>
      <formula>10.6</formula>
    </cfRule>
    <cfRule type="containsBlanks" dxfId="363" priority="278" stopIfTrue="1">
      <formula>LEN(TRIM(K446))=0</formula>
    </cfRule>
    <cfRule type="cellIs" dxfId="362" priority="285" operator="between">
      <formula>9</formula>
      <formula>9.9</formula>
    </cfRule>
    <cfRule type="cellIs" dxfId="361" priority="284" stopIfTrue="1" operator="between">
      <formula>8</formula>
      <formula>8.9</formula>
    </cfRule>
    <cfRule type="cellIs" dxfId="360" priority="279" operator="lessThan">
      <formula>2</formula>
    </cfRule>
    <cfRule type="cellIs" dxfId="359" priority="283" operator="between">
      <formula>7</formula>
      <formula>7.9</formula>
    </cfRule>
    <cfRule type="cellIs" dxfId="358" priority="281" operator="between">
      <formula>5</formula>
      <formula>6.9</formula>
    </cfRule>
    <cfRule type="cellIs" dxfId="357" priority="280" operator="between">
      <formula>2</formula>
      <formula>4.9</formula>
    </cfRule>
    <cfRule type="cellIs" dxfId="356" priority="286" stopIfTrue="1" operator="between">
      <formula>10</formula>
      <formula>10</formula>
    </cfRule>
  </conditionalFormatting>
  <conditionalFormatting sqref="K465">
    <cfRule type="colorScale" priority="23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33">
      <colorScale>
        <cfvo type="num" val="5"/>
        <cfvo type="num" val="10"/>
        <color rgb="FFFF494D"/>
        <color rgb="FF00FF66"/>
      </colorScale>
    </cfRule>
  </conditionalFormatting>
  <conditionalFormatting sqref="K466:K477">
    <cfRule type="cellIs" dxfId="355" priority="242" stopIfTrue="1" operator="between">
      <formula>10</formula>
      <formula>10</formula>
    </cfRule>
    <cfRule type="cellIs" dxfId="354" priority="240" stopIfTrue="1" operator="between">
      <formula>8</formula>
      <formula>8.9</formula>
    </cfRule>
    <cfRule type="cellIs" dxfId="353" priority="239" operator="between">
      <formula>7</formula>
      <formula>7.9</formula>
    </cfRule>
    <cfRule type="cellIs" dxfId="352" priority="237" operator="between">
      <formula>5</formula>
      <formula>6.9</formula>
    </cfRule>
    <cfRule type="containsBlanks" dxfId="351" priority="234" stopIfTrue="1">
      <formula>LEN(TRIM(K466))=0</formula>
    </cfRule>
    <cfRule type="cellIs" dxfId="350" priority="238" operator="between">
      <formula>10.1</formula>
      <formula>10.6</formula>
    </cfRule>
    <cfRule type="cellIs" dxfId="349" priority="235" operator="lessThan">
      <formula>2</formula>
    </cfRule>
    <cfRule type="cellIs" dxfId="348" priority="236" operator="between">
      <formula>2</formula>
      <formula>4.9</formula>
    </cfRule>
    <cfRule type="cellIs" dxfId="347" priority="241" operator="between">
      <formula>9</formula>
      <formula>9.9</formula>
    </cfRule>
  </conditionalFormatting>
  <conditionalFormatting sqref="K479">
    <cfRule type="colorScale" priority="178">
      <colorScale>
        <cfvo type="num" val="5"/>
        <cfvo type="num" val="10"/>
        <color rgb="FFFF494D"/>
        <color rgb="FF00FF66"/>
      </colorScale>
    </cfRule>
    <cfRule type="colorScale" priority="17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480:K489">
    <cfRule type="cellIs" dxfId="346" priority="184" operator="between">
      <formula>7</formula>
      <formula>7.9</formula>
    </cfRule>
    <cfRule type="cellIs" dxfId="345" priority="185" stopIfTrue="1" operator="between">
      <formula>8</formula>
      <formula>8.9</formula>
    </cfRule>
    <cfRule type="cellIs" dxfId="344" priority="186" operator="between">
      <formula>9</formula>
      <formula>9.9</formula>
    </cfRule>
    <cfRule type="cellIs" dxfId="343" priority="187" stopIfTrue="1" operator="between">
      <formula>10</formula>
      <formula>10</formula>
    </cfRule>
    <cfRule type="cellIs" dxfId="342" priority="180" operator="lessThan">
      <formula>2</formula>
    </cfRule>
    <cfRule type="containsBlanks" dxfId="341" priority="179" stopIfTrue="1">
      <formula>LEN(TRIM(K480))=0</formula>
    </cfRule>
    <cfRule type="cellIs" dxfId="340" priority="181" operator="between">
      <formula>2</formula>
      <formula>4.9</formula>
    </cfRule>
    <cfRule type="cellIs" dxfId="339" priority="182" operator="between">
      <formula>5</formula>
      <formula>6.9</formula>
    </cfRule>
    <cfRule type="cellIs" dxfId="338" priority="183" operator="between">
      <formula>10.1</formula>
      <formula>10.6</formula>
    </cfRule>
  </conditionalFormatting>
  <conditionalFormatting sqref="K491">
    <cfRule type="colorScale" priority="112">
      <colorScale>
        <cfvo type="num" val="5"/>
        <cfvo type="num" val="10"/>
        <color rgb="FFFF494D"/>
        <color rgb="FF00FF66"/>
      </colorScale>
    </cfRule>
    <cfRule type="colorScale" priority="11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492:K497">
    <cfRule type="cellIs" dxfId="337" priority="116" operator="between">
      <formula>5</formula>
      <formula>6.9</formula>
    </cfRule>
    <cfRule type="cellIs" dxfId="336" priority="117" operator="between">
      <formula>10.1</formula>
      <formula>10.6</formula>
    </cfRule>
    <cfRule type="cellIs" dxfId="335" priority="118" operator="between">
      <formula>7</formula>
      <formula>7.9</formula>
    </cfRule>
    <cfRule type="cellIs" dxfId="334" priority="119" stopIfTrue="1" operator="between">
      <formula>8</formula>
      <formula>8.9</formula>
    </cfRule>
    <cfRule type="cellIs" dxfId="333" priority="120" operator="between">
      <formula>9</formula>
      <formula>9.9</formula>
    </cfRule>
    <cfRule type="cellIs" dxfId="332" priority="121" stopIfTrue="1" operator="between">
      <formula>10</formula>
      <formula>10</formula>
    </cfRule>
    <cfRule type="cellIs" dxfId="331" priority="115" operator="between">
      <formula>2</formula>
      <formula>4.9</formula>
    </cfRule>
    <cfRule type="cellIs" dxfId="330" priority="114" operator="lessThan">
      <formula>2</formula>
    </cfRule>
    <cfRule type="containsBlanks" dxfId="329" priority="113" stopIfTrue="1">
      <formula>LEN(TRIM(K492))=0</formula>
    </cfRule>
  </conditionalFormatting>
  <conditionalFormatting sqref="K499">
    <cfRule type="colorScale" priority="90">
      <colorScale>
        <cfvo type="num" val="5"/>
        <cfvo type="num" val="10"/>
        <color rgb="FFFF494D"/>
        <color rgb="FF00FF66"/>
      </colorScale>
    </cfRule>
    <cfRule type="colorScale" priority="8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500:K517">
    <cfRule type="cellIs" dxfId="328" priority="92" operator="lessThan">
      <formula>2</formula>
    </cfRule>
    <cfRule type="containsBlanks" dxfId="327" priority="91" stopIfTrue="1">
      <formula>LEN(TRIM(K500))=0</formula>
    </cfRule>
    <cfRule type="cellIs" dxfId="326" priority="95" operator="between">
      <formula>10.1</formula>
      <formula>10.6</formula>
    </cfRule>
    <cfRule type="cellIs" dxfId="325" priority="94" operator="between">
      <formula>5</formula>
      <formula>6.9</formula>
    </cfRule>
    <cfRule type="cellIs" dxfId="324" priority="93" operator="between">
      <formula>2</formula>
      <formula>4.9</formula>
    </cfRule>
    <cfRule type="cellIs" dxfId="323" priority="99" stopIfTrue="1" operator="between">
      <formula>10</formula>
      <formula>10</formula>
    </cfRule>
    <cfRule type="cellIs" dxfId="322" priority="98" operator="between">
      <formula>9</formula>
      <formula>9.9</formula>
    </cfRule>
    <cfRule type="cellIs" dxfId="321" priority="97" stopIfTrue="1" operator="between">
      <formula>8</formula>
      <formula>8.9</formula>
    </cfRule>
    <cfRule type="cellIs" dxfId="320" priority="96" operator="between">
      <formula>7</formula>
      <formula>7.9</formula>
    </cfRule>
  </conditionalFormatting>
  <conditionalFormatting sqref="K519">
    <cfRule type="colorScale" priority="2">
      <colorScale>
        <cfvo type="num" val="5"/>
        <cfvo type="num" val="10"/>
        <color rgb="FFFF494D"/>
        <color rgb="FF00FF66"/>
      </colorScale>
    </cfRule>
    <cfRule type="colorScale" priority="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520:K526">
    <cfRule type="containsBlanks" dxfId="319" priority="3" stopIfTrue="1">
      <formula>LEN(TRIM(K520))=0</formula>
    </cfRule>
    <cfRule type="cellIs" dxfId="318" priority="10" operator="between">
      <formula>9</formula>
      <formula>9.9</formula>
    </cfRule>
    <cfRule type="cellIs" dxfId="317" priority="11" stopIfTrue="1" operator="between">
      <formula>10</formula>
      <formula>10</formula>
    </cfRule>
    <cfRule type="cellIs" dxfId="316" priority="9" stopIfTrue="1" operator="between">
      <formula>8</formula>
      <formula>8.9</formula>
    </cfRule>
    <cfRule type="cellIs" dxfId="315" priority="8" operator="between">
      <formula>7</formula>
      <formula>7.9</formula>
    </cfRule>
    <cfRule type="cellIs" dxfId="314" priority="7" operator="between">
      <formula>10.1</formula>
      <formula>10.6</formula>
    </cfRule>
    <cfRule type="cellIs" dxfId="313" priority="6" operator="between">
      <formula>5</formula>
      <formula>6.9</formula>
    </cfRule>
    <cfRule type="cellIs" dxfId="312" priority="5" operator="between">
      <formula>2</formula>
      <formula>4.9</formula>
    </cfRule>
    <cfRule type="cellIs" dxfId="311" priority="4" operator="lessThan">
      <formula>2</formula>
    </cfRule>
  </conditionalFormatting>
  <conditionalFormatting sqref="M28">
    <cfRule type="colorScale" priority="238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384">
      <colorScale>
        <cfvo type="num" val="5"/>
        <cfvo type="num" val="10"/>
        <color rgb="FFFF494D"/>
        <color rgb="FF00FF66"/>
      </colorScale>
    </cfRule>
  </conditionalFormatting>
  <conditionalFormatting sqref="M39">
    <cfRule type="colorScale" priority="235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355">
      <colorScale>
        <cfvo type="num" val="5"/>
        <cfvo type="num" val="10"/>
        <color rgb="FFFF494D"/>
        <color rgb="FF00FF66"/>
      </colorScale>
    </cfRule>
  </conditionalFormatting>
  <conditionalFormatting sqref="N3:N12">
    <cfRule type="cellIs" dxfId="310" priority="1980" operator="between">
      <formula>10.1</formula>
      <formula>10.6</formula>
    </cfRule>
    <cfRule type="cellIs" dxfId="309" priority="1981" operator="between">
      <formula>7</formula>
      <formula>7.9</formula>
    </cfRule>
    <cfRule type="cellIs" dxfId="308" priority="1982" stopIfTrue="1" operator="between">
      <formula>8</formula>
      <formula>8.9</formula>
    </cfRule>
    <cfRule type="cellIs" dxfId="307" priority="1984" stopIfTrue="1" operator="between">
      <formula>10</formula>
      <formula>10</formula>
    </cfRule>
    <cfRule type="containsBlanks" dxfId="306" priority="1985" stopIfTrue="1">
      <formula>LEN(TRIM(N3))=0</formula>
    </cfRule>
    <cfRule type="cellIs" dxfId="305" priority="1983" operator="between">
      <formula>9</formula>
      <formula>9.9</formula>
    </cfRule>
  </conditionalFormatting>
  <conditionalFormatting sqref="N15:N26">
    <cfRule type="cellIs" dxfId="304" priority="2112" operator="between">
      <formula>7</formula>
      <formula>7.9</formula>
    </cfRule>
    <cfRule type="cellIs" dxfId="303" priority="2113" stopIfTrue="1" operator="between">
      <formula>8</formula>
      <formula>8.9</formula>
    </cfRule>
    <cfRule type="cellIs" dxfId="302" priority="2114" operator="between">
      <formula>9</formula>
      <formula>9.9</formula>
    </cfRule>
    <cfRule type="cellIs" dxfId="301" priority="2115" stopIfTrue="1" operator="between">
      <formula>10</formula>
      <formula>10</formula>
    </cfRule>
  </conditionalFormatting>
  <conditionalFormatting sqref="N28">
    <cfRule type="colorScale" priority="1878">
      <colorScale>
        <cfvo type="num" val="5"/>
        <cfvo type="num" val="10"/>
        <color rgb="FFFF494D"/>
        <color rgb="FF00FF66"/>
      </colorScale>
    </cfRule>
    <cfRule type="colorScale" priority="187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29:N37">
    <cfRule type="cellIs" dxfId="300" priority="2116" operator="between">
      <formula>7</formula>
      <formula>7.9</formula>
    </cfRule>
    <cfRule type="cellIs" dxfId="299" priority="2117" stopIfTrue="1" operator="between">
      <formula>8</formula>
      <formula>8.9</formula>
    </cfRule>
    <cfRule type="cellIs" dxfId="298" priority="2118" operator="between">
      <formula>9</formula>
      <formula>9.9</formula>
    </cfRule>
    <cfRule type="cellIs" dxfId="297" priority="2119" stopIfTrue="1" operator="between">
      <formula>10</formula>
      <formula>10</formula>
    </cfRule>
  </conditionalFormatting>
  <conditionalFormatting sqref="N39">
    <cfRule type="colorScale" priority="235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351">
      <colorScale>
        <cfvo type="num" val="5"/>
        <cfvo type="num" val="10"/>
        <color rgb="FFFF494D"/>
        <color rgb="FF00FF66"/>
      </colorScale>
    </cfRule>
  </conditionalFormatting>
  <conditionalFormatting sqref="N40:N52">
    <cfRule type="containsBlanks" dxfId="296" priority="1925" stopIfTrue="1">
      <formula>LEN(TRIM(N40))=0</formula>
    </cfRule>
    <cfRule type="cellIs" dxfId="295" priority="1921" operator="between">
      <formula>7</formula>
      <formula>7.9</formula>
    </cfRule>
    <cfRule type="cellIs" dxfId="294" priority="1920" operator="between">
      <formula>10.1</formula>
      <formula>10.6</formula>
    </cfRule>
    <cfRule type="cellIs" dxfId="293" priority="1922" stopIfTrue="1" operator="between">
      <formula>8</formula>
      <formula>8.9</formula>
    </cfRule>
    <cfRule type="cellIs" dxfId="292" priority="1923" operator="between">
      <formula>9</formula>
      <formula>9.9</formula>
    </cfRule>
    <cfRule type="cellIs" dxfId="291" priority="1924" stopIfTrue="1" operator="between">
      <formula>10</formula>
      <formula>10</formula>
    </cfRule>
  </conditionalFormatting>
  <conditionalFormatting sqref="N54">
    <cfRule type="colorScale" priority="1909">
      <colorScale>
        <cfvo type="num" val="5"/>
        <cfvo type="num" val="10"/>
        <color rgb="FFFF494D"/>
        <color rgb="FF00FF66"/>
      </colorScale>
    </cfRule>
    <cfRule type="colorScale" priority="190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55:N65">
    <cfRule type="cellIs" dxfId="290" priority="1904" stopIfTrue="1" operator="between">
      <formula>8</formula>
      <formula>8.9</formula>
    </cfRule>
    <cfRule type="cellIs" dxfId="289" priority="1903" operator="between">
      <formula>7</formula>
      <formula>7.9</formula>
    </cfRule>
    <cfRule type="cellIs" dxfId="288" priority="1902" operator="between">
      <formula>10.1</formula>
      <formula>10.6</formula>
    </cfRule>
    <cfRule type="cellIs" dxfId="287" priority="1905" operator="between">
      <formula>9</formula>
      <formula>9.9</formula>
    </cfRule>
    <cfRule type="containsBlanks" dxfId="286" priority="1907" stopIfTrue="1">
      <formula>LEN(TRIM(N55))=0</formula>
    </cfRule>
    <cfRule type="cellIs" dxfId="285" priority="1906" stopIfTrue="1" operator="between">
      <formula>10</formula>
      <formula>10</formula>
    </cfRule>
  </conditionalFormatting>
  <conditionalFormatting sqref="N67">
    <cfRule type="colorScale" priority="185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60">
      <colorScale>
        <cfvo type="num" val="5"/>
        <cfvo type="num" val="10"/>
        <color rgb="FFFF494D"/>
        <color rgb="FF00FF66"/>
      </colorScale>
    </cfRule>
  </conditionalFormatting>
  <conditionalFormatting sqref="N68:N77">
    <cfRule type="cellIs" dxfId="284" priority="1853" operator="between">
      <formula>10.1</formula>
      <formula>10.6</formula>
    </cfRule>
    <cfRule type="cellIs" dxfId="283" priority="1856" operator="between">
      <formula>9</formula>
      <formula>9.9</formula>
    </cfRule>
    <cfRule type="cellIs" dxfId="282" priority="1857" stopIfTrue="1" operator="between">
      <formula>10</formula>
      <formula>10</formula>
    </cfRule>
    <cfRule type="containsBlanks" dxfId="281" priority="1858" stopIfTrue="1">
      <formula>LEN(TRIM(N68))=0</formula>
    </cfRule>
    <cfRule type="cellIs" dxfId="280" priority="1854" operator="between">
      <formula>7</formula>
      <formula>7.9</formula>
    </cfRule>
    <cfRule type="cellIs" dxfId="279" priority="1855" stopIfTrue="1" operator="between">
      <formula>8</formula>
      <formula>8.9</formula>
    </cfRule>
  </conditionalFormatting>
  <conditionalFormatting sqref="N79">
    <cfRule type="colorScale" priority="179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91">
      <colorScale>
        <cfvo type="num" val="5"/>
        <cfvo type="num" val="10"/>
        <color rgb="FFFF494D"/>
        <color rgb="FF00FF66"/>
      </colorScale>
    </cfRule>
  </conditionalFormatting>
  <conditionalFormatting sqref="N80:N91">
    <cfRule type="cellIs" dxfId="278" priority="1788" stopIfTrue="1" operator="between">
      <formula>10</formula>
      <formula>10</formula>
    </cfRule>
    <cfRule type="cellIs" dxfId="277" priority="1787" operator="between">
      <formula>9</formula>
      <formula>9.9</formula>
    </cfRule>
    <cfRule type="cellIs" dxfId="276" priority="1785" operator="between">
      <formula>7</formula>
      <formula>7.9</formula>
    </cfRule>
    <cfRule type="cellIs" dxfId="275" priority="1786" stopIfTrue="1" operator="between">
      <formula>8</formula>
      <formula>8.9</formula>
    </cfRule>
    <cfRule type="cellIs" dxfId="274" priority="1784" operator="between">
      <formula>10.1</formula>
      <formula>10.6</formula>
    </cfRule>
    <cfRule type="containsBlanks" dxfId="273" priority="1789" stopIfTrue="1">
      <formula>LEN(TRIM(N80))=0</formula>
    </cfRule>
  </conditionalFormatting>
  <conditionalFormatting sqref="N93">
    <cfRule type="colorScale" priority="174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46">
      <colorScale>
        <cfvo type="num" val="5"/>
        <cfvo type="num" val="10"/>
        <color rgb="FFFF494D"/>
        <color rgb="FF00FF66"/>
      </colorScale>
    </cfRule>
  </conditionalFormatting>
  <conditionalFormatting sqref="N94:N110">
    <cfRule type="cellIs" dxfId="272" priority="1748" operator="between">
      <formula>7</formula>
      <formula>7.9</formula>
    </cfRule>
    <cfRule type="cellIs" dxfId="271" priority="1747" operator="between">
      <formula>10.1</formula>
      <formula>10.6</formula>
    </cfRule>
    <cfRule type="containsBlanks" dxfId="270" priority="1752" stopIfTrue="1">
      <formula>LEN(TRIM(N94))=0</formula>
    </cfRule>
    <cfRule type="cellIs" dxfId="269" priority="1751" stopIfTrue="1" operator="between">
      <formula>10</formula>
      <formula>10</formula>
    </cfRule>
    <cfRule type="cellIs" dxfId="268" priority="1750" operator="between">
      <formula>9</formula>
      <formula>9.9</formula>
    </cfRule>
    <cfRule type="cellIs" dxfId="267" priority="1749" stopIfTrue="1" operator="between">
      <formula>8</formula>
      <formula>8.9</formula>
    </cfRule>
  </conditionalFormatting>
  <conditionalFormatting sqref="N112">
    <cfRule type="colorScale" priority="1680">
      <colorScale>
        <cfvo type="num" val="5"/>
        <cfvo type="num" val="10"/>
        <color rgb="FFFF494D"/>
        <color rgb="FF00FF66"/>
      </colorScale>
    </cfRule>
    <cfRule type="colorScale" priority="167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113:N125">
    <cfRule type="containsBlanks" dxfId="266" priority="1678" stopIfTrue="1">
      <formula>LEN(TRIM(N113))=0</formula>
    </cfRule>
    <cfRule type="cellIs" dxfId="265" priority="1677" stopIfTrue="1" operator="between">
      <formula>10</formula>
      <formula>10</formula>
    </cfRule>
    <cfRule type="cellIs" dxfId="264" priority="1673" operator="between">
      <formula>10.1</formula>
      <formula>10.6</formula>
    </cfRule>
    <cfRule type="cellIs" dxfId="263" priority="1674" operator="between">
      <formula>7</formula>
      <formula>7.9</formula>
    </cfRule>
    <cfRule type="cellIs" dxfId="262" priority="1675" stopIfTrue="1" operator="between">
      <formula>8</formula>
      <formula>8.9</formula>
    </cfRule>
    <cfRule type="cellIs" dxfId="261" priority="1676" operator="between">
      <formula>9</formula>
      <formula>9.9</formula>
    </cfRule>
  </conditionalFormatting>
  <conditionalFormatting sqref="N127">
    <cfRule type="colorScale" priority="161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13">
      <colorScale>
        <cfvo type="num" val="5"/>
        <cfvo type="num" val="10"/>
        <color rgb="FFFF494D"/>
        <color rgb="FF00FF66"/>
      </colorScale>
    </cfRule>
  </conditionalFormatting>
  <conditionalFormatting sqref="N128:N135">
    <cfRule type="containsBlanks" dxfId="260" priority="1611" stopIfTrue="1">
      <formula>LEN(TRIM(N128))=0</formula>
    </cfRule>
    <cfRule type="containsBlanks" dxfId="259" priority="1605" stopIfTrue="1">
      <formula>LEN(TRIM(N128))=0</formula>
    </cfRule>
    <cfRule type="cellIs" dxfId="258" priority="1599" operator="between">
      <formula>6</formula>
      <formula>6.9</formula>
    </cfRule>
    <cfRule type="cellIs" dxfId="257" priority="1600" operator="between">
      <formula>10.1</formula>
      <formula>10.6</formula>
    </cfRule>
    <cfRule type="cellIs" dxfId="256" priority="1601" operator="between">
      <formula>7</formula>
      <formula>7.9</formula>
    </cfRule>
    <cfRule type="cellIs" dxfId="255" priority="1602" stopIfTrue="1" operator="between">
      <formula>8</formula>
      <formula>8.9</formula>
    </cfRule>
    <cfRule type="cellIs" dxfId="254" priority="1603" operator="between">
      <formula>9</formula>
      <formula>9.9</formula>
    </cfRule>
    <cfRule type="cellIs" dxfId="253" priority="1604" stopIfTrue="1" operator="between">
      <formula>10</formula>
      <formula>10</formula>
    </cfRule>
    <cfRule type="cellIs" dxfId="252" priority="1606" operator="between">
      <formula>10.1</formula>
      <formula>10.6</formula>
    </cfRule>
    <cfRule type="cellIs" dxfId="251" priority="1607" operator="between">
      <formula>7</formula>
      <formula>7.9</formula>
    </cfRule>
    <cfRule type="cellIs" dxfId="250" priority="1608" stopIfTrue="1" operator="between">
      <formula>8</formula>
      <formula>8.9</formula>
    </cfRule>
    <cfRule type="cellIs" dxfId="249" priority="1609" operator="between">
      <formula>9</formula>
      <formula>9.9</formula>
    </cfRule>
    <cfRule type="cellIs" dxfId="248" priority="1610" stopIfTrue="1" operator="between">
      <formula>10</formula>
      <formula>10</formula>
    </cfRule>
  </conditionalFormatting>
  <conditionalFormatting sqref="N137">
    <cfRule type="colorScale" priority="157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71">
      <colorScale>
        <cfvo type="num" val="5"/>
        <cfvo type="num" val="10"/>
        <color rgb="FFFF494D"/>
        <color rgb="FF00FF66"/>
      </colorScale>
    </cfRule>
  </conditionalFormatting>
  <conditionalFormatting sqref="N138:N142">
    <cfRule type="cellIs" dxfId="247" priority="1563" operator="between">
      <formula>6</formula>
      <formula>6.9</formula>
    </cfRule>
    <cfRule type="cellIs" dxfId="246" priority="1567" operator="between">
      <formula>9</formula>
      <formula>9.9</formula>
    </cfRule>
    <cfRule type="containsBlanks" dxfId="245" priority="1569" stopIfTrue="1">
      <formula>LEN(TRIM(N138))=0</formula>
    </cfRule>
    <cfRule type="cellIs" dxfId="244" priority="1568" stopIfTrue="1" operator="between">
      <formula>10</formula>
      <formula>10</formula>
    </cfRule>
    <cfRule type="cellIs" dxfId="243" priority="1564" operator="between">
      <formula>10.1</formula>
      <formula>10.6</formula>
    </cfRule>
    <cfRule type="cellIs" dxfId="242" priority="1565" operator="between">
      <formula>7</formula>
      <formula>7.9</formula>
    </cfRule>
    <cfRule type="cellIs" dxfId="241" priority="1566" stopIfTrue="1" operator="between">
      <formula>8</formula>
      <formula>8.9</formula>
    </cfRule>
  </conditionalFormatting>
  <conditionalFormatting sqref="N144">
    <cfRule type="colorScale" priority="1562">
      <colorScale>
        <cfvo type="num" val="5"/>
        <cfvo type="num" val="10"/>
        <color rgb="FFFF494D"/>
        <color rgb="FF00FF66"/>
      </colorScale>
    </cfRule>
    <cfRule type="colorScale" priority="156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145:N150">
    <cfRule type="cellIs" dxfId="240" priority="1555" operator="between">
      <formula>10.1</formula>
      <formula>10.6</formula>
    </cfRule>
    <cfRule type="containsBlanks" dxfId="239" priority="1560" stopIfTrue="1">
      <formula>LEN(TRIM(N145))=0</formula>
    </cfRule>
    <cfRule type="cellIs" dxfId="238" priority="1559" stopIfTrue="1" operator="between">
      <formula>10</formula>
      <formula>10</formula>
    </cfRule>
    <cfRule type="cellIs" dxfId="237" priority="1558" operator="between">
      <formula>9</formula>
      <formula>9.9</formula>
    </cfRule>
    <cfRule type="cellIs" dxfId="236" priority="1557" stopIfTrue="1" operator="between">
      <formula>8</formula>
      <formula>8.9</formula>
    </cfRule>
    <cfRule type="cellIs" dxfId="235" priority="1556" operator="between">
      <formula>7</formula>
      <formula>7.9</formula>
    </cfRule>
    <cfRule type="cellIs" dxfId="234" priority="1554" operator="between">
      <formula>6</formula>
      <formula>6.9</formula>
    </cfRule>
  </conditionalFormatting>
  <conditionalFormatting sqref="N152">
    <cfRule type="colorScale" priority="150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08">
      <colorScale>
        <cfvo type="num" val="5"/>
        <cfvo type="num" val="10"/>
        <color rgb="FFFF494D"/>
        <color rgb="FF00FF66"/>
      </colorScale>
    </cfRule>
  </conditionalFormatting>
  <conditionalFormatting sqref="N153:N159">
    <cfRule type="cellIs" dxfId="233" priority="1504" operator="between">
      <formula>9</formula>
      <formula>9.9</formula>
    </cfRule>
    <cfRule type="containsBlanks" dxfId="232" priority="1506" stopIfTrue="1">
      <formula>LEN(TRIM(N153))=0</formula>
    </cfRule>
    <cfRule type="cellIs" dxfId="231" priority="1505" stopIfTrue="1" operator="between">
      <formula>10</formula>
      <formula>10</formula>
    </cfRule>
    <cfRule type="cellIs" dxfId="230" priority="1503" stopIfTrue="1" operator="between">
      <formula>8</formula>
      <formula>8.9</formula>
    </cfRule>
    <cfRule type="cellIs" dxfId="229" priority="1502" operator="between">
      <formula>7</formula>
      <formula>7.9</formula>
    </cfRule>
    <cfRule type="cellIs" dxfId="228" priority="1500" operator="between">
      <formula>6</formula>
      <formula>6.9</formula>
    </cfRule>
    <cfRule type="cellIs" dxfId="227" priority="1501" operator="between">
      <formula>10.1</formula>
      <formula>10.6</formula>
    </cfRule>
  </conditionalFormatting>
  <conditionalFormatting sqref="N161">
    <cfRule type="colorScale" priority="148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83">
      <colorScale>
        <cfvo type="num" val="5"/>
        <cfvo type="num" val="10"/>
        <color rgb="FFFF494D"/>
        <color rgb="FF00FF66"/>
      </colorScale>
    </cfRule>
  </conditionalFormatting>
  <conditionalFormatting sqref="N162:N180 N183">
    <cfRule type="cellIs" dxfId="226" priority="1489" stopIfTrue="1" operator="between">
      <formula>10</formula>
      <formula>10</formula>
    </cfRule>
    <cfRule type="containsBlanks" dxfId="225" priority="1490" stopIfTrue="1">
      <formula>LEN(TRIM(N162))=0</formula>
    </cfRule>
    <cfRule type="cellIs" dxfId="224" priority="1484" operator="between">
      <formula>6</formula>
      <formula>6.9</formula>
    </cfRule>
    <cfRule type="cellIs" dxfId="223" priority="1485" operator="between">
      <formula>10.1</formula>
      <formula>10.6</formula>
    </cfRule>
    <cfRule type="cellIs" dxfId="222" priority="1486" operator="between">
      <formula>7</formula>
      <formula>7.9</formula>
    </cfRule>
    <cfRule type="cellIs" dxfId="221" priority="1487" stopIfTrue="1" operator="between">
      <formula>8</formula>
      <formula>8.9</formula>
    </cfRule>
    <cfRule type="cellIs" dxfId="220" priority="1488" operator="between">
      <formula>9</formula>
      <formula>9.9</formula>
    </cfRule>
  </conditionalFormatting>
  <conditionalFormatting sqref="N182">
    <cfRule type="colorScale" priority="1436">
      <colorScale>
        <cfvo type="num" val="5"/>
        <cfvo type="num" val="10"/>
        <color rgb="FFFF494D"/>
        <color rgb="FF00FF66"/>
      </colorScale>
    </cfRule>
    <cfRule type="colorScale" priority="143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185">
    <cfRule type="colorScale" priority="138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83">
      <colorScale>
        <cfvo type="num" val="5"/>
        <cfvo type="num" val="10"/>
        <color rgb="FFFF494D"/>
        <color rgb="FF00FF66"/>
      </colorScale>
    </cfRule>
  </conditionalFormatting>
  <conditionalFormatting sqref="N186:N209">
    <cfRule type="cellIs" dxfId="219" priority="1377" operator="between">
      <formula>7</formula>
      <formula>7.9</formula>
    </cfRule>
    <cfRule type="cellIs" dxfId="218" priority="1376" operator="between">
      <formula>10.1</formula>
      <formula>10.6</formula>
    </cfRule>
    <cfRule type="cellIs" dxfId="217" priority="1375" operator="between">
      <formula>6</formula>
      <formula>6.9</formula>
    </cfRule>
    <cfRule type="cellIs" dxfId="216" priority="1378" stopIfTrue="1" operator="between">
      <formula>8</formula>
      <formula>8.9</formula>
    </cfRule>
    <cfRule type="cellIs" dxfId="215" priority="1379" operator="between">
      <formula>9</formula>
      <formula>9.9</formula>
    </cfRule>
    <cfRule type="cellIs" dxfId="214" priority="1380" stopIfTrue="1" operator="between">
      <formula>10</formula>
      <formula>10</formula>
    </cfRule>
    <cfRule type="containsBlanks" dxfId="213" priority="1381" stopIfTrue="1">
      <formula>LEN(TRIM(N186))=0</formula>
    </cfRule>
  </conditionalFormatting>
  <conditionalFormatting sqref="N211">
    <cfRule type="colorScale" priority="1300">
      <colorScale>
        <cfvo type="num" val="5"/>
        <cfvo type="num" val="10"/>
        <color rgb="FFFF494D"/>
        <color rgb="FF00FF66"/>
      </colorScale>
    </cfRule>
    <cfRule type="colorScale" priority="129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212:N226">
    <cfRule type="cellIs" dxfId="212" priority="1293" operator="between">
      <formula>10.1</formula>
      <formula>11</formula>
    </cfRule>
    <cfRule type="cellIs" dxfId="211" priority="1292" operator="between">
      <formula>6</formula>
      <formula>6.9</formula>
    </cfRule>
    <cfRule type="cellIs" dxfId="210" priority="1296" operator="between">
      <formula>9</formula>
      <formula>9.9</formula>
    </cfRule>
    <cfRule type="containsBlanks" dxfId="209" priority="1298" stopIfTrue="1">
      <formula>LEN(TRIM(N212))=0</formula>
    </cfRule>
    <cfRule type="cellIs" dxfId="208" priority="1295" stopIfTrue="1" operator="between">
      <formula>8</formula>
      <formula>8.9</formula>
    </cfRule>
    <cfRule type="cellIs" dxfId="207" priority="1294" operator="between">
      <formula>7</formula>
      <formula>7.9</formula>
    </cfRule>
    <cfRule type="cellIs" dxfId="206" priority="1297" stopIfTrue="1" operator="between">
      <formula>10</formula>
      <formula>10</formula>
    </cfRule>
  </conditionalFormatting>
  <conditionalFormatting sqref="N228">
    <cfRule type="colorScale" priority="1237">
      <colorScale>
        <cfvo type="num" val="5"/>
        <cfvo type="num" val="10"/>
        <color rgb="FFFF494D"/>
        <color rgb="FF00FF66"/>
      </colorScale>
    </cfRule>
    <cfRule type="colorScale" priority="123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229:N238">
    <cfRule type="containsBlanks" dxfId="205" priority="1244" stopIfTrue="1">
      <formula>LEN(TRIM(N229))=0</formula>
    </cfRule>
    <cfRule type="cellIs" dxfId="204" priority="1242" operator="between">
      <formula>9</formula>
      <formula>9.9</formula>
    </cfRule>
    <cfRule type="cellIs" dxfId="203" priority="1240" operator="between">
      <formula>7</formula>
      <formula>7.9</formula>
    </cfRule>
    <cfRule type="cellIs" dxfId="202" priority="1239" operator="between">
      <formula>10.1</formula>
      <formula>11</formula>
    </cfRule>
    <cfRule type="cellIs" dxfId="201" priority="1238" operator="between">
      <formula>6</formula>
      <formula>6.9</formula>
    </cfRule>
    <cfRule type="cellIs" dxfId="200" priority="1241" stopIfTrue="1" operator="between">
      <formula>8</formula>
      <formula>8.9</formula>
    </cfRule>
    <cfRule type="cellIs" dxfId="199" priority="1243" stopIfTrue="1" operator="between">
      <formula>10</formula>
      <formula>10</formula>
    </cfRule>
  </conditionalFormatting>
  <conditionalFormatting sqref="N240">
    <cfRule type="colorScale" priority="119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92">
      <colorScale>
        <cfvo type="num" val="5"/>
        <cfvo type="num" val="10"/>
        <color rgb="FFFF494D"/>
        <color rgb="FF00FF66"/>
      </colorScale>
    </cfRule>
  </conditionalFormatting>
  <conditionalFormatting sqref="N241:N247">
    <cfRule type="cellIs" dxfId="198" priority="1188" operator="between">
      <formula>9</formula>
      <formula>9.9</formula>
    </cfRule>
    <cfRule type="cellIs" dxfId="197" priority="1189" stopIfTrue="1" operator="between">
      <formula>10</formula>
      <formula>10</formula>
    </cfRule>
    <cfRule type="cellIs" dxfId="196" priority="1186" operator="between">
      <formula>7</formula>
      <formula>7.9</formula>
    </cfRule>
    <cfRule type="cellIs" dxfId="195" priority="1185" operator="between">
      <formula>10.1</formula>
      <formula>10.6</formula>
    </cfRule>
    <cfRule type="cellIs" dxfId="194" priority="1184" operator="between">
      <formula>6</formula>
      <formula>6.9</formula>
    </cfRule>
    <cfRule type="cellIs" dxfId="193" priority="1187" stopIfTrue="1" operator="between">
      <formula>8</formula>
      <formula>8.9</formula>
    </cfRule>
    <cfRule type="containsBlanks" dxfId="192" priority="1190" stopIfTrue="1">
      <formula>LEN(TRIM(N241))=0</formula>
    </cfRule>
  </conditionalFormatting>
  <conditionalFormatting sqref="N249">
    <cfRule type="colorScale" priority="116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65">
      <colorScale>
        <cfvo type="num" val="5"/>
        <cfvo type="num" val="10"/>
        <color rgb="FFFF494D"/>
        <color rgb="FF00FF66"/>
      </colorScale>
    </cfRule>
  </conditionalFormatting>
  <conditionalFormatting sqref="N250:N275">
    <cfRule type="cellIs" dxfId="191" priority="1159" operator="between">
      <formula>7</formula>
      <formula>7.9</formula>
    </cfRule>
    <cfRule type="cellIs" dxfId="190" priority="1161" operator="between">
      <formula>9</formula>
      <formula>9.9</formula>
    </cfRule>
    <cfRule type="cellIs" dxfId="189" priority="1162" stopIfTrue="1" operator="between">
      <formula>10</formula>
      <formula>10</formula>
    </cfRule>
    <cfRule type="containsBlanks" dxfId="188" priority="1163" stopIfTrue="1">
      <formula>LEN(TRIM(N250))=0</formula>
    </cfRule>
    <cfRule type="cellIs" dxfId="187" priority="1160" stopIfTrue="1" operator="between">
      <formula>8</formula>
      <formula>8.9</formula>
    </cfRule>
    <cfRule type="cellIs" dxfId="186" priority="1157" operator="between">
      <formula>6</formula>
      <formula>6.9</formula>
    </cfRule>
    <cfRule type="cellIs" dxfId="185" priority="1158" operator="between">
      <formula>10.1</formula>
      <formula>10.6</formula>
    </cfRule>
  </conditionalFormatting>
  <conditionalFormatting sqref="N277">
    <cfRule type="colorScale" priority="105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55">
      <colorScale>
        <cfvo type="num" val="5"/>
        <cfvo type="num" val="10"/>
        <color rgb="FFFF494D"/>
        <color rgb="FF00FF66"/>
      </colorScale>
    </cfRule>
  </conditionalFormatting>
  <conditionalFormatting sqref="N278:N282">
    <cfRule type="cellIs" dxfId="184" priority="1047" operator="between">
      <formula>6</formula>
      <formula>6.9</formula>
    </cfRule>
    <cfRule type="cellIs" dxfId="183" priority="1048" operator="between">
      <formula>10.1</formula>
      <formula>10.6</formula>
    </cfRule>
    <cfRule type="cellIs" dxfId="182" priority="1049" operator="between">
      <formula>7</formula>
      <formula>7.9</formula>
    </cfRule>
    <cfRule type="cellIs" dxfId="181" priority="1052" stopIfTrue="1" operator="between">
      <formula>10</formula>
      <formula>10</formula>
    </cfRule>
    <cfRule type="containsBlanks" dxfId="180" priority="1053" stopIfTrue="1">
      <formula>LEN(TRIM(N278))=0</formula>
    </cfRule>
    <cfRule type="cellIs" dxfId="179" priority="1050" stopIfTrue="1" operator="between">
      <formula>8</formula>
      <formula>8.9</formula>
    </cfRule>
    <cfRule type="cellIs" dxfId="178" priority="1051" operator="between">
      <formula>9</formula>
      <formula>9.9</formula>
    </cfRule>
  </conditionalFormatting>
  <conditionalFormatting sqref="N284">
    <cfRule type="colorScale" priority="102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28">
      <colorScale>
        <cfvo type="num" val="5"/>
        <cfvo type="num" val="10"/>
        <color rgb="FFFF494D"/>
        <color rgb="FF00FF66"/>
      </colorScale>
    </cfRule>
  </conditionalFormatting>
  <conditionalFormatting sqref="N285:N295">
    <cfRule type="cellIs" dxfId="177" priority="1033" operator="between">
      <formula>9</formula>
      <formula>9.9</formula>
    </cfRule>
    <cfRule type="cellIs" dxfId="176" priority="1034" stopIfTrue="1" operator="between">
      <formula>10</formula>
      <formula>10</formula>
    </cfRule>
    <cfRule type="cellIs" dxfId="175" priority="1029" operator="between">
      <formula>6</formula>
      <formula>6.9</formula>
    </cfRule>
    <cfRule type="containsBlanks" dxfId="174" priority="1035" stopIfTrue="1">
      <formula>LEN(TRIM(N285))=0</formula>
    </cfRule>
    <cfRule type="cellIs" dxfId="173" priority="1030" operator="between">
      <formula>10.1</formula>
      <formula>10.6</formula>
    </cfRule>
    <cfRule type="cellIs" dxfId="172" priority="1032" stopIfTrue="1" operator="between">
      <formula>8</formula>
      <formula>8.9</formula>
    </cfRule>
    <cfRule type="cellIs" dxfId="171" priority="1031" operator="between">
      <formula>7</formula>
      <formula>7.9</formula>
    </cfRule>
  </conditionalFormatting>
  <conditionalFormatting sqref="N297">
    <cfRule type="colorScale" priority="97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77">
      <colorScale>
        <cfvo type="num" val="5"/>
        <cfvo type="num" val="10"/>
        <color rgb="FFFF494D"/>
        <color rgb="FF00FF66"/>
      </colorScale>
    </cfRule>
  </conditionalFormatting>
  <conditionalFormatting sqref="N298:N304">
    <cfRule type="cellIs" dxfId="170" priority="974" operator="between">
      <formula>9</formula>
      <formula>9.9</formula>
    </cfRule>
    <cfRule type="cellIs" dxfId="169" priority="975" stopIfTrue="1" operator="between">
      <formula>10</formula>
      <formula>10</formula>
    </cfRule>
    <cfRule type="cellIs" dxfId="168" priority="972" operator="between">
      <formula>7</formula>
      <formula>7.9</formula>
    </cfRule>
    <cfRule type="cellIs" dxfId="167" priority="973" stopIfTrue="1" operator="between">
      <formula>8</formula>
      <formula>8.9</formula>
    </cfRule>
    <cfRule type="cellIs" dxfId="166" priority="968" operator="lessThan">
      <formula>2</formula>
    </cfRule>
    <cfRule type="cellIs" dxfId="165" priority="971" operator="between">
      <formula>10.1</formula>
      <formula>10.6</formula>
    </cfRule>
    <cfRule type="cellIs" dxfId="164" priority="970" operator="between">
      <formula>5</formula>
      <formula>6.9</formula>
    </cfRule>
    <cfRule type="cellIs" dxfId="163" priority="969" operator="between">
      <formula>2</formula>
      <formula>4.9</formula>
    </cfRule>
    <cfRule type="containsBlanks" dxfId="162" priority="967" stopIfTrue="1">
      <formula>LEN(TRIM(N298))=0</formula>
    </cfRule>
  </conditionalFormatting>
  <conditionalFormatting sqref="N306">
    <cfRule type="colorScale" priority="94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46">
      <colorScale>
        <cfvo type="num" val="5"/>
        <cfvo type="num" val="10"/>
        <color rgb="FFFF494D"/>
        <color rgb="FF00FF66"/>
      </colorScale>
    </cfRule>
  </conditionalFormatting>
  <conditionalFormatting sqref="N307:N316">
    <cfRule type="cellIs" dxfId="161" priority="938" operator="between">
      <formula>2</formula>
      <formula>4.9</formula>
    </cfRule>
    <cfRule type="cellIs" dxfId="160" priority="937" operator="lessThan">
      <formula>2</formula>
    </cfRule>
    <cfRule type="containsBlanks" dxfId="159" priority="936" stopIfTrue="1">
      <formula>LEN(TRIM(N307))=0</formula>
    </cfRule>
    <cfRule type="cellIs" dxfId="158" priority="939" operator="between">
      <formula>5</formula>
      <formula>6.9</formula>
    </cfRule>
    <cfRule type="cellIs" dxfId="157" priority="940" operator="between">
      <formula>10.1</formula>
      <formula>10.6</formula>
    </cfRule>
    <cfRule type="cellIs" dxfId="156" priority="942" stopIfTrue="1" operator="between">
      <formula>8</formula>
      <formula>8.9</formula>
    </cfRule>
    <cfRule type="cellIs" dxfId="155" priority="943" operator="between">
      <formula>9</formula>
      <formula>9.9</formula>
    </cfRule>
    <cfRule type="cellIs" dxfId="154" priority="944" stopIfTrue="1" operator="between">
      <formula>10</formula>
      <formula>10</formula>
    </cfRule>
    <cfRule type="cellIs" dxfId="153" priority="941" operator="between">
      <formula>7</formula>
      <formula>7.9</formula>
    </cfRule>
  </conditionalFormatting>
  <conditionalFormatting sqref="N318">
    <cfRule type="colorScale" priority="882">
      <colorScale>
        <cfvo type="num" val="5"/>
        <cfvo type="num" val="10"/>
        <color rgb="FFFF494D"/>
        <color rgb="FF00FF66"/>
      </colorScale>
    </cfRule>
    <cfRule type="colorScale" priority="88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319:N326">
    <cfRule type="cellIs" dxfId="152" priority="875" operator="between">
      <formula>5</formula>
      <formula>6.9</formula>
    </cfRule>
    <cfRule type="cellIs" dxfId="151" priority="874" operator="between">
      <formula>2</formula>
      <formula>4.9</formula>
    </cfRule>
    <cfRule type="cellIs" dxfId="150" priority="873" operator="lessThan">
      <formula>2</formula>
    </cfRule>
    <cfRule type="containsBlanks" dxfId="149" priority="872" stopIfTrue="1">
      <formula>LEN(TRIM(N319))=0</formula>
    </cfRule>
    <cfRule type="cellIs" dxfId="148" priority="877" operator="between">
      <formula>7</formula>
      <formula>7.9</formula>
    </cfRule>
    <cfRule type="cellIs" dxfId="147" priority="880" stopIfTrue="1" operator="between">
      <formula>10</formula>
      <formula>10</formula>
    </cfRule>
    <cfRule type="cellIs" dxfId="146" priority="879" operator="between">
      <formula>9</formula>
      <formula>9.9</formula>
    </cfRule>
    <cfRule type="cellIs" dxfId="145" priority="878" stopIfTrue="1" operator="between">
      <formula>8</formula>
      <formula>8.9</formula>
    </cfRule>
    <cfRule type="cellIs" dxfId="144" priority="876" operator="between">
      <formula>10.1</formula>
      <formula>10.6</formula>
    </cfRule>
  </conditionalFormatting>
  <conditionalFormatting sqref="N328">
    <cfRule type="colorScale" priority="83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38">
      <colorScale>
        <cfvo type="num" val="5"/>
        <cfvo type="num" val="10"/>
        <color rgb="FFFF494D"/>
        <color rgb="FF00FF66"/>
      </colorScale>
    </cfRule>
  </conditionalFormatting>
  <conditionalFormatting sqref="N329:N336">
    <cfRule type="containsBlanks" dxfId="143" priority="828" stopIfTrue="1">
      <formula>LEN(TRIM(N329))=0</formula>
    </cfRule>
    <cfRule type="cellIs" dxfId="142" priority="829" operator="lessThan">
      <formula>2</formula>
    </cfRule>
    <cfRule type="cellIs" dxfId="141" priority="831" operator="between">
      <formula>5</formula>
      <formula>6.9</formula>
    </cfRule>
    <cfRule type="cellIs" dxfId="140" priority="832" operator="between">
      <formula>10.1</formula>
      <formula>10.6</formula>
    </cfRule>
    <cfRule type="cellIs" dxfId="139" priority="830" operator="between">
      <formula>2</formula>
      <formula>4.9</formula>
    </cfRule>
    <cfRule type="cellIs" dxfId="138" priority="833" operator="between">
      <formula>7</formula>
      <formula>7.9</formula>
    </cfRule>
    <cfRule type="cellIs" dxfId="137" priority="834" stopIfTrue="1" operator="between">
      <formula>8</formula>
      <formula>8.9</formula>
    </cfRule>
    <cfRule type="cellIs" dxfId="136" priority="835" operator="between">
      <formula>9</formula>
      <formula>9.9</formula>
    </cfRule>
    <cfRule type="cellIs" dxfId="135" priority="836" stopIfTrue="1" operator="between">
      <formula>10</formula>
      <formula>10</formula>
    </cfRule>
  </conditionalFormatting>
  <conditionalFormatting sqref="N338">
    <cfRule type="colorScale" priority="816">
      <colorScale>
        <cfvo type="num" val="5"/>
        <cfvo type="num" val="10"/>
        <color rgb="FFFF494D"/>
        <color rgb="FF00FF66"/>
      </colorScale>
    </cfRule>
    <cfRule type="colorScale" priority="81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339:N353">
    <cfRule type="cellIs" dxfId="134" priority="812" stopIfTrue="1" operator="between">
      <formula>8</formula>
      <formula>8.9</formula>
    </cfRule>
    <cfRule type="cellIs" dxfId="133" priority="811" operator="between">
      <formula>7</formula>
      <formula>7.9</formula>
    </cfRule>
    <cfRule type="cellIs" dxfId="132" priority="810" operator="between">
      <formula>10.1</formula>
      <formula>10.6</formula>
    </cfRule>
    <cfRule type="cellIs" dxfId="131" priority="814" stopIfTrue="1" operator="between">
      <formula>10</formula>
      <formula>10</formula>
    </cfRule>
    <cfRule type="cellIs" dxfId="130" priority="813" operator="between">
      <formula>9</formula>
      <formula>9.9</formula>
    </cfRule>
    <cfRule type="containsBlanks" dxfId="129" priority="806" stopIfTrue="1">
      <formula>LEN(TRIM(N339))=0</formula>
    </cfRule>
    <cfRule type="cellIs" dxfId="128" priority="807" operator="lessThan">
      <formula>2</formula>
    </cfRule>
    <cfRule type="cellIs" dxfId="127" priority="808" operator="between">
      <formula>2</formula>
      <formula>4.9</formula>
    </cfRule>
    <cfRule type="cellIs" dxfId="126" priority="809" operator="between">
      <formula>5</formula>
      <formula>6.9</formula>
    </cfRule>
  </conditionalFormatting>
  <conditionalFormatting sqref="N355">
    <cfRule type="colorScale" priority="75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52">
      <colorScale>
        <cfvo type="num" val="5"/>
        <cfvo type="num" val="10"/>
        <color rgb="FFFF494D"/>
        <color rgb="FF00FF66"/>
      </colorScale>
    </cfRule>
  </conditionalFormatting>
  <conditionalFormatting sqref="N356:N365">
    <cfRule type="cellIs" dxfId="125" priority="761" stopIfTrue="1" operator="between">
      <formula>10</formula>
      <formula>10</formula>
    </cfRule>
    <cfRule type="cellIs" dxfId="124" priority="760" operator="between">
      <formula>9</formula>
      <formula>9.9</formula>
    </cfRule>
    <cfRule type="cellIs" dxfId="123" priority="759" stopIfTrue="1" operator="between">
      <formula>8</formula>
      <formula>8.9</formula>
    </cfRule>
    <cfRule type="cellIs" dxfId="122" priority="758" operator="between">
      <formula>7</formula>
      <formula>7.9</formula>
    </cfRule>
    <cfRule type="cellIs" dxfId="121" priority="757" operator="between">
      <formula>10.1</formula>
      <formula>10.6</formula>
    </cfRule>
    <cfRule type="cellIs" dxfId="120" priority="755" operator="between">
      <formula>2</formula>
      <formula>4.9</formula>
    </cfRule>
    <cfRule type="cellIs" dxfId="119" priority="754" operator="lessThan">
      <formula>2</formula>
    </cfRule>
    <cfRule type="containsBlanks" dxfId="118" priority="753" stopIfTrue="1">
      <formula>LEN(TRIM(N356))=0</formula>
    </cfRule>
    <cfRule type="cellIs" dxfId="117" priority="756" operator="between">
      <formula>5</formula>
      <formula>6.9</formula>
    </cfRule>
  </conditionalFormatting>
  <conditionalFormatting sqref="N367">
    <cfRule type="colorScale" priority="695">
      <colorScale>
        <cfvo type="num" val="5"/>
        <cfvo type="num" val="10"/>
        <color rgb="FFFF494D"/>
        <color rgb="FF00FF66"/>
      </colorScale>
    </cfRule>
    <cfRule type="colorScale" priority="69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368:N372">
    <cfRule type="cellIs" dxfId="116" priority="698" operator="between">
      <formula>2</formula>
      <formula>4.9</formula>
    </cfRule>
    <cfRule type="cellIs" dxfId="115" priority="697" operator="lessThan">
      <formula>2</formula>
    </cfRule>
    <cfRule type="containsBlanks" dxfId="114" priority="696" stopIfTrue="1">
      <formula>LEN(TRIM(N368))=0</formula>
    </cfRule>
    <cfRule type="cellIs" dxfId="113" priority="704" stopIfTrue="1" operator="between">
      <formula>10</formula>
      <formula>10</formula>
    </cfRule>
    <cfRule type="cellIs" dxfId="112" priority="703" operator="between">
      <formula>9</formula>
      <formula>9.9</formula>
    </cfRule>
    <cfRule type="cellIs" dxfId="111" priority="702" stopIfTrue="1" operator="between">
      <formula>8</formula>
      <formula>8.9</formula>
    </cfRule>
    <cfRule type="cellIs" dxfId="110" priority="701" operator="between">
      <formula>7</formula>
      <formula>7.9</formula>
    </cfRule>
    <cfRule type="cellIs" dxfId="109" priority="700" operator="between">
      <formula>10.1</formula>
      <formula>10.6</formula>
    </cfRule>
    <cfRule type="cellIs" dxfId="108" priority="699" operator="between">
      <formula>5</formula>
      <formula>6.9</formula>
    </cfRule>
  </conditionalFormatting>
  <conditionalFormatting sqref="N374">
    <cfRule type="colorScale" priority="66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69">
      <colorScale>
        <cfvo type="num" val="5"/>
        <cfvo type="num" val="10"/>
        <color rgb="FFFF494D"/>
        <color rgb="FF00FF66"/>
      </colorScale>
    </cfRule>
  </conditionalFormatting>
  <conditionalFormatting sqref="N375:N382">
    <cfRule type="cellIs" dxfId="107" priority="662" operator="between">
      <formula>5</formula>
      <formula>6.9</formula>
    </cfRule>
    <cfRule type="cellIs" dxfId="106" priority="660" operator="lessThan">
      <formula>2</formula>
    </cfRule>
    <cfRule type="containsBlanks" dxfId="105" priority="659" stopIfTrue="1">
      <formula>LEN(TRIM(N375))=0</formula>
    </cfRule>
    <cfRule type="cellIs" dxfId="104" priority="661" operator="between">
      <formula>2</formula>
      <formula>4.9</formula>
    </cfRule>
    <cfRule type="cellIs" dxfId="103" priority="663" operator="between">
      <formula>10.1</formula>
      <formula>10.6</formula>
    </cfRule>
    <cfRule type="cellIs" dxfId="102" priority="664" operator="between">
      <formula>7</formula>
      <formula>7.9</formula>
    </cfRule>
    <cfRule type="cellIs" dxfId="101" priority="665" stopIfTrue="1" operator="between">
      <formula>8</formula>
      <formula>8.9</formula>
    </cfRule>
    <cfRule type="cellIs" dxfId="100" priority="666" operator="between">
      <formula>9</formula>
      <formula>9.9</formula>
    </cfRule>
    <cfRule type="cellIs" dxfId="99" priority="667" stopIfTrue="1" operator="between">
      <formula>10</formula>
      <formula>10</formula>
    </cfRule>
  </conditionalFormatting>
  <conditionalFormatting sqref="N384">
    <cfRule type="colorScale" priority="615">
      <colorScale>
        <cfvo type="num" val="5"/>
        <cfvo type="num" val="10"/>
        <color rgb="FFFF494D"/>
        <color rgb="FF00FF66"/>
      </colorScale>
    </cfRule>
    <cfRule type="colorScale" priority="61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385:N395">
    <cfRule type="cellIs" dxfId="98" priority="609" operator="between">
      <formula>10.1</formula>
      <formula>10.6</formula>
    </cfRule>
    <cfRule type="cellIs" dxfId="97" priority="608" operator="between">
      <formula>5</formula>
      <formula>6.9</formula>
    </cfRule>
    <cfRule type="cellIs" dxfId="96" priority="607" operator="between">
      <formula>2</formula>
      <formula>4.9</formula>
    </cfRule>
    <cfRule type="cellIs" dxfId="95" priority="606" operator="lessThan">
      <formula>2</formula>
    </cfRule>
    <cfRule type="cellIs" dxfId="94" priority="611" stopIfTrue="1" operator="between">
      <formula>8</formula>
      <formula>8.9</formula>
    </cfRule>
    <cfRule type="cellIs" dxfId="93" priority="613" stopIfTrue="1" operator="between">
      <formula>10</formula>
      <formula>10</formula>
    </cfRule>
    <cfRule type="cellIs" dxfId="92" priority="610" operator="between">
      <formula>7</formula>
      <formula>7.9</formula>
    </cfRule>
    <cfRule type="cellIs" dxfId="91" priority="612" operator="between">
      <formula>9</formula>
      <formula>9.9</formula>
    </cfRule>
    <cfRule type="containsBlanks" dxfId="90" priority="605" stopIfTrue="1">
      <formula>LEN(TRIM(N385))=0</formula>
    </cfRule>
  </conditionalFormatting>
  <conditionalFormatting sqref="N397">
    <cfRule type="colorScale" priority="560">
      <colorScale>
        <cfvo type="num" val="5"/>
        <cfvo type="num" val="10"/>
        <color rgb="FFFF494D"/>
        <color rgb="FF00FF66"/>
      </colorScale>
    </cfRule>
    <cfRule type="colorScale" priority="55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398:N410">
    <cfRule type="cellIs" dxfId="89" priority="556" stopIfTrue="1" operator="between">
      <formula>8</formula>
      <formula>8.9</formula>
    </cfRule>
    <cfRule type="cellIs" dxfId="88" priority="555" operator="between">
      <formula>7</formula>
      <formula>7.9</formula>
    </cfRule>
    <cfRule type="cellIs" dxfId="87" priority="554" operator="between">
      <formula>10.1</formula>
      <formula>10.6</formula>
    </cfRule>
    <cfRule type="cellIs" dxfId="86" priority="557" operator="between">
      <formula>9</formula>
      <formula>9.9</formula>
    </cfRule>
    <cfRule type="cellIs" dxfId="85" priority="553" operator="between">
      <formula>5</formula>
      <formula>6.9</formula>
    </cfRule>
    <cfRule type="cellIs" dxfId="84" priority="558" stopIfTrue="1" operator="between">
      <formula>10</formula>
      <formula>10</formula>
    </cfRule>
    <cfRule type="cellIs" dxfId="83" priority="552" operator="between">
      <formula>2</formula>
      <formula>4.9</formula>
    </cfRule>
    <cfRule type="cellIs" dxfId="82" priority="551" operator="lessThan">
      <formula>2</formula>
    </cfRule>
    <cfRule type="containsBlanks" dxfId="81" priority="550" stopIfTrue="1">
      <formula>LEN(TRIM(N398))=0</formula>
    </cfRule>
  </conditionalFormatting>
  <conditionalFormatting sqref="N412">
    <cfRule type="colorScale" priority="473">
      <colorScale>
        <cfvo type="num" val="5"/>
        <cfvo type="num" val="10"/>
        <color rgb="FFFF494D"/>
        <color rgb="FF00FF66"/>
      </colorScale>
    </cfRule>
    <cfRule type="colorScale" priority="47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413:N415">
    <cfRule type="containsBlanks" dxfId="80" priority="474" stopIfTrue="1">
      <formula>LEN(TRIM(N413))=0</formula>
    </cfRule>
    <cfRule type="cellIs" dxfId="79" priority="480" stopIfTrue="1" operator="between">
      <formula>8</formula>
      <formula>8.9</formula>
    </cfRule>
    <cfRule type="cellIs" dxfId="78" priority="482" stopIfTrue="1" operator="between">
      <formula>10</formula>
      <formula>10</formula>
    </cfRule>
    <cfRule type="cellIs" dxfId="77" priority="481" operator="between">
      <formula>9</formula>
      <formula>9.9</formula>
    </cfRule>
    <cfRule type="cellIs" dxfId="76" priority="479" operator="between">
      <formula>7</formula>
      <formula>7.9</formula>
    </cfRule>
    <cfRule type="cellIs" dxfId="75" priority="478" operator="between">
      <formula>10.1</formula>
      <formula>10.6</formula>
    </cfRule>
    <cfRule type="cellIs" dxfId="74" priority="477" operator="between">
      <formula>5</formula>
      <formula>6.9</formula>
    </cfRule>
    <cfRule type="cellIs" dxfId="73" priority="476" operator="between">
      <formula>2</formula>
      <formula>4.9</formula>
    </cfRule>
    <cfRule type="cellIs" dxfId="72" priority="475" operator="lessThan">
      <formula>2</formula>
    </cfRule>
  </conditionalFormatting>
  <conditionalFormatting sqref="N417">
    <cfRule type="colorScale" priority="431">
      <colorScale>
        <cfvo type="num" val="5"/>
        <cfvo type="num" val="10"/>
        <color rgb="FFFF494D"/>
        <color rgb="FF00FF66"/>
      </colorScale>
    </cfRule>
    <cfRule type="colorScale" priority="43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418:N428">
    <cfRule type="cellIs" dxfId="71" priority="437" operator="between">
      <formula>7</formula>
      <formula>7.9</formula>
    </cfRule>
    <cfRule type="cellIs" dxfId="70" priority="436" operator="between">
      <formula>10.1</formula>
      <formula>10.6</formula>
    </cfRule>
    <cfRule type="cellIs" dxfId="69" priority="435" operator="between">
      <formula>5</formula>
      <formula>6.9</formula>
    </cfRule>
    <cfRule type="cellIs" dxfId="68" priority="434" operator="between">
      <formula>2</formula>
      <formula>4.9</formula>
    </cfRule>
    <cfRule type="cellIs" dxfId="67" priority="433" operator="lessThan">
      <formula>2</formula>
    </cfRule>
    <cfRule type="containsBlanks" dxfId="66" priority="432" stopIfTrue="1">
      <formula>LEN(TRIM(N418))=0</formula>
    </cfRule>
    <cfRule type="cellIs" dxfId="65" priority="438" stopIfTrue="1" operator="between">
      <formula>8</formula>
      <formula>8.9</formula>
    </cfRule>
    <cfRule type="cellIs" dxfId="64" priority="439" operator="between">
      <formula>9</formula>
      <formula>9.9</formula>
    </cfRule>
    <cfRule type="cellIs" dxfId="63" priority="440" stopIfTrue="1" operator="between">
      <formula>10</formula>
      <formula>10</formula>
    </cfRule>
  </conditionalFormatting>
  <conditionalFormatting sqref="N430">
    <cfRule type="colorScale" priority="383">
      <colorScale>
        <cfvo type="num" val="5"/>
        <cfvo type="num" val="10"/>
        <color rgb="FFFF494D"/>
        <color rgb="FF00FF66"/>
      </colorScale>
    </cfRule>
    <cfRule type="colorScale" priority="38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431:N441">
    <cfRule type="cellIs" dxfId="62" priority="376" operator="between">
      <formula>5</formula>
      <formula>6.9</formula>
    </cfRule>
    <cfRule type="cellIs" dxfId="61" priority="381" stopIfTrue="1" operator="between">
      <formula>10</formula>
      <formula>10</formula>
    </cfRule>
    <cfRule type="cellIs" dxfId="60" priority="375" operator="between">
      <formula>2</formula>
      <formula>4.9</formula>
    </cfRule>
    <cfRule type="cellIs" dxfId="59" priority="374" operator="lessThan">
      <formula>2</formula>
    </cfRule>
    <cfRule type="containsBlanks" dxfId="58" priority="373" stopIfTrue="1">
      <formula>LEN(TRIM(N431))=0</formula>
    </cfRule>
    <cfRule type="cellIs" dxfId="57" priority="378" operator="between">
      <formula>7</formula>
      <formula>7.9</formula>
    </cfRule>
    <cfRule type="cellIs" dxfId="56" priority="380" operator="between">
      <formula>9</formula>
      <formula>9.9</formula>
    </cfRule>
    <cfRule type="cellIs" dxfId="55" priority="379" stopIfTrue="1" operator="between">
      <formula>8</formula>
      <formula>8.9</formula>
    </cfRule>
    <cfRule type="cellIs" dxfId="54" priority="377" operator="between">
      <formula>10.1</formula>
      <formula>10.6</formula>
    </cfRule>
  </conditionalFormatting>
  <conditionalFormatting sqref="N443">
    <cfRule type="colorScale" priority="288">
      <colorScale>
        <cfvo type="num" val="5"/>
        <cfvo type="num" val="10"/>
        <color rgb="FFFF494D"/>
        <color rgb="FF00FF66"/>
      </colorScale>
    </cfRule>
    <cfRule type="colorScale" priority="28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444:N466">
    <cfRule type="containsBlanks" dxfId="53" priority="289" stopIfTrue="1">
      <formula>LEN(TRIM(N444))=0</formula>
    </cfRule>
    <cfRule type="cellIs" dxfId="52" priority="290" operator="lessThan">
      <formula>2</formula>
    </cfRule>
    <cfRule type="cellIs" dxfId="51" priority="292" operator="between">
      <formula>5</formula>
      <formula>6.9</formula>
    </cfRule>
    <cfRule type="cellIs" dxfId="50" priority="293" operator="between">
      <formula>10.1</formula>
      <formula>10.6</formula>
    </cfRule>
    <cfRule type="cellIs" dxfId="49" priority="294" operator="between">
      <formula>7</formula>
      <formula>7.9</formula>
    </cfRule>
    <cfRule type="cellIs" dxfId="48" priority="295" stopIfTrue="1" operator="between">
      <formula>8</formula>
      <formula>8.9</formula>
    </cfRule>
    <cfRule type="cellIs" dxfId="47" priority="297" stopIfTrue="1" operator="between">
      <formula>10</formula>
      <formula>10</formula>
    </cfRule>
    <cfRule type="cellIs" dxfId="46" priority="291" operator="between">
      <formula>2</formula>
      <formula>4.9</formula>
    </cfRule>
    <cfRule type="cellIs" dxfId="45" priority="296" operator="between">
      <formula>9</formula>
      <formula>9.9</formula>
    </cfRule>
  </conditionalFormatting>
  <conditionalFormatting sqref="N468">
    <cfRule type="colorScale" priority="21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11">
      <colorScale>
        <cfvo type="num" val="5"/>
        <cfvo type="num" val="10"/>
        <color rgb="FFFF494D"/>
        <color rgb="FF00FF66"/>
      </colorScale>
    </cfRule>
  </conditionalFormatting>
  <conditionalFormatting sqref="N469:N478">
    <cfRule type="cellIs" dxfId="44" priority="218" stopIfTrue="1" operator="between">
      <formula>8</formula>
      <formula>8.9</formula>
    </cfRule>
    <cfRule type="cellIs" dxfId="43" priority="219" operator="between">
      <formula>9</formula>
      <formula>9.9</formula>
    </cfRule>
    <cfRule type="cellIs" dxfId="42" priority="214" operator="between">
      <formula>2</formula>
      <formula>4.9</formula>
    </cfRule>
    <cfRule type="cellIs" dxfId="41" priority="215" operator="between">
      <formula>5</formula>
      <formula>6.9</formula>
    </cfRule>
    <cfRule type="cellIs" dxfId="40" priority="216" operator="between">
      <formula>10.1</formula>
      <formula>10.6</formula>
    </cfRule>
    <cfRule type="cellIs" dxfId="39" priority="220" stopIfTrue="1" operator="between">
      <formula>10</formula>
      <formula>10</formula>
    </cfRule>
    <cfRule type="cellIs" dxfId="38" priority="217" operator="between">
      <formula>7</formula>
      <formula>7.9</formula>
    </cfRule>
    <cfRule type="containsBlanks" dxfId="37" priority="212" stopIfTrue="1">
      <formula>LEN(TRIM(N469))=0</formula>
    </cfRule>
    <cfRule type="cellIs" dxfId="36" priority="213" operator="lessThan">
      <formula>2</formula>
    </cfRule>
  </conditionalFormatting>
  <conditionalFormatting sqref="N480">
    <cfRule type="colorScale" priority="167">
      <colorScale>
        <cfvo type="num" val="5"/>
        <cfvo type="num" val="10"/>
        <color rgb="FFFF494D"/>
        <color rgb="FF00FF66"/>
      </colorScale>
    </cfRule>
    <cfRule type="colorScale" priority="16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481:N486">
    <cfRule type="cellIs" dxfId="35" priority="169" operator="lessThan">
      <formula>2</formula>
    </cfRule>
    <cfRule type="cellIs" dxfId="34" priority="170" operator="between">
      <formula>2</formula>
      <formula>4.9</formula>
    </cfRule>
    <cfRule type="cellIs" dxfId="33" priority="171" operator="between">
      <formula>5</formula>
      <formula>6.9</formula>
    </cfRule>
    <cfRule type="cellIs" dxfId="32" priority="172" operator="between">
      <formula>10.1</formula>
      <formula>10.6</formula>
    </cfRule>
    <cfRule type="cellIs" dxfId="31" priority="173" operator="between">
      <formula>7</formula>
      <formula>7.9</formula>
    </cfRule>
    <cfRule type="cellIs" dxfId="30" priority="174" stopIfTrue="1" operator="between">
      <formula>8</formula>
      <formula>8.9</formula>
    </cfRule>
    <cfRule type="cellIs" dxfId="29" priority="176" stopIfTrue="1" operator="between">
      <formula>10</formula>
      <formula>10</formula>
    </cfRule>
    <cfRule type="cellIs" dxfId="28" priority="175" operator="between">
      <formula>9</formula>
      <formula>9.9</formula>
    </cfRule>
    <cfRule type="containsBlanks" dxfId="27" priority="168" stopIfTrue="1">
      <formula>LEN(TRIM(N481))=0</formula>
    </cfRule>
  </conditionalFormatting>
  <conditionalFormatting sqref="N488">
    <cfRule type="colorScale" priority="123">
      <colorScale>
        <cfvo type="num" val="5"/>
        <cfvo type="num" val="10"/>
        <color rgb="FFFF494D"/>
        <color rgb="FF00FF66"/>
      </colorScale>
    </cfRule>
    <cfRule type="colorScale" priority="12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489:N498">
    <cfRule type="cellIs" dxfId="26" priority="127" operator="between">
      <formula>5</formula>
      <formula>6.9</formula>
    </cfRule>
    <cfRule type="cellIs" dxfId="25" priority="131" operator="between">
      <formula>9</formula>
      <formula>9.9</formula>
    </cfRule>
    <cfRule type="cellIs" dxfId="24" priority="132" stopIfTrue="1" operator="between">
      <formula>10</formula>
      <formula>10</formula>
    </cfRule>
    <cfRule type="cellIs" dxfId="23" priority="125" operator="lessThan">
      <formula>2</formula>
    </cfRule>
    <cfRule type="containsBlanks" dxfId="22" priority="124" stopIfTrue="1">
      <formula>LEN(TRIM(N489))=0</formula>
    </cfRule>
    <cfRule type="cellIs" dxfId="21" priority="128" operator="between">
      <formula>10.1</formula>
      <formula>10.6</formula>
    </cfRule>
    <cfRule type="cellIs" dxfId="20" priority="129" operator="between">
      <formula>7</formula>
      <formula>7.9</formula>
    </cfRule>
    <cfRule type="cellIs" dxfId="19" priority="130" stopIfTrue="1" operator="between">
      <formula>8</formula>
      <formula>8.9</formula>
    </cfRule>
    <cfRule type="cellIs" dxfId="18" priority="126" operator="between">
      <formula>2</formula>
      <formula>4.9</formula>
    </cfRule>
  </conditionalFormatting>
  <conditionalFormatting sqref="N500">
    <cfRule type="colorScale" priority="6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8">
      <colorScale>
        <cfvo type="num" val="5"/>
        <cfvo type="num" val="10"/>
        <color rgb="FFFF494D"/>
        <color rgb="FF00FF66"/>
      </colorScale>
    </cfRule>
  </conditionalFormatting>
  <conditionalFormatting sqref="N501:N510">
    <cfRule type="cellIs" dxfId="17" priority="70" operator="lessThan">
      <formula>2</formula>
    </cfRule>
    <cfRule type="cellIs" dxfId="16" priority="71" operator="between">
      <formula>2</formula>
      <formula>4.9</formula>
    </cfRule>
    <cfRule type="containsBlanks" dxfId="15" priority="69" stopIfTrue="1">
      <formula>LEN(TRIM(N501))=0</formula>
    </cfRule>
    <cfRule type="cellIs" dxfId="14" priority="72" operator="between">
      <formula>5</formula>
      <formula>6.9</formula>
    </cfRule>
    <cfRule type="cellIs" dxfId="13" priority="73" operator="between">
      <formula>10.1</formula>
      <formula>10.6</formula>
    </cfRule>
    <cfRule type="cellIs" dxfId="12" priority="74" operator="between">
      <formula>7</formula>
      <formula>7.9</formula>
    </cfRule>
    <cfRule type="cellIs" dxfId="11" priority="75" stopIfTrue="1" operator="between">
      <formula>8</formula>
      <formula>8.9</formula>
    </cfRule>
    <cfRule type="cellIs" dxfId="10" priority="76" operator="between">
      <formula>9</formula>
      <formula>9.9</formula>
    </cfRule>
    <cfRule type="cellIs" dxfId="9" priority="77" stopIfTrue="1" operator="between">
      <formula>10</formula>
      <formula>10</formula>
    </cfRule>
  </conditionalFormatting>
  <conditionalFormatting sqref="N512">
    <cfRule type="colorScale" priority="35">
      <colorScale>
        <cfvo type="num" val="5"/>
        <cfvo type="num" val="10"/>
        <color rgb="FFFF494D"/>
        <color rgb="FF00FF66"/>
      </colorScale>
    </cfRule>
    <cfRule type="colorScale" priority="3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513:N523">
    <cfRule type="cellIs" dxfId="8" priority="43" operator="between">
      <formula>9</formula>
      <formula>9.9</formula>
    </cfRule>
    <cfRule type="cellIs" dxfId="7" priority="37" operator="lessThan">
      <formula>2</formula>
    </cfRule>
    <cfRule type="cellIs" dxfId="6" priority="44" stopIfTrue="1" operator="between">
      <formula>10</formula>
      <formula>10</formula>
    </cfRule>
    <cfRule type="cellIs" dxfId="5" priority="40" operator="between">
      <formula>10.1</formula>
      <formula>10.6</formula>
    </cfRule>
    <cfRule type="cellIs" dxfId="4" priority="39" operator="between">
      <formula>5</formula>
      <formula>6.9</formula>
    </cfRule>
    <cfRule type="cellIs" dxfId="3" priority="38" operator="between">
      <formula>2</formula>
      <formula>4.9</formula>
    </cfRule>
    <cfRule type="cellIs" dxfId="2" priority="42" stopIfTrue="1" operator="between">
      <formula>8</formula>
      <formula>8.9</formula>
    </cfRule>
    <cfRule type="cellIs" dxfId="1" priority="41" operator="between">
      <formula>7</formula>
      <formula>7.9</formula>
    </cfRule>
    <cfRule type="containsBlanks" dxfId="0" priority="36" stopIfTrue="1">
      <formula>LEN(TRIM(N513))=0</formula>
    </cfRule>
  </conditionalFormatting>
  <pageMargins left="0.7" right="0.7" top="0.75" bottom="0.75" header="0.3" footer="0.3"/>
  <pageSetup paperSize="9" scale="17" orientation="landscape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996A54-3138-47A5-A300-0A05833ABA54}">
  <dimension ref="A1:N206"/>
  <sheetViews>
    <sheetView zoomScale="80" zoomScaleNormal="80" workbookViewId="0">
      <selection activeCell="E10" sqref="E10"/>
    </sheetView>
  </sheetViews>
  <sheetFormatPr defaultColWidth="8.796875" defaultRowHeight="15.6" x14ac:dyDescent="0.3"/>
  <cols>
    <col min="1" max="1" width="4.3984375" bestFit="1" customWidth="1"/>
    <col min="2" max="2" width="26.09765625" bestFit="1" customWidth="1"/>
    <col min="3" max="3" width="43" bestFit="1" customWidth="1"/>
    <col min="4" max="4" width="6.5" bestFit="1" customWidth="1"/>
    <col min="5" max="5" width="15.09765625" bestFit="1" customWidth="1"/>
    <col min="6" max="6" width="8.19921875" bestFit="1" customWidth="1"/>
    <col min="7" max="7" width="10.8984375" bestFit="1" customWidth="1"/>
    <col min="8" max="8" width="9.5" bestFit="1" customWidth="1"/>
    <col min="9" max="9" width="14.59765625" bestFit="1" customWidth="1"/>
    <col min="10" max="10" width="10.5" bestFit="1" customWidth="1"/>
    <col min="11" max="11" width="33.19921875" bestFit="1" customWidth="1"/>
    <col min="12" max="12" width="5.5" bestFit="1" customWidth="1"/>
    <col min="13" max="13" width="8.59765625" bestFit="1" customWidth="1"/>
    <col min="14" max="14" width="14.59765625" bestFit="1" customWidth="1"/>
  </cols>
  <sheetData>
    <row r="1" spans="1:14" ht="17.399999999999999" x14ac:dyDescent="0.35">
      <c r="A1" s="399" t="s">
        <v>1264</v>
      </c>
      <c r="B1" s="399"/>
      <c r="C1" s="399"/>
      <c r="D1" s="399"/>
      <c r="E1" s="399"/>
      <c r="F1" s="399"/>
      <c r="G1" s="399"/>
      <c r="H1" s="399"/>
      <c r="I1" s="399"/>
      <c r="J1" s="399"/>
      <c r="K1" s="399"/>
      <c r="L1" s="399"/>
      <c r="M1" s="399"/>
      <c r="N1" s="399"/>
    </row>
    <row r="2" spans="1:14" x14ac:dyDescent="0.3">
      <c r="A2" s="227" t="s">
        <v>318</v>
      </c>
      <c r="B2" s="227" t="s">
        <v>285</v>
      </c>
      <c r="C2" s="227" t="s">
        <v>286</v>
      </c>
      <c r="D2" s="227" t="s">
        <v>287</v>
      </c>
      <c r="E2" s="227" t="s">
        <v>1916</v>
      </c>
      <c r="F2" s="227" t="s">
        <v>474</v>
      </c>
      <c r="G2" s="227" t="s">
        <v>288</v>
      </c>
      <c r="H2" s="227" t="s">
        <v>289</v>
      </c>
      <c r="I2" s="227" t="s">
        <v>290</v>
      </c>
      <c r="J2" s="227" t="s">
        <v>291</v>
      </c>
      <c r="K2" s="227" t="s">
        <v>3181</v>
      </c>
      <c r="L2" s="227" t="s">
        <v>1857</v>
      </c>
      <c r="M2" s="227" t="s">
        <v>1858</v>
      </c>
      <c r="N2" s="227" t="s">
        <v>2022</v>
      </c>
    </row>
    <row r="3" spans="1:14" x14ac:dyDescent="0.3">
      <c r="A3" s="234">
        <v>1</v>
      </c>
      <c r="B3" s="228" t="s">
        <v>292</v>
      </c>
      <c r="C3" s="229" t="s">
        <v>7</v>
      </c>
      <c r="D3" s="229">
        <v>10.11</v>
      </c>
      <c r="E3" s="235">
        <v>10.99</v>
      </c>
      <c r="F3" s="229">
        <v>10.5</v>
      </c>
      <c r="G3" s="229">
        <v>0.52</v>
      </c>
      <c r="H3" s="229">
        <v>7</v>
      </c>
      <c r="I3" s="229">
        <v>12</v>
      </c>
      <c r="J3" s="229">
        <v>3</v>
      </c>
      <c r="K3" s="228" t="s">
        <v>712</v>
      </c>
      <c r="L3" s="229">
        <v>2001</v>
      </c>
      <c r="M3" s="229" t="s">
        <v>1810</v>
      </c>
      <c r="N3" s="230" t="s">
        <v>3042</v>
      </c>
    </row>
    <row r="4" spans="1:14" x14ac:dyDescent="0.3">
      <c r="A4" s="236">
        <v>2</v>
      </c>
      <c r="B4" s="231" t="s">
        <v>953</v>
      </c>
      <c r="C4" s="232" t="s">
        <v>951</v>
      </c>
      <c r="D4" s="232">
        <v>10.5</v>
      </c>
      <c r="E4" s="235">
        <v>10.85</v>
      </c>
      <c r="F4" s="232">
        <v>10.5</v>
      </c>
      <c r="G4" s="232">
        <v>0</v>
      </c>
      <c r="H4" s="232">
        <v>1</v>
      </c>
      <c r="I4" s="232">
        <v>1</v>
      </c>
      <c r="J4" s="232">
        <v>0</v>
      </c>
      <c r="K4" s="231" t="s">
        <v>954</v>
      </c>
      <c r="L4" s="232">
        <v>1996</v>
      </c>
      <c r="M4" s="232" t="s">
        <v>1809</v>
      </c>
      <c r="N4" s="233" t="s">
        <v>2081</v>
      </c>
    </row>
    <row r="5" spans="1:14" x14ac:dyDescent="0.3">
      <c r="A5" s="237">
        <v>3</v>
      </c>
      <c r="B5" s="228" t="s">
        <v>298</v>
      </c>
      <c r="C5" s="229" t="s">
        <v>983</v>
      </c>
      <c r="D5" s="229">
        <v>10</v>
      </c>
      <c r="E5" s="235">
        <v>10.39</v>
      </c>
      <c r="F5" s="229">
        <v>10</v>
      </c>
      <c r="G5" s="229">
        <v>0.55000000000000004</v>
      </c>
      <c r="H5" s="229">
        <v>4</v>
      </c>
      <c r="I5" s="229">
        <v>5</v>
      </c>
      <c r="J5" s="229">
        <v>0</v>
      </c>
      <c r="K5" s="228" t="s">
        <v>714</v>
      </c>
      <c r="L5" s="229">
        <v>1975</v>
      </c>
      <c r="M5" s="229" t="s">
        <v>1811</v>
      </c>
      <c r="N5" s="230" t="s">
        <v>2060</v>
      </c>
    </row>
    <row r="6" spans="1:14" x14ac:dyDescent="0.3">
      <c r="A6" s="238">
        <v>4</v>
      </c>
      <c r="B6" s="231" t="s">
        <v>293</v>
      </c>
      <c r="C6" s="232" t="s">
        <v>294</v>
      </c>
      <c r="D6" s="232">
        <v>9.6999999999999993</v>
      </c>
      <c r="E6" s="235">
        <v>10.37</v>
      </c>
      <c r="F6" s="232">
        <v>10</v>
      </c>
      <c r="G6" s="232">
        <v>0.87</v>
      </c>
      <c r="H6" s="232">
        <v>6</v>
      </c>
      <c r="I6" s="232">
        <v>10</v>
      </c>
      <c r="J6" s="232">
        <v>0</v>
      </c>
      <c r="K6" s="231" t="s">
        <v>713</v>
      </c>
      <c r="L6" s="232">
        <v>2007</v>
      </c>
      <c r="M6" s="232" t="s">
        <v>1812</v>
      </c>
      <c r="N6" s="233" t="s">
        <v>2043</v>
      </c>
    </row>
    <row r="7" spans="1:14" x14ac:dyDescent="0.3">
      <c r="A7" s="238">
        <v>5</v>
      </c>
      <c r="B7" s="228" t="s">
        <v>2536</v>
      </c>
      <c r="C7" s="229" t="s">
        <v>634</v>
      </c>
      <c r="D7" s="229">
        <v>9.8800000000000008</v>
      </c>
      <c r="E7" s="235">
        <v>10.220000000000001</v>
      </c>
      <c r="F7" s="229">
        <v>10</v>
      </c>
      <c r="G7" s="229">
        <v>0.65</v>
      </c>
      <c r="H7" s="229">
        <v>2</v>
      </c>
      <c r="I7" s="229">
        <v>4</v>
      </c>
      <c r="J7" s="229">
        <v>0</v>
      </c>
      <c r="K7" s="228" t="s">
        <v>1044</v>
      </c>
      <c r="L7" s="229">
        <v>2000</v>
      </c>
      <c r="M7" s="229" t="s">
        <v>2542</v>
      </c>
      <c r="N7" s="230" t="s">
        <v>2077</v>
      </c>
    </row>
    <row r="8" spans="1:14" x14ac:dyDescent="0.3">
      <c r="A8" s="238">
        <v>6</v>
      </c>
      <c r="B8" s="231" t="s">
        <v>293</v>
      </c>
      <c r="C8" s="232" t="s">
        <v>295</v>
      </c>
      <c r="D8" s="232">
        <v>9.68</v>
      </c>
      <c r="E8" s="235">
        <v>10.07</v>
      </c>
      <c r="F8" s="232">
        <v>10</v>
      </c>
      <c r="G8" s="232">
        <v>0.61</v>
      </c>
      <c r="H8" s="232">
        <v>6</v>
      </c>
      <c r="I8" s="232">
        <v>12</v>
      </c>
      <c r="J8" s="232">
        <v>1</v>
      </c>
      <c r="K8" s="231" t="s">
        <v>713</v>
      </c>
      <c r="L8" s="232">
        <v>1997</v>
      </c>
      <c r="M8" s="232" t="s">
        <v>1815</v>
      </c>
      <c r="N8" s="233" t="s">
        <v>2074</v>
      </c>
    </row>
    <row r="9" spans="1:14" x14ac:dyDescent="0.3">
      <c r="A9" s="238">
        <v>7</v>
      </c>
      <c r="B9" s="228" t="s">
        <v>298</v>
      </c>
      <c r="C9" s="229" t="s">
        <v>299</v>
      </c>
      <c r="D9" s="229">
        <v>9.61</v>
      </c>
      <c r="E9" s="235">
        <v>10</v>
      </c>
      <c r="F9" s="229">
        <v>10</v>
      </c>
      <c r="G9" s="229">
        <v>0.91</v>
      </c>
      <c r="H9" s="229">
        <v>6</v>
      </c>
      <c r="I9" s="229">
        <v>10</v>
      </c>
      <c r="J9" s="229">
        <v>1</v>
      </c>
      <c r="K9" s="228" t="s">
        <v>715</v>
      </c>
      <c r="L9" s="229">
        <v>1973</v>
      </c>
      <c r="M9" s="229" t="s">
        <v>1812</v>
      </c>
      <c r="N9" s="230" t="s">
        <v>2090</v>
      </c>
    </row>
    <row r="10" spans="1:14" x14ac:dyDescent="0.3">
      <c r="A10" s="238">
        <v>8</v>
      </c>
      <c r="B10" s="231" t="s">
        <v>292</v>
      </c>
      <c r="C10" s="232" t="s">
        <v>517</v>
      </c>
      <c r="D10" s="232">
        <v>9.61</v>
      </c>
      <c r="E10" s="239">
        <v>9.99</v>
      </c>
      <c r="F10" s="232">
        <v>10</v>
      </c>
      <c r="G10" s="232">
        <v>0.74</v>
      </c>
      <c r="H10" s="232">
        <v>5</v>
      </c>
      <c r="I10" s="232">
        <v>11</v>
      </c>
      <c r="J10" s="232">
        <v>2</v>
      </c>
      <c r="K10" s="231" t="s">
        <v>712</v>
      </c>
      <c r="L10" s="232">
        <v>2006</v>
      </c>
      <c r="M10" s="232" t="s">
        <v>1813</v>
      </c>
      <c r="N10" s="233" t="s">
        <v>2057</v>
      </c>
    </row>
    <row r="11" spans="1:14" x14ac:dyDescent="0.3">
      <c r="A11" s="238">
        <v>9</v>
      </c>
      <c r="B11" s="228" t="s">
        <v>292</v>
      </c>
      <c r="C11" s="229" t="s">
        <v>156</v>
      </c>
      <c r="D11" s="229">
        <v>9.61</v>
      </c>
      <c r="E11" s="240">
        <v>9.9600000000000009</v>
      </c>
      <c r="F11" s="229">
        <v>10</v>
      </c>
      <c r="G11" s="229">
        <v>0.74</v>
      </c>
      <c r="H11" s="229">
        <v>5</v>
      </c>
      <c r="I11" s="229">
        <v>15</v>
      </c>
      <c r="J11" s="229">
        <v>6</v>
      </c>
      <c r="K11" s="228" t="s">
        <v>712</v>
      </c>
      <c r="L11" s="229">
        <v>1996</v>
      </c>
      <c r="M11" s="229" t="s">
        <v>1814</v>
      </c>
      <c r="N11" s="230" t="s">
        <v>2074</v>
      </c>
    </row>
    <row r="12" spans="1:14" x14ac:dyDescent="0.3">
      <c r="A12" s="238">
        <v>10</v>
      </c>
      <c r="B12" s="231" t="s">
        <v>2366</v>
      </c>
      <c r="C12" s="232" t="s">
        <v>2350</v>
      </c>
      <c r="D12" s="232">
        <v>9.67</v>
      </c>
      <c r="E12" s="241">
        <v>9.91</v>
      </c>
      <c r="F12" s="232">
        <v>10</v>
      </c>
      <c r="G12" s="232">
        <v>0.85</v>
      </c>
      <c r="H12" s="232">
        <v>2</v>
      </c>
      <c r="I12" s="232">
        <v>3</v>
      </c>
      <c r="J12" s="232">
        <v>0</v>
      </c>
      <c r="K12" s="231" t="s">
        <v>1026</v>
      </c>
      <c r="L12" s="232">
        <v>1972</v>
      </c>
      <c r="M12" s="232" t="s">
        <v>1821</v>
      </c>
      <c r="N12" s="233" t="s">
        <v>2382</v>
      </c>
    </row>
    <row r="13" spans="1:14" x14ac:dyDescent="0.3">
      <c r="A13" s="238">
        <v>11</v>
      </c>
      <c r="B13" s="228" t="s">
        <v>292</v>
      </c>
      <c r="C13" s="229" t="s">
        <v>1177</v>
      </c>
      <c r="D13" s="229">
        <v>9.36</v>
      </c>
      <c r="E13" s="242">
        <v>9.6</v>
      </c>
      <c r="F13" s="229">
        <v>10</v>
      </c>
      <c r="G13" s="229">
        <v>0.95</v>
      </c>
      <c r="H13" s="229">
        <v>4</v>
      </c>
      <c r="I13" s="229">
        <v>10</v>
      </c>
      <c r="J13" s="229">
        <v>3</v>
      </c>
      <c r="K13" s="228" t="s">
        <v>1189</v>
      </c>
      <c r="L13" s="229">
        <v>2019</v>
      </c>
      <c r="M13" s="229" t="s">
        <v>1816</v>
      </c>
      <c r="N13" s="230" t="s">
        <v>2056</v>
      </c>
    </row>
    <row r="14" spans="1:14" x14ac:dyDescent="0.3">
      <c r="A14" s="238">
        <v>12</v>
      </c>
      <c r="B14" s="231" t="s">
        <v>298</v>
      </c>
      <c r="C14" s="232" t="s">
        <v>727</v>
      </c>
      <c r="D14" s="232">
        <v>9.4</v>
      </c>
      <c r="E14" s="243">
        <v>9.5500000000000007</v>
      </c>
      <c r="F14" s="232">
        <v>9.5</v>
      </c>
      <c r="G14" s="232">
        <v>0.8</v>
      </c>
      <c r="H14" s="232">
        <v>2</v>
      </c>
      <c r="I14" s="232">
        <v>5</v>
      </c>
      <c r="J14" s="232">
        <v>0</v>
      </c>
      <c r="K14" s="231" t="s">
        <v>715</v>
      </c>
      <c r="L14" s="232">
        <v>1977</v>
      </c>
      <c r="M14" s="232" t="s">
        <v>1817</v>
      </c>
      <c r="N14" s="233" t="s">
        <v>2071</v>
      </c>
    </row>
    <row r="15" spans="1:14" x14ac:dyDescent="0.3">
      <c r="A15" s="238">
        <v>13</v>
      </c>
      <c r="B15" s="228" t="s">
        <v>296</v>
      </c>
      <c r="C15" s="229" t="s">
        <v>239</v>
      </c>
      <c r="D15" s="229">
        <v>9.3800000000000008</v>
      </c>
      <c r="E15" s="244">
        <v>9.5299999999999994</v>
      </c>
      <c r="F15" s="229">
        <v>9.5</v>
      </c>
      <c r="G15" s="229">
        <v>0.78</v>
      </c>
      <c r="H15" s="229">
        <v>3</v>
      </c>
      <c r="I15" s="229">
        <v>8</v>
      </c>
      <c r="J15" s="229">
        <v>0</v>
      </c>
      <c r="K15" s="228" t="s">
        <v>720</v>
      </c>
      <c r="L15" s="229">
        <v>1971</v>
      </c>
      <c r="M15" s="229" t="s">
        <v>1812</v>
      </c>
      <c r="N15" s="230" t="s">
        <v>2089</v>
      </c>
    </row>
    <row r="16" spans="1:14" x14ac:dyDescent="0.3">
      <c r="A16" s="238">
        <v>14</v>
      </c>
      <c r="B16" s="231" t="s">
        <v>292</v>
      </c>
      <c r="C16" s="232" t="s">
        <v>2441</v>
      </c>
      <c r="D16" s="232">
        <v>9.25</v>
      </c>
      <c r="E16" s="244">
        <v>9.5299999999999994</v>
      </c>
      <c r="F16" s="232">
        <v>9.5</v>
      </c>
      <c r="G16" s="232">
        <v>1.18</v>
      </c>
      <c r="H16" s="232">
        <v>3</v>
      </c>
      <c r="I16" s="232">
        <v>8</v>
      </c>
      <c r="J16" s="232">
        <v>2</v>
      </c>
      <c r="K16" s="231" t="s">
        <v>2442</v>
      </c>
      <c r="L16" s="232">
        <v>2000</v>
      </c>
      <c r="M16" s="232" t="s">
        <v>1831</v>
      </c>
      <c r="N16" s="233" t="s">
        <v>2328</v>
      </c>
    </row>
    <row r="17" spans="1:14" x14ac:dyDescent="0.3">
      <c r="A17" s="238">
        <v>15</v>
      </c>
      <c r="B17" s="228" t="s">
        <v>297</v>
      </c>
      <c r="C17" s="229" t="s">
        <v>1118</v>
      </c>
      <c r="D17" s="229">
        <v>9.4</v>
      </c>
      <c r="E17" s="245">
        <v>9.4600000000000009</v>
      </c>
      <c r="F17" s="229">
        <v>9</v>
      </c>
      <c r="G17" s="229">
        <v>0.73</v>
      </c>
      <c r="H17" s="229">
        <v>2</v>
      </c>
      <c r="I17" s="229">
        <v>5</v>
      </c>
      <c r="J17" s="229">
        <v>0</v>
      </c>
      <c r="K17" s="228" t="s">
        <v>714</v>
      </c>
      <c r="L17" s="229">
        <v>1969</v>
      </c>
      <c r="M17" s="229" t="s">
        <v>1818</v>
      </c>
      <c r="N17" s="230" t="s">
        <v>2090</v>
      </c>
    </row>
    <row r="18" spans="1:14" x14ac:dyDescent="0.3">
      <c r="A18" s="238">
        <v>16</v>
      </c>
      <c r="B18" s="231" t="s">
        <v>1938</v>
      </c>
      <c r="C18" s="232" t="s">
        <v>1931</v>
      </c>
      <c r="D18" s="232">
        <v>9.31</v>
      </c>
      <c r="E18" s="246">
        <v>9.43</v>
      </c>
      <c r="F18" s="232">
        <v>9.25</v>
      </c>
      <c r="G18" s="232">
        <v>0.75</v>
      </c>
      <c r="H18" s="232">
        <v>3</v>
      </c>
      <c r="I18" s="232">
        <v>8</v>
      </c>
      <c r="J18" s="232">
        <v>0</v>
      </c>
      <c r="K18" s="231" t="s">
        <v>1939</v>
      </c>
      <c r="L18" s="232">
        <v>1970</v>
      </c>
      <c r="M18" s="232" t="s">
        <v>1817</v>
      </c>
      <c r="N18" s="233" t="s">
        <v>2028</v>
      </c>
    </row>
    <row r="19" spans="1:14" x14ac:dyDescent="0.3">
      <c r="A19" s="238">
        <v>17</v>
      </c>
      <c r="B19" s="228" t="s">
        <v>301</v>
      </c>
      <c r="C19" s="229" t="s">
        <v>56</v>
      </c>
      <c r="D19" s="229">
        <v>9.25</v>
      </c>
      <c r="E19" s="247">
        <v>9.3699999999999992</v>
      </c>
      <c r="F19" s="229">
        <v>9.25</v>
      </c>
      <c r="G19" s="229">
        <v>0.83</v>
      </c>
      <c r="H19" s="229">
        <v>3</v>
      </c>
      <c r="I19" s="229">
        <v>8</v>
      </c>
      <c r="J19" s="229">
        <v>0</v>
      </c>
      <c r="K19" s="228" t="s">
        <v>734</v>
      </c>
      <c r="L19" s="229">
        <v>1986</v>
      </c>
      <c r="M19" s="229" t="s">
        <v>1819</v>
      </c>
      <c r="N19" s="230" t="s">
        <v>2090</v>
      </c>
    </row>
    <row r="20" spans="1:14" x14ac:dyDescent="0.3">
      <c r="A20" s="238">
        <v>18</v>
      </c>
      <c r="B20" s="231" t="s">
        <v>293</v>
      </c>
      <c r="C20" s="232" t="s">
        <v>251</v>
      </c>
      <c r="D20" s="232">
        <v>9.15</v>
      </c>
      <c r="E20" s="247">
        <v>9.3699999999999992</v>
      </c>
      <c r="F20" s="232">
        <v>9</v>
      </c>
      <c r="G20" s="232">
        <v>1</v>
      </c>
      <c r="H20" s="232">
        <v>4</v>
      </c>
      <c r="I20" s="232">
        <v>11</v>
      </c>
      <c r="J20" s="232">
        <v>1</v>
      </c>
      <c r="K20" s="231" t="s">
        <v>814</v>
      </c>
      <c r="L20" s="232">
        <v>2000</v>
      </c>
      <c r="M20" s="232" t="s">
        <v>1820</v>
      </c>
      <c r="N20" s="233" t="s">
        <v>2085</v>
      </c>
    </row>
    <row r="21" spans="1:14" x14ac:dyDescent="0.3">
      <c r="A21" s="238">
        <v>19</v>
      </c>
      <c r="B21" s="228" t="s">
        <v>297</v>
      </c>
      <c r="C21" s="229" t="s">
        <v>961</v>
      </c>
      <c r="D21" s="229">
        <v>9.3000000000000007</v>
      </c>
      <c r="E21" s="248">
        <v>9.36</v>
      </c>
      <c r="F21" s="229">
        <v>9</v>
      </c>
      <c r="G21" s="229">
        <v>0.87</v>
      </c>
      <c r="H21" s="229">
        <v>2</v>
      </c>
      <c r="I21" s="229">
        <v>5</v>
      </c>
      <c r="J21" s="229">
        <v>0</v>
      </c>
      <c r="K21" s="228" t="s">
        <v>714</v>
      </c>
      <c r="L21" s="229">
        <v>2024</v>
      </c>
      <c r="M21" s="229" t="s">
        <v>1821</v>
      </c>
      <c r="N21" s="230" t="s">
        <v>2061</v>
      </c>
    </row>
    <row r="22" spans="1:14" x14ac:dyDescent="0.3">
      <c r="A22" s="238">
        <v>20</v>
      </c>
      <c r="B22" s="231" t="s">
        <v>302</v>
      </c>
      <c r="C22" s="232" t="s">
        <v>186</v>
      </c>
      <c r="D22" s="232">
        <v>9.2100000000000009</v>
      </c>
      <c r="E22" s="249">
        <v>9.34</v>
      </c>
      <c r="F22" s="232">
        <v>9.25</v>
      </c>
      <c r="G22" s="232">
        <v>0.85</v>
      </c>
      <c r="H22" s="232">
        <v>5</v>
      </c>
      <c r="I22" s="232">
        <v>13</v>
      </c>
      <c r="J22" s="232">
        <v>1</v>
      </c>
      <c r="K22" s="231" t="s">
        <v>717</v>
      </c>
      <c r="L22" s="232">
        <v>2008</v>
      </c>
      <c r="M22" s="232" t="s">
        <v>1822</v>
      </c>
      <c r="N22" s="233" t="s">
        <v>2090</v>
      </c>
    </row>
    <row r="23" spans="1:14" x14ac:dyDescent="0.3">
      <c r="A23" s="238">
        <v>21</v>
      </c>
      <c r="B23" s="228" t="s">
        <v>300</v>
      </c>
      <c r="C23" s="229" t="s">
        <v>131</v>
      </c>
      <c r="D23" s="229">
        <v>9.2100000000000009</v>
      </c>
      <c r="E23" s="250">
        <v>9.2799999999999994</v>
      </c>
      <c r="F23" s="229">
        <v>9</v>
      </c>
      <c r="G23" s="229">
        <v>0.8</v>
      </c>
      <c r="H23" s="229">
        <v>2</v>
      </c>
      <c r="I23" s="229">
        <v>7</v>
      </c>
      <c r="J23" s="229">
        <v>0</v>
      </c>
      <c r="K23" s="228" t="s">
        <v>735</v>
      </c>
      <c r="L23" s="229">
        <v>2001</v>
      </c>
      <c r="M23" s="229" t="s">
        <v>1810</v>
      </c>
      <c r="N23" s="230" t="s">
        <v>2091</v>
      </c>
    </row>
    <row r="24" spans="1:14" x14ac:dyDescent="0.3">
      <c r="A24" s="238">
        <v>22</v>
      </c>
      <c r="B24" s="231" t="s">
        <v>405</v>
      </c>
      <c r="C24" s="232" t="s">
        <v>36</v>
      </c>
      <c r="D24" s="232">
        <v>9.15</v>
      </c>
      <c r="E24" s="251">
        <v>9.23</v>
      </c>
      <c r="F24" s="232">
        <v>9</v>
      </c>
      <c r="G24" s="232">
        <v>0.78</v>
      </c>
      <c r="H24" s="232">
        <v>3</v>
      </c>
      <c r="I24" s="232">
        <v>10</v>
      </c>
      <c r="J24" s="232">
        <v>0</v>
      </c>
      <c r="K24" s="231" t="s">
        <v>714</v>
      </c>
      <c r="L24" s="232">
        <v>1982</v>
      </c>
      <c r="M24" s="232" t="s">
        <v>1812</v>
      </c>
      <c r="N24" s="233" t="s">
        <v>2091</v>
      </c>
    </row>
    <row r="25" spans="1:14" x14ac:dyDescent="0.3">
      <c r="A25" s="238">
        <v>23</v>
      </c>
      <c r="B25" s="228" t="s">
        <v>441</v>
      </c>
      <c r="C25" s="229" t="s">
        <v>459</v>
      </c>
      <c r="D25" s="229">
        <v>9.17</v>
      </c>
      <c r="E25" s="251">
        <v>9.23</v>
      </c>
      <c r="F25" s="229">
        <v>9</v>
      </c>
      <c r="G25" s="229">
        <v>0.69</v>
      </c>
      <c r="H25" s="229">
        <v>1</v>
      </c>
      <c r="I25" s="229">
        <v>6</v>
      </c>
      <c r="J25" s="229">
        <v>0</v>
      </c>
      <c r="K25" s="228" t="s">
        <v>716</v>
      </c>
      <c r="L25" s="229">
        <v>2007</v>
      </c>
      <c r="M25" s="229" t="s">
        <v>1823</v>
      </c>
      <c r="N25" s="230" t="s">
        <v>2083</v>
      </c>
    </row>
    <row r="26" spans="1:14" x14ac:dyDescent="0.3">
      <c r="A26" s="238">
        <v>24</v>
      </c>
      <c r="B26" s="231" t="s">
        <v>301</v>
      </c>
      <c r="C26" s="232" t="s">
        <v>653</v>
      </c>
      <c r="D26" s="232">
        <v>9.1300000000000008</v>
      </c>
      <c r="E26" s="252">
        <v>9.2100000000000009</v>
      </c>
      <c r="F26" s="232">
        <v>9</v>
      </c>
      <c r="G26" s="232">
        <v>0.93</v>
      </c>
      <c r="H26" s="232">
        <v>3</v>
      </c>
      <c r="I26" s="232">
        <v>8</v>
      </c>
      <c r="J26" s="232">
        <v>0</v>
      </c>
      <c r="K26" s="231" t="s">
        <v>734</v>
      </c>
      <c r="L26" s="232">
        <v>1984</v>
      </c>
      <c r="M26" s="232" t="s">
        <v>1820</v>
      </c>
      <c r="N26" s="233" t="s">
        <v>2075</v>
      </c>
    </row>
    <row r="27" spans="1:14" x14ac:dyDescent="0.3">
      <c r="A27" s="238">
        <v>25</v>
      </c>
      <c r="B27" s="228" t="s">
        <v>303</v>
      </c>
      <c r="C27" s="229" t="s">
        <v>2440</v>
      </c>
      <c r="D27" s="229">
        <v>9.08</v>
      </c>
      <c r="E27" s="253">
        <v>9.17</v>
      </c>
      <c r="F27" s="229">
        <v>9</v>
      </c>
      <c r="G27" s="229">
        <v>0.73</v>
      </c>
      <c r="H27" s="229">
        <v>3</v>
      </c>
      <c r="I27" s="229">
        <v>13</v>
      </c>
      <c r="J27" s="229">
        <v>0</v>
      </c>
      <c r="K27" s="228" t="s">
        <v>2454</v>
      </c>
      <c r="L27" s="229">
        <v>2007</v>
      </c>
      <c r="M27" s="229" t="s">
        <v>1822</v>
      </c>
      <c r="N27" s="230" t="s">
        <v>2424</v>
      </c>
    </row>
    <row r="28" spans="1:14" x14ac:dyDescent="0.3">
      <c r="A28" s="238">
        <v>26</v>
      </c>
      <c r="B28" s="231" t="s">
        <v>293</v>
      </c>
      <c r="C28" s="232" t="s">
        <v>393</v>
      </c>
      <c r="D28" s="232">
        <v>9.0399999999999991</v>
      </c>
      <c r="E28" s="254">
        <v>9.14</v>
      </c>
      <c r="F28" s="232">
        <v>9</v>
      </c>
      <c r="G28" s="232">
        <v>0.78</v>
      </c>
      <c r="H28" s="232">
        <v>3</v>
      </c>
      <c r="I28" s="232">
        <v>12</v>
      </c>
      <c r="J28" s="232">
        <v>0</v>
      </c>
      <c r="K28" s="231" t="s">
        <v>732</v>
      </c>
      <c r="L28" s="232">
        <v>1995</v>
      </c>
      <c r="M28" s="232" t="s">
        <v>1829</v>
      </c>
      <c r="N28" s="233" t="s">
        <v>2084</v>
      </c>
    </row>
    <row r="29" spans="1:14" x14ac:dyDescent="0.3">
      <c r="A29" s="238">
        <v>27</v>
      </c>
      <c r="B29" s="228" t="s">
        <v>300</v>
      </c>
      <c r="C29" s="229" t="s">
        <v>924</v>
      </c>
      <c r="D29" s="229">
        <v>9.06</v>
      </c>
      <c r="E29" s="254">
        <v>9.14</v>
      </c>
      <c r="F29" s="229">
        <v>9</v>
      </c>
      <c r="G29" s="229">
        <v>0.85</v>
      </c>
      <c r="H29" s="229">
        <v>2</v>
      </c>
      <c r="I29" s="229">
        <v>8</v>
      </c>
      <c r="J29" s="229">
        <v>0</v>
      </c>
      <c r="K29" s="228" t="s">
        <v>735</v>
      </c>
      <c r="L29" s="229">
        <v>2005</v>
      </c>
      <c r="M29" s="229" t="s">
        <v>1828</v>
      </c>
      <c r="N29" s="230" t="s">
        <v>2063</v>
      </c>
    </row>
    <row r="30" spans="1:14" x14ac:dyDescent="0.3">
      <c r="A30" s="238">
        <v>28</v>
      </c>
      <c r="B30" s="231" t="s">
        <v>866</v>
      </c>
      <c r="C30" s="232" t="s">
        <v>857</v>
      </c>
      <c r="D30" s="232">
        <v>9.06</v>
      </c>
      <c r="E30" s="255">
        <v>9.1</v>
      </c>
      <c r="F30" s="232">
        <v>8.75</v>
      </c>
      <c r="G30" s="232">
        <v>0.92</v>
      </c>
      <c r="H30" s="232">
        <v>3</v>
      </c>
      <c r="I30" s="232">
        <v>9</v>
      </c>
      <c r="J30" s="232">
        <v>1</v>
      </c>
      <c r="K30" s="231" t="s">
        <v>867</v>
      </c>
      <c r="L30" s="232">
        <v>2021</v>
      </c>
      <c r="M30" s="232" t="s">
        <v>1809</v>
      </c>
      <c r="N30" s="233" t="s">
        <v>2067</v>
      </c>
    </row>
    <row r="31" spans="1:14" x14ac:dyDescent="0.3">
      <c r="A31" s="238">
        <v>29</v>
      </c>
      <c r="B31" s="228" t="s">
        <v>303</v>
      </c>
      <c r="C31" s="229" t="s">
        <v>157</v>
      </c>
      <c r="D31" s="229">
        <v>9</v>
      </c>
      <c r="E31" s="255">
        <v>9.09</v>
      </c>
      <c r="F31" s="229">
        <v>9</v>
      </c>
      <c r="G31" s="229">
        <v>0.85</v>
      </c>
      <c r="H31" s="229">
        <v>3</v>
      </c>
      <c r="I31" s="229">
        <v>14</v>
      </c>
      <c r="J31" s="229">
        <v>1</v>
      </c>
      <c r="K31" s="228" t="s">
        <v>718</v>
      </c>
      <c r="L31" s="229">
        <v>2001</v>
      </c>
      <c r="M31" s="229" t="s">
        <v>1824</v>
      </c>
      <c r="N31" s="230" t="s">
        <v>2091</v>
      </c>
    </row>
    <row r="32" spans="1:14" x14ac:dyDescent="0.3">
      <c r="A32" s="238">
        <v>30</v>
      </c>
      <c r="B32" s="231" t="s">
        <v>304</v>
      </c>
      <c r="C32" s="232" t="s">
        <v>229</v>
      </c>
      <c r="D32" s="232">
        <v>9</v>
      </c>
      <c r="E32" s="255">
        <v>9.09</v>
      </c>
      <c r="F32" s="232">
        <v>9</v>
      </c>
      <c r="G32" s="232">
        <v>0.82</v>
      </c>
      <c r="H32" s="232">
        <v>2</v>
      </c>
      <c r="I32" s="232">
        <v>9</v>
      </c>
      <c r="J32" s="232">
        <v>0</v>
      </c>
      <c r="K32" s="231" t="s">
        <v>734</v>
      </c>
      <c r="L32" s="232">
        <v>1990</v>
      </c>
      <c r="M32" s="232" t="s">
        <v>1825</v>
      </c>
      <c r="N32" s="233" t="s">
        <v>2089</v>
      </c>
    </row>
    <row r="33" spans="1:14" x14ac:dyDescent="0.3">
      <c r="A33" s="238">
        <v>31</v>
      </c>
      <c r="B33" s="228" t="s">
        <v>301</v>
      </c>
      <c r="C33" s="229" t="s">
        <v>1065</v>
      </c>
      <c r="D33" s="229">
        <v>9</v>
      </c>
      <c r="E33" s="256">
        <v>9.08</v>
      </c>
      <c r="F33" s="229">
        <v>9</v>
      </c>
      <c r="G33" s="229">
        <v>0.88</v>
      </c>
      <c r="H33" s="229">
        <v>2</v>
      </c>
      <c r="I33" s="229">
        <v>9</v>
      </c>
      <c r="J33" s="229">
        <v>0</v>
      </c>
      <c r="K33" s="228" t="s">
        <v>734</v>
      </c>
      <c r="L33" s="229">
        <v>1988</v>
      </c>
      <c r="M33" s="229" t="s">
        <v>1826</v>
      </c>
      <c r="N33" s="230" t="s">
        <v>2059</v>
      </c>
    </row>
    <row r="34" spans="1:14" x14ac:dyDescent="0.3">
      <c r="A34" s="238">
        <v>32</v>
      </c>
      <c r="B34" s="231" t="s">
        <v>441</v>
      </c>
      <c r="C34" s="232" t="s">
        <v>609</v>
      </c>
      <c r="D34" s="232">
        <v>8.94</v>
      </c>
      <c r="E34" s="257">
        <v>9.0399999999999991</v>
      </c>
      <c r="F34" s="232">
        <v>9</v>
      </c>
      <c r="G34" s="232">
        <v>0.86</v>
      </c>
      <c r="H34" s="232">
        <v>2</v>
      </c>
      <c r="I34" s="232">
        <v>9</v>
      </c>
      <c r="J34" s="232">
        <v>0</v>
      </c>
      <c r="K34" s="231" t="s">
        <v>716</v>
      </c>
      <c r="L34" s="232">
        <v>2005</v>
      </c>
      <c r="M34" s="232" t="s">
        <v>1827</v>
      </c>
      <c r="N34" s="233" t="s">
        <v>2078</v>
      </c>
    </row>
    <row r="35" spans="1:14" x14ac:dyDescent="0.3">
      <c r="A35" s="238">
        <v>33</v>
      </c>
      <c r="B35" s="228" t="s">
        <v>3164</v>
      </c>
      <c r="C35" s="229" t="s">
        <v>3165</v>
      </c>
      <c r="D35" s="229">
        <v>9.07</v>
      </c>
      <c r="E35" s="257">
        <v>9.0399999999999991</v>
      </c>
      <c r="F35" s="229">
        <v>9</v>
      </c>
      <c r="G35" s="229">
        <v>0.62</v>
      </c>
      <c r="H35" s="229">
        <v>2</v>
      </c>
      <c r="I35" s="229">
        <v>7</v>
      </c>
      <c r="J35" s="229">
        <v>0</v>
      </c>
      <c r="K35" s="228" t="s">
        <v>733</v>
      </c>
      <c r="L35" s="229">
        <v>2012</v>
      </c>
      <c r="M35" s="229" t="s">
        <v>1850</v>
      </c>
      <c r="N35" s="230" t="s">
        <v>3155</v>
      </c>
    </row>
    <row r="36" spans="1:14" x14ac:dyDescent="0.3">
      <c r="A36" s="238">
        <v>34</v>
      </c>
      <c r="B36" s="231" t="s">
        <v>307</v>
      </c>
      <c r="C36" s="232" t="s">
        <v>95</v>
      </c>
      <c r="D36" s="232">
        <v>8.94</v>
      </c>
      <c r="E36" s="258">
        <v>9.0299999999999994</v>
      </c>
      <c r="F36" s="232">
        <v>9</v>
      </c>
      <c r="G36" s="232">
        <v>0.96</v>
      </c>
      <c r="H36" s="232">
        <v>2</v>
      </c>
      <c r="I36" s="232">
        <v>9</v>
      </c>
      <c r="J36" s="232">
        <v>0</v>
      </c>
      <c r="K36" s="231" t="s">
        <v>720</v>
      </c>
      <c r="L36" s="232">
        <v>1985</v>
      </c>
      <c r="M36" s="232" t="s">
        <v>1819</v>
      </c>
      <c r="N36" s="233" t="s">
        <v>2091</v>
      </c>
    </row>
    <row r="37" spans="1:14" x14ac:dyDescent="0.3">
      <c r="A37" s="238">
        <v>35</v>
      </c>
      <c r="B37" s="228" t="s">
        <v>1531</v>
      </c>
      <c r="C37" s="229" t="s">
        <v>2261</v>
      </c>
      <c r="D37" s="229">
        <v>9.07</v>
      </c>
      <c r="E37" s="259">
        <v>9.02</v>
      </c>
      <c r="F37" s="229">
        <v>9</v>
      </c>
      <c r="G37" s="229">
        <v>0.73</v>
      </c>
      <c r="H37" s="229">
        <v>2</v>
      </c>
      <c r="I37" s="229">
        <v>7</v>
      </c>
      <c r="J37" s="229">
        <v>0</v>
      </c>
      <c r="K37" s="228" t="s">
        <v>1533</v>
      </c>
      <c r="L37" s="229">
        <v>1977</v>
      </c>
      <c r="M37" s="229" t="s">
        <v>1848</v>
      </c>
      <c r="N37" s="230" t="s">
        <v>2262</v>
      </c>
    </row>
    <row r="38" spans="1:14" x14ac:dyDescent="0.3">
      <c r="A38" s="238">
        <v>36</v>
      </c>
      <c r="B38" s="231" t="s">
        <v>2620</v>
      </c>
      <c r="C38" s="232" t="s">
        <v>2613</v>
      </c>
      <c r="D38" s="232">
        <v>9.06</v>
      </c>
      <c r="E38" s="259">
        <v>9.02</v>
      </c>
      <c r="F38" s="232">
        <v>9</v>
      </c>
      <c r="G38" s="232">
        <v>0.72</v>
      </c>
      <c r="H38" s="232">
        <v>3</v>
      </c>
      <c r="I38" s="232">
        <v>9</v>
      </c>
      <c r="J38" s="232">
        <v>0</v>
      </c>
      <c r="K38" s="231" t="s">
        <v>2622</v>
      </c>
      <c r="L38" s="232">
        <v>1982</v>
      </c>
      <c r="M38" s="232" t="s">
        <v>1812</v>
      </c>
      <c r="N38" s="233" t="s">
        <v>2623</v>
      </c>
    </row>
    <row r="39" spans="1:14" x14ac:dyDescent="0.3">
      <c r="A39" s="238">
        <v>37</v>
      </c>
      <c r="B39" s="228" t="s">
        <v>2796</v>
      </c>
      <c r="C39" s="229" t="s">
        <v>2797</v>
      </c>
      <c r="D39" s="229">
        <v>8.85</v>
      </c>
      <c r="E39" s="259">
        <v>9.02</v>
      </c>
      <c r="F39" s="229">
        <v>8.5</v>
      </c>
      <c r="G39" s="229">
        <v>0.87</v>
      </c>
      <c r="H39" s="229">
        <v>4</v>
      </c>
      <c r="I39" s="229">
        <v>18</v>
      </c>
      <c r="J39" s="229">
        <v>1</v>
      </c>
      <c r="K39" s="228" t="s">
        <v>2802</v>
      </c>
      <c r="L39" s="229">
        <v>1998</v>
      </c>
      <c r="M39" s="229" t="s">
        <v>1843</v>
      </c>
      <c r="N39" s="230" t="s">
        <v>2803</v>
      </c>
    </row>
    <row r="40" spans="1:14" x14ac:dyDescent="0.3">
      <c r="A40" s="238">
        <v>38</v>
      </c>
      <c r="B40" s="231" t="s">
        <v>1480</v>
      </c>
      <c r="C40" s="232" t="s">
        <v>1481</v>
      </c>
      <c r="D40" s="232">
        <v>8.67</v>
      </c>
      <c r="E40" s="260">
        <v>9</v>
      </c>
      <c r="F40" s="232">
        <v>8.5</v>
      </c>
      <c r="G40" s="232">
        <v>0.98</v>
      </c>
      <c r="H40" s="232">
        <v>5</v>
      </c>
      <c r="I40" s="232">
        <v>26</v>
      </c>
      <c r="J40" s="232">
        <v>0</v>
      </c>
      <c r="K40" s="231" t="s">
        <v>1482</v>
      </c>
      <c r="L40" s="232">
        <v>2017</v>
      </c>
      <c r="M40" s="232" t="s">
        <v>1818</v>
      </c>
      <c r="N40" s="233" t="s">
        <v>2044</v>
      </c>
    </row>
    <row r="41" spans="1:14" x14ac:dyDescent="0.3">
      <c r="A41" s="238">
        <v>39</v>
      </c>
      <c r="B41" s="228" t="s">
        <v>315</v>
      </c>
      <c r="C41" s="229" t="s">
        <v>2277</v>
      </c>
      <c r="D41" s="229">
        <v>8.92</v>
      </c>
      <c r="E41" s="260">
        <v>9</v>
      </c>
      <c r="F41" s="229">
        <v>9</v>
      </c>
      <c r="G41" s="229">
        <v>1.02</v>
      </c>
      <c r="H41" s="229">
        <v>3</v>
      </c>
      <c r="I41" s="229">
        <v>13</v>
      </c>
      <c r="J41" s="229">
        <v>1</v>
      </c>
      <c r="K41" s="228" t="s">
        <v>725</v>
      </c>
      <c r="L41" s="229">
        <v>2003</v>
      </c>
      <c r="M41" s="229" t="s">
        <v>1836</v>
      </c>
      <c r="N41" s="230" t="s">
        <v>2297</v>
      </c>
    </row>
    <row r="42" spans="1:14" x14ac:dyDescent="0.3">
      <c r="A42" s="238">
        <v>40</v>
      </c>
      <c r="B42" s="231" t="s">
        <v>2714</v>
      </c>
      <c r="C42" s="232" t="s">
        <v>2710</v>
      </c>
      <c r="D42" s="232">
        <v>8.83</v>
      </c>
      <c r="E42" s="260">
        <v>9</v>
      </c>
      <c r="F42" s="232">
        <v>8.5</v>
      </c>
      <c r="G42" s="232">
        <v>0.87</v>
      </c>
      <c r="H42" s="232">
        <v>3</v>
      </c>
      <c r="I42" s="232">
        <v>15</v>
      </c>
      <c r="J42" s="232">
        <v>0</v>
      </c>
      <c r="K42" s="231" t="s">
        <v>731</v>
      </c>
      <c r="L42" s="232">
        <v>2001</v>
      </c>
      <c r="M42" s="232" t="s">
        <v>1811</v>
      </c>
      <c r="N42" s="233" t="s">
        <v>2697</v>
      </c>
    </row>
    <row r="43" spans="1:14" x14ac:dyDescent="0.3">
      <c r="A43" s="238">
        <v>41</v>
      </c>
      <c r="B43" s="228" t="s">
        <v>298</v>
      </c>
      <c r="C43" s="229" t="s">
        <v>1722</v>
      </c>
      <c r="D43" s="229">
        <v>8.92</v>
      </c>
      <c r="E43" s="261">
        <v>8.9700000000000006</v>
      </c>
      <c r="F43" s="229">
        <v>8.75</v>
      </c>
      <c r="G43" s="229">
        <v>0.79</v>
      </c>
      <c r="H43" s="229">
        <v>1</v>
      </c>
      <c r="I43" s="229">
        <v>6</v>
      </c>
      <c r="J43" s="229">
        <v>0</v>
      </c>
      <c r="K43" s="228" t="s">
        <v>1026</v>
      </c>
      <c r="L43" s="229">
        <v>1971</v>
      </c>
      <c r="M43" s="229" t="s">
        <v>1830</v>
      </c>
      <c r="N43" s="230" t="s">
        <v>2033</v>
      </c>
    </row>
    <row r="44" spans="1:14" x14ac:dyDescent="0.3">
      <c r="A44" s="238">
        <v>42</v>
      </c>
      <c r="B44" s="231" t="s">
        <v>298</v>
      </c>
      <c r="C44" s="232" t="s">
        <v>2869</v>
      </c>
      <c r="D44" s="232">
        <v>8.8000000000000007</v>
      </c>
      <c r="E44" s="261">
        <v>8.9700000000000006</v>
      </c>
      <c r="F44" s="232">
        <v>8.5</v>
      </c>
      <c r="G44" s="232">
        <v>0.73</v>
      </c>
      <c r="H44" s="232">
        <v>3</v>
      </c>
      <c r="I44" s="232">
        <v>26</v>
      </c>
      <c r="J44" s="232">
        <v>4</v>
      </c>
      <c r="K44" s="231" t="s">
        <v>2875</v>
      </c>
      <c r="L44" s="232">
        <v>1979</v>
      </c>
      <c r="M44" s="232" t="s">
        <v>2876</v>
      </c>
      <c r="N44" s="233" t="s">
        <v>2841</v>
      </c>
    </row>
    <row r="45" spans="1:14" x14ac:dyDescent="0.3">
      <c r="A45" s="238">
        <v>43</v>
      </c>
      <c r="B45" s="228" t="s">
        <v>1265</v>
      </c>
      <c r="C45" s="229" t="s">
        <v>1256</v>
      </c>
      <c r="D45" s="229">
        <v>9</v>
      </c>
      <c r="E45" s="262">
        <v>8.9600000000000009</v>
      </c>
      <c r="F45" s="229">
        <v>9</v>
      </c>
      <c r="G45" s="229">
        <v>0.6</v>
      </c>
      <c r="H45" s="229">
        <v>2</v>
      </c>
      <c r="I45" s="229">
        <v>11</v>
      </c>
      <c r="J45" s="229">
        <v>0</v>
      </c>
      <c r="K45" s="228" t="s">
        <v>1269</v>
      </c>
      <c r="L45" s="229">
        <v>2025</v>
      </c>
      <c r="M45" s="229" t="s">
        <v>1835</v>
      </c>
      <c r="N45" s="230" t="s">
        <v>2054</v>
      </c>
    </row>
    <row r="46" spans="1:14" x14ac:dyDescent="0.3">
      <c r="A46" s="238">
        <v>44</v>
      </c>
      <c r="B46" s="231" t="s">
        <v>311</v>
      </c>
      <c r="C46" s="232" t="s">
        <v>1542</v>
      </c>
      <c r="D46" s="232">
        <v>8.94</v>
      </c>
      <c r="E46" s="263">
        <v>8.9499999999999993</v>
      </c>
      <c r="F46" s="232">
        <v>8.5</v>
      </c>
      <c r="G46" s="232">
        <v>0.76</v>
      </c>
      <c r="H46" s="232">
        <v>2</v>
      </c>
      <c r="I46" s="232">
        <v>10</v>
      </c>
      <c r="J46" s="232">
        <v>1</v>
      </c>
      <c r="K46" s="231" t="s">
        <v>1559</v>
      </c>
      <c r="L46" s="232">
        <v>2000</v>
      </c>
      <c r="M46" s="232" t="s">
        <v>1817</v>
      </c>
      <c r="N46" s="233" t="s">
        <v>2042</v>
      </c>
    </row>
    <row r="47" spans="1:14" x14ac:dyDescent="0.3">
      <c r="A47" s="238">
        <v>45</v>
      </c>
      <c r="B47" s="228" t="s">
        <v>699</v>
      </c>
      <c r="C47" s="229" t="s">
        <v>700</v>
      </c>
      <c r="D47" s="229">
        <v>8.91</v>
      </c>
      <c r="E47" s="264">
        <v>8.93</v>
      </c>
      <c r="F47" s="229">
        <v>8.5</v>
      </c>
      <c r="G47" s="229">
        <v>0.85</v>
      </c>
      <c r="H47" s="229">
        <v>3</v>
      </c>
      <c r="I47" s="229">
        <v>11</v>
      </c>
      <c r="J47" s="229">
        <v>0</v>
      </c>
      <c r="K47" s="228" t="s">
        <v>797</v>
      </c>
      <c r="L47" s="229">
        <v>2002</v>
      </c>
      <c r="M47" s="229" t="s">
        <v>1834</v>
      </c>
      <c r="N47" s="230" t="s">
        <v>2072</v>
      </c>
    </row>
    <row r="48" spans="1:14" x14ac:dyDescent="0.3">
      <c r="A48" s="238">
        <v>46</v>
      </c>
      <c r="B48" s="231" t="s">
        <v>312</v>
      </c>
      <c r="C48" s="232" t="s">
        <v>1758</v>
      </c>
      <c r="D48" s="232">
        <v>8.9600000000000009</v>
      </c>
      <c r="E48" s="264">
        <v>8.93</v>
      </c>
      <c r="F48" s="232">
        <v>9</v>
      </c>
      <c r="G48" s="232">
        <v>0.59</v>
      </c>
      <c r="H48" s="232">
        <v>2</v>
      </c>
      <c r="I48" s="232">
        <v>12</v>
      </c>
      <c r="J48" s="232">
        <v>0</v>
      </c>
      <c r="K48" s="231" t="s">
        <v>1759</v>
      </c>
      <c r="L48" s="232">
        <v>2003</v>
      </c>
      <c r="M48" s="232" t="s">
        <v>1831</v>
      </c>
      <c r="N48" s="233" t="s">
        <v>2031</v>
      </c>
    </row>
    <row r="49" spans="1:14" x14ac:dyDescent="0.3">
      <c r="A49" s="238">
        <v>47</v>
      </c>
      <c r="B49" s="228" t="s">
        <v>2950</v>
      </c>
      <c r="C49" s="229" t="s">
        <v>2951</v>
      </c>
      <c r="D49" s="229">
        <v>8.9600000000000009</v>
      </c>
      <c r="E49" s="265">
        <v>8.92</v>
      </c>
      <c r="F49" s="229">
        <v>9</v>
      </c>
      <c r="G49" s="229">
        <v>0.75</v>
      </c>
      <c r="H49" s="229">
        <v>3</v>
      </c>
      <c r="I49" s="229">
        <v>12</v>
      </c>
      <c r="J49" s="229">
        <v>0</v>
      </c>
      <c r="K49" s="228" t="s">
        <v>731</v>
      </c>
      <c r="L49" s="229">
        <v>2000</v>
      </c>
      <c r="M49" s="229" t="s">
        <v>1839</v>
      </c>
      <c r="N49" s="230" t="s">
        <v>2935</v>
      </c>
    </row>
    <row r="50" spans="1:14" x14ac:dyDescent="0.3">
      <c r="A50" s="238">
        <v>48</v>
      </c>
      <c r="B50" s="231" t="s">
        <v>1114</v>
      </c>
      <c r="C50" s="232" t="s">
        <v>1993</v>
      </c>
      <c r="D50" s="232">
        <v>8.7200000000000006</v>
      </c>
      <c r="E50" s="266">
        <v>8.91</v>
      </c>
      <c r="F50" s="232">
        <v>8.5</v>
      </c>
      <c r="G50" s="232">
        <v>0.85</v>
      </c>
      <c r="H50" s="232">
        <v>5</v>
      </c>
      <c r="I50" s="232">
        <v>30</v>
      </c>
      <c r="J50" s="232">
        <v>1</v>
      </c>
      <c r="K50" s="231" t="s">
        <v>1482</v>
      </c>
      <c r="L50" s="232">
        <v>2013</v>
      </c>
      <c r="M50" s="232" t="s">
        <v>1995</v>
      </c>
      <c r="N50" s="233" t="s">
        <v>2026</v>
      </c>
    </row>
    <row r="51" spans="1:14" x14ac:dyDescent="0.3">
      <c r="A51" s="238">
        <v>49</v>
      </c>
      <c r="B51" s="228" t="s">
        <v>300</v>
      </c>
      <c r="C51" s="229" t="s">
        <v>2419</v>
      </c>
      <c r="D51" s="229">
        <v>8.9</v>
      </c>
      <c r="E51" s="266">
        <v>8.9</v>
      </c>
      <c r="F51" s="229">
        <v>8.5</v>
      </c>
      <c r="G51" s="229">
        <v>0.86</v>
      </c>
      <c r="H51" s="229">
        <v>1</v>
      </c>
      <c r="I51" s="229">
        <v>6</v>
      </c>
      <c r="J51" s="229">
        <v>1</v>
      </c>
      <c r="K51" s="228" t="s">
        <v>735</v>
      </c>
      <c r="L51" s="229">
        <v>2002</v>
      </c>
      <c r="M51" s="229" t="s">
        <v>1824</v>
      </c>
      <c r="N51" s="230" t="s">
        <v>2424</v>
      </c>
    </row>
    <row r="52" spans="1:14" x14ac:dyDescent="0.3">
      <c r="A52" s="238">
        <v>50</v>
      </c>
      <c r="B52" s="231" t="s">
        <v>312</v>
      </c>
      <c r="C52" s="232" t="s">
        <v>1119</v>
      </c>
      <c r="D52" s="232">
        <v>8.77</v>
      </c>
      <c r="E52" s="267">
        <v>8.89</v>
      </c>
      <c r="F52" s="232">
        <v>9</v>
      </c>
      <c r="G52" s="232">
        <v>0.87</v>
      </c>
      <c r="H52" s="232">
        <v>2</v>
      </c>
      <c r="I52" s="232">
        <v>13</v>
      </c>
      <c r="J52" s="232">
        <v>0</v>
      </c>
      <c r="K52" s="231" t="s">
        <v>1121</v>
      </c>
      <c r="L52" s="232">
        <v>2009</v>
      </c>
      <c r="M52" s="232" t="s">
        <v>1842</v>
      </c>
      <c r="N52" s="233" t="s">
        <v>2091</v>
      </c>
    </row>
    <row r="53" spans="1:14" x14ac:dyDescent="0.3">
      <c r="A53" s="238">
        <v>51</v>
      </c>
      <c r="B53" s="228" t="s">
        <v>1114</v>
      </c>
      <c r="C53" s="229" t="s">
        <v>1479</v>
      </c>
      <c r="D53" s="229">
        <v>8.7200000000000006</v>
      </c>
      <c r="E53" s="267">
        <v>8.89</v>
      </c>
      <c r="F53" s="229">
        <v>8.5</v>
      </c>
      <c r="G53" s="229">
        <v>1.03</v>
      </c>
      <c r="H53" s="229">
        <v>5</v>
      </c>
      <c r="I53" s="229">
        <v>24</v>
      </c>
      <c r="J53" s="229">
        <v>1</v>
      </c>
      <c r="K53" s="228" t="s">
        <v>1482</v>
      </c>
      <c r="L53" s="229">
        <v>2011</v>
      </c>
      <c r="M53" s="229" t="s">
        <v>1832</v>
      </c>
      <c r="N53" s="230" t="s">
        <v>2058</v>
      </c>
    </row>
    <row r="54" spans="1:14" x14ac:dyDescent="0.3">
      <c r="A54" s="238">
        <v>52</v>
      </c>
      <c r="B54" s="231" t="s">
        <v>677</v>
      </c>
      <c r="C54" s="232" t="s">
        <v>1357</v>
      </c>
      <c r="D54" s="232">
        <v>8.8800000000000008</v>
      </c>
      <c r="E54" s="267">
        <v>8.89</v>
      </c>
      <c r="F54" s="232">
        <v>8.5</v>
      </c>
      <c r="G54" s="232">
        <v>0.74</v>
      </c>
      <c r="H54" s="232">
        <v>2</v>
      </c>
      <c r="I54" s="232">
        <v>15</v>
      </c>
      <c r="J54" s="232">
        <v>2</v>
      </c>
      <c r="K54" s="231" t="s">
        <v>1358</v>
      </c>
      <c r="L54" s="232">
        <v>2005</v>
      </c>
      <c r="M54" s="232" t="s">
        <v>1823</v>
      </c>
      <c r="N54" s="233" t="s">
        <v>2050</v>
      </c>
    </row>
    <row r="55" spans="1:14" x14ac:dyDescent="0.3">
      <c r="A55" s="238">
        <v>53</v>
      </c>
      <c r="B55" s="228" t="s">
        <v>1304</v>
      </c>
      <c r="C55" s="229" t="s">
        <v>1305</v>
      </c>
      <c r="D55" s="229">
        <v>8.82</v>
      </c>
      <c r="E55" s="268">
        <v>8.8800000000000008</v>
      </c>
      <c r="F55" s="229">
        <v>8.75</v>
      </c>
      <c r="G55" s="229">
        <v>0.92</v>
      </c>
      <c r="H55" s="229">
        <v>3</v>
      </c>
      <c r="I55" s="229">
        <v>16</v>
      </c>
      <c r="J55" s="229">
        <v>2</v>
      </c>
      <c r="K55" s="228" t="s">
        <v>1306</v>
      </c>
      <c r="L55" s="229">
        <v>2015</v>
      </c>
      <c r="M55" s="229" t="s">
        <v>1833</v>
      </c>
      <c r="N55" s="230" t="s">
        <v>2052</v>
      </c>
    </row>
    <row r="56" spans="1:14" x14ac:dyDescent="0.3">
      <c r="A56" s="238">
        <v>54</v>
      </c>
      <c r="B56" s="231" t="s">
        <v>1418</v>
      </c>
      <c r="C56" s="232" t="s">
        <v>1419</v>
      </c>
      <c r="D56" s="232">
        <v>8.93</v>
      </c>
      <c r="E56" s="268">
        <v>8.8800000000000008</v>
      </c>
      <c r="F56" s="232">
        <v>9</v>
      </c>
      <c r="G56" s="232">
        <v>0.73</v>
      </c>
      <c r="H56" s="232">
        <v>1</v>
      </c>
      <c r="I56" s="232">
        <v>7</v>
      </c>
      <c r="J56" s="232">
        <v>0</v>
      </c>
      <c r="K56" s="231" t="s">
        <v>1422</v>
      </c>
      <c r="L56" s="232">
        <v>2000</v>
      </c>
      <c r="M56" s="232" t="s">
        <v>1829</v>
      </c>
      <c r="N56" s="233" t="s">
        <v>2046</v>
      </c>
    </row>
    <row r="57" spans="1:14" x14ac:dyDescent="0.3">
      <c r="A57" s="238">
        <v>55</v>
      </c>
      <c r="B57" s="228" t="s">
        <v>1517</v>
      </c>
      <c r="C57" s="229" t="s">
        <v>1518</v>
      </c>
      <c r="D57" s="229">
        <v>8.9</v>
      </c>
      <c r="E57" s="268">
        <v>8.8800000000000008</v>
      </c>
      <c r="F57" s="229">
        <v>9</v>
      </c>
      <c r="G57" s="229">
        <v>0.66</v>
      </c>
      <c r="H57" s="229">
        <v>1</v>
      </c>
      <c r="I57" s="229">
        <v>5</v>
      </c>
      <c r="J57" s="229">
        <v>0</v>
      </c>
      <c r="K57" s="228" t="s">
        <v>1519</v>
      </c>
      <c r="L57" s="229">
        <v>1974</v>
      </c>
      <c r="M57" s="229" t="s">
        <v>1818</v>
      </c>
      <c r="N57" s="230" t="s">
        <v>2043</v>
      </c>
    </row>
    <row r="58" spans="1:14" x14ac:dyDescent="0.3">
      <c r="A58" s="238">
        <v>56</v>
      </c>
      <c r="B58" s="231" t="s">
        <v>1666</v>
      </c>
      <c r="C58" s="232" t="s">
        <v>1667</v>
      </c>
      <c r="D58" s="232">
        <v>8.91</v>
      </c>
      <c r="E58" s="268">
        <v>8.8800000000000008</v>
      </c>
      <c r="F58" s="232">
        <v>9</v>
      </c>
      <c r="G58" s="232">
        <v>0.67</v>
      </c>
      <c r="H58" s="232">
        <v>2</v>
      </c>
      <c r="I58" s="232">
        <v>11</v>
      </c>
      <c r="J58" s="232">
        <v>0</v>
      </c>
      <c r="K58" s="231" t="s">
        <v>1041</v>
      </c>
      <c r="L58" s="232">
        <v>1994</v>
      </c>
      <c r="M58" s="232" t="s">
        <v>1834</v>
      </c>
      <c r="N58" s="233" t="s">
        <v>2035</v>
      </c>
    </row>
    <row r="59" spans="1:14" x14ac:dyDescent="0.3">
      <c r="A59" s="238">
        <v>57</v>
      </c>
      <c r="B59" s="228" t="s">
        <v>2455</v>
      </c>
      <c r="C59" s="229" t="s">
        <v>2456</v>
      </c>
      <c r="D59" s="229">
        <v>8.86</v>
      </c>
      <c r="E59" s="268">
        <v>8.8800000000000008</v>
      </c>
      <c r="F59" s="229">
        <v>8.5</v>
      </c>
      <c r="G59" s="229">
        <v>0.93</v>
      </c>
      <c r="H59" s="229">
        <v>3</v>
      </c>
      <c r="I59" s="229">
        <v>11</v>
      </c>
      <c r="J59" s="229">
        <v>0</v>
      </c>
      <c r="K59" s="228" t="s">
        <v>2458</v>
      </c>
      <c r="L59" s="229">
        <v>1991</v>
      </c>
      <c r="M59" s="229" t="s">
        <v>1819</v>
      </c>
      <c r="N59" s="230" t="s">
        <v>2459</v>
      </c>
    </row>
    <row r="60" spans="1:14" x14ac:dyDescent="0.3">
      <c r="A60" s="238">
        <v>58</v>
      </c>
      <c r="B60" s="231" t="s">
        <v>305</v>
      </c>
      <c r="C60" s="232" t="s">
        <v>306</v>
      </c>
      <c r="D60" s="232">
        <v>8.89</v>
      </c>
      <c r="E60" s="269">
        <v>8.8699999999999992</v>
      </c>
      <c r="F60" s="232">
        <v>9</v>
      </c>
      <c r="G60" s="232">
        <v>0.7</v>
      </c>
      <c r="H60" s="232">
        <v>2</v>
      </c>
      <c r="I60" s="232">
        <v>9</v>
      </c>
      <c r="J60" s="232">
        <v>0</v>
      </c>
      <c r="K60" s="231" t="s">
        <v>719</v>
      </c>
      <c r="L60" s="232">
        <v>2020</v>
      </c>
      <c r="M60" s="232" t="s">
        <v>1835</v>
      </c>
      <c r="N60" s="233" t="s">
        <v>2091</v>
      </c>
    </row>
    <row r="61" spans="1:14" x14ac:dyDescent="0.3">
      <c r="A61" s="238">
        <v>59</v>
      </c>
      <c r="B61" s="228" t="s">
        <v>3025</v>
      </c>
      <c r="C61" s="229" t="s">
        <v>2997</v>
      </c>
      <c r="D61" s="229">
        <v>8.8000000000000007</v>
      </c>
      <c r="E61" s="269">
        <v>8.8699999999999992</v>
      </c>
      <c r="F61" s="229">
        <v>8.75</v>
      </c>
      <c r="G61" s="229">
        <v>0.87</v>
      </c>
      <c r="H61" s="229">
        <v>2</v>
      </c>
      <c r="I61" s="229">
        <v>10</v>
      </c>
      <c r="J61" s="229">
        <v>0</v>
      </c>
      <c r="K61" s="228" t="s">
        <v>3027</v>
      </c>
      <c r="L61" s="229">
        <v>1986</v>
      </c>
      <c r="M61" s="229" t="s">
        <v>1846</v>
      </c>
      <c r="N61" s="230" t="s">
        <v>3023</v>
      </c>
    </row>
    <row r="62" spans="1:14" x14ac:dyDescent="0.3">
      <c r="A62" s="238">
        <v>60</v>
      </c>
      <c r="B62" s="231" t="s">
        <v>307</v>
      </c>
      <c r="C62" s="232" t="s">
        <v>307</v>
      </c>
      <c r="D62" s="232">
        <v>8.83</v>
      </c>
      <c r="E62" s="270">
        <v>8.86</v>
      </c>
      <c r="F62" s="232">
        <v>8.5</v>
      </c>
      <c r="G62" s="232">
        <v>0.82</v>
      </c>
      <c r="H62" s="232">
        <v>2</v>
      </c>
      <c r="I62" s="232">
        <v>9</v>
      </c>
      <c r="J62" s="232">
        <v>0</v>
      </c>
      <c r="K62" s="231" t="s">
        <v>1145</v>
      </c>
      <c r="L62" s="232">
        <v>1978</v>
      </c>
      <c r="M62" s="232" t="s">
        <v>1817</v>
      </c>
      <c r="N62" s="233" t="s">
        <v>2057</v>
      </c>
    </row>
    <row r="63" spans="1:14" x14ac:dyDescent="0.3">
      <c r="A63" s="238">
        <v>61</v>
      </c>
      <c r="B63" s="228" t="s">
        <v>2236</v>
      </c>
      <c r="C63" s="229" t="s">
        <v>2387</v>
      </c>
      <c r="D63" s="229">
        <v>8.7899999999999991</v>
      </c>
      <c r="E63" s="270">
        <v>8.86</v>
      </c>
      <c r="F63" s="229">
        <v>8.75</v>
      </c>
      <c r="G63" s="229">
        <v>0.75</v>
      </c>
      <c r="H63" s="229">
        <v>1</v>
      </c>
      <c r="I63" s="229">
        <v>13</v>
      </c>
      <c r="J63" s="229">
        <v>1</v>
      </c>
      <c r="K63" s="228" t="s">
        <v>2400</v>
      </c>
      <c r="L63" s="229">
        <v>1967</v>
      </c>
      <c r="M63" s="229" t="s">
        <v>1841</v>
      </c>
      <c r="N63" s="230" t="s">
        <v>2401</v>
      </c>
    </row>
    <row r="64" spans="1:14" x14ac:dyDescent="0.3">
      <c r="A64" s="238">
        <v>62</v>
      </c>
      <c r="B64" s="231" t="s">
        <v>2636</v>
      </c>
      <c r="C64" s="232" t="s">
        <v>168</v>
      </c>
      <c r="D64" s="232">
        <v>8.91</v>
      </c>
      <c r="E64" s="270">
        <v>8.86</v>
      </c>
      <c r="F64" s="232">
        <v>9</v>
      </c>
      <c r="G64" s="232">
        <v>0.67</v>
      </c>
      <c r="H64" s="232">
        <v>1</v>
      </c>
      <c r="I64" s="232">
        <v>11</v>
      </c>
      <c r="J64" s="232">
        <v>0</v>
      </c>
      <c r="K64" s="231" t="s">
        <v>2640</v>
      </c>
      <c r="L64" s="232">
        <v>1977</v>
      </c>
      <c r="M64" s="232" t="s">
        <v>1841</v>
      </c>
      <c r="N64" s="233" t="s">
        <v>2641</v>
      </c>
    </row>
    <row r="65" spans="1:14" x14ac:dyDescent="0.3">
      <c r="A65" s="238">
        <v>63</v>
      </c>
      <c r="B65" s="228" t="s">
        <v>311</v>
      </c>
      <c r="C65" s="229" t="s">
        <v>949</v>
      </c>
      <c r="D65" s="229">
        <v>8.73</v>
      </c>
      <c r="E65" s="271">
        <v>8.85</v>
      </c>
      <c r="F65" s="229">
        <v>9</v>
      </c>
      <c r="G65" s="229">
        <v>0.96</v>
      </c>
      <c r="H65" s="229">
        <v>2</v>
      </c>
      <c r="I65" s="229">
        <v>11</v>
      </c>
      <c r="J65" s="229">
        <v>0</v>
      </c>
      <c r="K65" s="228" t="s">
        <v>955</v>
      </c>
      <c r="L65" s="229">
        <v>2002</v>
      </c>
      <c r="M65" s="229" t="s">
        <v>1819</v>
      </c>
      <c r="N65" s="230" t="s">
        <v>2062</v>
      </c>
    </row>
    <row r="66" spans="1:14" x14ac:dyDescent="0.3">
      <c r="A66" s="238">
        <v>64</v>
      </c>
      <c r="B66" s="231" t="s">
        <v>1450</v>
      </c>
      <c r="C66" s="232" t="s">
        <v>1451</v>
      </c>
      <c r="D66" s="232">
        <v>8.82</v>
      </c>
      <c r="E66" s="272">
        <v>8.84</v>
      </c>
      <c r="F66" s="232">
        <v>8.5</v>
      </c>
      <c r="G66" s="232">
        <v>0.81</v>
      </c>
      <c r="H66" s="232">
        <v>2</v>
      </c>
      <c r="I66" s="232">
        <v>12</v>
      </c>
      <c r="J66" s="232">
        <v>1</v>
      </c>
      <c r="K66" s="231" t="s">
        <v>735</v>
      </c>
      <c r="L66" s="232">
        <v>2005</v>
      </c>
      <c r="M66" s="232" t="s">
        <v>1828</v>
      </c>
      <c r="N66" s="233" t="s">
        <v>2045</v>
      </c>
    </row>
    <row r="67" spans="1:14" x14ac:dyDescent="0.3">
      <c r="A67" s="238">
        <v>65</v>
      </c>
      <c r="B67" s="228" t="s">
        <v>2536</v>
      </c>
      <c r="C67" s="229" t="s">
        <v>2537</v>
      </c>
      <c r="D67" s="229">
        <v>8.83</v>
      </c>
      <c r="E67" s="272">
        <v>8.84</v>
      </c>
      <c r="F67" s="229">
        <v>9</v>
      </c>
      <c r="G67" s="229">
        <v>0.24</v>
      </c>
      <c r="H67" s="229">
        <v>0</v>
      </c>
      <c r="I67" s="229">
        <v>3</v>
      </c>
      <c r="J67" s="229">
        <v>0</v>
      </c>
      <c r="K67" s="228" t="s">
        <v>1044</v>
      </c>
      <c r="L67" s="229">
        <v>1997</v>
      </c>
      <c r="M67" s="229" t="s">
        <v>1843</v>
      </c>
      <c r="N67" s="230" t="s">
        <v>2540</v>
      </c>
    </row>
    <row r="68" spans="1:14" x14ac:dyDescent="0.3">
      <c r="A68" s="238">
        <v>66</v>
      </c>
      <c r="B68" s="231" t="s">
        <v>2796</v>
      </c>
      <c r="C68" s="232" t="s">
        <v>2798</v>
      </c>
      <c r="D68" s="232">
        <v>8.8800000000000008</v>
      </c>
      <c r="E68" s="272">
        <v>8.84</v>
      </c>
      <c r="F68" s="232">
        <v>9</v>
      </c>
      <c r="G68" s="232">
        <v>0.79</v>
      </c>
      <c r="H68" s="232">
        <v>3</v>
      </c>
      <c r="I68" s="232">
        <v>23</v>
      </c>
      <c r="J68" s="232">
        <v>10</v>
      </c>
      <c r="K68" s="231" t="s">
        <v>2802</v>
      </c>
      <c r="L68" s="232">
        <v>2002</v>
      </c>
      <c r="M68" s="232" t="s">
        <v>1828</v>
      </c>
      <c r="N68" s="233" t="s">
        <v>2697</v>
      </c>
    </row>
    <row r="69" spans="1:14" x14ac:dyDescent="0.3">
      <c r="A69" s="238">
        <v>67</v>
      </c>
      <c r="B69" s="228" t="s">
        <v>1315</v>
      </c>
      <c r="C69" s="229" t="s">
        <v>1308</v>
      </c>
      <c r="D69" s="229">
        <v>8.86</v>
      </c>
      <c r="E69" s="272">
        <v>8.83</v>
      </c>
      <c r="F69" s="229">
        <v>9</v>
      </c>
      <c r="G69" s="229">
        <v>0.69</v>
      </c>
      <c r="H69" s="229">
        <v>1</v>
      </c>
      <c r="I69" s="229">
        <v>7</v>
      </c>
      <c r="J69" s="229">
        <v>0</v>
      </c>
      <c r="K69" s="228" t="s">
        <v>1317</v>
      </c>
      <c r="L69" s="229">
        <v>1971</v>
      </c>
      <c r="M69" s="229" t="s">
        <v>1836</v>
      </c>
      <c r="N69" s="230" t="s">
        <v>2051</v>
      </c>
    </row>
    <row r="70" spans="1:14" x14ac:dyDescent="0.3">
      <c r="A70" s="238">
        <v>68</v>
      </c>
      <c r="B70" s="231" t="s">
        <v>1697</v>
      </c>
      <c r="C70" s="232" t="s">
        <v>1698</v>
      </c>
      <c r="D70" s="232">
        <v>8.92</v>
      </c>
      <c r="E70" s="272">
        <v>8.83</v>
      </c>
      <c r="F70" s="232">
        <v>8.75</v>
      </c>
      <c r="G70" s="232">
        <v>0.67</v>
      </c>
      <c r="H70" s="232">
        <v>1</v>
      </c>
      <c r="I70" s="232">
        <v>6</v>
      </c>
      <c r="J70" s="232">
        <v>0</v>
      </c>
      <c r="K70" s="231" t="s">
        <v>1699</v>
      </c>
      <c r="L70" s="232">
        <v>1991</v>
      </c>
      <c r="M70" s="232" t="s">
        <v>1841</v>
      </c>
      <c r="N70" s="233" t="s">
        <v>2034</v>
      </c>
    </row>
    <row r="71" spans="1:14" x14ac:dyDescent="0.3">
      <c r="A71" s="238">
        <v>69</v>
      </c>
      <c r="B71" s="228" t="s">
        <v>1618</v>
      </c>
      <c r="C71" s="229" t="s">
        <v>2017</v>
      </c>
      <c r="D71" s="229">
        <v>8.81</v>
      </c>
      <c r="E71" s="272">
        <v>8.83</v>
      </c>
      <c r="F71" s="229">
        <v>8.5</v>
      </c>
      <c r="G71" s="229">
        <v>0.79</v>
      </c>
      <c r="H71" s="229">
        <v>1</v>
      </c>
      <c r="I71" s="229">
        <v>8</v>
      </c>
      <c r="J71" s="229">
        <v>0</v>
      </c>
      <c r="K71" s="228" t="s">
        <v>1286</v>
      </c>
      <c r="L71" s="229">
        <v>1988</v>
      </c>
      <c r="M71" s="229" t="s">
        <v>1811</v>
      </c>
      <c r="N71" s="230" t="s">
        <v>2025</v>
      </c>
    </row>
    <row r="72" spans="1:14" x14ac:dyDescent="0.3">
      <c r="A72" s="238">
        <v>70</v>
      </c>
      <c r="B72" s="231" t="s">
        <v>2236</v>
      </c>
      <c r="C72" s="232" t="s">
        <v>2237</v>
      </c>
      <c r="D72" s="232">
        <v>8.81</v>
      </c>
      <c r="E72" s="272">
        <v>8.83</v>
      </c>
      <c r="F72" s="232">
        <v>8.5</v>
      </c>
      <c r="G72" s="232">
        <v>0.73</v>
      </c>
      <c r="H72" s="232">
        <v>2</v>
      </c>
      <c r="I72" s="232">
        <v>17</v>
      </c>
      <c r="J72" s="232">
        <v>1</v>
      </c>
      <c r="K72" s="231" t="s">
        <v>1046</v>
      </c>
      <c r="L72" s="232">
        <v>1969</v>
      </c>
      <c r="M72" s="232" t="s">
        <v>1820</v>
      </c>
      <c r="N72" s="233" t="s">
        <v>2238</v>
      </c>
    </row>
    <row r="73" spans="1:14" x14ac:dyDescent="0.3">
      <c r="A73" s="238">
        <v>71</v>
      </c>
      <c r="B73" s="228" t="s">
        <v>297</v>
      </c>
      <c r="C73" s="229" t="s">
        <v>2531</v>
      </c>
      <c r="D73" s="229">
        <v>8.86</v>
      </c>
      <c r="E73" s="273">
        <v>8.82</v>
      </c>
      <c r="F73" s="229">
        <v>9</v>
      </c>
      <c r="G73" s="229">
        <v>0.52</v>
      </c>
      <c r="H73" s="229">
        <v>0</v>
      </c>
      <c r="I73" s="229">
        <v>7</v>
      </c>
      <c r="J73" s="229">
        <v>0</v>
      </c>
      <c r="K73" s="228" t="s">
        <v>714</v>
      </c>
      <c r="L73" s="229">
        <v>1981</v>
      </c>
      <c r="M73" s="229" t="s">
        <v>1846</v>
      </c>
      <c r="N73" s="230" t="s">
        <v>2539</v>
      </c>
    </row>
    <row r="74" spans="1:14" x14ac:dyDescent="0.3">
      <c r="A74" s="238">
        <v>72</v>
      </c>
      <c r="B74" s="231" t="s">
        <v>357</v>
      </c>
      <c r="C74" s="232" t="s">
        <v>351</v>
      </c>
      <c r="D74" s="232">
        <v>8.8000000000000007</v>
      </c>
      <c r="E74" s="274">
        <v>8.81</v>
      </c>
      <c r="F74" s="232">
        <v>8.5</v>
      </c>
      <c r="G74" s="232">
        <v>0.98</v>
      </c>
      <c r="H74" s="232">
        <v>2</v>
      </c>
      <c r="I74" s="232">
        <v>10</v>
      </c>
      <c r="J74" s="232">
        <v>0</v>
      </c>
      <c r="K74" s="231" t="s">
        <v>722</v>
      </c>
      <c r="L74" s="232">
        <v>1990</v>
      </c>
      <c r="M74" s="232" t="s">
        <v>1846</v>
      </c>
      <c r="N74" s="233" t="s">
        <v>2087</v>
      </c>
    </row>
    <row r="75" spans="1:14" x14ac:dyDescent="0.3">
      <c r="A75" s="238">
        <v>73</v>
      </c>
      <c r="B75" s="228" t="s">
        <v>441</v>
      </c>
      <c r="C75" s="229" t="s">
        <v>442</v>
      </c>
      <c r="D75" s="229">
        <v>8.7899999999999991</v>
      </c>
      <c r="E75" s="274">
        <v>8.81</v>
      </c>
      <c r="F75" s="229">
        <v>8.5</v>
      </c>
      <c r="G75" s="229">
        <v>0.99</v>
      </c>
      <c r="H75" s="229">
        <v>3</v>
      </c>
      <c r="I75" s="229">
        <v>12</v>
      </c>
      <c r="J75" s="229">
        <v>0</v>
      </c>
      <c r="K75" s="228" t="s">
        <v>716</v>
      </c>
      <c r="L75" s="229">
        <v>2002</v>
      </c>
      <c r="M75" s="229" t="s">
        <v>1838</v>
      </c>
      <c r="N75" s="230" t="s">
        <v>2084</v>
      </c>
    </row>
    <row r="76" spans="1:14" x14ac:dyDescent="0.3">
      <c r="A76" s="238">
        <v>74</v>
      </c>
      <c r="B76" s="231" t="s">
        <v>2557</v>
      </c>
      <c r="C76" s="232" t="s">
        <v>2556</v>
      </c>
      <c r="D76" s="232">
        <v>8.8800000000000008</v>
      </c>
      <c r="E76" s="274">
        <v>8.81</v>
      </c>
      <c r="F76" s="232">
        <v>8.75</v>
      </c>
      <c r="G76" s="232">
        <v>0.74</v>
      </c>
      <c r="H76" s="232">
        <v>1</v>
      </c>
      <c r="I76" s="232">
        <v>4</v>
      </c>
      <c r="J76" s="232">
        <v>0</v>
      </c>
      <c r="K76" s="231" t="s">
        <v>2594</v>
      </c>
      <c r="L76" s="232">
        <v>2000</v>
      </c>
      <c r="M76" s="232" t="s">
        <v>2595</v>
      </c>
      <c r="N76" s="233" t="s">
        <v>2596</v>
      </c>
    </row>
    <row r="77" spans="1:14" x14ac:dyDescent="0.3">
      <c r="A77" s="238">
        <v>75</v>
      </c>
      <c r="B77" s="228" t="s">
        <v>307</v>
      </c>
      <c r="C77" s="229" t="s">
        <v>2741</v>
      </c>
      <c r="D77" s="229">
        <v>8.8000000000000007</v>
      </c>
      <c r="E77" s="274">
        <v>8.81</v>
      </c>
      <c r="F77" s="229">
        <v>8.5</v>
      </c>
      <c r="G77" s="229">
        <v>0.93</v>
      </c>
      <c r="H77" s="229">
        <v>1</v>
      </c>
      <c r="I77" s="229">
        <v>5</v>
      </c>
      <c r="J77" s="229">
        <v>0</v>
      </c>
      <c r="K77" s="228" t="s">
        <v>1027</v>
      </c>
      <c r="L77" s="229">
        <v>1982</v>
      </c>
      <c r="M77" s="229" t="s">
        <v>1817</v>
      </c>
      <c r="N77" s="230" t="s">
        <v>2745</v>
      </c>
    </row>
    <row r="78" spans="1:14" x14ac:dyDescent="0.3">
      <c r="A78" s="238">
        <v>76</v>
      </c>
      <c r="B78" s="231" t="s">
        <v>545</v>
      </c>
      <c r="C78" s="232" t="s">
        <v>546</v>
      </c>
      <c r="D78" s="232">
        <v>8.7799999999999994</v>
      </c>
      <c r="E78" s="275">
        <v>8.7899999999999991</v>
      </c>
      <c r="F78" s="232">
        <v>8.5</v>
      </c>
      <c r="G78" s="232">
        <v>0.97</v>
      </c>
      <c r="H78" s="232">
        <v>2</v>
      </c>
      <c r="I78" s="232">
        <v>9</v>
      </c>
      <c r="J78" s="232">
        <v>0</v>
      </c>
      <c r="K78" s="231" t="s">
        <v>777</v>
      </c>
      <c r="L78" s="232">
        <v>1983</v>
      </c>
      <c r="M78" s="232" t="s">
        <v>1820</v>
      </c>
      <c r="N78" s="233" t="s">
        <v>2081</v>
      </c>
    </row>
    <row r="79" spans="1:14" x14ac:dyDescent="0.3">
      <c r="A79" s="238">
        <v>77</v>
      </c>
      <c r="B79" s="228" t="s">
        <v>303</v>
      </c>
      <c r="C79" s="229" t="s">
        <v>588</v>
      </c>
      <c r="D79" s="229">
        <v>8.77</v>
      </c>
      <c r="E79" s="275">
        <v>8.7899999999999991</v>
      </c>
      <c r="F79" s="229">
        <v>8.5</v>
      </c>
      <c r="G79" s="229">
        <v>0.99</v>
      </c>
      <c r="H79" s="229">
        <v>3</v>
      </c>
      <c r="I79" s="229">
        <v>13</v>
      </c>
      <c r="J79" s="229">
        <v>0</v>
      </c>
      <c r="K79" s="228" t="s">
        <v>718</v>
      </c>
      <c r="L79" s="229">
        <v>2013</v>
      </c>
      <c r="M79" s="229" t="s">
        <v>1837</v>
      </c>
      <c r="N79" s="230" t="s">
        <v>2079</v>
      </c>
    </row>
    <row r="80" spans="1:14" x14ac:dyDescent="0.3">
      <c r="A80" s="238">
        <v>78</v>
      </c>
      <c r="B80" s="231" t="s">
        <v>774</v>
      </c>
      <c r="C80" s="232" t="s">
        <v>775</v>
      </c>
      <c r="D80" s="232">
        <v>8.82</v>
      </c>
      <c r="E80" s="275">
        <v>8.7899999999999991</v>
      </c>
      <c r="F80" s="232">
        <v>9</v>
      </c>
      <c r="G80" s="232">
        <v>0.86</v>
      </c>
      <c r="H80" s="232">
        <v>3</v>
      </c>
      <c r="I80" s="232">
        <v>13</v>
      </c>
      <c r="J80" s="232">
        <v>2</v>
      </c>
      <c r="K80" s="231" t="s">
        <v>776</v>
      </c>
      <c r="L80" s="232">
        <v>2010</v>
      </c>
      <c r="M80" s="232" t="s">
        <v>1838</v>
      </c>
      <c r="N80" s="233" t="s">
        <v>2069</v>
      </c>
    </row>
    <row r="81" spans="1:14" x14ac:dyDescent="0.3">
      <c r="A81" s="238">
        <v>79</v>
      </c>
      <c r="B81" s="228" t="s">
        <v>1213</v>
      </c>
      <c r="C81" s="229" t="s">
        <v>1214</v>
      </c>
      <c r="D81" s="229">
        <v>8.67</v>
      </c>
      <c r="E81" s="275">
        <v>8.7899999999999991</v>
      </c>
      <c r="F81" s="229">
        <v>9</v>
      </c>
      <c r="G81" s="229">
        <v>1.08</v>
      </c>
      <c r="H81" s="229">
        <v>2</v>
      </c>
      <c r="I81" s="229">
        <v>9</v>
      </c>
      <c r="J81" s="229">
        <v>0</v>
      </c>
      <c r="K81" s="228" t="s">
        <v>1217</v>
      </c>
      <c r="L81" s="229">
        <v>2008</v>
      </c>
      <c r="M81" s="229" t="s">
        <v>1839</v>
      </c>
      <c r="N81" s="230" t="s">
        <v>2056</v>
      </c>
    </row>
    <row r="82" spans="1:14" x14ac:dyDescent="0.3">
      <c r="A82" s="238">
        <v>80</v>
      </c>
      <c r="B82" s="231" t="s">
        <v>300</v>
      </c>
      <c r="C82" s="232" t="s">
        <v>855</v>
      </c>
      <c r="D82" s="232">
        <v>8.7899999999999991</v>
      </c>
      <c r="E82" s="276">
        <v>8.7799999999999994</v>
      </c>
      <c r="F82" s="232">
        <v>8.5</v>
      </c>
      <c r="G82" s="232">
        <v>0.99</v>
      </c>
      <c r="H82" s="232">
        <v>1</v>
      </c>
      <c r="I82" s="232">
        <v>7</v>
      </c>
      <c r="J82" s="232">
        <v>0</v>
      </c>
      <c r="K82" s="231" t="s">
        <v>735</v>
      </c>
      <c r="L82" s="232">
        <v>1999</v>
      </c>
      <c r="M82" s="232" t="s">
        <v>1845</v>
      </c>
      <c r="N82" s="233" t="s">
        <v>2066</v>
      </c>
    </row>
    <row r="83" spans="1:14" x14ac:dyDescent="0.3">
      <c r="A83" s="238">
        <v>81</v>
      </c>
      <c r="B83" s="228" t="s">
        <v>1596</v>
      </c>
      <c r="C83" s="229" t="s">
        <v>1595</v>
      </c>
      <c r="D83" s="229">
        <v>8.85</v>
      </c>
      <c r="E83" s="276">
        <v>8.7799999999999994</v>
      </c>
      <c r="F83" s="229">
        <v>8.75</v>
      </c>
      <c r="G83" s="229">
        <v>0.55000000000000004</v>
      </c>
      <c r="H83" s="229">
        <v>1</v>
      </c>
      <c r="I83" s="229">
        <v>10</v>
      </c>
      <c r="J83" s="229">
        <v>0</v>
      </c>
      <c r="K83" s="228" t="s">
        <v>1597</v>
      </c>
      <c r="L83" s="229">
        <v>2014</v>
      </c>
      <c r="M83" s="229" t="s">
        <v>1840</v>
      </c>
      <c r="N83" s="230" t="s">
        <v>2039</v>
      </c>
    </row>
    <row r="84" spans="1:14" x14ac:dyDescent="0.3">
      <c r="A84" s="238">
        <v>82</v>
      </c>
      <c r="B84" s="231" t="s">
        <v>441</v>
      </c>
      <c r="C84" s="232" t="s">
        <v>2403</v>
      </c>
      <c r="D84" s="232">
        <v>8.75</v>
      </c>
      <c r="E84" s="276">
        <v>8.7799999999999994</v>
      </c>
      <c r="F84" s="232">
        <v>8.5</v>
      </c>
      <c r="G84" s="232">
        <v>0.68</v>
      </c>
      <c r="H84" s="232">
        <v>1</v>
      </c>
      <c r="I84" s="232">
        <v>10</v>
      </c>
      <c r="J84" s="232">
        <v>0</v>
      </c>
      <c r="K84" s="231" t="s">
        <v>2414</v>
      </c>
      <c r="L84" s="232">
        <v>2000</v>
      </c>
      <c r="M84" s="232" t="s">
        <v>1844</v>
      </c>
      <c r="N84" s="233" t="s">
        <v>2401</v>
      </c>
    </row>
    <row r="85" spans="1:14" x14ac:dyDescent="0.3">
      <c r="A85" s="238">
        <v>83</v>
      </c>
      <c r="B85" s="228" t="s">
        <v>297</v>
      </c>
      <c r="C85" s="229" t="s">
        <v>1325</v>
      </c>
      <c r="D85" s="229">
        <v>8.83</v>
      </c>
      <c r="E85" s="277">
        <v>8.77</v>
      </c>
      <c r="F85" s="229">
        <v>8.75</v>
      </c>
      <c r="G85" s="229">
        <v>0.62</v>
      </c>
      <c r="H85" s="229">
        <v>1</v>
      </c>
      <c r="I85" s="229">
        <v>6</v>
      </c>
      <c r="J85" s="229">
        <v>0</v>
      </c>
      <c r="K85" s="228" t="s">
        <v>1327</v>
      </c>
      <c r="L85" s="229">
        <v>2023</v>
      </c>
      <c r="M85" s="229" t="s">
        <v>1841</v>
      </c>
      <c r="N85" s="230" t="s">
        <v>2051</v>
      </c>
    </row>
    <row r="86" spans="1:14" x14ac:dyDescent="0.3">
      <c r="A86" s="238">
        <v>84</v>
      </c>
      <c r="B86" s="231" t="s">
        <v>2492</v>
      </c>
      <c r="C86" s="232" t="s">
        <v>2493</v>
      </c>
      <c r="D86" s="232">
        <v>8.8800000000000008</v>
      </c>
      <c r="E86" s="277">
        <v>8.77</v>
      </c>
      <c r="F86" s="232">
        <v>8.75</v>
      </c>
      <c r="G86" s="232">
        <v>0.89</v>
      </c>
      <c r="H86" s="232">
        <v>1</v>
      </c>
      <c r="I86" s="232">
        <v>6</v>
      </c>
      <c r="J86" s="232">
        <v>2</v>
      </c>
      <c r="K86" s="231" t="s">
        <v>2496</v>
      </c>
      <c r="L86" s="232">
        <v>2000</v>
      </c>
      <c r="M86" s="232" t="s">
        <v>2497</v>
      </c>
      <c r="N86" s="233" t="s">
        <v>2498</v>
      </c>
    </row>
    <row r="87" spans="1:14" x14ac:dyDescent="0.3">
      <c r="A87" s="238">
        <v>85</v>
      </c>
      <c r="B87" s="228" t="s">
        <v>2950</v>
      </c>
      <c r="C87" s="229" t="s">
        <v>3340</v>
      </c>
      <c r="D87" s="229">
        <v>8.73</v>
      </c>
      <c r="E87" s="277">
        <v>8.77</v>
      </c>
      <c r="F87" s="229">
        <v>8.5</v>
      </c>
      <c r="G87" s="229">
        <v>0.96</v>
      </c>
      <c r="H87" s="229">
        <v>3</v>
      </c>
      <c r="I87" s="229">
        <v>11</v>
      </c>
      <c r="J87" s="229">
        <v>0</v>
      </c>
      <c r="K87" s="228" t="s">
        <v>731</v>
      </c>
      <c r="L87" s="229">
        <v>2012</v>
      </c>
      <c r="M87" s="229" t="s">
        <v>1823</v>
      </c>
      <c r="N87" s="230" t="s">
        <v>3341</v>
      </c>
    </row>
    <row r="88" spans="1:14" x14ac:dyDescent="0.3">
      <c r="A88" s="238">
        <v>86</v>
      </c>
      <c r="B88" s="231" t="s">
        <v>308</v>
      </c>
      <c r="C88" s="232" t="s">
        <v>240</v>
      </c>
      <c r="D88" s="232">
        <v>8.7799999999999994</v>
      </c>
      <c r="E88" s="278">
        <v>8.76</v>
      </c>
      <c r="F88" s="232">
        <v>9</v>
      </c>
      <c r="G88" s="232">
        <v>0.79</v>
      </c>
      <c r="H88" s="232">
        <v>2</v>
      </c>
      <c r="I88" s="232">
        <v>10</v>
      </c>
      <c r="J88" s="232">
        <v>1</v>
      </c>
      <c r="K88" s="231" t="s">
        <v>721</v>
      </c>
      <c r="L88" s="232">
        <v>1994</v>
      </c>
      <c r="M88" s="232" t="s">
        <v>1841</v>
      </c>
      <c r="N88" s="233" t="s">
        <v>2089</v>
      </c>
    </row>
    <row r="89" spans="1:14" x14ac:dyDescent="0.3">
      <c r="A89" s="238">
        <v>87</v>
      </c>
      <c r="B89" s="228" t="s">
        <v>795</v>
      </c>
      <c r="C89" s="229" t="s">
        <v>790</v>
      </c>
      <c r="D89" s="229">
        <v>8.7100000000000009</v>
      </c>
      <c r="E89" s="278">
        <v>8.76</v>
      </c>
      <c r="F89" s="229">
        <v>8.5</v>
      </c>
      <c r="G89" s="229">
        <v>0.75</v>
      </c>
      <c r="H89" s="229">
        <v>2</v>
      </c>
      <c r="I89" s="229">
        <v>14</v>
      </c>
      <c r="J89" s="229">
        <v>0</v>
      </c>
      <c r="K89" s="228" t="s">
        <v>796</v>
      </c>
      <c r="L89" s="229">
        <v>2005</v>
      </c>
      <c r="M89" s="229" t="s">
        <v>1843</v>
      </c>
      <c r="N89" s="230" t="s">
        <v>2068</v>
      </c>
    </row>
    <row r="90" spans="1:14" x14ac:dyDescent="0.3">
      <c r="A90" s="238">
        <v>88</v>
      </c>
      <c r="B90" s="231" t="s">
        <v>1407</v>
      </c>
      <c r="C90" s="232" t="s">
        <v>1408</v>
      </c>
      <c r="D90" s="232">
        <v>8.73</v>
      </c>
      <c r="E90" s="278">
        <v>8.76</v>
      </c>
      <c r="F90" s="232">
        <v>8.5</v>
      </c>
      <c r="G90" s="232">
        <v>0.75</v>
      </c>
      <c r="H90" s="232">
        <v>1</v>
      </c>
      <c r="I90" s="232">
        <v>13</v>
      </c>
      <c r="J90" s="232">
        <v>0</v>
      </c>
      <c r="K90" s="231" t="s">
        <v>1409</v>
      </c>
      <c r="L90" s="232">
        <v>1992</v>
      </c>
      <c r="M90" s="232" t="s">
        <v>1837</v>
      </c>
      <c r="N90" s="233" t="s">
        <v>2047</v>
      </c>
    </row>
    <row r="91" spans="1:14" x14ac:dyDescent="0.3">
      <c r="A91" s="238">
        <v>89</v>
      </c>
      <c r="B91" s="228" t="s">
        <v>293</v>
      </c>
      <c r="C91" s="229" t="s">
        <v>518</v>
      </c>
      <c r="D91" s="229">
        <v>8.77</v>
      </c>
      <c r="E91" s="279">
        <v>8.75</v>
      </c>
      <c r="F91" s="229">
        <v>9</v>
      </c>
      <c r="G91" s="229">
        <v>0.72</v>
      </c>
      <c r="H91" s="229">
        <v>1</v>
      </c>
      <c r="I91" s="229">
        <v>11</v>
      </c>
      <c r="J91" s="229">
        <v>0</v>
      </c>
      <c r="K91" s="228" t="s">
        <v>713</v>
      </c>
      <c r="L91" s="229">
        <v>2016</v>
      </c>
      <c r="M91" s="229" t="s">
        <v>1839</v>
      </c>
      <c r="N91" s="230" t="s">
        <v>2082</v>
      </c>
    </row>
    <row r="92" spans="1:14" x14ac:dyDescent="0.3">
      <c r="A92" s="238">
        <v>90</v>
      </c>
      <c r="B92" s="231" t="s">
        <v>677</v>
      </c>
      <c r="C92" s="232" t="s">
        <v>673</v>
      </c>
      <c r="D92" s="232">
        <v>8.67</v>
      </c>
      <c r="E92" s="279">
        <v>8.75</v>
      </c>
      <c r="F92" s="232">
        <v>8</v>
      </c>
      <c r="G92" s="232">
        <v>1.04</v>
      </c>
      <c r="H92" s="232">
        <v>4</v>
      </c>
      <c r="I92" s="232">
        <v>16</v>
      </c>
      <c r="J92" s="232">
        <v>1</v>
      </c>
      <c r="K92" s="231" t="s">
        <v>736</v>
      </c>
      <c r="L92" s="232">
        <v>2010</v>
      </c>
      <c r="M92" s="232" t="s">
        <v>1844</v>
      </c>
      <c r="N92" s="233" t="s">
        <v>2075</v>
      </c>
    </row>
    <row r="93" spans="1:14" x14ac:dyDescent="0.3">
      <c r="A93" s="238">
        <v>91</v>
      </c>
      <c r="B93" s="228" t="s">
        <v>2310</v>
      </c>
      <c r="C93" s="229" t="s">
        <v>2300</v>
      </c>
      <c r="D93" s="229">
        <v>8.86</v>
      </c>
      <c r="E93" s="280">
        <v>8.74</v>
      </c>
      <c r="F93" s="229">
        <v>8.5</v>
      </c>
      <c r="G93" s="229">
        <v>0.86</v>
      </c>
      <c r="H93" s="229">
        <v>3</v>
      </c>
      <c r="I93" s="229">
        <v>11</v>
      </c>
      <c r="J93" s="229">
        <v>0</v>
      </c>
      <c r="K93" s="228" t="s">
        <v>2311</v>
      </c>
      <c r="L93" s="229">
        <v>1994</v>
      </c>
      <c r="M93" s="229" t="s">
        <v>1823</v>
      </c>
      <c r="N93" s="230" t="s">
        <v>2312</v>
      </c>
    </row>
    <row r="94" spans="1:14" x14ac:dyDescent="0.3">
      <c r="A94" s="238">
        <v>92</v>
      </c>
      <c r="B94" s="231" t="s">
        <v>1369</v>
      </c>
      <c r="C94" s="232" t="s">
        <v>1370</v>
      </c>
      <c r="D94" s="232">
        <v>8.83</v>
      </c>
      <c r="E94" s="281">
        <v>8.7200000000000006</v>
      </c>
      <c r="F94" s="232">
        <v>8.5</v>
      </c>
      <c r="G94" s="232">
        <v>0.57999999999999996</v>
      </c>
      <c r="H94" s="232">
        <v>1</v>
      </c>
      <c r="I94" s="232">
        <v>9</v>
      </c>
      <c r="J94" s="232">
        <v>0</v>
      </c>
      <c r="K94" s="231" t="s">
        <v>1371</v>
      </c>
      <c r="L94" s="232">
        <v>2002</v>
      </c>
      <c r="M94" s="232" t="s">
        <v>1838</v>
      </c>
      <c r="N94" s="233" t="s">
        <v>2049</v>
      </c>
    </row>
    <row r="95" spans="1:14" x14ac:dyDescent="0.3">
      <c r="A95" s="238">
        <v>93</v>
      </c>
      <c r="B95" s="228" t="s">
        <v>3007</v>
      </c>
      <c r="C95" s="229" t="s">
        <v>3008</v>
      </c>
      <c r="D95" s="229">
        <v>8.85</v>
      </c>
      <c r="E95" s="281">
        <v>8.7200000000000006</v>
      </c>
      <c r="F95" s="229">
        <v>8.5</v>
      </c>
      <c r="G95" s="229">
        <v>0.66</v>
      </c>
      <c r="H95" s="229">
        <v>2</v>
      </c>
      <c r="I95" s="229">
        <v>14</v>
      </c>
      <c r="J95" s="229">
        <v>1</v>
      </c>
      <c r="K95" s="228" t="s">
        <v>3022</v>
      </c>
      <c r="L95" s="229">
        <v>2020</v>
      </c>
      <c r="M95" s="229" t="s">
        <v>1856</v>
      </c>
      <c r="N95" s="230" t="s">
        <v>3023</v>
      </c>
    </row>
    <row r="96" spans="1:14" x14ac:dyDescent="0.3">
      <c r="A96" s="238">
        <v>94</v>
      </c>
      <c r="B96" s="231" t="s">
        <v>370</v>
      </c>
      <c r="C96" s="232" t="s">
        <v>368</v>
      </c>
      <c r="D96" s="232">
        <v>8.67</v>
      </c>
      <c r="E96" s="282">
        <v>8.7100000000000009</v>
      </c>
      <c r="F96" s="232">
        <v>8.5</v>
      </c>
      <c r="G96" s="232">
        <v>0.85</v>
      </c>
      <c r="H96" s="232">
        <v>2</v>
      </c>
      <c r="I96" s="232">
        <v>12</v>
      </c>
      <c r="J96" s="232">
        <v>0</v>
      </c>
      <c r="K96" s="231" t="s">
        <v>777</v>
      </c>
      <c r="L96" s="232">
        <v>1989</v>
      </c>
      <c r="M96" s="232" t="s">
        <v>1847</v>
      </c>
      <c r="N96" s="233" t="s">
        <v>2087</v>
      </c>
    </row>
    <row r="97" spans="1:14" x14ac:dyDescent="0.3">
      <c r="A97" s="238">
        <v>95</v>
      </c>
      <c r="B97" s="228" t="s">
        <v>1433</v>
      </c>
      <c r="C97" s="229" t="s">
        <v>1434</v>
      </c>
      <c r="D97" s="229">
        <v>8.75</v>
      </c>
      <c r="E97" s="283">
        <v>8.6999999999999993</v>
      </c>
      <c r="F97" s="229">
        <v>8.75</v>
      </c>
      <c r="G97" s="229">
        <v>0.75</v>
      </c>
      <c r="H97" s="229">
        <v>2</v>
      </c>
      <c r="I97" s="229">
        <v>10</v>
      </c>
      <c r="J97" s="229">
        <v>0</v>
      </c>
      <c r="K97" s="228" t="s">
        <v>1435</v>
      </c>
      <c r="L97" s="229">
        <v>1998</v>
      </c>
      <c r="M97" s="229" t="s">
        <v>1848</v>
      </c>
      <c r="N97" s="230" t="s">
        <v>2045</v>
      </c>
    </row>
    <row r="98" spans="1:14" x14ac:dyDescent="0.3">
      <c r="A98" s="238">
        <v>96</v>
      </c>
      <c r="B98" s="231" t="s">
        <v>1618</v>
      </c>
      <c r="C98" s="232" t="s">
        <v>1614</v>
      </c>
      <c r="D98" s="232">
        <v>8.81</v>
      </c>
      <c r="E98" s="283">
        <v>8.6999999999999993</v>
      </c>
      <c r="F98" s="232">
        <v>8.5</v>
      </c>
      <c r="G98" s="232">
        <v>0.83</v>
      </c>
      <c r="H98" s="232">
        <v>2</v>
      </c>
      <c r="I98" s="232">
        <v>8</v>
      </c>
      <c r="J98" s="232">
        <v>0</v>
      </c>
      <c r="K98" s="231" t="s">
        <v>1286</v>
      </c>
      <c r="L98" s="232">
        <v>1982</v>
      </c>
      <c r="M98" s="232" t="s">
        <v>1825</v>
      </c>
      <c r="N98" s="233" t="s">
        <v>2038</v>
      </c>
    </row>
    <row r="99" spans="1:14" x14ac:dyDescent="0.3">
      <c r="A99" s="238">
        <v>97</v>
      </c>
      <c r="B99" s="228" t="s">
        <v>2900</v>
      </c>
      <c r="C99" s="229" t="s">
        <v>2900</v>
      </c>
      <c r="D99" s="229">
        <v>8.8000000000000007</v>
      </c>
      <c r="E99" s="283">
        <v>8.6999999999999993</v>
      </c>
      <c r="F99" s="229">
        <v>8.5</v>
      </c>
      <c r="G99" s="229">
        <v>0.68</v>
      </c>
      <c r="H99" s="229">
        <v>1</v>
      </c>
      <c r="I99" s="229">
        <v>5</v>
      </c>
      <c r="J99" s="229">
        <v>0</v>
      </c>
      <c r="K99" s="228" t="s">
        <v>2901</v>
      </c>
      <c r="L99" s="229">
        <v>2007</v>
      </c>
      <c r="M99" s="229" t="s">
        <v>2902</v>
      </c>
      <c r="N99" s="230" t="s">
        <v>2899</v>
      </c>
    </row>
    <row r="100" spans="1:14" x14ac:dyDescent="0.3">
      <c r="A100" s="238">
        <v>98</v>
      </c>
      <c r="B100" s="231" t="s">
        <v>1387</v>
      </c>
      <c r="C100" s="232" t="s">
        <v>1392</v>
      </c>
      <c r="D100" s="232">
        <v>8.8000000000000007</v>
      </c>
      <c r="E100" s="284">
        <v>8.68</v>
      </c>
      <c r="F100" s="232">
        <v>8.5</v>
      </c>
      <c r="G100" s="232">
        <v>0.7</v>
      </c>
      <c r="H100" s="232">
        <v>2</v>
      </c>
      <c r="I100" s="232">
        <v>15</v>
      </c>
      <c r="J100" s="232">
        <v>0</v>
      </c>
      <c r="K100" s="231" t="s">
        <v>1389</v>
      </c>
      <c r="L100" s="232">
        <v>2012</v>
      </c>
      <c r="M100" s="232" t="s">
        <v>1824</v>
      </c>
      <c r="N100" s="233" t="s">
        <v>2048</v>
      </c>
    </row>
    <row r="101" spans="1:14" x14ac:dyDescent="0.3">
      <c r="A101" s="238">
        <v>99</v>
      </c>
      <c r="B101" s="228" t="s">
        <v>1407</v>
      </c>
      <c r="C101" s="229" t="s">
        <v>2491</v>
      </c>
      <c r="D101" s="229">
        <v>8.6300000000000008</v>
      </c>
      <c r="E101" s="285">
        <v>8.67</v>
      </c>
      <c r="F101" s="229">
        <v>8.5</v>
      </c>
      <c r="G101" s="229">
        <v>0.89</v>
      </c>
      <c r="H101" s="229">
        <v>2</v>
      </c>
      <c r="I101" s="229">
        <v>12</v>
      </c>
      <c r="J101" s="229">
        <v>0</v>
      </c>
      <c r="K101" s="228" t="s">
        <v>1761</v>
      </c>
      <c r="L101" s="229">
        <v>1995</v>
      </c>
      <c r="M101" s="229" t="s">
        <v>1843</v>
      </c>
      <c r="N101" s="230" t="s">
        <v>2499</v>
      </c>
    </row>
    <row r="102" spans="1:14" x14ac:dyDescent="0.3">
      <c r="A102" s="238">
        <v>100</v>
      </c>
      <c r="B102" s="231" t="s">
        <v>2588</v>
      </c>
      <c r="C102" s="232" t="s">
        <v>2589</v>
      </c>
      <c r="D102" s="232">
        <v>8.75</v>
      </c>
      <c r="E102" s="285">
        <v>8.67</v>
      </c>
      <c r="F102" s="232">
        <v>8.75</v>
      </c>
      <c r="G102" s="232">
        <v>0.75</v>
      </c>
      <c r="H102" s="232">
        <v>1</v>
      </c>
      <c r="I102" s="232">
        <v>11</v>
      </c>
      <c r="J102" s="232">
        <v>1</v>
      </c>
      <c r="K102" s="231" t="s">
        <v>2621</v>
      </c>
      <c r="L102" s="232">
        <v>1991</v>
      </c>
      <c r="M102" s="232" t="s">
        <v>1829</v>
      </c>
      <c r="N102" s="233" t="s">
        <v>2592</v>
      </c>
    </row>
    <row r="103" spans="1:14" x14ac:dyDescent="0.3">
      <c r="A103" s="238">
        <v>101</v>
      </c>
      <c r="B103" s="228" t="s">
        <v>2636</v>
      </c>
      <c r="C103" s="229" t="s">
        <v>3382</v>
      </c>
      <c r="D103" s="229">
        <v>8.7899999999999991</v>
      </c>
      <c r="E103" s="285">
        <v>8.67</v>
      </c>
      <c r="F103" s="229">
        <v>8.5</v>
      </c>
      <c r="G103" s="229">
        <v>0.7</v>
      </c>
      <c r="H103" s="229">
        <v>1</v>
      </c>
      <c r="I103" s="229">
        <v>7</v>
      </c>
      <c r="J103" s="229">
        <v>0</v>
      </c>
      <c r="K103" s="228" t="s">
        <v>1027</v>
      </c>
      <c r="L103" s="229">
        <v>2016</v>
      </c>
      <c r="M103" s="229" t="s">
        <v>1817</v>
      </c>
      <c r="N103" s="230" t="s">
        <v>3387</v>
      </c>
    </row>
    <row r="104" spans="1:14" x14ac:dyDescent="0.3">
      <c r="A104" s="238">
        <v>102</v>
      </c>
      <c r="B104" s="231" t="s">
        <v>309</v>
      </c>
      <c r="C104" s="232" t="s">
        <v>218</v>
      </c>
      <c r="D104" s="232">
        <v>8.77</v>
      </c>
      <c r="E104" s="286">
        <v>8.66</v>
      </c>
      <c r="F104" s="232">
        <v>8.5</v>
      </c>
      <c r="G104" s="232">
        <v>0.86</v>
      </c>
      <c r="H104" s="232">
        <v>3</v>
      </c>
      <c r="I104" s="232">
        <v>11</v>
      </c>
      <c r="J104" s="232">
        <v>0</v>
      </c>
      <c r="K104" s="231" t="s">
        <v>723</v>
      </c>
      <c r="L104" s="232">
        <v>1998</v>
      </c>
      <c r="M104" s="232" t="s">
        <v>1843</v>
      </c>
      <c r="N104" s="233" t="s">
        <v>2091</v>
      </c>
    </row>
    <row r="105" spans="1:14" x14ac:dyDescent="0.3">
      <c r="A105" s="238">
        <v>103</v>
      </c>
      <c r="B105" s="228" t="s">
        <v>310</v>
      </c>
      <c r="C105" s="229" t="s">
        <v>159</v>
      </c>
      <c r="D105" s="229">
        <v>8.7100000000000009</v>
      </c>
      <c r="E105" s="287">
        <v>8.65</v>
      </c>
      <c r="F105" s="229">
        <v>8.75</v>
      </c>
      <c r="G105" s="229">
        <v>0.78</v>
      </c>
      <c r="H105" s="229">
        <v>2</v>
      </c>
      <c r="I105" s="229">
        <v>12</v>
      </c>
      <c r="J105" s="229">
        <v>0</v>
      </c>
      <c r="K105" s="228" t="s">
        <v>2667</v>
      </c>
      <c r="L105" s="229">
        <v>1977</v>
      </c>
      <c r="M105" s="229" t="s">
        <v>1841</v>
      </c>
      <c r="N105" s="230" t="s">
        <v>2024</v>
      </c>
    </row>
    <row r="106" spans="1:14" x14ac:dyDescent="0.3">
      <c r="A106" s="238">
        <v>104</v>
      </c>
      <c r="B106" s="231" t="s">
        <v>1266</v>
      </c>
      <c r="C106" s="232" t="s">
        <v>1267</v>
      </c>
      <c r="D106" s="232">
        <v>8.77</v>
      </c>
      <c r="E106" s="287">
        <v>8.65</v>
      </c>
      <c r="F106" s="232">
        <v>8.5</v>
      </c>
      <c r="G106" s="232">
        <v>0.75</v>
      </c>
      <c r="H106" s="232">
        <v>2</v>
      </c>
      <c r="I106" s="232">
        <v>14</v>
      </c>
      <c r="J106" s="232">
        <v>1</v>
      </c>
      <c r="K106" s="231" t="s">
        <v>1270</v>
      </c>
      <c r="L106" s="232">
        <v>2002</v>
      </c>
      <c r="M106" s="232" t="s">
        <v>1826</v>
      </c>
      <c r="N106" s="233" t="s">
        <v>2054</v>
      </c>
    </row>
    <row r="107" spans="1:14" x14ac:dyDescent="0.3">
      <c r="A107" s="238">
        <v>105</v>
      </c>
      <c r="B107" s="228" t="s">
        <v>301</v>
      </c>
      <c r="C107" s="229" t="s">
        <v>301</v>
      </c>
      <c r="D107" s="229">
        <v>8.4600000000000009</v>
      </c>
      <c r="E107" s="287">
        <v>8.65</v>
      </c>
      <c r="F107" s="229">
        <v>8.5</v>
      </c>
      <c r="G107" s="229">
        <v>1.33</v>
      </c>
      <c r="H107" s="229">
        <v>3</v>
      </c>
      <c r="I107" s="229">
        <v>12</v>
      </c>
      <c r="J107" s="229">
        <v>0</v>
      </c>
      <c r="K107" s="228" t="s">
        <v>1286</v>
      </c>
      <c r="L107" s="229">
        <v>2021</v>
      </c>
      <c r="M107" s="229" t="s">
        <v>1845</v>
      </c>
      <c r="N107" s="230" t="s">
        <v>2053</v>
      </c>
    </row>
    <row r="108" spans="1:14" x14ac:dyDescent="0.3">
      <c r="A108" s="238">
        <v>106</v>
      </c>
      <c r="B108" s="231" t="s">
        <v>1570</v>
      </c>
      <c r="C108" s="232" t="s">
        <v>1566</v>
      </c>
      <c r="D108" s="232">
        <v>8.75</v>
      </c>
      <c r="E108" s="287">
        <v>8.65</v>
      </c>
      <c r="F108" s="232">
        <v>8.5</v>
      </c>
      <c r="G108" s="232">
        <v>0.56000000000000005</v>
      </c>
      <c r="H108" s="232">
        <v>1</v>
      </c>
      <c r="I108" s="232">
        <v>9</v>
      </c>
      <c r="J108" s="232">
        <v>1</v>
      </c>
      <c r="K108" s="231" t="s">
        <v>1572</v>
      </c>
      <c r="L108" s="232">
        <v>2000</v>
      </c>
      <c r="M108" s="232" t="s">
        <v>1813</v>
      </c>
      <c r="N108" s="233" t="s">
        <v>2041</v>
      </c>
    </row>
    <row r="109" spans="1:14" x14ac:dyDescent="0.3">
      <c r="A109" s="238">
        <v>107</v>
      </c>
      <c r="B109" s="228" t="s">
        <v>2796</v>
      </c>
      <c r="C109" s="229" t="s">
        <v>3099</v>
      </c>
      <c r="D109" s="229">
        <v>8.75</v>
      </c>
      <c r="E109" s="287">
        <v>8.65</v>
      </c>
      <c r="F109" s="229">
        <v>8.5</v>
      </c>
      <c r="G109" s="229">
        <v>0.61</v>
      </c>
      <c r="H109" s="229">
        <v>2</v>
      </c>
      <c r="I109" s="229">
        <v>18</v>
      </c>
      <c r="J109" s="229">
        <v>2</v>
      </c>
      <c r="K109" s="228" t="s">
        <v>2802</v>
      </c>
      <c r="L109" s="229">
        <v>2026</v>
      </c>
      <c r="M109" s="229" t="s">
        <v>3100</v>
      </c>
      <c r="N109" s="230" t="s">
        <v>3101</v>
      </c>
    </row>
    <row r="110" spans="1:14" x14ac:dyDescent="0.3">
      <c r="A110" s="238">
        <v>108</v>
      </c>
      <c r="B110" s="231" t="s">
        <v>2103</v>
      </c>
      <c r="C110" s="232" t="s">
        <v>2104</v>
      </c>
      <c r="D110" s="232">
        <v>8.75</v>
      </c>
      <c r="E110" s="288">
        <v>8.64</v>
      </c>
      <c r="F110" s="232">
        <v>8.5</v>
      </c>
      <c r="G110" s="232">
        <v>0.66</v>
      </c>
      <c r="H110" s="232">
        <v>1</v>
      </c>
      <c r="I110" s="232">
        <v>8</v>
      </c>
      <c r="J110" s="232">
        <v>0</v>
      </c>
      <c r="K110" s="231" t="s">
        <v>2105</v>
      </c>
      <c r="L110" s="232">
        <v>1996</v>
      </c>
      <c r="M110" s="232" t="s">
        <v>1825</v>
      </c>
      <c r="N110" s="233" t="s">
        <v>2024</v>
      </c>
    </row>
    <row r="111" spans="1:14" x14ac:dyDescent="0.3">
      <c r="A111" s="238">
        <v>109</v>
      </c>
      <c r="B111" s="228" t="s">
        <v>300</v>
      </c>
      <c r="C111" s="229" t="s">
        <v>473</v>
      </c>
      <c r="D111" s="229">
        <v>8.69</v>
      </c>
      <c r="E111" s="289">
        <v>8.6300000000000008</v>
      </c>
      <c r="F111" s="229">
        <v>8.75</v>
      </c>
      <c r="G111" s="229">
        <v>0.79</v>
      </c>
      <c r="H111" s="229">
        <v>1</v>
      </c>
      <c r="I111" s="229">
        <v>8</v>
      </c>
      <c r="J111" s="229">
        <v>0</v>
      </c>
      <c r="K111" s="228" t="s">
        <v>735</v>
      </c>
      <c r="L111" s="229">
        <v>2003</v>
      </c>
      <c r="M111" s="229" t="s">
        <v>1848</v>
      </c>
      <c r="N111" s="230" t="s">
        <v>2083</v>
      </c>
    </row>
    <row r="112" spans="1:14" x14ac:dyDescent="0.3">
      <c r="A112" s="238">
        <v>110</v>
      </c>
      <c r="B112" s="231" t="s">
        <v>1173</v>
      </c>
      <c r="C112" s="232" t="s">
        <v>1168</v>
      </c>
      <c r="D112" s="232">
        <v>8.75</v>
      </c>
      <c r="E112" s="289">
        <v>8.6300000000000008</v>
      </c>
      <c r="F112" s="232">
        <v>8.5</v>
      </c>
      <c r="G112" s="232">
        <v>0.8</v>
      </c>
      <c r="H112" s="232">
        <v>1</v>
      </c>
      <c r="I112" s="232">
        <v>7</v>
      </c>
      <c r="J112" s="232">
        <v>1</v>
      </c>
      <c r="K112" s="231" t="s">
        <v>1174</v>
      </c>
      <c r="L112" s="232">
        <v>2013</v>
      </c>
      <c r="M112" s="232" t="s">
        <v>1827</v>
      </c>
      <c r="N112" s="233" t="s">
        <v>2057</v>
      </c>
    </row>
    <row r="113" spans="1:14" x14ac:dyDescent="0.3">
      <c r="A113" s="238">
        <v>111</v>
      </c>
      <c r="B113" s="228" t="s">
        <v>1531</v>
      </c>
      <c r="C113" s="229" t="s">
        <v>1524</v>
      </c>
      <c r="D113" s="229">
        <v>8.75</v>
      </c>
      <c r="E113" s="289">
        <v>8.6300000000000008</v>
      </c>
      <c r="F113" s="229">
        <v>8.5</v>
      </c>
      <c r="G113" s="229">
        <v>0.87</v>
      </c>
      <c r="H113" s="229">
        <v>2</v>
      </c>
      <c r="I113" s="229">
        <v>10</v>
      </c>
      <c r="J113" s="229">
        <v>0</v>
      </c>
      <c r="K113" s="228" t="s">
        <v>1533</v>
      </c>
      <c r="L113" s="229">
        <v>1979</v>
      </c>
      <c r="M113" s="229" t="s">
        <v>1830</v>
      </c>
      <c r="N113" s="230" t="s">
        <v>2043</v>
      </c>
    </row>
    <row r="114" spans="1:14" x14ac:dyDescent="0.3">
      <c r="A114" s="238">
        <v>112</v>
      </c>
      <c r="B114" s="231" t="s">
        <v>1087</v>
      </c>
      <c r="C114" s="232" t="s">
        <v>1627</v>
      </c>
      <c r="D114" s="232">
        <v>8.57</v>
      </c>
      <c r="E114" s="289">
        <v>8.6300000000000008</v>
      </c>
      <c r="F114" s="232">
        <v>8.5</v>
      </c>
      <c r="G114" s="232">
        <v>0.78</v>
      </c>
      <c r="H114" s="232">
        <v>3</v>
      </c>
      <c r="I114" s="232">
        <v>28</v>
      </c>
      <c r="J114" s="232">
        <v>1</v>
      </c>
      <c r="K114" s="231" t="s">
        <v>1654</v>
      </c>
      <c r="L114" s="232">
        <v>1995</v>
      </c>
      <c r="M114" s="232" t="s">
        <v>1840</v>
      </c>
      <c r="N114" s="233" t="s">
        <v>2036</v>
      </c>
    </row>
    <row r="115" spans="1:14" x14ac:dyDescent="0.3">
      <c r="A115" s="238">
        <v>113</v>
      </c>
      <c r="B115" s="228" t="s">
        <v>2122</v>
      </c>
      <c r="C115" s="229" t="s">
        <v>2123</v>
      </c>
      <c r="D115" s="229">
        <v>8.73</v>
      </c>
      <c r="E115" s="289">
        <v>8.6300000000000008</v>
      </c>
      <c r="F115" s="229">
        <v>8.5</v>
      </c>
      <c r="G115" s="229">
        <v>0.67</v>
      </c>
      <c r="H115" s="229">
        <v>2</v>
      </c>
      <c r="I115" s="229">
        <v>15</v>
      </c>
      <c r="J115" s="229">
        <v>2</v>
      </c>
      <c r="K115" s="228" t="s">
        <v>2124</v>
      </c>
      <c r="L115" s="229">
        <v>2024</v>
      </c>
      <c r="M115" s="229" t="s">
        <v>1815</v>
      </c>
      <c r="N115" s="230" t="s">
        <v>2125</v>
      </c>
    </row>
    <row r="116" spans="1:14" x14ac:dyDescent="0.3">
      <c r="A116" s="238">
        <v>114</v>
      </c>
      <c r="B116" s="231" t="s">
        <v>560</v>
      </c>
      <c r="C116" s="232" t="s">
        <v>561</v>
      </c>
      <c r="D116" s="232">
        <v>8.73</v>
      </c>
      <c r="E116" s="290">
        <v>8.6199999999999992</v>
      </c>
      <c r="F116" s="232">
        <v>8.5</v>
      </c>
      <c r="G116" s="232">
        <v>0.89</v>
      </c>
      <c r="H116" s="232">
        <v>3</v>
      </c>
      <c r="I116" s="232">
        <v>13</v>
      </c>
      <c r="J116" s="232">
        <v>2</v>
      </c>
      <c r="K116" s="231" t="s">
        <v>778</v>
      </c>
      <c r="L116" s="232">
        <v>2015</v>
      </c>
      <c r="M116" s="232" t="s">
        <v>1823</v>
      </c>
      <c r="N116" s="233" t="s">
        <v>2080</v>
      </c>
    </row>
    <row r="117" spans="1:14" x14ac:dyDescent="0.3">
      <c r="A117" s="238">
        <v>115</v>
      </c>
      <c r="B117" s="228" t="s">
        <v>1369</v>
      </c>
      <c r="C117" s="229" t="s">
        <v>1606</v>
      </c>
      <c r="D117" s="229">
        <v>8.7100000000000009</v>
      </c>
      <c r="E117" s="290">
        <v>8.6199999999999992</v>
      </c>
      <c r="F117" s="229">
        <v>8.5</v>
      </c>
      <c r="G117" s="229">
        <v>0.65</v>
      </c>
      <c r="H117" s="229">
        <v>1</v>
      </c>
      <c r="I117" s="229">
        <v>8</v>
      </c>
      <c r="J117" s="229">
        <v>1</v>
      </c>
      <c r="K117" s="228" t="s">
        <v>1607</v>
      </c>
      <c r="L117" s="229">
        <v>2006</v>
      </c>
      <c r="M117" s="229" t="s">
        <v>1849</v>
      </c>
      <c r="N117" s="230" t="s">
        <v>2038</v>
      </c>
    </row>
    <row r="118" spans="1:14" x14ac:dyDescent="0.3">
      <c r="A118" s="238">
        <v>116</v>
      </c>
      <c r="B118" s="231" t="s">
        <v>774</v>
      </c>
      <c r="C118" s="232" t="s">
        <v>2736</v>
      </c>
      <c r="D118" s="232">
        <v>8.73</v>
      </c>
      <c r="E118" s="290">
        <v>8.6199999999999992</v>
      </c>
      <c r="F118" s="232">
        <v>8.5</v>
      </c>
      <c r="G118" s="232">
        <v>0.56999999999999995</v>
      </c>
      <c r="H118" s="232">
        <v>1</v>
      </c>
      <c r="I118" s="232">
        <v>21</v>
      </c>
      <c r="J118" s="232">
        <v>6</v>
      </c>
      <c r="K118" s="231" t="s">
        <v>2737</v>
      </c>
      <c r="L118" s="232">
        <v>2004</v>
      </c>
      <c r="M118" s="232" t="s">
        <v>1810</v>
      </c>
      <c r="N118" s="233" t="s">
        <v>2697</v>
      </c>
    </row>
    <row r="119" spans="1:14" x14ac:dyDescent="0.3">
      <c r="A119" s="238">
        <v>117</v>
      </c>
      <c r="B119" s="228" t="s">
        <v>1914</v>
      </c>
      <c r="C119" s="229" t="s">
        <v>1915</v>
      </c>
      <c r="D119" s="229">
        <v>8.67</v>
      </c>
      <c r="E119" s="291">
        <v>8.61</v>
      </c>
      <c r="F119" s="229">
        <v>8.75</v>
      </c>
      <c r="G119" s="229">
        <v>0.62</v>
      </c>
      <c r="H119" s="229">
        <v>0</v>
      </c>
      <c r="I119" s="229">
        <v>6</v>
      </c>
      <c r="J119" s="229">
        <v>0</v>
      </c>
      <c r="K119" s="228" t="s">
        <v>1026</v>
      </c>
      <c r="L119" s="229">
        <v>2013</v>
      </c>
      <c r="M119" s="229" t="s">
        <v>1819</v>
      </c>
      <c r="N119" s="230" t="s">
        <v>2028</v>
      </c>
    </row>
    <row r="120" spans="1:14" x14ac:dyDescent="0.3">
      <c r="A120" s="238">
        <v>118</v>
      </c>
      <c r="B120" s="231" t="s">
        <v>301</v>
      </c>
      <c r="C120" s="232" t="s">
        <v>2194</v>
      </c>
      <c r="D120" s="232">
        <v>8.6999999999999993</v>
      </c>
      <c r="E120" s="291">
        <v>8.61</v>
      </c>
      <c r="F120" s="232">
        <v>8.5</v>
      </c>
      <c r="G120" s="232">
        <v>0.75</v>
      </c>
      <c r="H120" s="232">
        <v>2</v>
      </c>
      <c r="I120" s="232">
        <v>10</v>
      </c>
      <c r="J120" s="232">
        <v>0</v>
      </c>
      <c r="K120" s="231" t="s">
        <v>734</v>
      </c>
      <c r="L120" s="232">
        <v>1983</v>
      </c>
      <c r="M120" s="232" t="s">
        <v>1823</v>
      </c>
      <c r="N120" s="233" t="s">
        <v>2182</v>
      </c>
    </row>
    <row r="121" spans="1:14" x14ac:dyDescent="0.3">
      <c r="A121" s="238">
        <v>119</v>
      </c>
      <c r="B121" s="228" t="s">
        <v>3137</v>
      </c>
      <c r="C121" s="229" t="s">
        <v>3138</v>
      </c>
      <c r="D121" s="229">
        <v>8.6999999999999993</v>
      </c>
      <c r="E121" s="291">
        <v>8.61</v>
      </c>
      <c r="F121" s="229">
        <v>8.5</v>
      </c>
      <c r="G121" s="229">
        <v>0.56000000000000005</v>
      </c>
      <c r="H121" s="229">
        <v>1</v>
      </c>
      <c r="I121" s="229">
        <v>10</v>
      </c>
      <c r="J121" s="229">
        <v>0</v>
      </c>
      <c r="K121" s="228" t="s">
        <v>3139</v>
      </c>
      <c r="L121" s="229">
        <v>1997</v>
      </c>
      <c r="M121" s="229" t="s">
        <v>1844</v>
      </c>
      <c r="N121" s="230" t="s">
        <v>3140</v>
      </c>
    </row>
    <row r="122" spans="1:14" x14ac:dyDescent="0.3">
      <c r="A122" s="238">
        <v>120</v>
      </c>
      <c r="B122" s="231" t="s">
        <v>888</v>
      </c>
      <c r="C122" s="232" t="s">
        <v>869</v>
      </c>
      <c r="D122" s="232">
        <v>8.5500000000000007</v>
      </c>
      <c r="E122" s="292">
        <v>8.6</v>
      </c>
      <c r="F122" s="232">
        <v>8.5</v>
      </c>
      <c r="G122" s="232">
        <v>0.96</v>
      </c>
      <c r="H122" s="232">
        <v>3</v>
      </c>
      <c r="I122" s="232">
        <v>19</v>
      </c>
      <c r="J122" s="232">
        <v>0</v>
      </c>
      <c r="K122" s="231" t="s">
        <v>889</v>
      </c>
      <c r="L122" s="232">
        <v>1979</v>
      </c>
      <c r="M122" s="232" t="s">
        <v>1826</v>
      </c>
      <c r="N122" s="233" t="s">
        <v>2065</v>
      </c>
    </row>
    <row r="123" spans="1:14" x14ac:dyDescent="0.3">
      <c r="A123" s="238">
        <v>121</v>
      </c>
      <c r="B123" s="228" t="s">
        <v>2966</v>
      </c>
      <c r="C123" s="229">
        <v>4</v>
      </c>
      <c r="D123" s="229">
        <v>8.6</v>
      </c>
      <c r="E123" s="292">
        <v>8.6</v>
      </c>
      <c r="F123" s="229">
        <v>8.25</v>
      </c>
      <c r="G123" s="229">
        <v>0.97</v>
      </c>
      <c r="H123" s="229">
        <v>2</v>
      </c>
      <c r="I123" s="229">
        <v>10</v>
      </c>
      <c r="J123" s="229">
        <v>0</v>
      </c>
      <c r="K123" s="228" t="s">
        <v>2967</v>
      </c>
      <c r="L123" s="229">
        <v>1981</v>
      </c>
      <c r="M123" s="229" t="s">
        <v>1817</v>
      </c>
      <c r="N123" s="230" t="s">
        <v>2968</v>
      </c>
    </row>
    <row r="124" spans="1:14" x14ac:dyDescent="0.3">
      <c r="A124" s="238">
        <v>122</v>
      </c>
      <c r="B124" s="231" t="s">
        <v>687</v>
      </c>
      <c r="C124" s="232" t="s">
        <v>688</v>
      </c>
      <c r="D124" s="232">
        <v>8.67</v>
      </c>
      <c r="E124" s="293">
        <v>8.58</v>
      </c>
      <c r="F124" s="232">
        <v>8.5</v>
      </c>
      <c r="G124" s="232">
        <v>0.62</v>
      </c>
      <c r="H124" s="232">
        <v>1</v>
      </c>
      <c r="I124" s="232">
        <v>9</v>
      </c>
      <c r="J124" s="232">
        <v>0</v>
      </c>
      <c r="K124" s="231" t="s">
        <v>737</v>
      </c>
      <c r="L124" s="232">
        <v>1992</v>
      </c>
      <c r="M124" s="232" t="s">
        <v>1835</v>
      </c>
      <c r="N124" s="233" t="s">
        <v>2073</v>
      </c>
    </row>
    <row r="125" spans="1:14" x14ac:dyDescent="0.3">
      <c r="A125" s="238">
        <v>123</v>
      </c>
      <c r="B125" s="228" t="s">
        <v>728</v>
      </c>
      <c r="C125" s="229" t="s">
        <v>729</v>
      </c>
      <c r="D125" s="229">
        <v>8.67</v>
      </c>
      <c r="E125" s="294">
        <v>8.57</v>
      </c>
      <c r="F125" s="229">
        <v>8.5</v>
      </c>
      <c r="G125" s="229">
        <v>0.75</v>
      </c>
      <c r="H125" s="229">
        <v>1</v>
      </c>
      <c r="I125" s="229">
        <v>6</v>
      </c>
      <c r="J125" s="229">
        <v>0</v>
      </c>
      <c r="K125" s="228" t="s">
        <v>730</v>
      </c>
      <c r="L125" s="229">
        <v>2024</v>
      </c>
      <c r="M125" s="229" t="s">
        <v>1848</v>
      </c>
      <c r="N125" s="230" t="s">
        <v>2071</v>
      </c>
    </row>
    <row r="126" spans="1:14" x14ac:dyDescent="0.3">
      <c r="A126" s="238">
        <v>124</v>
      </c>
      <c r="B126" s="231" t="s">
        <v>2250</v>
      </c>
      <c r="C126" s="232" t="s">
        <v>2249</v>
      </c>
      <c r="D126" s="232">
        <v>8.67</v>
      </c>
      <c r="E126" s="294">
        <v>8.57</v>
      </c>
      <c r="F126" s="232">
        <v>8.5</v>
      </c>
      <c r="G126" s="232">
        <v>0.82</v>
      </c>
      <c r="H126" s="232">
        <v>2</v>
      </c>
      <c r="I126" s="232">
        <v>10</v>
      </c>
      <c r="J126" s="232">
        <v>1</v>
      </c>
      <c r="K126" s="231" t="s">
        <v>2251</v>
      </c>
      <c r="L126" s="232">
        <v>2015</v>
      </c>
      <c r="M126" s="232" t="s">
        <v>1844</v>
      </c>
      <c r="N126" s="233" t="s">
        <v>2252</v>
      </c>
    </row>
    <row r="127" spans="1:14" x14ac:dyDescent="0.3">
      <c r="A127" s="238">
        <v>125</v>
      </c>
      <c r="B127" s="228" t="s">
        <v>311</v>
      </c>
      <c r="C127" s="229" t="s">
        <v>158</v>
      </c>
      <c r="D127" s="229">
        <v>8.65</v>
      </c>
      <c r="E127" s="295">
        <v>8.56</v>
      </c>
      <c r="F127" s="229">
        <v>8.5</v>
      </c>
      <c r="G127" s="229">
        <v>0.72</v>
      </c>
      <c r="H127" s="229">
        <v>2</v>
      </c>
      <c r="I127" s="229">
        <v>13</v>
      </c>
      <c r="J127" s="229">
        <v>0</v>
      </c>
      <c r="K127" s="228" t="s">
        <v>741</v>
      </c>
      <c r="L127" s="229">
        <v>2005</v>
      </c>
      <c r="M127" s="229" t="s">
        <v>1845</v>
      </c>
      <c r="N127" s="230" t="s">
        <v>2086</v>
      </c>
    </row>
    <row r="128" spans="1:14" x14ac:dyDescent="0.3">
      <c r="A128" s="238">
        <v>126</v>
      </c>
      <c r="B128" s="231" t="s">
        <v>293</v>
      </c>
      <c r="C128" s="232" t="s">
        <v>813</v>
      </c>
      <c r="D128" s="232">
        <v>8.5</v>
      </c>
      <c r="E128" s="295">
        <v>8.56</v>
      </c>
      <c r="F128" s="232">
        <v>8.5</v>
      </c>
      <c r="G128" s="232">
        <v>0.96</v>
      </c>
      <c r="H128" s="232">
        <v>2</v>
      </c>
      <c r="I128" s="232">
        <v>14</v>
      </c>
      <c r="J128" s="232">
        <v>1</v>
      </c>
      <c r="K128" s="231" t="s">
        <v>713</v>
      </c>
      <c r="L128" s="232">
        <v>2003</v>
      </c>
      <c r="M128" s="232" t="s">
        <v>1844</v>
      </c>
      <c r="N128" s="233" t="s">
        <v>2068</v>
      </c>
    </row>
    <row r="129" spans="1:14" x14ac:dyDescent="0.3">
      <c r="A129" s="238">
        <v>127</v>
      </c>
      <c r="B129" s="228" t="s">
        <v>913</v>
      </c>
      <c r="C129" s="229" t="s">
        <v>911</v>
      </c>
      <c r="D129" s="229">
        <v>8.67</v>
      </c>
      <c r="E129" s="295">
        <v>8.56</v>
      </c>
      <c r="F129" s="229">
        <v>8.5</v>
      </c>
      <c r="G129" s="229">
        <v>0.71</v>
      </c>
      <c r="H129" s="229">
        <v>1</v>
      </c>
      <c r="I129" s="229">
        <v>10</v>
      </c>
      <c r="J129" s="229">
        <v>1</v>
      </c>
      <c r="K129" s="228" t="s">
        <v>914</v>
      </c>
      <c r="L129" s="229">
        <v>1999</v>
      </c>
      <c r="M129" s="229" t="s">
        <v>1850</v>
      </c>
      <c r="N129" s="230" t="s">
        <v>2064</v>
      </c>
    </row>
    <row r="130" spans="1:14" x14ac:dyDescent="0.3">
      <c r="A130" s="238">
        <v>128</v>
      </c>
      <c r="B130" s="231" t="s">
        <v>2820</v>
      </c>
      <c r="C130" s="232" t="s">
        <v>2821</v>
      </c>
      <c r="D130" s="232">
        <v>8.65</v>
      </c>
      <c r="E130" s="295">
        <v>8.56</v>
      </c>
      <c r="F130" s="232">
        <v>8.5</v>
      </c>
      <c r="G130" s="232">
        <v>0.77</v>
      </c>
      <c r="H130" s="232">
        <v>2</v>
      </c>
      <c r="I130" s="232">
        <v>14</v>
      </c>
      <c r="J130" s="232">
        <v>1</v>
      </c>
      <c r="K130" s="231" t="s">
        <v>2822</v>
      </c>
      <c r="L130" s="232">
        <v>2026</v>
      </c>
      <c r="M130" s="232" t="s">
        <v>1812</v>
      </c>
      <c r="N130" s="233" t="s">
        <v>2823</v>
      </c>
    </row>
    <row r="131" spans="1:14" x14ac:dyDescent="0.3">
      <c r="A131" s="238">
        <v>129</v>
      </c>
      <c r="B131" s="228" t="s">
        <v>2293</v>
      </c>
      <c r="C131" s="229" t="s">
        <v>2294</v>
      </c>
      <c r="D131" s="229">
        <v>8.61</v>
      </c>
      <c r="E131" s="296">
        <v>8.5500000000000007</v>
      </c>
      <c r="F131" s="229">
        <v>8</v>
      </c>
      <c r="G131" s="229">
        <v>1.24</v>
      </c>
      <c r="H131" s="229">
        <v>3</v>
      </c>
      <c r="I131" s="229">
        <v>9</v>
      </c>
      <c r="J131" s="229">
        <v>0</v>
      </c>
      <c r="K131" s="228" t="s">
        <v>2142</v>
      </c>
      <c r="L131" s="229">
        <v>1990</v>
      </c>
      <c r="M131" s="229" t="s">
        <v>1820</v>
      </c>
      <c r="N131" s="230" t="s">
        <v>2297</v>
      </c>
    </row>
    <row r="132" spans="1:14" x14ac:dyDescent="0.3">
      <c r="A132" s="238">
        <v>130</v>
      </c>
      <c r="B132" s="231" t="s">
        <v>296</v>
      </c>
      <c r="C132" s="232" t="s">
        <v>2006</v>
      </c>
      <c r="D132" s="232">
        <v>8.6</v>
      </c>
      <c r="E132" s="297">
        <v>8.5399999999999991</v>
      </c>
      <c r="F132" s="232">
        <v>8</v>
      </c>
      <c r="G132" s="232">
        <v>1.02</v>
      </c>
      <c r="H132" s="232">
        <v>2</v>
      </c>
      <c r="I132" s="232">
        <v>10</v>
      </c>
      <c r="J132" s="232">
        <v>0</v>
      </c>
      <c r="K132" s="231" t="s">
        <v>2010</v>
      </c>
      <c r="L132" s="232">
        <v>1970</v>
      </c>
      <c r="M132" s="232" t="s">
        <v>1848</v>
      </c>
      <c r="N132" s="233" t="s">
        <v>2026</v>
      </c>
    </row>
    <row r="133" spans="1:14" x14ac:dyDescent="0.3">
      <c r="A133" s="238">
        <v>131</v>
      </c>
      <c r="B133" s="228" t="s">
        <v>1407</v>
      </c>
      <c r="C133" s="229" t="s">
        <v>2544</v>
      </c>
      <c r="D133" s="229">
        <v>8.69</v>
      </c>
      <c r="E133" s="297">
        <v>8.5399999999999991</v>
      </c>
      <c r="F133" s="229">
        <v>8.25</v>
      </c>
      <c r="G133" s="229">
        <v>1.06</v>
      </c>
      <c r="H133" s="229">
        <v>3</v>
      </c>
      <c r="I133" s="229">
        <v>8</v>
      </c>
      <c r="J133" s="229">
        <v>0</v>
      </c>
      <c r="K133" s="228" t="s">
        <v>2553</v>
      </c>
      <c r="L133" s="229">
        <v>1997</v>
      </c>
      <c r="M133" s="229" t="s">
        <v>2497</v>
      </c>
      <c r="N133" s="230" t="s">
        <v>2554</v>
      </c>
    </row>
    <row r="134" spans="1:14" x14ac:dyDescent="0.3">
      <c r="A134" s="238">
        <v>132</v>
      </c>
      <c r="B134" s="231" t="s">
        <v>2693</v>
      </c>
      <c r="C134" s="232" t="s">
        <v>2693</v>
      </c>
      <c r="D134" s="232">
        <v>8.6300000000000008</v>
      </c>
      <c r="E134" s="297">
        <v>8.5399999999999991</v>
      </c>
      <c r="F134" s="232">
        <v>8.5</v>
      </c>
      <c r="G134" s="232">
        <v>0.71</v>
      </c>
      <c r="H134" s="232">
        <v>2</v>
      </c>
      <c r="I134" s="232">
        <v>12</v>
      </c>
      <c r="J134" s="232">
        <v>0</v>
      </c>
      <c r="K134" s="231" t="s">
        <v>2696</v>
      </c>
      <c r="L134" s="232">
        <v>2007</v>
      </c>
      <c r="M134" s="232" t="s">
        <v>1829</v>
      </c>
      <c r="N134" s="233" t="s">
        <v>2697</v>
      </c>
    </row>
    <row r="135" spans="1:14" x14ac:dyDescent="0.3">
      <c r="A135" s="238">
        <v>133</v>
      </c>
      <c r="B135" s="228" t="s">
        <v>2324</v>
      </c>
      <c r="C135" s="229" t="s">
        <v>2325</v>
      </c>
      <c r="D135" s="229">
        <v>8.69</v>
      </c>
      <c r="E135" s="298">
        <v>8.5299999999999994</v>
      </c>
      <c r="F135" s="229">
        <v>8.25</v>
      </c>
      <c r="G135" s="229">
        <v>0.79</v>
      </c>
      <c r="H135" s="229">
        <v>1</v>
      </c>
      <c r="I135" s="229">
        <v>8</v>
      </c>
      <c r="J135" s="229">
        <v>0</v>
      </c>
      <c r="K135" s="228" t="s">
        <v>2327</v>
      </c>
      <c r="L135" s="229">
        <v>1976</v>
      </c>
      <c r="M135" s="229" t="s">
        <v>1825</v>
      </c>
      <c r="N135" s="230" t="s">
        <v>2328</v>
      </c>
    </row>
    <row r="136" spans="1:14" x14ac:dyDescent="0.3">
      <c r="A136" s="238">
        <v>134</v>
      </c>
      <c r="B136" s="231" t="s">
        <v>1093</v>
      </c>
      <c r="C136" s="232" t="s">
        <v>2365</v>
      </c>
      <c r="D136" s="232">
        <v>8.61</v>
      </c>
      <c r="E136" s="298">
        <v>8.5299999999999994</v>
      </c>
      <c r="F136" s="232">
        <v>8.5</v>
      </c>
      <c r="G136" s="232">
        <v>0.66</v>
      </c>
      <c r="H136" s="232">
        <v>1</v>
      </c>
      <c r="I136" s="232">
        <v>9</v>
      </c>
      <c r="J136" s="232">
        <v>0</v>
      </c>
      <c r="K136" s="231" t="s">
        <v>735</v>
      </c>
      <c r="L136" s="232">
        <v>1998</v>
      </c>
      <c r="M136" s="232" t="s">
        <v>1844</v>
      </c>
      <c r="N136" s="233" t="s">
        <v>2383</v>
      </c>
    </row>
    <row r="137" spans="1:14" x14ac:dyDescent="0.3">
      <c r="A137" s="238">
        <v>135</v>
      </c>
      <c r="B137" s="228" t="s">
        <v>3079</v>
      </c>
      <c r="C137" s="229" t="s">
        <v>3067</v>
      </c>
      <c r="D137" s="229">
        <v>8.6300000000000008</v>
      </c>
      <c r="E137" s="298">
        <v>8.5299999999999994</v>
      </c>
      <c r="F137" s="229">
        <v>8.5</v>
      </c>
      <c r="G137" s="229">
        <v>0.68</v>
      </c>
      <c r="H137" s="229">
        <v>1</v>
      </c>
      <c r="I137" s="229">
        <v>13</v>
      </c>
      <c r="J137" s="229">
        <v>1</v>
      </c>
      <c r="K137" s="228" t="s">
        <v>3080</v>
      </c>
      <c r="L137" s="229">
        <v>2017</v>
      </c>
      <c r="M137" s="229" t="s">
        <v>1812</v>
      </c>
      <c r="N137" s="230" t="s">
        <v>3056</v>
      </c>
    </row>
    <row r="138" spans="1:14" x14ac:dyDescent="0.3">
      <c r="A138" s="238">
        <v>136</v>
      </c>
      <c r="B138" s="231" t="s">
        <v>3121</v>
      </c>
      <c r="C138" s="232" t="s">
        <v>3122</v>
      </c>
      <c r="D138" s="232">
        <v>8.6</v>
      </c>
      <c r="E138" s="298">
        <v>8.5299999999999994</v>
      </c>
      <c r="F138" s="232">
        <v>8.5</v>
      </c>
      <c r="G138" s="232">
        <v>0.57999999999999996</v>
      </c>
      <c r="H138" s="232">
        <v>1</v>
      </c>
      <c r="I138" s="232">
        <v>10</v>
      </c>
      <c r="J138" s="232">
        <v>0</v>
      </c>
      <c r="K138" s="231" t="s">
        <v>3123</v>
      </c>
      <c r="L138" s="232">
        <v>1992</v>
      </c>
      <c r="M138" s="232" t="s">
        <v>1836</v>
      </c>
      <c r="N138" s="233" t="s">
        <v>3124</v>
      </c>
    </row>
    <row r="139" spans="1:14" x14ac:dyDescent="0.3">
      <c r="A139" s="238">
        <v>137</v>
      </c>
      <c r="B139" s="228" t="s">
        <v>1773</v>
      </c>
      <c r="C139" s="229" t="s">
        <v>1774</v>
      </c>
      <c r="D139" s="229">
        <v>8.6</v>
      </c>
      <c r="E139" s="299">
        <v>8.52</v>
      </c>
      <c r="F139" s="229">
        <v>8.5</v>
      </c>
      <c r="G139" s="229">
        <v>0.66</v>
      </c>
      <c r="H139" s="229">
        <v>1</v>
      </c>
      <c r="I139" s="229">
        <v>10</v>
      </c>
      <c r="J139" s="229">
        <v>0</v>
      </c>
      <c r="K139" s="228" t="s">
        <v>1775</v>
      </c>
      <c r="L139" s="229">
        <v>2024</v>
      </c>
      <c r="M139" s="229" t="s">
        <v>1848</v>
      </c>
      <c r="N139" s="230" t="s">
        <v>2031</v>
      </c>
    </row>
    <row r="140" spans="1:14" x14ac:dyDescent="0.3">
      <c r="A140" s="238">
        <v>138</v>
      </c>
      <c r="B140" s="231" t="s">
        <v>3357</v>
      </c>
      <c r="C140" s="232" t="s">
        <v>3358</v>
      </c>
      <c r="D140" s="232">
        <v>8.58</v>
      </c>
      <c r="E140" s="379">
        <v>8.51</v>
      </c>
      <c r="F140" s="232">
        <v>8.5</v>
      </c>
      <c r="G140" s="232">
        <v>0.76</v>
      </c>
      <c r="H140" s="232">
        <v>2</v>
      </c>
      <c r="I140" s="232">
        <v>12</v>
      </c>
      <c r="J140" s="232">
        <v>0</v>
      </c>
      <c r="K140" s="231" t="s">
        <v>3364</v>
      </c>
      <c r="L140" s="232">
        <v>1997</v>
      </c>
      <c r="M140" s="232" t="s">
        <v>1846</v>
      </c>
      <c r="N140" s="233" t="s">
        <v>3341</v>
      </c>
    </row>
    <row r="141" spans="1:14" x14ac:dyDescent="0.3">
      <c r="A141" s="238">
        <v>139</v>
      </c>
      <c r="B141" s="228" t="s">
        <v>1557</v>
      </c>
      <c r="C141" s="229" t="s">
        <v>1558</v>
      </c>
      <c r="D141" s="229">
        <v>8.6</v>
      </c>
      <c r="E141" s="300">
        <v>8.5</v>
      </c>
      <c r="F141" s="229">
        <v>8.5</v>
      </c>
      <c r="G141" s="229">
        <v>0.83</v>
      </c>
      <c r="H141" s="229">
        <v>1</v>
      </c>
      <c r="I141" s="229">
        <v>10</v>
      </c>
      <c r="J141" s="229">
        <v>0</v>
      </c>
      <c r="K141" s="228" t="s">
        <v>722</v>
      </c>
      <c r="L141" s="229">
        <v>1993</v>
      </c>
      <c r="M141" s="229" t="s">
        <v>1825</v>
      </c>
      <c r="N141" s="230" t="s">
        <v>2042</v>
      </c>
    </row>
    <row r="142" spans="1:14" x14ac:dyDescent="0.3">
      <c r="A142" s="238">
        <v>140</v>
      </c>
      <c r="B142" s="231" t="s">
        <v>2139</v>
      </c>
      <c r="C142" s="232" t="s">
        <v>2140</v>
      </c>
      <c r="D142" s="232">
        <v>8.58</v>
      </c>
      <c r="E142" s="300">
        <v>8.5</v>
      </c>
      <c r="F142" s="232">
        <v>8.5</v>
      </c>
      <c r="G142" s="232">
        <v>0.67</v>
      </c>
      <c r="H142" s="232">
        <v>1</v>
      </c>
      <c r="I142" s="232">
        <v>12</v>
      </c>
      <c r="J142" s="232">
        <v>0</v>
      </c>
      <c r="K142" s="231" t="s">
        <v>2143</v>
      </c>
      <c r="L142" s="232">
        <v>1992</v>
      </c>
      <c r="M142" s="232" t="s">
        <v>1844</v>
      </c>
      <c r="N142" s="233" t="s">
        <v>2125</v>
      </c>
    </row>
    <row r="143" spans="1:14" x14ac:dyDescent="0.3">
      <c r="A143" s="238">
        <v>141</v>
      </c>
      <c r="B143" s="228" t="s">
        <v>2975</v>
      </c>
      <c r="C143" s="229" t="s">
        <v>2976</v>
      </c>
      <c r="D143" s="229">
        <v>8.58</v>
      </c>
      <c r="E143" s="300">
        <v>8.5</v>
      </c>
      <c r="F143" s="229">
        <v>8.5</v>
      </c>
      <c r="G143" s="229">
        <v>0.79</v>
      </c>
      <c r="H143" s="229">
        <v>1</v>
      </c>
      <c r="I143" s="229">
        <v>6</v>
      </c>
      <c r="J143" s="229">
        <v>0</v>
      </c>
      <c r="K143" s="228" t="s">
        <v>2978</v>
      </c>
      <c r="L143" s="229">
        <v>1976</v>
      </c>
      <c r="M143" s="229" t="s">
        <v>2497</v>
      </c>
      <c r="N143" s="230" t="s">
        <v>2968</v>
      </c>
    </row>
    <row r="144" spans="1:14" x14ac:dyDescent="0.3">
      <c r="A144" s="238">
        <v>142</v>
      </c>
      <c r="B144" s="231" t="s">
        <v>795</v>
      </c>
      <c r="C144" s="232" t="s">
        <v>2181</v>
      </c>
      <c r="D144" s="232">
        <v>8.57</v>
      </c>
      <c r="E144" s="301">
        <v>8.49</v>
      </c>
      <c r="F144" s="232">
        <v>8.5</v>
      </c>
      <c r="G144" s="232">
        <v>0.6</v>
      </c>
      <c r="H144" s="232">
        <v>1</v>
      </c>
      <c r="I144" s="232">
        <v>15</v>
      </c>
      <c r="J144" s="232">
        <v>0</v>
      </c>
      <c r="K144" s="231" t="s">
        <v>796</v>
      </c>
      <c r="L144" s="232">
        <v>2003</v>
      </c>
      <c r="M144" s="232" t="s">
        <v>1845</v>
      </c>
      <c r="N144" s="233" t="s">
        <v>2182</v>
      </c>
    </row>
    <row r="145" spans="1:14" x14ac:dyDescent="0.3">
      <c r="A145" s="238">
        <v>143</v>
      </c>
      <c r="B145" s="228" t="s">
        <v>978</v>
      </c>
      <c r="C145" s="229" t="s">
        <v>979</v>
      </c>
      <c r="D145" s="229">
        <v>8.5500000000000007</v>
      </c>
      <c r="E145" s="302">
        <v>8.4700000000000006</v>
      </c>
      <c r="F145" s="229">
        <v>8.5</v>
      </c>
      <c r="G145" s="229">
        <v>0.69</v>
      </c>
      <c r="H145" s="229">
        <v>1</v>
      </c>
      <c r="I145" s="229">
        <v>12</v>
      </c>
      <c r="J145" s="229">
        <v>1</v>
      </c>
      <c r="K145" s="228" t="s">
        <v>733</v>
      </c>
      <c r="L145" s="229">
        <v>1999</v>
      </c>
      <c r="M145" s="229" t="s">
        <v>1814</v>
      </c>
      <c r="N145" s="230" t="s">
        <v>2060</v>
      </c>
    </row>
    <row r="146" spans="1:14" x14ac:dyDescent="0.3">
      <c r="A146" s="238">
        <v>144</v>
      </c>
      <c r="B146" s="231" t="s">
        <v>2590</v>
      </c>
      <c r="C146" s="232" t="s">
        <v>2586</v>
      </c>
      <c r="D146" s="232">
        <v>8.5500000000000007</v>
      </c>
      <c r="E146" s="302">
        <v>8.4700000000000006</v>
      </c>
      <c r="F146" s="232">
        <v>8.5</v>
      </c>
      <c r="G146" s="232">
        <v>0.78</v>
      </c>
      <c r="H146" s="232">
        <v>2</v>
      </c>
      <c r="I146" s="232">
        <v>11</v>
      </c>
      <c r="J146" s="232">
        <v>0</v>
      </c>
      <c r="K146" s="231" t="s">
        <v>2591</v>
      </c>
      <c r="L146" s="232">
        <v>1970</v>
      </c>
      <c r="M146" s="232" t="s">
        <v>1836</v>
      </c>
      <c r="N146" s="233" t="s">
        <v>2592</v>
      </c>
    </row>
    <row r="147" spans="1:14" x14ac:dyDescent="0.3">
      <c r="A147" s="238">
        <v>145</v>
      </c>
      <c r="B147" s="228" t="s">
        <v>1666</v>
      </c>
      <c r="C147" s="229" t="s">
        <v>2678</v>
      </c>
      <c r="D147" s="229">
        <v>8.5</v>
      </c>
      <c r="E147" s="302">
        <v>8.4700000000000006</v>
      </c>
      <c r="F147" s="229">
        <v>8</v>
      </c>
      <c r="G147" s="229">
        <v>0.8</v>
      </c>
      <c r="H147" s="229">
        <v>1</v>
      </c>
      <c r="I147" s="229">
        <v>11</v>
      </c>
      <c r="J147" s="229">
        <v>0</v>
      </c>
      <c r="K147" s="228" t="s">
        <v>900</v>
      </c>
      <c r="L147" s="229">
        <v>2008</v>
      </c>
      <c r="M147" s="229" t="s">
        <v>1834</v>
      </c>
      <c r="N147" s="230" t="s">
        <v>2680</v>
      </c>
    </row>
    <row r="148" spans="1:14" x14ac:dyDescent="0.3">
      <c r="A148" s="238">
        <v>146</v>
      </c>
      <c r="B148" s="231" t="s">
        <v>300</v>
      </c>
      <c r="C148" s="232" t="s">
        <v>1906</v>
      </c>
      <c r="D148" s="232">
        <v>8.5</v>
      </c>
      <c r="E148" s="303">
        <v>8.4600000000000009</v>
      </c>
      <c r="F148" s="232">
        <v>8.5</v>
      </c>
      <c r="G148" s="232">
        <v>0.35</v>
      </c>
      <c r="H148" s="232">
        <v>0</v>
      </c>
      <c r="I148" s="232">
        <v>8</v>
      </c>
      <c r="J148" s="232">
        <v>0</v>
      </c>
      <c r="K148" s="231" t="s">
        <v>733</v>
      </c>
      <c r="L148" s="232">
        <v>2024</v>
      </c>
      <c r="M148" s="232" t="s">
        <v>1856</v>
      </c>
      <c r="N148" s="233" t="s">
        <v>2029</v>
      </c>
    </row>
    <row r="149" spans="1:14" x14ac:dyDescent="0.3">
      <c r="A149" s="238">
        <v>147</v>
      </c>
      <c r="B149" s="228" t="s">
        <v>1160</v>
      </c>
      <c r="C149" s="229" t="s">
        <v>1161</v>
      </c>
      <c r="D149" s="229">
        <v>8.5299999999999994</v>
      </c>
      <c r="E149" s="304">
        <v>8.4499999999999993</v>
      </c>
      <c r="F149" s="229">
        <v>8.5</v>
      </c>
      <c r="G149" s="229">
        <v>0.96</v>
      </c>
      <c r="H149" s="229">
        <v>3</v>
      </c>
      <c r="I149" s="229">
        <v>15</v>
      </c>
      <c r="J149" s="229">
        <v>0</v>
      </c>
      <c r="K149" s="228" t="s">
        <v>1164</v>
      </c>
      <c r="L149" s="229">
        <v>2024</v>
      </c>
      <c r="M149" s="229" t="s">
        <v>1817</v>
      </c>
      <c r="N149" s="230" t="s">
        <v>2057</v>
      </c>
    </row>
    <row r="150" spans="1:14" x14ac:dyDescent="0.3">
      <c r="A150" s="238">
        <v>148</v>
      </c>
      <c r="B150" s="231" t="s">
        <v>1689</v>
      </c>
      <c r="C150" s="232" t="s">
        <v>1690</v>
      </c>
      <c r="D150" s="232">
        <v>8.5</v>
      </c>
      <c r="E150" s="304">
        <v>8.4499999999999993</v>
      </c>
      <c r="F150" s="232">
        <v>8.5</v>
      </c>
      <c r="G150" s="232">
        <v>0.41</v>
      </c>
      <c r="H150" s="232">
        <v>0</v>
      </c>
      <c r="I150" s="232">
        <v>9</v>
      </c>
      <c r="J150" s="232">
        <v>0</v>
      </c>
      <c r="K150" s="231" t="s">
        <v>1164</v>
      </c>
      <c r="L150" s="232">
        <v>2026</v>
      </c>
      <c r="M150" s="232" t="s">
        <v>1851</v>
      </c>
      <c r="N150" s="233" t="s">
        <v>2035</v>
      </c>
    </row>
    <row r="151" spans="1:14" x14ac:dyDescent="0.3">
      <c r="A151" s="238">
        <v>149</v>
      </c>
      <c r="B151" s="228" t="s">
        <v>493</v>
      </c>
      <c r="C151" s="229" t="s">
        <v>494</v>
      </c>
      <c r="D151" s="229">
        <v>8.5</v>
      </c>
      <c r="E151" s="305">
        <v>8.43</v>
      </c>
      <c r="F151" s="229">
        <v>8.5</v>
      </c>
      <c r="G151" s="229">
        <v>0.59</v>
      </c>
      <c r="H151" s="229">
        <v>0</v>
      </c>
      <c r="I151" s="229">
        <v>17</v>
      </c>
      <c r="J151" s="229">
        <v>4</v>
      </c>
      <c r="K151" s="228" t="s">
        <v>742</v>
      </c>
      <c r="L151" s="229">
        <v>2016</v>
      </c>
      <c r="M151" s="229" t="s">
        <v>1849</v>
      </c>
      <c r="N151" s="230" t="s">
        <v>2082</v>
      </c>
    </row>
    <row r="152" spans="1:14" x14ac:dyDescent="0.3">
      <c r="A152" s="238">
        <v>150</v>
      </c>
      <c r="B152" s="231" t="s">
        <v>300</v>
      </c>
      <c r="C152" s="232" t="s">
        <v>2218</v>
      </c>
      <c r="D152" s="232">
        <v>8.5</v>
      </c>
      <c r="E152" s="305">
        <v>8.43</v>
      </c>
      <c r="F152" s="232">
        <v>8.5</v>
      </c>
      <c r="G152" s="232">
        <v>0.76</v>
      </c>
      <c r="H152" s="232">
        <v>1</v>
      </c>
      <c r="I152" s="232">
        <v>7</v>
      </c>
      <c r="J152" s="232">
        <v>0</v>
      </c>
      <c r="K152" s="231" t="s">
        <v>733</v>
      </c>
      <c r="L152" s="232">
        <v>2008</v>
      </c>
      <c r="M152" s="232" t="s">
        <v>1852</v>
      </c>
      <c r="N152" s="233" t="s">
        <v>2238</v>
      </c>
    </row>
    <row r="153" spans="1:14" x14ac:dyDescent="0.3">
      <c r="A153" s="238">
        <v>151</v>
      </c>
      <c r="B153" s="228" t="s">
        <v>2159</v>
      </c>
      <c r="C153" s="229" t="s">
        <v>2160</v>
      </c>
      <c r="D153" s="229">
        <v>8.5399999999999991</v>
      </c>
      <c r="E153" s="306">
        <v>8.41</v>
      </c>
      <c r="F153" s="229">
        <v>8.25</v>
      </c>
      <c r="G153" s="229">
        <v>0.81</v>
      </c>
      <c r="H153" s="229">
        <v>2</v>
      </c>
      <c r="I153" s="229">
        <v>14</v>
      </c>
      <c r="J153" s="229">
        <v>0</v>
      </c>
      <c r="K153" s="228" t="s">
        <v>2162</v>
      </c>
      <c r="L153" s="229">
        <v>1991</v>
      </c>
      <c r="M153" s="229" t="s">
        <v>1829</v>
      </c>
      <c r="N153" s="230" t="s">
        <v>2180</v>
      </c>
    </row>
    <row r="154" spans="1:14" x14ac:dyDescent="0.3">
      <c r="A154" s="238">
        <v>152</v>
      </c>
      <c r="B154" s="231" t="s">
        <v>334</v>
      </c>
      <c r="C154" s="232" t="s">
        <v>335</v>
      </c>
      <c r="D154" s="232">
        <v>8.4600000000000009</v>
      </c>
      <c r="E154" s="307">
        <v>8.39</v>
      </c>
      <c r="F154" s="232">
        <v>8.5</v>
      </c>
      <c r="G154" s="232">
        <v>0.84</v>
      </c>
      <c r="H154" s="232">
        <v>2</v>
      </c>
      <c r="I154" s="232">
        <v>13</v>
      </c>
      <c r="J154" s="232">
        <v>0</v>
      </c>
      <c r="K154" s="231" t="s">
        <v>739</v>
      </c>
      <c r="L154" s="232">
        <v>2018</v>
      </c>
      <c r="M154" s="232" t="s">
        <v>1832</v>
      </c>
      <c r="N154" s="233" t="s">
        <v>2088</v>
      </c>
    </row>
    <row r="155" spans="1:14" x14ac:dyDescent="0.3">
      <c r="A155" s="238">
        <v>153</v>
      </c>
      <c r="B155" s="228" t="s">
        <v>2236</v>
      </c>
      <c r="C155" s="229" t="s">
        <v>2840</v>
      </c>
      <c r="D155" s="229">
        <v>8.39</v>
      </c>
      <c r="E155" s="307">
        <v>8.39</v>
      </c>
      <c r="F155" s="229">
        <v>8</v>
      </c>
      <c r="G155" s="229">
        <v>0.83</v>
      </c>
      <c r="H155" s="229">
        <v>2</v>
      </c>
      <c r="I155" s="229">
        <v>14</v>
      </c>
      <c r="J155" s="229">
        <v>0</v>
      </c>
      <c r="K155" s="228" t="s">
        <v>2824</v>
      </c>
      <c r="L155" s="229">
        <v>1966</v>
      </c>
      <c r="M155" s="229" t="s">
        <v>1851</v>
      </c>
      <c r="N155" s="230" t="s">
        <v>2841</v>
      </c>
    </row>
    <row r="156" spans="1:14" x14ac:dyDescent="0.3">
      <c r="A156" s="238">
        <v>154</v>
      </c>
      <c r="B156" s="231" t="s">
        <v>2914</v>
      </c>
      <c r="C156" s="232" t="s">
        <v>2904</v>
      </c>
      <c r="D156" s="232">
        <v>8.44</v>
      </c>
      <c r="E156" s="307">
        <v>8.39</v>
      </c>
      <c r="F156" s="232">
        <v>8.5</v>
      </c>
      <c r="G156" s="232">
        <v>0.55000000000000004</v>
      </c>
      <c r="H156" s="232">
        <v>0</v>
      </c>
      <c r="I156" s="232">
        <v>10</v>
      </c>
      <c r="J156" s="232">
        <v>1</v>
      </c>
      <c r="K156" s="231" t="s">
        <v>2918</v>
      </c>
      <c r="L156" s="232">
        <v>2022</v>
      </c>
      <c r="M156" s="232" t="s">
        <v>1821</v>
      </c>
      <c r="N156" s="233" t="s">
        <v>2899</v>
      </c>
    </row>
    <row r="157" spans="1:14" x14ac:dyDescent="0.3">
      <c r="A157" s="238">
        <v>155</v>
      </c>
      <c r="B157" s="228" t="s">
        <v>1202</v>
      </c>
      <c r="C157" s="229" t="s">
        <v>1192</v>
      </c>
      <c r="D157" s="229">
        <v>8.4499999999999993</v>
      </c>
      <c r="E157" s="308">
        <v>8.3800000000000008</v>
      </c>
      <c r="F157" s="229">
        <v>8.5</v>
      </c>
      <c r="G157" s="229">
        <v>0.78</v>
      </c>
      <c r="H157" s="229">
        <v>1</v>
      </c>
      <c r="I157" s="229">
        <v>11</v>
      </c>
      <c r="J157" s="229">
        <v>0</v>
      </c>
      <c r="K157" s="228" t="s">
        <v>1203</v>
      </c>
      <c r="L157" s="229">
        <v>2024</v>
      </c>
      <c r="M157" s="229" t="s">
        <v>1851</v>
      </c>
      <c r="N157" s="230" t="s">
        <v>2056</v>
      </c>
    </row>
    <row r="158" spans="1:14" x14ac:dyDescent="0.3">
      <c r="A158" s="238">
        <v>156</v>
      </c>
      <c r="B158" s="231" t="s">
        <v>1926</v>
      </c>
      <c r="C158" s="232" t="s">
        <v>1927</v>
      </c>
      <c r="D158" s="232">
        <v>8.43</v>
      </c>
      <c r="E158" s="308">
        <v>8.3800000000000008</v>
      </c>
      <c r="F158" s="232">
        <v>8.5</v>
      </c>
      <c r="G158" s="232">
        <v>0.49</v>
      </c>
      <c r="H158" s="232">
        <v>0</v>
      </c>
      <c r="I158" s="232">
        <v>8</v>
      </c>
      <c r="J158" s="232">
        <v>1</v>
      </c>
      <c r="K158" s="231" t="s">
        <v>1928</v>
      </c>
      <c r="L158" s="232">
        <v>2026</v>
      </c>
      <c r="M158" s="232" t="s">
        <v>1843</v>
      </c>
      <c r="N158" s="233" t="s">
        <v>2028</v>
      </c>
    </row>
    <row r="159" spans="1:14" x14ac:dyDescent="0.3">
      <c r="A159" s="238">
        <v>157</v>
      </c>
      <c r="B159" s="228" t="s">
        <v>1581</v>
      </c>
      <c r="C159" s="229" t="s">
        <v>1582</v>
      </c>
      <c r="D159" s="229">
        <v>8.4</v>
      </c>
      <c r="E159" s="309">
        <v>8.3699999999999992</v>
      </c>
      <c r="F159" s="229">
        <v>8.5</v>
      </c>
      <c r="G159" s="229">
        <v>0.37</v>
      </c>
      <c r="H159" s="229">
        <v>0</v>
      </c>
      <c r="I159" s="229">
        <v>5</v>
      </c>
      <c r="J159" s="229">
        <v>0</v>
      </c>
      <c r="K159" s="228" t="s">
        <v>1583</v>
      </c>
      <c r="L159" s="229">
        <v>2026</v>
      </c>
      <c r="M159" s="229" t="s">
        <v>1823</v>
      </c>
      <c r="N159" s="230" t="s">
        <v>2040</v>
      </c>
    </row>
    <row r="160" spans="1:14" x14ac:dyDescent="0.3">
      <c r="A160" s="238">
        <v>158</v>
      </c>
      <c r="B160" s="231" t="s">
        <v>2799</v>
      </c>
      <c r="C160" s="232" t="s">
        <v>2800</v>
      </c>
      <c r="D160" s="232">
        <v>8.4</v>
      </c>
      <c r="E160" s="309">
        <v>8.3699999999999992</v>
      </c>
      <c r="F160" s="232">
        <v>8.5</v>
      </c>
      <c r="G160" s="232">
        <v>0.37</v>
      </c>
      <c r="H160" s="232">
        <v>0</v>
      </c>
      <c r="I160" s="232">
        <v>7</v>
      </c>
      <c r="J160" s="232">
        <v>2</v>
      </c>
      <c r="K160" s="231" t="s">
        <v>2801</v>
      </c>
      <c r="L160" s="232">
        <v>1990</v>
      </c>
      <c r="M160" s="232" t="s">
        <v>1825</v>
      </c>
      <c r="N160" s="233" t="s">
        <v>2641</v>
      </c>
    </row>
    <row r="161" spans="1:14" x14ac:dyDescent="0.3">
      <c r="A161" s="238">
        <v>159</v>
      </c>
      <c r="B161" s="228" t="s">
        <v>315</v>
      </c>
      <c r="C161" s="229" t="s">
        <v>316</v>
      </c>
      <c r="D161" s="229">
        <v>8.42</v>
      </c>
      <c r="E161" s="310">
        <v>8.34</v>
      </c>
      <c r="F161" s="229">
        <v>8.5</v>
      </c>
      <c r="G161" s="229">
        <v>0.91</v>
      </c>
      <c r="H161" s="229">
        <v>1</v>
      </c>
      <c r="I161" s="229">
        <v>13</v>
      </c>
      <c r="J161" s="229">
        <v>1</v>
      </c>
      <c r="K161" s="228" t="s">
        <v>725</v>
      </c>
      <c r="L161" s="229">
        <v>2000</v>
      </c>
      <c r="M161" s="229" t="s">
        <v>1846</v>
      </c>
      <c r="N161" s="230" t="s">
        <v>2091</v>
      </c>
    </row>
    <row r="162" spans="1:14" x14ac:dyDescent="0.3">
      <c r="A162" s="238">
        <v>160</v>
      </c>
      <c r="B162" s="231" t="s">
        <v>1450</v>
      </c>
      <c r="C162" s="232" t="s">
        <v>1504</v>
      </c>
      <c r="D162" s="232">
        <v>8.44</v>
      </c>
      <c r="E162" s="310">
        <v>8.34</v>
      </c>
      <c r="F162" s="232">
        <v>8.5</v>
      </c>
      <c r="G162" s="232">
        <v>1.28</v>
      </c>
      <c r="H162" s="232">
        <v>2</v>
      </c>
      <c r="I162" s="232">
        <v>10</v>
      </c>
      <c r="J162" s="232">
        <v>1</v>
      </c>
      <c r="K162" s="231" t="s">
        <v>1509</v>
      </c>
      <c r="L162" s="232">
        <v>2016</v>
      </c>
      <c r="M162" s="232" t="s">
        <v>1848</v>
      </c>
      <c r="N162" s="233" t="s">
        <v>2043</v>
      </c>
    </row>
    <row r="163" spans="1:14" x14ac:dyDescent="0.3">
      <c r="A163" s="238">
        <v>161</v>
      </c>
      <c r="B163" s="228" t="s">
        <v>3053</v>
      </c>
      <c r="C163" s="229" t="s">
        <v>3054</v>
      </c>
      <c r="D163" s="229">
        <v>8.4499999999999993</v>
      </c>
      <c r="E163" s="310">
        <v>8.34</v>
      </c>
      <c r="F163" s="229">
        <v>8.25</v>
      </c>
      <c r="G163" s="229">
        <v>0.69</v>
      </c>
      <c r="H163" s="229">
        <v>1</v>
      </c>
      <c r="I163" s="229">
        <v>10</v>
      </c>
      <c r="J163" s="229">
        <v>0</v>
      </c>
      <c r="K163" s="228" t="s">
        <v>734</v>
      </c>
      <c r="L163" s="229">
        <v>1986</v>
      </c>
      <c r="M163" s="229" t="s">
        <v>3055</v>
      </c>
      <c r="N163" s="230" t="s">
        <v>3056</v>
      </c>
    </row>
    <row r="164" spans="1:14" x14ac:dyDescent="0.3">
      <c r="A164" s="238">
        <v>162</v>
      </c>
      <c r="B164" s="231" t="s">
        <v>1959</v>
      </c>
      <c r="C164" s="232" t="s">
        <v>1945</v>
      </c>
      <c r="D164" s="232">
        <v>8.3800000000000008</v>
      </c>
      <c r="E164" s="311">
        <v>8.33</v>
      </c>
      <c r="F164" s="232">
        <v>8.5</v>
      </c>
      <c r="G164" s="232">
        <v>0.78</v>
      </c>
      <c r="H164" s="232">
        <v>2</v>
      </c>
      <c r="I164" s="232">
        <v>19</v>
      </c>
      <c r="J164" s="232">
        <v>2</v>
      </c>
      <c r="K164" s="231" t="s">
        <v>1961</v>
      </c>
      <c r="L164" s="232">
        <v>1994</v>
      </c>
      <c r="M164" s="232" t="s">
        <v>1810</v>
      </c>
      <c r="N164" s="233" t="s">
        <v>2027</v>
      </c>
    </row>
    <row r="165" spans="1:14" x14ac:dyDescent="0.3">
      <c r="A165" s="238">
        <v>163</v>
      </c>
      <c r="B165" s="228" t="s">
        <v>3038</v>
      </c>
      <c r="C165" s="229" t="s">
        <v>3039</v>
      </c>
      <c r="D165" s="229">
        <v>8.4</v>
      </c>
      <c r="E165" s="359">
        <v>8.3000000000000007</v>
      </c>
      <c r="F165" s="229">
        <v>8.25</v>
      </c>
      <c r="G165" s="229">
        <v>0.73</v>
      </c>
      <c r="H165" s="229">
        <v>1</v>
      </c>
      <c r="I165" s="229">
        <v>10</v>
      </c>
      <c r="J165" s="229">
        <v>0</v>
      </c>
      <c r="K165" s="228" t="s">
        <v>1036</v>
      </c>
      <c r="L165" s="229">
        <v>1989</v>
      </c>
      <c r="M165" s="229" t="s">
        <v>1830</v>
      </c>
      <c r="N165" s="230" t="s">
        <v>3023</v>
      </c>
    </row>
    <row r="166" spans="1:14" x14ac:dyDescent="0.3">
      <c r="A166" s="238">
        <v>164</v>
      </c>
      <c r="B166" s="231" t="s">
        <v>1087</v>
      </c>
      <c r="C166" s="232" t="s">
        <v>1088</v>
      </c>
      <c r="D166" s="232">
        <v>8.4600000000000009</v>
      </c>
      <c r="E166" s="312">
        <v>8.27</v>
      </c>
      <c r="F166" s="232">
        <v>8</v>
      </c>
      <c r="G166" s="232">
        <v>1.1299999999999999</v>
      </c>
      <c r="H166" s="232">
        <v>3</v>
      </c>
      <c r="I166" s="232">
        <v>13</v>
      </c>
      <c r="J166" s="232">
        <v>1</v>
      </c>
      <c r="K166" s="231" t="s">
        <v>1089</v>
      </c>
      <c r="L166" s="232">
        <v>1993</v>
      </c>
      <c r="M166" s="232" t="s">
        <v>1845</v>
      </c>
      <c r="N166" s="233" t="s">
        <v>2058</v>
      </c>
    </row>
    <row r="167" spans="1:14" x14ac:dyDescent="0.3">
      <c r="A167" s="238">
        <v>165</v>
      </c>
      <c r="B167" s="228" t="s">
        <v>300</v>
      </c>
      <c r="C167" s="229" t="s">
        <v>1743</v>
      </c>
      <c r="D167" s="229">
        <v>8.2899999999999991</v>
      </c>
      <c r="E167" s="312">
        <v>8.27</v>
      </c>
      <c r="F167" s="229">
        <v>8.5</v>
      </c>
      <c r="G167" s="229">
        <v>0.45</v>
      </c>
      <c r="H167" s="229">
        <v>0</v>
      </c>
      <c r="I167" s="229">
        <v>9</v>
      </c>
      <c r="J167" s="229">
        <v>2</v>
      </c>
      <c r="K167" s="228" t="s">
        <v>735</v>
      </c>
      <c r="L167" s="229">
        <v>1998</v>
      </c>
      <c r="M167" s="229" t="s">
        <v>1845</v>
      </c>
      <c r="N167" s="230" t="s">
        <v>2032</v>
      </c>
    </row>
    <row r="168" spans="1:14" x14ac:dyDescent="0.3">
      <c r="A168" s="238">
        <v>166</v>
      </c>
      <c r="B168" s="231" t="s">
        <v>313</v>
      </c>
      <c r="C168" s="232" t="s">
        <v>160</v>
      </c>
      <c r="D168" s="232">
        <v>8.3800000000000008</v>
      </c>
      <c r="E168" s="313">
        <v>8.25</v>
      </c>
      <c r="F168" s="232">
        <v>8.25</v>
      </c>
      <c r="G168" s="232">
        <v>1.06</v>
      </c>
      <c r="H168" s="232">
        <v>2</v>
      </c>
      <c r="I168" s="232">
        <v>12</v>
      </c>
      <c r="J168" s="232">
        <v>0</v>
      </c>
      <c r="K168" s="231" t="s">
        <v>779</v>
      </c>
      <c r="L168" s="232">
        <v>1992</v>
      </c>
      <c r="M168" s="232" t="s">
        <v>1842</v>
      </c>
      <c r="N168" s="233" t="s">
        <v>2024</v>
      </c>
    </row>
    <row r="169" spans="1:14" x14ac:dyDescent="0.3">
      <c r="A169" s="238">
        <v>167</v>
      </c>
      <c r="B169" s="228" t="s">
        <v>300</v>
      </c>
      <c r="C169" s="229" t="s">
        <v>1625</v>
      </c>
      <c r="D169" s="229">
        <v>8.4</v>
      </c>
      <c r="E169" s="313">
        <v>8.25</v>
      </c>
      <c r="F169" s="229">
        <v>8</v>
      </c>
      <c r="G169" s="229">
        <v>0.86</v>
      </c>
      <c r="H169" s="229">
        <v>1</v>
      </c>
      <c r="I169" s="229">
        <v>5</v>
      </c>
      <c r="J169" s="229">
        <v>0</v>
      </c>
      <c r="K169" s="228" t="s">
        <v>733</v>
      </c>
      <c r="L169" s="229">
        <v>1996</v>
      </c>
      <c r="M169" s="229" t="s">
        <v>1837</v>
      </c>
      <c r="N169" s="230" t="s">
        <v>2037</v>
      </c>
    </row>
    <row r="170" spans="1:14" x14ac:dyDescent="0.3">
      <c r="A170" s="238">
        <v>168</v>
      </c>
      <c r="B170" s="231" t="s">
        <v>2931</v>
      </c>
      <c r="C170" s="232" t="s">
        <v>2932</v>
      </c>
      <c r="D170" s="232">
        <v>8.41</v>
      </c>
      <c r="E170" s="314">
        <v>8.24</v>
      </c>
      <c r="F170" s="232">
        <v>8</v>
      </c>
      <c r="G170" s="232">
        <v>0.95</v>
      </c>
      <c r="H170" s="232">
        <v>2</v>
      </c>
      <c r="I170" s="232">
        <v>12</v>
      </c>
      <c r="J170" s="232">
        <v>1</v>
      </c>
      <c r="K170" s="231" t="s">
        <v>2934</v>
      </c>
      <c r="L170" s="232">
        <v>2003</v>
      </c>
      <c r="M170" s="232" t="s">
        <v>1856</v>
      </c>
      <c r="N170" s="233" t="s">
        <v>2935</v>
      </c>
    </row>
    <row r="171" spans="1:14" x14ac:dyDescent="0.3">
      <c r="A171" s="238">
        <v>169</v>
      </c>
      <c r="B171" s="228" t="s">
        <v>677</v>
      </c>
      <c r="C171" s="229" t="s">
        <v>677</v>
      </c>
      <c r="D171" s="229">
        <v>8.24</v>
      </c>
      <c r="E171" s="315">
        <v>8.23</v>
      </c>
      <c r="F171" s="229">
        <v>8</v>
      </c>
      <c r="G171" s="229">
        <v>1.1299999999999999</v>
      </c>
      <c r="H171" s="229">
        <v>3</v>
      </c>
      <c r="I171" s="229">
        <v>17</v>
      </c>
      <c r="J171" s="229">
        <v>0</v>
      </c>
      <c r="K171" s="228" t="s">
        <v>2522</v>
      </c>
      <c r="L171" s="229">
        <v>2001</v>
      </c>
      <c r="M171" s="229" t="s">
        <v>1863</v>
      </c>
      <c r="N171" s="230" t="s">
        <v>2523</v>
      </c>
    </row>
    <row r="172" spans="1:14" x14ac:dyDescent="0.3">
      <c r="A172" s="238">
        <v>170</v>
      </c>
      <c r="B172" s="231" t="s">
        <v>292</v>
      </c>
      <c r="C172" s="232" t="s">
        <v>278</v>
      </c>
      <c r="D172" s="232">
        <v>8.35</v>
      </c>
      <c r="E172" s="316">
        <v>8.2200000000000006</v>
      </c>
      <c r="F172" s="232">
        <v>8.25</v>
      </c>
      <c r="G172" s="232">
        <v>1.32</v>
      </c>
      <c r="H172" s="232">
        <v>3</v>
      </c>
      <c r="I172" s="232">
        <v>10</v>
      </c>
      <c r="J172" s="232">
        <v>0</v>
      </c>
      <c r="K172" s="231" t="s">
        <v>731</v>
      </c>
      <c r="L172" s="232">
        <v>1993</v>
      </c>
      <c r="M172" s="232" t="s">
        <v>1838</v>
      </c>
      <c r="N172" s="233" t="s">
        <v>2088</v>
      </c>
    </row>
    <row r="173" spans="1:14" x14ac:dyDescent="0.3">
      <c r="A173" s="238">
        <v>171</v>
      </c>
      <c r="B173" s="228" t="s">
        <v>314</v>
      </c>
      <c r="C173" s="229" t="s">
        <v>271</v>
      </c>
      <c r="D173" s="229">
        <v>8.35</v>
      </c>
      <c r="E173" s="317">
        <v>8.1999999999999993</v>
      </c>
      <c r="F173" s="229">
        <v>8</v>
      </c>
      <c r="G173" s="229">
        <v>0.78</v>
      </c>
      <c r="H173" s="229">
        <v>1</v>
      </c>
      <c r="I173" s="229">
        <v>10</v>
      </c>
      <c r="J173" s="229">
        <v>0</v>
      </c>
      <c r="K173" s="228" t="s">
        <v>781</v>
      </c>
      <c r="L173" s="229">
        <v>1979</v>
      </c>
      <c r="M173" s="229" t="s">
        <v>1841</v>
      </c>
      <c r="N173" s="230" t="s">
        <v>2088</v>
      </c>
    </row>
    <row r="174" spans="1:14" x14ac:dyDescent="0.3">
      <c r="A174" s="238">
        <v>172</v>
      </c>
      <c r="B174" s="231" t="s">
        <v>2893</v>
      </c>
      <c r="C174" s="232" t="s">
        <v>2894</v>
      </c>
      <c r="D174" s="232">
        <v>8.25</v>
      </c>
      <c r="E174" s="318">
        <v>8.18</v>
      </c>
      <c r="F174" s="232">
        <v>8.25</v>
      </c>
      <c r="G174" s="232">
        <v>0.6</v>
      </c>
      <c r="H174" s="232">
        <v>0</v>
      </c>
      <c r="I174" s="232">
        <v>12</v>
      </c>
      <c r="J174" s="232">
        <v>0</v>
      </c>
      <c r="K174" s="231" t="s">
        <v>1775</v>
      </c>
      <c r="L174" s="232">
        <v>2024</v>
      </c>
      <c r="M174" s="232" t="s">
        <v>1851</v>
      </c>
      <c r="N174" s="233" t="s">
        <v>2899</v>
      </c>
    </row>
    <row r="175" spans="1:14" x14ac:dyDescent="0.3">
      <c r="A175" s="238">
        <v>173</v>
      </c>
      <c r="B175" s="228" t="s">
        <v>319</v>
      </c>
      <c r="C175" s="229" t="s">
        <v>320</v>
      </c>
      <c r="D175" s="229">
        <v>8.33</v>
      </c>
      <c r="E175" s="319">
        <v>8.17</v>
      </c>
      <c r="F175" s="229">
        <v>8</v>
      </c>
      <c r="G175" s="229">
        <v>0.94</v>
      </c>
      <c r="H175" s="229">
        <v>1</v>
      </c>
      <c r="I175" s="229">
        <v>9</v>
      </c>
      <c r="J175" s="229">
        <v>0</v>
      </c>
      <c r="K175" s="228" t="s">
        <v>721</v>
      </c>
      <c r="L175" s="229">
        <v>1993</v>
      </c>
      <c r="M175" s="229" t="s">
        <v>1836</v>
      </c>
      <c r="N175" s="230" t="s">
        <v>2089</v>
      </c>
    </row>
    <row r="176" spans="1:14" x14ac:dyDescent="0.3">
      <c r="A176" s="238">
        <v>174</v>
      </c>
      <c r="B176" s="231" t="s">
        <v>533</v>
      </c>
      <c r="C176" s="232" t="s">
        <v>534</v>
      </c>
      <c r="D176" s="232">
        <v>8.31</v>
      </c>
      <c r="E176" s="319">
        <v>8.16</v>
      </c>
      <c r="F176" s="232">
        <v>8</v>
      </c>
      <c r="G176" s="232">
        <v>0.89</v>
      </c>
      <c r="H176" s="232">
        <v>2</v>
      </c>
      <c r="I176" s="232">
        <v>14</v>
      </c>
      <c r="J176" s="232">
        <v>1</v>
      </c>
      <c r="K176" s="231" t="s">
        <v>724</v>
      </c>
      <c r="L176" s="232">
        <v>2016</v>
      </c>
      <c r="M176" s="232" t="s">
        <v>1832</v>
      </c>
      <c r="N176" s="233" t="s">
        <v>2081</v>
      </c>
    </row>
    <row r="177" spans="1:14" x14ac:dyDescent="0.3">
      <c r="A177" s="238">
        <v>175</v>
      </c>
      <c r="B177" s="228" t="s">
        <v>759</v>
      </c>
      <c r="C177" s="229" t="s">
        <v>760</v>
      </c>
      <c r="D177" s="229">
        <v>8.33</v>
      </c>
      <c r="E177" s="319">
        <v>8.16</v>
      </c>
      <c r="F177" s="229">
        <v>8</v>
      </c>
      <c r="G177" s="229">
        <v>1.1599999999999999</v>
      </c>
      <c r="H177" s="229">
        <v>3</v>
      </c>
      <c r="I177" s="229">
        <v>15</v>
      </c>
      <c r="J177" s="229">
        <v>0</v>
      </c>
      <c r="K177" s="228" t="s">
        <v>780</v>
      </c>
      <c r="L177" s="229">
        <v>2003</v>
      </c>
      <c r="M177" s="229" t="s">
        <v>1852</v>
      </c>
      <c r="N177" s="230" t="s">
        <v>2070</v>
      </c>
    </row>
    <row r="178" spans="1:14" x14ac:dyDescent="0.3">
      <c r="A178" s="238">
        <v>176</v>
      </c>
      <c r="B178" s="231" t="s">
        <v>1731</v>
      </c>
      <c r="C178" s="232" t="s">
        <v>1731</v>
      </c>
      <c r="D178" s="232">
        <v>8.2899999999999991</v>
      </c>
      <c r="E178" s="319">
        <v>8.16</v>
      </c>
      <c r="F178" s="232">
        <v>8</v>
      </c>
      <c r="G178" s="232">
        <v>0.52</v>
      </c>
      <c r="H178" s="232">
        <v>0</v>
      </c>
      <c r="I178" s="232">
        <v>7</v>
      </c>
      <c r="J178" s="232">
        <v>0</v>
      </c>
      <c r="K178" s="231" t="s">
        <v>1732</v>
      </c>
      <c r="L178" s="232">
        <v>2018</v>
      </c>
      <c r="M178" s="232" t="s">
        <v>1853</v>
      </c>
      <c r="N178" s="233" t="s">
        <v>2033</v>
      </c>
    </row>
    <row r="179" spans="1:14" x14ac:dyDescent="0.3">
      <c r="A179" s="238">
        <v>177</v>
      </c>
      <c r="B179" s="228" t="s">
        <v>2607</v>
      </c>
      <c r="C179" s="229" t="s">
        <v>2608</v>
      </c>
      <c r="D179" s="229">
        <v>8.31</v>
      </c>
      <c r="E179" s="319">
        <v>8.16</v>
      </c>
      <c r="F179" s="229">
        <v>8</v>
      </c>
      <c r="G179" s="229">
        <v>0.93</v>
      </c>
      <c r="H179" s="229">
        <v>1</v>
      </c>
      <c r="I179" s="229">
        <v>8</v>
      </c>
      <c r="J179" s="229">
        <v>0</v>
      </c>
      <c r="K179" s="228" t="s">
        <v>1026</v>
      </c>
      <c r="L179" s="229">
        <v>2016</v>
      </c>
      <c r="M179" s="229" t="s">
        <v>1817</v>
      </c>
      <c r="N179" s="230" t="s">
        <v>2609</v>
      </c>
    </row>
    <row r="180" spans="1:14" x14ac:dyDescent="0.3">
      <c r="A180" s="238">
        <v>178</v>
      </c>
      <c r="B180" s="231" t="s">
        <v>2295</v>
      </c>
      <c r="C180" s="232" t="s">
        <v>2296</v>
      </c>
      <c r="D180" s="232">
        <v>8.1999999999999993</v>
      </c>
      <c r="E180" s="320">
        <v>8.1300000000000008</v>
      </c>
      <c r="F180" s="232">
        <v>8</v>
      </c>
      <c r="G180" s="232">
        <v>0.24</v>
      </c>
      <c r="H180" s="232">
        <v>0</v>
      </c>
      <c r="I180" s="232">
        <v>5</v>
      </c>
      <c r="J180" s="232">
        <v>0</v>
      </c>
      <c r="K180" s="231" t="s">
        <v>1035</v>
      </c>
      <c r="L180" s="232">
        <v>2026</v>
      </c>
      <c r="M180" s="232" t="s">
        <v>1854</v>
      </c>
      <c r="N180" s="233" t="s">
        <v>2297</v>
      </c>
    </row>
    <row r="181" spans="1:14" x14ac:dyDescent="0.3">
      <c r="A181" s="238">
        <v>179</v>
      </c>
      <c r="B181" s="228" t="s">
        <v>293</v>
      </c>
      <c r="C181" s="229" t="s">
        <v>573</v>
      </c>
      <c r="D181" s="229">
        <v>8.0500000000000007</v>
      </c>
      <c r="E181" s="321">
        <v>8.11</v>
      </c>
      <c r="F181" s="229">
        <v>8.25</v>
      </c>
      <c r="G181" s="229">
        <v>1.19</v>
      </c>
      <c r="H181" s="229">
        <v>1</v>
      </c>
      <c r="I181" s="229">
        <v>11</v>
      </c>
      <c r="J181" s="229">
        <v>1</v>
      </c>
      <c r="K181" s="228" t="s">
        <v>713</v>
      </c>
      <c r="L181" s="229">
        <v>2001</v>
      </c>
      <c r="M181" s="229" t="s">
        <v>1848</v>
      </c>
      <c r="N181" s="230" t="s">
        <v>2080</v>
      </c>
    </row>
    <row r="182" spans="1:14" x14ac:dyDescent="0.3">
      <c r="A182" s="238">
        <v>180</v>
      </c>
      <c r="B182" s="231" t="s">
        <v>426</v>
      </c>
      <c r="C182" s="232" t="s">
        <v>427</v>
      </c>
      <c r="D182" s="232">
        <v>8.18</v>
      </c>
      <c r="E182" s="322">
        <v>8.06</v>
      </c>
      <c r="F182" s="232">
        <v>8</v>
      </c>
      <c r="G182" s="232">
        <v>0.89</v>
      </c>
      <c r="H182" s="232">
        <v>2</v>
      </c>
      <c r="I182" s="232">
        <v>19</v>
      </c>
      <c r="J182" s="232">
        <v>0</v>
      </c>
      <c r="K182" s="231" t="s">
        <v>738</v>
      </c>
      <c r="L182" s="232">
        <v>2023</v>
      </c>
      <c r="M182" s="232" t="s">
        <v>1831</v>
      </c>
      <c r="N182" s="233" t="s">
        <v>2084</v>
      </c>
    </row>
    <row r="183" spans="1:14" x14ac:dyDescent="0.3">
      <c r="A183" s="238">
        <v>181</v>
      </c>
      <c r="B183" s="228" t="s">
        <v>305</v>
      </c>
      <c r="C183" s="229" t="s">
        <v>1778</v>
      </c>
      <c r="D183" s="229">
        <v>8.18</v>
      </c>
      <c r="E183" s="322">
        <v>8.06</v>
      </c>
      <c r="F183" s="229">
        <v>8</v>
      </c>
      <c r="G183" s="229">
        <v>0.86</v>
      </c>
      <c r="H183" s="229">
        <v>1</v>
      </c>
      <c r="I183" s="229">
        <v>11</v>
      </c>
      <c r="J183" s="229">
        <v>0</v>
      </c>
      <c r="K183" s="228" t="s">
        <v>1788</v>
      </c>
      <c r="L183" s="229">
        <v>2001</v>
      </c>
      <c r="M183" s="229" t="s">
        <v>1809</v>
      </c>
      <c r="N183" s="230" t="s">
        <v>2030</v>
      </c>
    </row>
    <row r="184" spans="1:14" x14ac:dyDescent="0.3">
      <c r="A184" s="238">
        <v>182</v>
      </c>
      <c r="B184" s="231" t="s">
        <v>300</v>
      </c>
      <c r="C184" s="232" t="s">
        <v>2355</v>
      </c>
      <c r="D184" s="232">
        <v>8.11</v>
      </c>
      <c r="E184" s="323">
        <v>8.0299999999999994</v>
      </c>
      <c r="F184" s="232">
        <v>8</v>
      </c>
      <c r="G184" s="232">
        <v>0.46</v>
      </c>
      <c r="H184" s="232">
        <v>0</v>
      </c>
      <c r="I184" s="232">
        <v>11</v>
      </c>
      <c r="J184" s="232">
        <v>2</v>
      </c>
      <c r="K184" s="231" t="s">
        <v>1026</v>
      </c>
      <c r="L184" s="232">
        <v>2016</v>
      </c>
      <c r="M184" s="232" t="s">
        <v>1844</v>
      </c>
      <c r="N184" s="233" t="s">
        <v>2384</v>
      </c>
    </row>
    <row r="185" spans="1:14" x14ac:dyDescent="0.3">
      <c r="A185" s="238">
        <v>183</v>
      </c>
      <c r="B185" s="228" t="s">
        <v>677</v>
      </c>
      <c r="C185" s="229" t="s">
        <v>1219</v>
      </c>
      <c r="D185" s="229">
        <v>8.11</v>
      </c>
      <c r="E185" s="324">
        <v>8</v>
      </c>
      <c r="F185" s="229">
        <v>8</v>
      </c>
      <c r="G185" s="229">
        <v>0.71</v>
      </c>
      <c r="H185" s="229">
        <v>0</v>
      </c>
      <c r="I185" s="229">
        <v>15</v>
      </c>
      <c r="J185" s="229">
        <v>1</v>
      </c>
      <c r="K185" s="228" t="s">
        <v>1235</v>
      </c>
      <c r="L185" s="229">
        <v>2026</v>
      </c>
      <c r="M185" s="229" t="s">
        <v>1828</v>
      </c>
      <c r="N185" s="230" t="s">
        <v>2055</v>
      </c>
    </row>
    <row r="186" spans="1:14" x14ac:dyDescent="0.3">
      <c r="A186" s="238">
        <v>184</v>
      </c>
      <c r="B186" s="231" t="s">
        <v>346</v>
      </c>
      <c r="C186" s="232" t="s">
        <v>339</v>
      </c>
      <c r="D186" s="232">
        <v>8</v>
      </c>
      <c r="E186" s="325">
        <v>7.98</v>
      </c>
      <c r="F186" s="232">
        <v>8.25</v>
      </c>
      <c r="G186" s="232">
        <v>0.56000000000000005</v>
      </c>
      <c r="H186" s="232">
        <v>0</v>
      </c>
      <c r="I186" s="232">
        <v>9</v>
      </c>
      <c r="J186" s="232">
        <v>1</v>
      </c>
      <c r="K186" s="231" t="s">
        <v>716</v>
      </c>
      <c r="L186" s="232">
        <v>2005</v>
      </c>
      <c r="M186" s="232" t="s">
        <v>1843</v>
      </c>
      <c r="N186" s="233" t="s">
        <v>2088</v>
      </c>
    </row>
    <row r="187" spans="1:14" x14ac:dyDescent="0.3">
      <c r="A187" s="238">
        <v>185</v>
      </c>
      <c r="B187" s="228" t="s">
        <v>303</v>
      </c>
      <c r="C187" s="229" t="s">
        <v>651</v>
      </c>
      <c r="D187" s="229">
        <v>8.07</v>
      </c>
      <c r="E187" s="326">
        <v>7.95</v>
      </c>
      <c r="F187" s="229">
        <v>8</v>
      </c>
      <c r="G187" s="229">
        <v>1.07</v>
      </c>
      <c r="H187" s="229">
        <v>2</v>
      </c>
      <c r="I187" s="229">
        <v>16</v>
      </c>
      <c r="J187" s="229">
        <v>2</v>
      </c>
      <c r="K187" s="228" t="s">
        <v>718</v>
      </c>
      <c r="L187" s="229">
        <v>1997</v>
      </c>
      <c r="M187" s="229" t="s">
        <v>1837</v>
      </c>
      <c r="N187" s="230" t="s">
        <v>2076</v>
      </c>
    </row>
    <row r="188" spans="1:14" x14ac:dyDescent="0.3">
      <c r="A188" s="238">
        <v>186</v>
      </c>
      <c r="B188" s="231" t="s">
        <v>1339</v>
      </c>
      <c r="C188" s="232" t="s">
        <v>1340</v>
      </c>
      <c r="D188" s="232">
        <v>8.0500000000000007</v>
      </c>
      <c r="E188" s="326">
        <v>7.95</v>
      </c>
      <c r="F188" s="232">
        <v>8</v>
      </c>
      <c r="G188" s="232">
        <v>0.72</v>
      </c>
      <c r="H188" s="232">
        <v>0</v>
      </c>
      <c r="I188" s="232">
        <v>10</v>
      </c>
      <c r="J188" s="232">
        <v>0</v>
      </c>
      <c r="K188" s="231" t="s">
        <v>712</v>
      </c>
      <c r="L188" s="232">
        <v>2026</v>
      </c>
      <c r="M188" s="232" t="s">
        <v>1843</v>
      </c>
      <c r="N188" s="233" t="s">
        <v>2050</v>
      </c>
    </row>
    <row r="189" spans="1:14" x14ac:dyDescent="0.3">
      <c r="A189" s="238">
        <v>187</v>
      </c>
      <c r="B189" s="228" t="s">
        <v>300</v>
      </c>
      <c r="C189" s="229" t="s">
        <v>1678</v>
      </c>
      <c r="D189" s="229">
        <v>8.06</v>
      </c>
      <c r="E189" s="326">
        <v>7.95</v>
      </c>
      <c r="F189" s="229">
        <v>8</v>
      </c>
      <c r="G189" s="229">
        <v>0.81</v>
      </c>
      <c r="H189" s="229">
        <v>0</v>
      </c>
      <c r="I189" s="229">
        <v>8</v>
      </c>
      <c r="J189" s="229">
        <v>0</v>
      </c>
      <c r="K189" s="228" t="s">
        <v>1026</v>
      </c>
      <c r="L189" s="229">
        <v>2014</v>
      </c>
      <c r="M189" s="229" t="s">
        <v>1852</v>
      </c>
      <c r="N189" s="230" t="s">
        <v>2035</v>
      </c>
    </row>
    <row r="190" spans="1:14" x14ac:dyDescent="0.3">
      <c r="A190" s="238">
        <v>188</v>
      </c>
      <c r="B190" s="231" t="s">
        <v>2208</v>
      </c>
      <c r="C190" s="232" t="s">
        <v>2209</v>
      </c>
      <c r="D190" s="232">
        <v>8</v>
      </c>
      <c r="E190" s="327">
        <v>7.94</v>
      </c>
      <c r="F190" s="232">
        <v>8</v>
      </c>
      <c r="G190" s="232">
        <v>0.45</v>
      </c>
      <c r="H190" s="232">
        <v>0</v>
      </c>
      <c r="I190" s="232">
        <v>10</v>
      </c>
      <c r="J190" s="232">
        <v>0</v>
      </c>
      <c r="K190" s="231" t="s">
        <v>1035</v>
      </c>
      <c r="L190" s="232">
        <v>2025</v>
      </c>
      <c r="M190" s="232" t="s">
        <v>1846</v>
      </c>
      <c r="N190" s="233" t="s">
        <v>2182</v>
      </c>
    </row>
    <row r="191" spans="1:14" x14ac:dyDescent="0.3">
      <c r="A191" s="238">
        <v>189</v>
      </c>
      <c r="B191" s="228" t="s">
        <v>300</v>
      </c>
      <c r="C191" s="229" t="s">
        <v>3408</v>
      </c>
      <c r="D191" s="229">
        <v>8</v>
      </c>
      <c r="E191" s="327">
        <v>7.94</v>
      </c>
      <c r="F191" s="229">
        <v>8</v>
      </c>
      <c r="G191" s="229">
        <v>0.5</v>
      </c>
      <c r="H191" s="229">
        <v>0</v>
      </c>
      <c r="I191" s="229">
        <v>7</v>
      </c>
      <c r="J191" s="229">
        <v>1</v>
      </c>
      <c r="K191" s="228" t="s">
        <v>3413</v>
      </c>
      <c r="L191" s="229">
        <v>1995</v>
      </c>
      <c r="M191" s="229" t="s">
        <v>1850</v>
      </c>
      <c r="N191" s="230" t="s">
        <v>3414</v>
      </c>
    </row>
    <row r="192" spans="1:14" x14ac:dyDescent="0.3">
      <c r="A192" s="238">
        <v>190</v>
      </c>
      <c r="B192" s="231" t="s">
        <v>300</v>
      </c>
      <c r="C192" s="232" t="s">
        <v>3153</v>
      </c>
      <c r="D192" s="232">
        <v>7.95</v>
      </c>
      <c r="E192" s="371">
        <v>7.89</v>
      </c>
      <c r="F192" s="232">
        <v>8</v>
      </c>
      <c r="G192" s="232">
        <v>0.56999999999999995</v>
      </c>
      <c r="H192" s="232">
        <v>0</v>
      </c>
      <c r="I192" s="232">
        <v>10</v>
      </c>
      <c r="J192" s="232">
        <v>0</v>
      </c>
      <c r="K192" s="231" t="s">
        <v>1026</v>
      </c>
      <c r="L192" s="232">
        <v>2019</v>
      </c>
      <c r="M192" s="232" t="s">
        <v>1838</v>
      </c>
      <c r="N192" s="233" t="s">
        <v>3155</v>
      </c>
    </row>
    <row r="193" spans="1:14" x14ac:dyDescent="0.3">
      <c r="A193" s="238">
        <v>191</v>
      </c>
      <c r="B193" s="228" t="s">
        <v>292</v>
      </c>
      <c r="C193" s="229" t="s">
        <v>3062</v>
      </c>
      <c r="D193" s="229">
        <v>7.92</v>
      </c>
      <c r="E193" s="361">
        <v>7.84</v>
      </c>
      <c r="F193" s="229">
        <v>8</v>
      </c>
      <c r="G193" s="229">
        <v>0.79</v>
      </c>
      <c r="H193" s="229">
        <v>0</v>
      </c>
      <c r="I193" s="229">
        <v>6</v>
      </c>
      <c r="J193" s="229">
        <v>0</v>
      </c>
      <c r="K193" s="228" t="s">
        <v>731</v>
      </c>
      <c r="L193" s="229">
        <v>1992</v>
      </c>
      <c r="M193" s="229" t="s">
        <v>3152</v>
      </c>
      <c r="N193" s="230" t="s">
        <v>3056</v>
      </c>
    </row>
    <row r="194" spans="1:14" x14ac:dyDescent="0.3">
      <c r="A194" s="238">
        <v>192</v>
      </c>
      <c r="B194" s="231" t="s">
        <v>303</v>
      </c>
      <c r="C194" s="232" t="s">
        <v>1484</v>
      </c>
      <c r="D194" s="232">
        <v>8</v>
      </c>
      <c r="E194" s="328">
        <v>7.79</v>
      </c>
      <c r="F194" s="232">
        <v>7.5</v>
      </c>
      <c r="G194" s="232">
        <v>0.88</v>
      </c>
      <c r="H194" s="232">
        <v>0</v>
      </c>
      <c r="I194" s="232">
        <v>10</v>
      </c>
      <c r="J194" s="232">
        <v>1</v>
      </c>
      <c r="K194" s="231" t="s">
        <v>1495</v>
      </c>
      <c r="L194" s="232">
        <v>2005</v>
      </c>
      <c r="M194" s="232" t="s">
        <v>1835</v>
      </c>
      <c r="N194" s="233" t="s">
        <v>2044</v>
      </c>
    </row>
    <row r="195" spans="1:14" x14ac:dyDescent="0.3">
      <c r="A195" s="238">
        <v>193</v>
      </c>
      <c r="B195" s="228" t="s">
        <v>293</v>
      </c>
      <c r="C195" s="229" t="s">
        <v>899</v>
      </c>
      <c r="D195" s="229">
        <v>7.88</v>
      </c>
      <c r="E195" s="329">
        <v>7.74</v>
      </c>
      <c r="F195" s="229">
        <v>7.75</v>
      </c>
      <c r="G195" s="229">
        <v>0.86</v>
      </c>
      <c r="H195" s="229">
        <v>0</v>
      </c>
      <c r="I195" s="229">
        <v>8</v>
      </c>
      <c r="J195" s="229">
        <v>0</v>
      </c>
      <c r="K195" s="228" t="s">
        <v>900</v>
      </c>
      <c r="L195" s="229">
        <v>2011</v>
      </c>
      <c r="M195" s="229" t="s">
        <v>1846</v>
      </c>
      <c r="N195" s="230" t="s">
        <v>2065</v>
      </c>
    </row>
    <row r="196" spans="1:14" x14ac:dyDescent="0.3">
      <c r="A196" s="238">
        <v>194</v>
      </c>
      <c r="B196" s="231" t="s">
        <v>607</v>
      </c>
      <c r="C196" s="232" t="s">
        <v>608</v>
      </c>
      <c r="D196" s="232">
        <v>7.72</v>
      </c>
      <c r="E196" s="330">
        <v>7.7</v>
      </c>
      <c r="F196" s="232">
        <v>8</v>
      </c>
      <c r="G196" s="232">
        <v>0.57999999999999996</v>
      </c>
      <c r="H196" s="232">
        <v>0</v>
      </c>
      <c r="I196" s="232">
        <v>18</v>
      </c>
      <c r="J196" s="232">
        <v>0</v>
      </c>
      <c r="K196" s="231" t="s">
        <v>739</v>
      </c>
      <c r="L196" s="232">
        <v>2026</v>
      </c>
      <c r="M196" s="232" t="s">
        <v>1834</v>
      </c>
      <c r="N196" s="233" t="s">
        <v>2078</v>
      </c>
    </row>
    <row r="197" spans="1:14" x14ac:dyDescent="0.3">
      <c r="A197" s="238">
        <v>195</v>
      </c>
      <c r="B197" s="228" t="s">
        <v>456</v>
      </c>
      <c r="C197" s="229" t="s">
        <v>457</v>
      </c>
      <c r="D197" s="229">
        <v>7.67</v>
      </c>
      <c r="E197" s="331">
        <v>7.66</v>
      </c>
      <c r="F197" s="229">
        <v>8</v>
      </c>
      <c r="G197" s="229">
        <v>0.59</v>
      </c>
      <c r="H197" s="229">
        <v>0</v>
      </c>
      <c r="I197" s="229">
        <v>12</v>
      </c>
      <c r="J197" s="229">
        <v>0</v>
      </c>
      <c r="K197" s="228" t="s">
        <v>726</v>
      </c>
      <c r="L197" s="229">
        <v>2021</v>
      </c>
      <c r="M197" s="229" t="s">
        <v>1849</v>
      </c>
      <c r="N197" s="230" t="s">
        <v>2083</v>
      </c>
    </row>
    <row r="198" spans="1:14" x14ac:dyDescent="0.3">
      <c r="A198" s="238">
        <v>196</v>
      </c>
      <c r="B198" s="231" t="s">
        <v>304</v>
      </c>
      <c r="C198" s="232" t="s">
        <v>304</v>
      </c>
      <c r="D198" s="232">
        <v>7.77</v>
      </c>
      <c r="E198" s="332">
        <v>7.64</v>
      </c>
      <c r="F198" s="232">
        <v>7.5</v>
      </c>
      <c r="G198" s="232">
        <v>0.62</v>
      </c>
      <c r="H198" s="232">
        <v>0</v>
      </c>
      <c r="I198" s="232">
        <v>11</v>
      </c>
      <c r="J198" s="232">
        <v>0</v>
      </c>
      <c r="K198" s="231" t="s">
        <v>734</v>
      </c>
      <c r="L198" s="232">
        <v>2026</v>
      </c>
      <c r="M198" s="232" t="s">
        <v>1820</v>
      </c>
      <c r="N198" s="233" t="s">
        <v>2085</v>
      </c>
    </row>
    <row r="199" spans="1:14" x14ac:dyDescent="0.3">
      <c r="A199" s="238">
        <v>197</v>
      </c>
      <c r="B199" s="228" t="s">
        <v>1131</v>
      </c>
      <c r="C199" s="229" t="s">
        <v>1132</v>
      </c>
      <c r="D199" s="229">
        <v>7.71</v>
      </c>
      <c r="E199" s="333">
        <v>7.61</v>
      </c>
      <c r="F199" s="229">
        <v>7.5</v>
      </c>
      <c r="G199" s="229">
        <v>0.45</v>
      </c>
      <c r="H199" s="229">
        <v>0</v>
      </c>
      <c r="I199" s="229">
        <v>8</v>
      </c>
      <c r="J199" s="229">
        <v>1</v>
      </c>
      <c r="K199" s="228" t="s">
        <v>1134</v>
      </c>
      <c r="L199" s="229">
        <v>2020</v>
      </c>
      <c r="M199" s="229" t="s">
        <v>1854</v>
      </c>
      <c r="N199" s="230" t="s">
        <v>2057</v>
      </c>
    </row>
    <row r="200" spans="1:14" x14ac:dyDescent="0.3">
      <c r="A200" s="238">
        <v>198</v>
      </c>
      <c r="B200" s="231" t="s">
        <v>293</v>
      </c>
      <c r="C200" s="232" t="s">
        <v>938</v>
      </c>
      <c r="D200" s="232">
        <v>7.5</v>
      </c>
      <c r="E200" s="334">
        <v>7.4</v>
      </c>
      <c r="F200" s="232">
        <v>7.5</v>
      </c>
      <c r="G200" s="232">
        <v>0.76</v>
      </c>
      <c r="H200" s="232">
        <v>0</v>
      </c>
      <c r="I200" s="232">
        <v>12</v>
      </c>
      <c r="J200" s="232">
        <v>0</v>
      </c>
      <c r="K200" s="231" t="s">
        <v>732</v>
      </c>
      <c r="L200" s="232">
        <v>1993</v>
      </c>
      <c r="M200" s="232" t="s">
        <v>1812</v>
      </c>
      <c r="N200" s="233" t="s">
        <v>2063</v>
      </c>
    </row>
    <row r="201" spans="1:14" x14ac:dyDescent="0.3">
      <c r="A201" s="238">
        <v>199</v>
      </c>
      <c r="B201" s="228" t="s">
        <v>774</v>
      </c>
      <c r="C201" s="229" t="s">
        <v>1797</v>
      </c>
      <c r="D201" s="229">
        <v>7.31</v>
      </c>
      <c r="E201" s="335">
        <v>7.2</v>
      </c>
      <c r="F201" s="229">
        <v>7.25</v>
      </c>
      <c r="G201" s="229">
        <v>0.73</v>
      </c>
      <c r="H201" s="229">
        <v>0</v>
      </c>
      <c r="I201" s="229">
        <v>18</v>
      </c>
      <c r="J201" s="229">
        <v>0</v>
      </c>
      <c r="K201" s="228" t="s">
        <v>1059</v>
      </c>
      <c r="L201" s="229">
        <v>2026</v>
      </c>
      <c r="M201" s="229" t="s">
        <v>1812</v>
      </c>
      <c r="N201" s="230" t="s">
        <v>2030</v>
      </c>
    </row>
    <row r="202" spans="1:14" x14ac:dyDescent="0.3">
      <c r="A202" s="238">
        <v>200</v>
      </c>
      <c r="B202" s="231" t="s">
        <v>378</v>
      </c>
      <c r="C202" s="232" t="s">
        <v>379</v>
      </c>
      <c r="D202" s="232">
        <v>7.29</v>
      </c>
      <c r="E202" s="336">
        <v>7.16</v>
      </c>
      <c r="F202" s="232">
        <v>7</v>
      </c>
      <c r="G202" s="232">
        <v>0.52</v>
      </c>
      <c r="H202" s="232">
        <v>0</v>
      </c>
      <c r="I202" s="232">
        <v>7</v>
      </c>
      <c r="J202" s="232">
        <v>0</v>
      </c>
      <c r="K202" s="231" t="s">
        <v>740</v>
      </c>
      <c r="L202" s="232">
        <v>2021</v>
      </c>
      <c r="M202" s="232" t="s">
        <v>1855</v>
      </c>
      <c r="N202" s="233" t="s">
        <v>2086</v>
      </c>
    </row>
    <row r="203" spans="1:14" x14ac:dyDescent="0.3">
      <c r="A203" s="238">
        <v>201</v>
      </c>
      <c r="B203" s="228" t="s">
        <v>2380</v>
      </c>
      <c r="C203" s="229" t="s">
        <v>2381</v>
      </c>
      <c r="D203" s="229">
        <v>7.17</v>
      </c>
      <c r="E203" s="337">
        <v>7.04</v>
      </c>
      <c r="F203" s="229">
        <v>7</v>
      </c>
      <c r="G203" s="229">
        <v>0.72</v>
      </c>
      <c r="H203" s="229">
        <v>0</v>
      </c>
      <c r="I203" s="229">
        <v>12</v>
      </c>
      <c r="J203" s="229">
        <v>0</v>
      </c>
      <c r="K203" s="228" t="s">
        <v>2385</v>
      </c>
      <c r="L203" s="229">
        <v>2013</v>
      </c>
      <c r="M203" s="229" t="s">
        <v>1817</v>
      </c>
      <c r="N203" s="230" t="s">
        <v>2384</v>
      </c>
    </row>
    <row r="204" spans="1:14" x14ac:dyDescent="0.3">
      <c r="A204" s="238">
        <v>202</v>
      </c>
      <c r="B204" s="231" t="s">
        <v>628</v>
      </c>
      <c r="C204" s="232" t="s">
        <v>629</v>
      </c>
      <c r="D204" s="232">
        <v>7.06</v>
      </c>
      <c r="E204" s="338">
        <v>6.99</v>
      </c>
      <c r="F204" s="232">
        <v>7</v>
      </c>
      <c r="G204" s="232">
        <v>0.44</v>
      </c>
      <c r="H204" s="232">
        <v>0</v>
      </c>
      <c r="I204" s="232">
        <v>10</v>
      </c>
      <c r="J204" s="232">
        <v>1</v>
      </c>
      <c r="K204" s="231" t="s">
        <v>733</v>
      </c>
      <c r="L204" s="232">
        <v>2026</v>
      </c>
      <c r="M204" s="232" t="s">
        <v>1856</v>
      </c>
      <c r="N204" s="233" t="s">
        <v>2077</v>
      </c>
    </row>
    <row r="205" spans="1:14" x14ac:dyDescent="0.3">
      <c r="A205" s="238">
        <v>203</v>
      </c>
      <c r="B205" s="228" t="s">
        <v>301</v>
      </c>
      <c r="C205" s="229" t="s">
        <v>1703</v>
      </c>
      <c r="D205" s="229">
        <v>3.68</v>
      </c>
      <c r="E205" s="339">
        <v>3.37</v>
      </c>
      <c r="F205" s="229">
        <v>3</v>
      </c>
      <c r="G205" s="229">
        <v>1.37</v>
      </c>
      <c r="H205" s="229">
        <v>0</v>
      </c>
      <c r="I205" s="229">
        <v>11</v>
      </c>
      <c r="J205" s="229">
        <v>0</v>
      </c>
      <c r="K205" s="228" t="s">
        <v>731</v>
      </c>
      <c r="L205" s="229">
        <v>2003</v>
      </c>
      <c r="M205" s="229" t="s">
        <v>1813</v>
      </c>
      <c r="N205" s="230" t="s">
        <v>2034</v>
      </c>
    </row>
    <row r="206" spans="1:14" x14ac:dyDescent="0.3">
      <c r="A206" s="238">
        <v>204</v>
      </c>
      <c r="B206" s="231" t="s">
        <v>2494</v>
      </c>
      <c r="C206" s="232" t="s">
        <v>2495</v>
      </c>
      <c r="D206" s="232">
        <v>2.5</v>
      </c>
      <c r="E206" s="339">
        <v>2.39</v>
      </c>
      <c r="F206" s="232">
        <v>2.75</v>
      </c>
      <c r="G206" s="232">
        <v>1.3</v>
      </c>
      <c r="H206" s="232">
        <v>0</v>
      </c>
      <c r="I206" s="232">
        <v>10</v>
      </c>
      <c r="J206" s="232">
        <v>0</v>
      </c>
      <c r="K206" s="231" t="s">
        <v>1046</v>
      </c>
      <c r="L206" s="232">
        <v>2025</v>
      </c>
      <c r="M206" s="232" t="s">
        <v>2500</v>
      </c>
      <c r="N206" s="233" t="s">
        <v>2499</v>
      </c>
    </row>
  </sheetData>
  <sortState xmlns:xlrd2="http://schemas.microsoft.com/office/spreadsheetml/2017/richdata2" ref="B3:N201">
    <sortCondition ref="B3:B201"/>
  </sortState>
  <mergeCells count="1">
    <mergeCell ref="A1:N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8B72A8-E50B-45C1-A614-C9DF615F8B20}">
  <dimension ref="A1:N244"/>
  <sheetViews>
    <sheetView topLeftCell="A42" zoomScale="80" zoomScaleNormal="80" workbookViewId="0">
      <selection activeCell="E10" sqref="E10"/>
    </sheetView>
  </sheetViews>
  <sheetFormatPr defaultColWidth="8.796875" defaultRowHeight="15.6" x14ac:dyDescent="0.3"/>
  <cols>
    <col min="1" max="1" width="3.19921875" bestFit="1" customWidth="1"/>
    <col min="2" max="2" width="26.09765625" bestFit="1" customWidth="1"/>
    <col min="3" max="3" width="74.19921875" bestFit="1" customWidth="1"/>
    <col min="4" max="4" width="6.5" bestFit="1" customWidth="1"/>
    <col min="5" max="5" width="15.09765625" bestFit="1" customWidth="1"/>
    <col min="6" max="6" width="8.19921875" bestFit="1" customWidth="1"/>
    <col min="7" max="7" width="10.8984375" bestFit="1" customWidth="1"/>
    <col min="8" max="8" width="9.5" bestFit="1" customWidth="1"/>
    <col min="9" max="9" width="14.59765625" bestFit="1" customWidth="1"/>
    <col min="10" max="10" width="10.5" bestFit="1" customWidth="1"/>
    <col min="11" max="11" width="58.3984375" bestFit="1" customWidth="1"/>
    <col min="12" max="12" width="11.09765625" bestFit="1" customWidth="1"/>
    <col min="13" max="13" width="8.59765625" bestFit="1" customWidth="1"/>
    <col min="14" max="14" width="14.59765625" bestFit="1" customWidth="1"/>
  </cols>
  <sheetData>
    <row r="1" spans="1:14" ht="17.399999999999999" x14ac:dyDescent="0.35">
      <c r="A1" s="399" t="s">
        <v>1268</v>
      </c>
      <c r="B1" s="399"/>
      <c r="C1" s="399"/>
      <c r="D1" s="399"/>
      <c r="E1" s="399"/>
      <c r="F1" s="399"/>
      <c r="G1" s="399"/>
      <c r="H1" s="399"/>
      <c r="I1" s="399"/>
      <c r="J1" s="399"/>
      <c r="K1" s="399"/>
      <c r="L1" s="399"/>
      <c r="M1" s="399"/>
      <c r="N1" s="399"/>
    </row>
    <row r="2" spans="1:14" x14ac:dyDescent="0.3">
      <c r="A2" s="227" t="s">
        <v>318</v>
      </c>
      <c r="B2" s="227" t="s">
        <v>285</v>
      </c>
      <c r="C2" s="227" t="s">
        <v>475</v>
      </c>
      <c r="D2" s="227" t="s">
        <v>287</v>
      </c>
      <c r="E2" s="227" t="s">
        <v>1916</v>
      </c>
      <c r="F2" s="227" t="s">
        <v>474</v>
      </c>
      <c r="G2" s="227" t="s">
        <v>288</v>
      </c>
      <c r="H2" s="227" t="s">
        <v>289</v>
      </c>
      <c r="I2" s="227" t="s">
        <v>290</v>
      </c>
      <c r="J2" s="227" t="s">
        <v>291</v>
      </c>
      <c r="K2" s="227" t="s">
        <v>3181</v>
      </c>
      <c r="L2" s="227" t="s">
        <v>1857</v>
      </c>
      <c r="M2" s="227" t="s">
        <v>1858</v>
      </c>
      <c r="N2" s="227" t="s">
        <v>2022</v>
      </c>
    </row>
    <row r="3" spans="1:14" x14ac:dyDescent="0.3">
      <c r="A3" s="234">
        <v>1</v>
      </c>
      <c r="B3" s="228" t="s">
        <v>298</v>
      </c>
      <c r="C3" s="229">
        <v>5</v>
      </c>
      <c r="D3" s="229">
        <v>9.35</v>
      </c>
      <c r="E3" s="340">
        <v>9.58</v>
      </c>
      <c r="F3" s="229">
        <v>9.35</v>
      </c>
      <c r="G3" s="229">
        <v>0.76</v>
      </c>
      <c r="H3" s="229">
        <v>16</v>
      </c>
      <c r="I3" s="229">
        <v>52</v>
      </c>
      <c r="J3" s="229">
        <v>5</v>
      </c>
      <c r="K3" s="228" t="s">
        <v>3010</v>
      </c>
      <c r="L3" s="229" t="s">
        <v>2877</v>
      </c>
      <c r="M3" s="229" t="s">
        <v>1823</v>
      </c>
      <c r="N3" s="230" t="s">
        <v>2092</v>
      </c>
    </row>
    <row r="4" spans="1:14" x14ac:dyDescent="0.3">
      <c r="A4" s="236">
        <v>2</v>
      </c>
      <c r="B4" s="231" t="s">
        <v>2536</v>
      </c>
      <c r="C4" s="232">
        <v>2</v>
      </c>
      <c r="D4" s="232">
        <v>9.36</v>
      </c>
      <c r="E4" s="244">
        <v>9.5299999999999994</v>
      </c>
      <c r="F4" s="232">
        <v>9.5</v>
      </c>
      <c r="G4" s="232">
        <v>0.45</v>
      </c>
      <c r="H4" s="232">
        <v>2</v>
      </c>
      <c r="I4" s="232">
        <v>7</v>
      </c>
      <c r="J4" s="232">
        <v>0</v>
      </c>
      <c r="K4" s="231" t="s">
        <v>1044</v>
      </c>
      <c r="L4" s="232" t="s">
        <v>2552</v>
      </c>
      <c r="M4" s="232" t="s">
        <v>1813</v>
      </c>
      <c r="N4" s="233" t="s">
        <v>2092</v>
      </c>
    </row>
    <row r="5" spans="1:14" x14ac:dyDescent="0.3">
      <c r="A5" s="237">
        <v>3</v>
      </c>
      <c r="B5" s="228" t="s">
        <v>292</v>
      </c>
      <c r="C5" s="229">
        <v>7</v>
      </c>
      <c r="D5" s="229">
        <v>9.17</v>
      </c>
      <c r="E5" s="362">
        <v>9.4499999999999993</v>
      </c>
      <c r="F5" s="229">
        <v>9.4600000000000009</v>
      </c>
      <c r="G5" s="229">
        <v>0.89</v>
      </c>
      <c r="H5" s="229">
        <v>27</v>
      </c>
      <c r="I5" s="229">
        <v>72</v>
      </c>
      <c r="J5" s="229">
        <v>16</v>
      </c>
      <c r="K5" s="228" t="s">
        <v>3009</v>
      </c>
      <c r="L5" s="229" t="s">
        <v>3154</v>
      </c>
      <c r="M5" s="229" t="s">
        <v>3100</v>
      </c>
      <c r="N5" s="230" t="s">
        <v>2092</v>
      </c>
    </row>
    <row r="6" spans="1:14" x14ac:dyDescent="0.3">
      <c r="A6" s="238">
        <v>4</v>
      </c>
      <c r="B6" s="231" t="s">
        <v>297</v>
      </c>
      <c r="C6" s="232">
        <v>4</v>
      </c>
      <c r="D6" s="232">
        <v>9.1</v>
      </c>
      <c r="E6" s="255">
        <v>9.1</v>
      </c>
      <c r="F6" s="232">
        <v>8.94</v>
      </c>
      <c r="G6" s="232">
        <v>0.69</v>
      </c>
      <c r="H6" s="232">
        <v>5</v>
      </c>
      <c r="I6" s="232">
        <v>23</v>
      </c>
      <c r="J6" s="232">
        <v>0</v>
      </c>
      <c r="K6" s="231" t="s">
        <v>2326</v>
      </c>
      <c r="L6" s="232" t="s">
        <v>1859</v>
      </c>
      <c r="M6" s="232" t="s">
        <v>1835</v>
      </c>
      <c r="N6" s="233" t="s">
        <v>2092</v>
      </c>
    </row>
    <row r="7" spans="1:14" x14ac:dyDescent="0.3">
      <c r="A7" s="238">
        <v>5</v>
      </c>
      <c r="B7" s="228" t="s">
        <v>296</v>
      </c>
      <c r="C7" s="229">
        <v>2</v>
      </c>
      <c r="D7" s="229">
        <v>8.99</v>
      </c>
      <c r="E7" s="257">
        <v>9.0399999999999991</v>
      </c>
      <c r="F7" s="229">
        <v>8.75</v>
      </c>
      <c r="G7" s="229">
        <v>0.9</v>
      </c>
      <c r="H7" s="229">
        <v>5</v>
      </c>
      <c r="I7" s="229">
        <v>18</v>
      </c>
      <c r="J7" s="229">
        <v>0</v>
      </c>
      <c r="K7" s="228" t="s">
        <v>3011</v>
      </c>
      <c r="L7" s="229" t="s">
        <v>2011</v>
      </c>
      <c r="M7" s="229" t="s">
        <v>1848</v>
      </c>
      <c r="N7" s="230" t="s">
        <v>2092</v>
      </c>
    </row>
    <row r="8" spans="1:14" x14ac:dyDescent="0.3">
      <c r="A8" s="238">
        <v>6</v>
      </c>
      <c r="B8" s="231" t="s">
        <v>441</v>
      </c>
      <c r="C8" s="232">
        <v>4</v>
      </c>
      <c r="D8" s="232">
        <v>8.91</v>
      </c>
      <c r="E8" s="261">
        <v>8.9700000000000006</v>
      </c>
      <c r="F8" s="232">
        <v>8.75</v>
      </c>
      <c r="G8" s="232">
        <v>0.81</v>
      </c>
      <c r="H8" s="232">
        <v>7</v>
      </c>
      <c r="I8" s="232">
        <v>37</v>
      </c>
      <c r="J8" s="232">
        <v>0</v>
      </c>
      <c r="K8" s="231" t="s">
        <v>3012</v>
      </c>
      <c r="L8" s="232" t="s">
        <v>2415</v>
      </c>
      <c r="M8" s="232" t="s">
        <v>1827</v>
      </c>
      <c r="N8" s="233" t="s">
        <v>2092</v>
      </c>
    </row>
    <row r="9" spans="1:14" x14ac:dyDescent="0.3">
      <c r="A9" s="238">
        <v>7</v>
      </c>
      <c r="B9" s="228" t="s">
        <v>312</v>
      </c>
      <c r="C9" s="229">
        <v>2</v>
      </c>
      <c r="D9" s="229">
        <v>8.8699999999999992</v>
      </c>
      <c r="E9" s="266">
        <v>8.91</v>
      </c>
      <c r="F9" s="229">
        <v>9</v>
      </c>
      <c r="G9" s="229">
        <v>0.73</v>
      </c>
      <c r="H9" s="229">
        <v>4</v>
      </c>
      <c r="I9" s="229">
        <v>25</v>
      </c>
      <c r="J9" s="229">
        <v>0</v>
      </c>
      <c r="K9" s="228" t="s">
        <v>1760</v>
      </c>
      <c r="L9" s="229" t="s">
        <v>1860</v>
      </c>
      <c r="M9" s="229" t="s">
        <v>1826</v>
      </c>
      <c r="N9" s="230" t="s">
        <v>2092</v>
      </c>
    </row>
    <row r="10" spans="1:14" x14ac:dyDescent="0.3">
      <c r="A10" s="238">
        <v>8</v>
      </c>
      <c r="B10" s="231" t="s">
        <v>307</v>
      </c>
      <c r="C10" s="232">
        <v>3</v>
      </c>
      <c r="D10" s="232">
        <v>8.86</v>
      </c>
      <c r="E10" s="266">
        <v>8.9</v>
      </c>
      <c r="F10" s="232">
        <v>8.67</v>
      </c>
      <c r="G10" s="232">
        <v>0.9</v>
      </c>
      <c r="H10" s="232">
        <v>5</v>
      </c>
      <c r="I10" s="232">
        <v>23</v>
      </c>
      <c r="J10" s="232">
        <v>0</v>
      </c>
      <c r="K10" s="231" t="s">
        <v>3013</v>
      </c>
      <c r="L10" s="232" t="s">
        <v>1861</v>
      </c>
      <c r="M10" s="232" t="s">
        <v>1835</v>
      </c>
      <c r="N10" s="233" t="s">
        <v>2092</v>
      </c>
    </row>
    <row r="11" spans="1:14" x14ac:dyDescent="0.3">
      <c r="A11" s="238">
        <v>9</v>
      </c>
      <c r="B11" s="228" t="s">
        <v>1114</v>
      </c>
      <c r="C11" s="229">
        <v>2</v>
      </c>
      <c r="D11" s="229">
        <v>8.7200000000000006</v>
      </c>
      <c r="E11" s="266">
        <v>8.9</v>
      </c>
      <c r="F11" s="229">
        <v>8.5</v>
      </c>
      <c r="G11" s="229">
        <v>0.94</v>
      </c>
      <c r="H11" s="229">
        <v>10</v>
      </c>
      <c r="I11" s="229">
        <v>54</v>
      </c>
      <c r="J11" s="229">
        <v>2</v>
      </c>
      <c r="K11" s="228" t="s">
        <v>1482</v>
      </c>
      <c r="L11" s="229" t="s">
        <v>2007</v>
      </c>
      <c r="M11" s="229" t="s">
        <v>2008</v>
      </c>
      <c r="N11" s="230" t="s">
        <v>2092</v>
      </c>
    </row>
    <row r="12" spans="1:14" x14ac:dyDescent="0.3">
      <c r="A12" s="238">
        <v>10</v>
      </c>
      <c r="B12" s="231" t="s">
        <v>2796</v>
      </c>
      <c r="C12" s="232">
        <v>3</v>
      </c>
      <c r="D12" s="232">
        <v>8.83</v>
      </c>
      <c r="E12" s="272">
        <v>8.84</v>
      </c>
      <c r="F12" s="232">
        <v>8.67</v>
      </c>
      <c r="G12" s="232">
        <v>0.76</v>
      </c>
      <c r="H12" s="232">
        <v>9</v>
      </c>
      <c r="I12" s="232">
        <v>59</v>
      </c>
      <c r="J12" s="232">
        <v>13</v>
      </c>
      <c r="K12" s="231" t="s">
        <v>2802</v>
      </c>
      <c r="L12" s="232" t="s">
        <v>3102</v>
      </c>
      <c r="M12" s="232" t="s">
        <v>1828</v>
      </c>
      <c r="N12" s="233" t="s">
        <v>2092</v>
      </c>
    </row>
    <row r="13" spans="1:14" x14ac:dyDescent="0.3">
      <c r="A13" s="238">
        <v>11</v>
      </c>
      <c r="B13" s="228" t="s">
        <v>2950</v>
      </c>
      <c r="C13" s="229">
        <v>2</v>
      </c>
      <c r="D13" s="229">
        <v>8.85</v>
      </c>
      <c r="E13" s="272">
        <v>8.84</v>
      </c>
      <c r="F13" s="229">
        <v>8.75</v>
      </c>
      <c r="G13" s="229">
        <v>0.86</v>
      </c>
      <c r="H13" s="229">
        <v>6</v>
      </c>
      <c r="I13" s="229">
        <v>23</v>
      </c>
      <c r="J13" s="229">
        <v>0</v>
      </c>
      <c r="K13" s="228" t="s">
        <v>731</v>
      </c>
      <c r="L13" s="229" t="s">
        <v>3359</v>
      </c>
      <c r="M13" s="229" t="s">
        <v>1839</v>
      </c>
      <c r="N13" s="230" t="s">
        <v>2092</v>
      </c>
    </row>
    <row r="14" spans="1:14" x14ac:dyDescent="0.3">
      <c r="A14" s="238">
        <v>12</v>
      </c>
      <c r="B14" s="231" t="s">
        <v>293</v>
      </c>
      <c r="C14" s="232">
        <v>9</v>
      </c>
      <c r="D14" s="232">
        <v>8.6999999999999993</v>
      </c>
      <c r="E14" s="272">
        <v>8.83</v>
      </c>
      <c r="F14" s="232">
        <v>8.7799999999999994</v>
      </c>
      <c r="G14" s="232">
        <v>0.86</v>
      </c>
      <c r="H14" s="232">
        <v>23</v>
      </c>
      <c r="I14" s="232">
        <v>101</v>
      </c>
      <c r="J14" s="232">
        <v>4</v>
      </c>
      <c r="K14" s="231" t="s">
        <v>901</v>
      </c>
      <c r="L14" s="232" t="s">
        <v>1864</v>
      </c>
      <c r="M14" s="232" t="s">
        <v>1820</v>
      </c>
      <c r="N14" s="233" t="s">
        <v>2092</v>
      </c>
    </row>
    <row r="15" spans="1:14" x14ac:dyDescent="0.3">
      <c r="A15" s="238">
        <v>13</v>
      </c>
      <c r="B15" s="228" t="s">
        <v>1531</v>
      </c>
      <c r="C15" s="229">
        <v>2</v>
      </c>
      <c r="D15" s="229">
        <v>8.91</v>
      </c>
      <c r="E15" s="273">
        <v>8.82</v>
      </c>
      <c r="F15" s="229">
        <v>8.75</v>
      </c>
      <c r="G15" s="229">
        <v>0.8</v>
      </c>
      <c r="H15" s="229">
        <v>4</v>
      </c>
      <c r="I15" s="229">
        <v>17</v>
      </c>
      <c r="J15" s="229">
        <v>0</v>
      </c>
      <c r="K15" s="228" t="s">
        <v>1533</v>
      </c>
      <c r="L15" s="229" t="s">
        <v>2263</v>
      </c>
      <c r="M15" s="229" t="s">
        <v>1835</v>
      </c>
      <c r="N15" s="230" t="s">
        <v>2092</v>
      </c>
    </row>
    <row r="16" spans="1:14" x14ac:dyDescent="0.3">
      <c r="A16" s="238">
        <v>14</v>
      </c>
      <c r="B16" s="231" t="s">
        <v>311</v>
      </c>
      <c r="C16" s="232">
        <v>3</v>
      </c>
      <c r="D16" s="232">
        <v>8.77</v>
      </c>
      <c r="E16" s="275">
        <v>8.7899999999999991</v>
      </c>
      <c r="F16" s="232">
        <v>8.67</v>
      </c>
      <c r="G16" s="232">
        <v>0.81</v>
      </c>
      <c r="H16" s="232">
        <v>6</v>
      </c>
      <c r="I16" s="232">
        <v>34</v>
      </c>
      <c r="J16" s="232">
        <v>1</v>
      </c>
      <c r="K16" s="231" t="s">
        <v>1571</v>
      </c>
      <c r="L16" s="232" t="s">
        <v>1862</v>
      </c>
      <c r="M16" s="232" t="s">
        <v>1839</v>
      </c>
      <c r="N16" s="233" t="s">
        <v>2092</v>
      </c>
    </row>
    <row r="17" spans="1:14" x14ac:dyDescent="0.3">
      <c r="A17" s="238">
        <v>15</v>
      </c>
      <c r="B17" s="228" t="s">
        <v>2636</v>
      </c>
      <c r="C17" s="229">
        <v>2</v>
      </c>
      <c r="D17" s="229">
        <v>8.85</v>
      </c>
      <c r="E17" s="277">
        <v>8.77</v>
      </c>
      <c r="F17" s="229">
        <v>8.75</v>
      </c>
      <c r="G17" s="229">
        <v>0.69</v>
      </c>
      <c r="H17" s="229">
        <v>2</v>
      </c>
      <c r="I17" s="229">
        <v>18</v>
      </c>
      <c r="J17" s="229">
        <v>0</v>
      </c>
      <c r="K17" s="228" t="s">
        <v>2640</v>
      </c>
      <c r="L17" s="229" t="s">
        <v>3388</v>
      </c>
      <c r="M17" s="229" t="s">
        <v>1825</v>
      </c>
      <c r="N17" s="230" t="s">
        <v>2092</v>
      </c>
    </row>
    <row r="18" spans="1:14" x14ac:dyDescent="0.3">
      <c r="A18" s="238">
        <v>16</v>
      </c>
      <c r="B18" s="231" t="s">
        <v>1618</v>
      </c>
      <c r="C18" s="232">
        <v>2</v>
      </c>
      <c r="D18" s="232">
        <v>8.81</v>
      </c>
      <c r="E18" s="277">
        <v>8.77</v>
      </c>
      <c r="F18" s="232">
        <v>8.5</v>
      </c>
      <c r="G18" s="232">
        <v>0.81</v>
      </c>
      <c r="H18" s="232">
        <v>3</v>
      </c>
      <c r="I18" s="232">
        <v>16</v>
      </c>
      <c r="J18" s="232">
        <v>0</v>
      </c>
      <c r="K18" s="231" t="s">
        <v>1286</v>
      </c>
      <c r="L18" s="232" t="s">
        <v>2023</v>
      </c>
      <c r="M18" s="232" t="s">
        <v>1812</v>
      </c>
      <c r="N18" s="233" t="s">
        <v>2092</v>
      </c>
    </row>
    <row r="19" spans="1:14" x14ac:dyDescent="0.3">
      <c r="A19" s="238">
        <v>17</v>
      </c>
      <c r="B19" s="228" t="s">
        <v>2236</v>
      </c>
      <c r="C19" s="229">
        <v>3</v>
      </c>
      <c r="D19" s="229">
        <v>8.66</v>
      </c>
      <c r="E19" s="341">
        <v>8.69</v>
      </c>
      <c r="F19" s="229">
        <v>8.42</v>
      </c>
      <c r="G19" s="229">
        <v>0.77</v>
      </c>
      <c r="H19" s="229">
        <v>5</v>
      </c>
      <c r="I19" s="229">
        <v>44</v>
      </c>
      <c r="J19" s="229">
        <v>2</v>
      </c>
      <c r="K19" s="228" t="s">
        <v>2400</v>
      </c>
      <c r="L19" s="229" t="s">
        <v>2870</v>
      </c>
      <c r="M19" s="229" t="s">
        <v>1825</v>
      </c>
      <c r="N19" s="230" t="s">
        <v>2092</v>
      </c>
    </row>
    <row r="20" spans="1:14" x14ac:dyDescent="0.3">
      <c r="A20" s="238">
        <v>18</v>
      </c>
      <c r="B20" s="231" t="s">
        <v>1666</v>
      </c>
      <c r="C20" s="232">
        <v>2</v>
      </c>
      <c r="D20" s="232">
        <v>8.7100000000000009</v>
      </c>
      <c r="E20" s="284">
        <v>8.68</v>
      </c>
      <c r="F20" s="232">
        <v>8.5</v>
      </c>
      <c r="G20" s="232">
        <v>0.74</v>
      </c>
      <c r="H20" s="232">
        <v>3</v>
      </c>
      <c r="I20" s="232">
        <v>22</v>
      </c>
      <c r="J20" s="232">
        <v>0</v>
      </c>
      <c r="K20" s="231" t="s">
        <v>3014</v>
      </c>
      <c r="L20" s="232" t="s">
        <v>2694</v>
      </c>
      <c r="M20" s="232" t="s">
        <v>1834</v>
      </c>
      <c r="N20" s="233" t="s">
        <v>2092</v>
      </c>
    </row>
    <row r="21" spans="1:14" x14ac:dyDescent="0.3">
      <c r="A21" s="238">
        <v>19</v>
      </c>
      <c r="B21" s="228" t="s">
        <v>315</v>
      </c>
      <c r="C21" s="229">
        <v>2</v>
      </c>
      <c r="D21" s="229">
        <v>8.67</v>
      </c>
      <c r="E21" s="285">
        <v>8.67</v>
      </c>
      <c r="F21" s="229">
        <v>8.75</v>
      </c>
      <c r="G21" s="229">
        <v>0.97</v>
      </c>
      <c r="H21" s="229">
        <v>4</v>
      </c>
      <c r="I21" s="229">
        <v>26</v>
      </c>
      <c r="J21" s="229">
        <v>2</v>
      </c>
      <c r="K21" s="228" t="s">
        <v>725</v>
      </c>
      <c r="L21" s="229" t="s">
        <v>2313</v>
      </c>
      <c r="M21" s="229" t="s">
        <v>1846</v>
      </c>
      <c r="N21" s="230" t="s">
        <v>2092</v>
      </c>
    </row>
    <row r="22" spans="1:14" x14ac:dyDescent="0.3">
      <c r="A22" s="238">
        <v>20</v>
      </c>
      <c r="B22" s="231" t="s">
        <v>1369</v>
      </c>
      <c r="C22" s="232">
        <v>2</v>
      </c>
      <c r="D22" s="232">
        <v>8.77</v>
      </c>
      <c r="E22" s="285">
        <v>8.67</v>
      </c>
      <c r="F22" s="232">
        <v>8.5</v>
      </c>
      <c r="G22" s="232">
        <v>0.62</v>
      </c>
      <c r="H22" s="232">
        <v>2</v>
      </c>
      <c r="I22" s="232">
        <v>17</v>
      </c>
      <c r="J22" s="232">
        <v>1</v>
      </c>
      <c r="K22" s="231" t="s">
        <v>3015</v>
      </c>
      <c r="L22" s="232" t="s">
        <v>2161</v>
      </c>
      <c r="M22" s="232" t="s">
        <v>1863</v>
      </c>
      <c r="N22" s="233" t="s">
        <v>2092</v>
      </c>
    </row>
    <row r="23" spans="1:14" x14ac:dyDescent="0.3">
      <c r="A23" s="238">
        <v>21</v>
      </c>
      <c r="B23" s="228" t="s">
        <v>1407</v>
      </c>
      <c r="C23" s="229">
        <v>3</v>
      </c>
      <c r="D23" s="229">
        <v>8.68</v>
      </c>
      <c r="E23" s="286">
        <v>8.66</v>
      </c>
      <c r="F23" s="229">
        <v>8.42</v>
      </c>
      <c r="G23" s="229">
        <v>0.9</v>
      </c>
      <c r="H23" s="229">
        <v>6</v>
      </c>
      <c r="I23" s="229">
        <v>33</v>
      </c>
      <c r="J23" s="229">
        <v>0</v>
      </c>
      <c r="K23" s="228" t="s">
        <v>3488</v>
      </c>
      <c r="L23" s="229" t="s">
        <v>2558</v>
      </c>
      <c r="M23" s="229" t="s">
        <v>1842</v>
      </c>
      <c r="N23" s="230" t="s">
        <v>2092</v>
      </c>
    </row>
    <row r="24" spans="1:14" x14ac:dyDescent="0.3">
      <c r="A24" s="238">
        <v>22</v>
      </c>
      <c r="B24" s="231" t="s">
        <v>795</v>
      </c>
      <c r="C24" s="232">
        <v>2</v>
      </c>
      <c r="D24" s="232">
        <v>8.64</v>
      </c>
      <c r="E24" s="289">
        <v>8.6300000000000008</v>
      </c>
      <c r="F24" s="232">
        <v>8.5</v>
      </c>
      <c r="G24" s="232">
        <v>0.68</v>
      </c>
      <c r="H24" s="232">
        <v>3</v>
      </c>
      <c r="I24" s="232">
        <v>29</v>
      </c>
      <c r="J24" s="232">
        <v>0</v>
      </c>
      <c r="K24" s="231" t="s">
        <v>796</v>
      </c>
      <c r="L24" s="232" t="s">
        <v>2195</v>
      </c>
      <c r="M24" s="232" t="s">
        <v>1843</v>
      </c>
      <c r="N24" s="233" t="s">
        <v>2092</v>
      </c>
    </row>
    <row r="25" spans="1:14" x14ac:dyDescent="0.3">
      <c r="A25" s="238">
        <v>23</v>
      </c>
      <c r="B25" s="228" t="s">
        <v>1450</v>
      </c>
      <c r="C25" s="229">
        <v>2</v>
      </c>
      <c r="D25" s="229">
        <v>8.6300000000000008</v>
      </c>
      <c r="E25" s="342">
        <v>8.59</v>
      </c>
      <c r="F25" s="229">
        <v>8.5</v>
      </c>
      <c r="G25" s="229">
        <v>1.05</v>
      </c>
      <c r="H25" s="229">
        <v>4</v>
      </c>
      <c r="I25" s="229">
        <v>22</v>
      </c>
      <c r="J25" s="229">
        <v>2</v>
      </c>
      <c r="K25" s="228" t="s">
        <v>3016</v>
      </c>
      <c r="L25" s="229" t="s">
        <v>1865</v>
      </c>
      <c r="M25" s="229" t="s">
        <v>1852</v>
      </c>
      <c r="N25" s="230" t="s">
        <v>2092</v>
      </c>
    </row>
    <row r="26" spans="1:14" x14ac:dyDescent="0.3">
      <c r="A26" s="238">
        <v>24</v>
      </c>
      <c r="B26" s="231" t="s">
        <v>303</v>
      </c>
      <c r="C26" s="232">
        <v>5</v>
      </c>
      <c r="D26" s="232">
        <v>8.58</v>
      </c>
      <c r="E26" s="295">
        <v>8.56</v>
      </c>
      <c r="F26" s="232">
        <v>8.4</v>
      </c>
      <c r="G26" s="232">
        <v>0.9</v>
      </c>
      <c r="H26" s="232">
        <v>11</v>
      </c>
      <c r="I26" s="232">
        <v>66</v>
      </c>
      <c r="J26" s="232">
        <v>4</v>
      </c>
      <c r="K26" s="231" t="s">
        <v>3017</v>
      </c>
      <c r="L26" s="232" t="s">
        <v>1869</v>
      </c>
      <c r="M26" s="232" t="s">
        <v>1838</v>
      </c>
      <c r="N26" s="233" t="s">
        <v>2092</v>
      </c>
    </row>
    <row r="27" spans="1:14" x14ac:dyDescent="0.3">
      <c r="A27" s="238">
        <v>25</v>
      </c>
      <c r="B27" s="228" t="s">
        <v>677</v>
      </c>
      <c r="C27" s="229">
        <v>4</v>
      </c>
      <c r="D27" s="229">
        <v>8.48</v>
      </c>
      <c r="E27" s="302">
        <v>8.4700000000000006</v>
      </c>
      <c r="F27" s="229">
        <v>8.1300000000000008</v>
      </c>
      <c r="G27" s="229">
        <v>0.91</v>
      </c>
      <c r="H27" s="229">
        <v>9</v>
      </c>
      <c r="I27" s="229">
        <v>63</v>
      </c>
      <c r="J27" s="229">
        <v>4</v>
      </c>
      <c r="K27" s="228" t="s">
        <v>3018</v>
      </c>
      <c r="L27" s="229" t="s">
        <v>2532</v>
      </c>
      <c r="M27" s="229" t="s">
        <v>1827</v>
      </c>
      <c r="N27" s="230" t="s">
        <v>2092</v>
      </c>
    </row>
    <row r="28" spans="1:14" x14ac:dyDescent="0.3">
      <c r="A28" s="238">
        <v>26</v>
      </c>
      <c r="B28" s="231" t="s">
        <v>305</v>
      </c>
      <c r="C28" s="232">
        <v>2</v>
      </c>
      <c r="D28" s="232">
        <v>8.5399999999999991</v>
      </c>
      <c r="E28" s="302">
        <v>8.4700000000000006</v>
      </c>
      <c r="F28" s="232">
        <v>8.5</v>
      </c>
      <c r="G28" s="232">
        <v>0.78</v>
      </c>
      <c r="H28" s="232">
        <v>3</v>
      </c>
      <c r="I28" s="232">
        <v>20</v>
      </c>
      <c r="J28" s="232">
        <v>0</v>
      </c>
      <c r="K28" s="231" t="s">
        <v>3019</v>
      </c>
      <c r="L28" s="232" t="s">
        <v>1866</v>
      </c>
      <c r="M28" s="232" t="s">
        <v>1825</v>
      </c>
      <c r="N28" s="233" t="s">
        <v>2092</v>
      </c>
    </row>
    <row r="29" spans="1:14" x14ac:dyDescent="0.3">
      <c r="A29" s="238">
        <v>27</v>
      </c>
      <c r="B29" s="228" t="s">
        <v>300</v>
      </c>
      <c r="C29" s="229">
        <v>13</v>
      </c>
      <c r="D29" s="229">
        <v>8.5</v>
      </c>
      <c r="E29" s="303">
        <v>8.4600000000000009</v>
      </c>
      <c r="F29" s="229">
        <v>8.4</v>
      </c>
      <c r="G29" s="229">
        <v>0.7</v>
      </c>
      <c r="H29" s="229">
        <v>9</v>
      </c>
      <c r="I29" s="229">
        <v>101</v>
      </c>
      <c r="J29" s="229">
        <v>6</v>
      </c>
      <c r="K29" s="228" t="s">
        <v>3415</v>
      </c>
      <c r="L29" s="229" t="s">
        <v>3416</v>
      </c>
      <c r="M29" s="229" t="s">
        <v>1824</v>
      </c>
      <c r="N29" s="230" t="s">
        <v>2092</v>
      </c>
    </row>
    <row r="30" spans="1:14" x14ac:dyDescent="0.3">
      <c r="A30" s="238">
        <v>28</v>
      </c>
      <c r="B30" s="231" t="s">
        <v>1087</v>
      </c>
      <c r="C30" s="232">
        <v>2</v>
      </c>
      <c r="D30" s="232">
        <v>8.52</v>
      </c>
      <c r="E30" s="304">
        <v>8.4499999999999993</v>
      </c>
      <c r="F30" s="232">
        <v>8.25</v>
      </c>
      <c r="G30" s="232">
        <v>0.96</v>
      </c>
      <c r="H30" s="232">
        <v>6</v>
      </c>
      <c r="I30" s="232">
        <v>41</v>
      </c>
      <c r="J30" s="232">
        <v>2</v>
      </c>
      <c r="K30" s="231" t="s">
        <v>1668</v>
      </c>
      <c r="L30" s="232" t="s">
        <v>1867</v>
      </c>
      <c r="M30" s="232" t="s">
        <v>1868</v>
      </c>
      <c r="N30" s="233" t="s">
        <v>2092</v>
      </c>
    </row>
    <row r="31" spans="1:14" x14ac:dyDescent="0.3">
      <c r="A31" s="238">
        <v>29</v>
      </c>
      <c r="B31" s="228" t="s">
        <v>304</v>
      </c>
      <c r="C31" s="229">
        <v>2</v>
      </c>
      <c r="D31" s="229">
        <v>8.39</v>
      </c>
      <c r="E31" s="309">
        <v>8.3699999999999992</v>
      </c>
      <c r="F31" s="229">
        <v>8.25</v>
      </c>
      <c r="G31" s="229">
        <v>0.72</v>
      </c>
      <c r="H31" s="229">
        <v>2</v>
      </c>
      <c r="I31" s="229">
        <v>20</v>
      </c>
      <c r="J31" s="229">
        <v>0</v>
      </c>
      <c r="K31" s="228" t="s">
        <v>734</v>
      </c>
      <c r="L31" s="229" t="s">
        <v>1870</v>
      </c>
      <c r="M31" s="229" t="s">
        <v>1811</v>
      </c>
      <c r="N31" s="230" t="s">
        <v>2092</v>
      </c>
    </row>
    <row r="32" spans="1:14" x14ac:dyDescent="0.3">
      <c r="A32" s="238">
        <v>30</v>
      </c>
      <c r="B32" s="231" t="s">
        <v>774</v>
      </c>
      <c r="C32" s="232">
        <v>3</v>
      </c>
      <c r="D32" s="232">
        <v>8.2899999999999991</v>
      </c>
      <c r="E32" s="317">
        <v>8.1999999999999993</v>
      </c>
      <c r="F32" s="232">
        <v>8.25</v>
      </c>
      <c r="G32" s="232">
        <v>0.72</v>
      </c>
      <c r="H32" s="232">
        <v>4</v>
      </c>
      <c r="I32" s="232">
        <v>52</v>
      </c>
      <c r="J32" s="232">
        <v>8</v>
      </c>
      <c r="K32" s="231" t="s">
        <v>3020</v>
      </c>
      <c r="L32" s="232" t="s">
        <v>2743</v>
      </c>
      <c r="M32" s="232" t="s">
        <v>1845</v>
      </c>
      <c r="N32" s="233" t="s">
        <v>2092</v>
      </c>
    </row>
    <row r="33" spans="1:14" x14ac:dyDescent="0.3">
      <c r="A33" s="238">
        <v>31</v>
      </c>
      <c r="B33" s="228" t="s">
        <v>301</v>
      </c>
      <c r="C33" s="229">
        <v>6</v>
      </c>
      <c r="D33" s="229">
        <v>8.0399999999999991</v>
      </c>
      <c r="E33" s="343">
        <v>8.0500000000000007</v>
      </c>
      <c r="F33" s="229">
        <v>7.88</v>
      </c>
      <c r="G33" s="229">
        <v>1.02</v>
      </c>
      <c r="H33" s="229">
        <v>13</v>
      </c>
      <c r="I33" s="229">
        <v>58</v>
      </c>
      <c r="J33" s="229">
        <v>0</v>
      </c>
      <c r="K33" s="228" t="s">
        <v>3021</v>
      </c>
      <c r="L33" s="229" t="s">
        <v>2196</v>
      </c>
      <c r="M33" s="229" t="s">
        <v>1827</v>
      </c>
      <c r="N33" s="230" t="s">
        <v>2092</v>
      </c>
    </row>
    <row r="35" spans="1:14" ht="17.399999999999999" x14ac:dyDescent="0.35">
      <c r="A35" s="399" t="s">
        <v>2642</v>
      </c>
      <c r="B35" s="399"/>
      <c r="C35" s="399"/>
      <c r="D35" s="399"/>
      <c r="E35" s="399"/>
    </row>
    <row r="36" spans="1:14" x14ac:dyDescent="0.3">
      <c r="A36" s="227" t="s">
        <v>318</v>
      </c>
      <c r="B36" s="227" t="s">
        <v>285</v>
      </c>
      <c r="C36" s="227" t="s">
        <v>286</v>
      </c>
      <c r="D36" s="227" t="s">
        <v>287</v>
      </c>
      <c r="E36" s="227" t="s">
        <v>959</v>
      </c>
    </row>
    <row r="37" spans="1:14" x14ac:dyDescent="0.3">
      <c r="A37" s="234">
        <v>1</v>
      </c>
      <c r="B37" s="228" t="s">
        <v>292</v>
      </c>
      <c r="C37" s="228" t="s">
        <v>7</v>
      </c>
      <c r="D37" s="229">
        <v>10.11</v>
      </c>
      <c r="E37" s="235">
        <v>10.99</v>
      </c>
    </row>
    <row r="38" spans="1:14" x14ac:dyDescent="0.3">
      <c r="A38" s="236">
        <v>2</v>
      </c>
      <c r="B38" s="231" t="s">
        <v>953</v>
      </c>
      <c r="C38" s="231" t="s">
        <v>951</v>
      </c>
      <c r="D38" s="232">
        <v>10.5</v>
      </c>
      <c r="E38" s="235">
        <v>10.85</v>
      </c>
    </row>
    <row r="39" spans="1:14" x14ac:dyDescent="0.3">
      <c r="A39" s="237">
        <v>3</v>
      </c>
      <c r="B39" s="228" t="s">
        <v>298</v>
      </c>
      <c r="C39" s="228" t="s">
        <v>983</v>
      </c>
      <c r="D39" s="229">
        <v>10</v>
      </c>
      <c r="E39" s="235">
        <v>10.39</v>
      </c>
    </row>
    <row r="40" spans="1:14" x14ac:dyDescent="0.3">
      <c r="A40" s="238">
        <v>4</v>
      </c>
      <c r="B40" s="231" t="s">
        <v>293</v>
      </c>
      <c r="C40" s="231" t="s">
        <v>294</v>
      </c>
      <c r="D40" s="232">
        <v>9.6999999999999993</v>
      </c>
      <c r="E40" s="235">
        <v>10.37</v>
      </c>
    </row>
    <row r="41" spans="1:14" x14ac:dyDescent="0.3">
      <c r="A41" s="238">
        <v>5</v>
      </c>
      <c r="B41" s="228" t="s">
        <v>2536</v>
      </c>
      <c r="C41" s="228" t="s">
        <v>634</v>
      </c>
      <c r="D41" s="229">
        <v>9.8800000000000008</v>
      </c>
      <c r="E41" s="235">
        <v>10.220000000000001</v>
      </c>
    </row>
    <row r="42" spans="1:14" x14ac:dyDescent="0.3">
      <c r="A42" s="238">
        <v>6</v>
      </c>
      <c r="B42" s="231" t="s">
        <v>2366</v>
      </c>
      <c r="C42" s="231" t="s">
        <v>2350</v>
      </c>
      <c r="D42" s="232">
        <v>9.67</v>
      </c>
      <c r="E42" s="241">
        <v>9.91</v>
      </c>
    </row>
    <row r="43" spans="1:14" x14ac:dyDescent="0.3">
      <c r="A43" s="238">
        <v>7</v>
      </c>
      <c r="B43" s="228" t="s">
        <v>296</v>
      </c>
      <c r="C43" s="228" t="s">
        <v>239</v>
      </c>
      <c r="D43" s="229">
        <v>9.3800000000000008</v>
      </c>
      <c r="E43" s="244">
        <v>9.5299999999999994</v>
      </c>
    </row>
    <row r="44" spans="1:14" x14ac:dyDescent="0.3">
      <c r="A44" s="238">
        <v>8</v>
      </c>
      <c r="B44" s="231" t="s">
        <v>297</v>
      </c>
      <c r="C44" s="231" t="s">
        <v>1118</v>
      </c>
      <c r="D44" s="232">
        <v>9.4</v>
      </c>
      <c r="E44" s="245">
        <v>9.4600000000000009</v>
      </c>
    </row>
    <row r="45" spans="1:14" x14ac:dyDescent="0.3">
      <c r="A45" s="238">
        <v>9</v>
      </c>
      <c r="B45" s="228" t="s">
        <v>1938</v>
      </c>
      <c r="C45" s="228" t="s">
        <v>1931</v>
      </c>
      <c r="D45" s="229">
        <v>9.31</v>
      </c>
      <c r="E45" s="246">
        <v>9.43</v>
      </c>
    </row>
    <row r="46" spans="1:14" x14ac:dyDescent="0.3">
      <c r="A46" s="238">
        <v>10</v>
      </c>
      <c r="B46" s="231" t="s">
        <v>301</v>
      </c>
      <c r="C46" s="231" t="s">
        <v>56</v>
      </c>
      <c r="D46" s="232">
        <v>9.25</v>
      </c>
      <c r="E46" s="247">
        <v>9.3699999999999992</v>
      </c>
    </row>
    <row r="47" spans="1:14" x14ac:dyDescent="0.3">
      <c r="A47" s="238">
        <v>11</v>
      </c>
      <c r="B47" s="228" t="s">
        <v>302</v>
      </c>
      <c r="C47" s="228" t="s">
        <v>186</v>
      </c>
      <c r="D47" s="229">
        <v>9.2100000000000009</v>
      </c>
      <c r="E47" s="249">
        <v>9.34</v>
      </c>
    </row>
    <row r="48" spans="1:14" x14ac:dyDescent="0.3">
      <c r="A48" s="238">
        <v>12</v>
      </c>
      <c r="B48" s="231" t="s">
        <v>300</v>
      </c>
      <c r="C48" s="231" t="s">
        <v>131</v>
      </c>
      <c r="D48" s="232">
        <v>9.2100000000000009</v>
      </c>
      <c r="E48" s="250">
        <v>9.2799999999999994</v>
      </c>
    </row>
    <row r="49" spans="1:5" x14ac:dyDescent="0.3">
      <c r="A49" s="238">
        <v>13</v>
      </c>
      <c r="B49" s="228" t="s">
        <v>405</v>
      </c>
      <c r="C49" s="228" t="s">
        <v>36</v>
      </c>
      <c r="D49" s="229">
        <v>9.15</v>
      </c>
      <c r="E49" s="251">
        <v>9.23</v>
      </c>
    </row>
    <row r="50" spans="1:5" x14ac:dyDescent="0.3">
      <c r="A50" s="238">
        <v>14</v>
      </c>
      <c r="B50" s="231" t="s">
        <v>441</v>
      </c>
      <c r="C50" s="231" t="s">
        <v>459</v>
      </c>
      <c r="D50" s="232">
        <v>9.17</v>
      </c>
      <c r="E50" s="251">
        <v>9.23</v>
      </c>
    </row>
    <row r="51" spans="1:5" x14ac:dyDescent="0.3">
      <c r="A51" s="238">
        <v>15</v>
      </c>
      <c r="B51" s="228" t="s">
        <v>866</v>
      </c>
      <c r="C51" s="228" t="s">
        <v>857</v>
      </c>
      <c r="D51" s="229">
        <v>9.06</v>
      </c>
      <c r="E51" s="255">
        <v>9.1</v>
      </c>
    </row>
    <row r="52" spans="1:5" x14ac:dyDescent="0.3">
      <c r="A52" s="238">
        <v>16</v>
      </c>
      <c r="B52" s="231" t="s">
        <v>303</v>
      </c>
      <c r="C52" s="231" t="s">
        <v>157</v>
      </c>
      <c r="D52" s="232">
        <v>9</v>
      </c>
      <c r="E52" s="255">
        <v>9.09</v>
      </c>
    </row>
    <row r="53" spans="1:5" x14ac:dyDescent="0.3">
      <c r="A53" s="238">
        <v>17</v>
      </c>
      <c r="B53" s="228" t="s">
        <v>304</v>
      </c>
      <c r="C53" s="228" t="s">
        <v>229</v>
      </c>
      <c r="D53" s="229">
        <v>9</v>
      </c>
      <c r="E53" s="255">
        <v>9.09</v>
      </c>
    </row>
    <row r="54" spans="1:5" x14ac:dyDescent="0.3">
      <c r="A54" s="238">
        <v>18</v>
      </c>
      <c r="B54" s="231" t="s">
        <v>3164</v>
      </c>
      <c r="C54" s="231" t="s">
        <v>3165</v>
      </c>
      <c r="D54" s="232">
        <v>9.07</v>
      </c>
      <c r="E54" s="257">
        <v>9.0399999999999991</v>
      </c>
    </row>
    <row r="55" spans="1:5" x14ac:dyDescent="0.3">
      <c r="A55" s="238">
        <v>19</v>
      </c>
      <c r="B55" s="228" t="s">
        <v>307</v>
      </c>
      <c r="C55" s="228" t="s">
        <v>95</v>
      </c>
      <c r="D55" s="229">
        <v>8.94</v>
      </c>
      <c r="E55" s="258">
        <v>9.0299999999999994</v>
      </c>
    </row>
    <row r="56" spans="1:5" x14ac:dyDescent="0.3">
      <c r="A56" s="238">
        <v>20</v>
      </c>
      <c r="B56" s="231" t="s">
        <v>1531</v>
      </c>
      <c r="C56" s="231" t="s">
        <v>2261</v>
      </c>
      <c r="D56" s="232">
        <v>9.07</v>
      </c>
      <c r="E56" s="259">
        <v>9.02</v>
      </c>
    </row>
    <row r="57" spans="1:5" x14ac:dyDescent="0.3">
      <c r="A57" s="238">
        <v>21</v>
      </c>
      <c r="B57" s="228" t="s">
        <v>2620</v>
      </c>
      <c r="C57" s="228" t="s">
        <v>2613</v>
      </c>
      <c r="D57" s="229">
        <v>9.06</v>
      </c>
      <c r="E57" s="259">
        <v>9.02</v>
      </c>
    </row>
    <row r="58" spans="1:5" x14ac:dyDescent="0.3">
      <c r="A58" s="238">
        <v>22</v>
      </c>
      <c r="B58" s="231" t="s">
        <v>2796</v>
      </c>
      <c r="C58" s="231" t="s">
        <v>2797</v>
      </c>
      <c r="D58" s="232">
        <v>8.85</v>
      </c>
      <c r="E58" s="259">
        <v>9.02</v>
      </c>
    </row>
    <row r="59" spans="1:5" x14ac:dyDescent="0.3">
      <c r="A59" s="238">
        <v>23</v>
      </c>
      <c r="B59" s="228" t="s">
        <v>315</v>
      </c>
      <c r="C59" s="228" t="s">
        <v>2277</v>
      </c>
      <c r="D59" s="229">
        <v>8.92</v>
      </c>
      <c r="E59" s="260">
        <v>9</v>
      </c>
    </row>
    <row r="60" spans="1:5" x14ac:dyDescent="0.3">
      <c r="A60" s="238">
        <v>24</v>
      </c>
      <c r="B60" s="231" t="s">
        <v>2714</v>
      </c>
      <c r="C60" s="231" t="s">
        <v>2710</v>
      </c>
      <c r="D60" s="232">
        <v>8.83</v>
      </c>
      <c r="E60" s="260">
        <v>9</v>
      </c>
    </row>
    <row r="61" spans="1:5" x14ac:dyDescent="0.3">
      <c r="A61" s="238">
        <v>25</v>
      </c>
      <c r="B61" s="228" t="s">
        <v>1265</v>
      </c>
      <c r="C61" s="228" t="s">
        <v>1256</v>
      </c>
      <c r="D61" s="229">
        <v>9</v>
      </c>
      <c r="E61" s="262">
        <v>8.9600000000000009</v>
      </c>
    </row>
    <row r="63" spans="1:5" ht="17.399999999999999" x14ac:dyDescent="0.35">
      <c r="A63" s="399" t="s">
        <v>2643</v>
      </c>
      <c r="B63" s="399"/>
      <c r="C63" s="399"/>
      <c r="D63" s="399"/>
      <c r="E63" s="399"/>
    </row>
    <row r="64" spans="1:5" x14ac:dyDescent="0.3">
      <c r="A64" s="227" t="s">
        <v>318</v>
      </c>
      <c r="B64" s="227" t="s">
        <v>285</v>
      </c>
      <c r="C64" s="227" t="s">
        <v>286</v>
      </c>
      <c r="D64" s="227" t="s">
        <v>287</v>
      </c>
      <c r="E64" s="227" t="s">
        <v>959</v>
      </c>
    </row>
    <row r="65" spans="1:5" x14ac:dyDescent="0.3">
      <c r="A65" s="234">
        <v>1</v>
      </c>
      <c r="B65" s="228" t="s">
        <v>292</v>
      </c>
      <c r="C65" s="228" t="s">
        <v>7</v>
      </c>
      <c r="D65" s="229">
        <v>10.11</v>
      </c>
      <c r="E65" s="235">
        <v>10.99</v>
      </c>
    </row>
    <row r="66" spans="1:5" x14ac:dyDescent="0.3">
      <c r="A66" s="236">
        <v>2</v>
      </c>
      <c r="B66" s="231" t="s">
        <v>953</v>
      </c>
      <c r="C66" s="231" t="s">
        <v>951</v>
      </c>
      <c r="D66" s="232">
        <v>10.5</v>
      </c>
      <c r="E66" s="235">
        <v>10.85</v>
      </c>
    </row>
    <row r="67" spans="1:5" x14ac:dyDescent="0.3">
      <c r="A67" s="237">
        <v>3</v>
      </c>
      <c r="B67" s="228" t="s">
        <v>298</v>
      </c>
      <c r="C67" s="228" t="s">
        <v>983</v>
      </c>
      <c r="D67" s="229">
        <v>10</v>
      </c>
      <c r="E67" s="235">
        <v>10.39</v>
      </c>
    </row>
    <row r="68" spans="1:5" x14ac:dyDescent="0.3">
      <c r="A68" s="238">
        <v>4</v>
      </c>
      <c r="B68" s="231" t="s">
        <v>293</v>
      </c>
      <c r="C68" s="231" t="s">
        <v>294</v>
      </c>
      <c r="D68" s="232">
        <v>9.6999999999999993</v>
      </c>
      <c r="E68" s="235">
        <v>10.37</v>
      </c>
    </row>
    <row r="69" spans="1:5" x14ac:dyDescent="0.3">
      <c r="A69" s="238">
        <v>5</v>
      </c>
      <c r="B69" s="228" t="s">
        <v>2536</v>
      </c>
      <c r="C69" s="228" t="s">
        <v>634</v>
      </c>
      <c r="D69" s="229">
        <v>9.8800000000000008</v>
      </c>
      <c r="E69" s="235">
        <v>10.220000000000001</v>
      </c>
    </row>
    <row r="70" spans="1:5" x14ac:dyDescent="0.3">
      <c r="A70" s="238">
        <v>6</v>
      </c>
      <c r="B70" s="231" t="s">
        <v>293</v>
      </c>
      <c r="C70" s="231" t="s">
        <v>295</v>
      </c>
      <c r="D70" s="232">
        <v>9.68</v>
      </c>
      <c r="E70" s="235">
        <v>10.07</v>
      </c>
    </row>
    <row r="71" spans="1:5" x14ac:dyDescent="0.3">
      <c r="A71" s="238">
        <v>7</v>
      </c>
      <c r="B71" s="228" t="s">
        <v>298</v>
      </c>
      <c r="C71" s="228" t="s">
        <v>299</v>
      </c>
      <c r="D71" s="229">
        <v>9.61</v>
      </c>
      <c r="E71" s="235">
        <v>10</v>
      </c>
    </row>
    <row r="72" spans="1:5" x14ac:dyDescent="0.3">
      <c r="A72" s="238">
        <v>8</v>
      </c>
      <c r="B72" s="231" t="s">
        <v>292</v>
      </c>
      <c r="C72" s="231" t="s">
        <v>517</v>
      </c>
      <c r="D72" s="232">
        <v>9.61</v>
      </c>
      <c r="E72" s="239">
        <v>9.99</v>
      </c>
    </row>
    <row r="73" spans="1:5" x14ac:dyDescent="0.3">
      <c r="A73" s="238">
        <v>9</v>
      </c>
      <c r="B73" s="228" t="s">
        <v>292</v>
      </c>
      <c r="C73" s="228" t="s">
        <v>156</v>
      </c>
      <c r="D73" s="229">
        <v>9.61</v>
      </c>
      <c r="E73" s="240">
        <v>9.9600000000000009</v>
      </c>
    </row>
    <row r="74" spans="1:5" x14ac:dyDescent="0.3">
      <c r="A74" s="238">
        <v>10</v>
      </c>
      <c r="B74" s="231" t="s">
        <v>2366</v>
      </c>
      <c r="C74" s="231" t="s">
        <v>2350</v>
      </c>
      <c r="D74" s="232">
        <v>9.67</v>
      </c>
      <c r="E74" s="241">
        <v>9.91</v>
      </c>
    </row>
    <row r="75" spans="1:5" x14ac:dyDescent="0.3">
      <c r="A75" s="238">
        <v>11</v>
      </c>
      <c r="B75" s="228" t="s">
        <v>292</v>
      </c>
      <c r="C75" s="228" t="s">
        <v>1177</v>
      </c>
      <c r="D75" s="229">
        <v>9.36</v>
      </c>
      <c r="E75" s="242">
        <v>9.6</v>
      </c>
    </row>
    <row r="76" spans="1:5" x14ac:dyDescent="0.3">
      <c r="A76" s="238">
        <v>12</v>
      </c>
      <c r="B76" s="231" t="s">
        <v>298</v>
      </c>
      <c r="C76" s="231" t="s">
        <v>727</v>
      </c>
      <c r="D76" s="232">
        <v>9.4</v>
      </c>
      <c r="E76" s="243">
        <v>9.5500000000000007</v>
      </c>
    </row>
    <row r="77" spans="1:5" x14ac:dyDescent="0.3">
      <c r="A77" s="238">
        <v>13</v>
      </c>
      <c r="B77" s="228" t="s">
        <v>296</v>
      </c>
      <c r="C77" s="228" t="s">
        <v>239</v>
      </c>
      <c r="D77" s="229">
        <v>9.3800000000000008</v>
      </c>
      <c r="E77" s="244">
        <v>9.5299999999999994</v>
      </c>
    </row>
    <row r="78" spans="1:5" x14ac:dyDescent="0.3">
      <c r="A78" s="238">
        <v>14</v>
      </c>
      <c r="B78" s="231" t="s">
        <v>292</v>
      </c>
      <c r="C78" s="231" t="s">
        <v>2441</v>
      </c>
      <c r="D78" s="232">
        <v>9.25</v>
      </c>
      <c r="E78" s="244">
        <v>9.5299999999999994</v>
      </c>
    </row>
    <row r="79" spans="1:5" x14ac:dyDescent="0.3">
      <c r="A79" s="238">
        <v>15</v>
      </c>
      <c r="B79" s="228" t="s">
        <v>297</v>
      </c>
      <c r="C79" s="228" t="s">
        <v>1118</v>
      </c>
      <c r="D79" s="229">
        <v>9.4</v>
      </c>
      <c r="E79" s="245">
        <v>9.4600000000000009</v>
      </c>
    </row>
    <row r="80" spans="1:5" x14ac:dyDescent="0.3">
      <c r="A80" s="238">
        <v>16</v>
      </c>
      <c r="B80" s="231" t="s">
        <v>1938</v>
      </c>
      <c r="C80" s="231" t="s">
        <v>1931</v>
      </c>
      <c r="D80" s="232">
        <v>9.31</v>
      </c>
      <c r="E80" s="246">
        <v>9.43</v>
      </c>
    </row>
    <row r="81" spans="1:5" x14ac:dyDescent="0.3">
      <c r="A81" s="238">
        <v>17</v>
      </c>
      <c r="B81" s="228" t="s">
        <v>301</v>
      </c>
      <c r="C81" s="228" t="s">
        <v>56</v>
      </c>
      <c r="D81" s="229">
        <v>9.25</v>
      </c>
      <c r="E81" s="247">
        <v>9.3699999999999992</v>
      </c>
    </row>
    <row r="82" spans="1:5" x14ac:dyDescent="0.3">
      <c r="A82" s="238">
        <v>18</v>
      </c>
      <c r="B82" s="231" t="s">
        <v>293</v>
      </c>
      <c r="C82" s="231" t="s">
        <v>251</v>
      </c>
      <c r="D82" s="232">
        <v>9.15</v>
      </c>
      <c r="E82" s="247">
        <v>9.3699999999999992</v>
      </c>
    </row>
    <row r="83" spans="1:5" x14ac:dyDescent="0.3">
      <c r="A83" s="238">
        <v>19</v>
      </c>
      <c r="B83" s="228" t="s">
        <v>297</v>
      </c>
      <c r="C83" s="228" t="s">
        <v>961</v>
      </c>
      <c r="D83" s="229">
        <v>9.3000000000000007</v>
      </c>
      <c r="E83" s="248">
        <v>9.36</v>
      </c>
    </row>
    <row r="84" spans="1:5" x14ac:dyDescent="0.3">
      <c r="A84" s="238">
        <v>20</v>
      </c>
      <c r="B84" s="231" t="s">
        <v>302</v>
      </c>
      <c r="C84" s="231" t="s">
        <v>186</v>
      </c>
      <c r="D84" s="232">
        <v>9.2100000000000009</v>
      </c>
      <c r="E84" s="249">
        <v>9.34</v>
      </c>
    </row>
    <row r="85" spans="1:5" x14ac:dyDescent="0.3">
      <c r="A85" s="238">
        <v>21</v>
      </c>
      <c r="B85" s="228" t="s">
        <v>300</v>
      </c>
      <c r="C85" s="228" t="s">
        <v>131</v>
      </c>
      <c r="D85" s="229">
        <v>9.2100000000000009</v>
      </c>
      <c r="E85" s="250">
        <v>9.2799999999999994</v>
      </c>
    </row>
    <row r="86" spans="1:5" x14ac:dyDescent="0.3">
      <c r="A86" s="238">
        <v>22</v>
      </c>
      <c r="B86" s="231" t="s">
        <v>405</v>
      </c>
      <c r="C86" s="231" t="s">
        <v>36</v>
      </c>
      <c r="D86" s="232">
        <v>9.15</v>
      </c>
      <c r="E86" s="251">
        <v>9.23</v>
      </c>
    </row>
    <row r="87" spans="1:5" x14ac:dyDescent="0.3">
      <c r="A87" s="238">
        <v>23</v>
      </c>
      <c r="B87" s="228" t="s">
        <v>441</v>
      </c>
      <c r="C87" s="228" t="s">
        <v>459</v>
      </c>
      <c r="D87" s="229">
        <v>9.17</v>
      </c>
      <c r="E87" s="251">
        <v>9.23</v>
      </c>
    </row>
    <row r="88" spans="1:5" x14ac:dyDescent="0.3">
      <c r="A88" s="238">
        <v>24</v>
      </c>
      <c r="B88" s="231" t="s">
        <v>301</v>
      </c>
      <c r="C88" s="231" t="s">
        <v>653</v>
      </c>
      <c r="D88" s="232">
        <v>9.1300000000000008</v>
      </c>
      <c r="E88" s="252">
        <v>9.2100000000000009</v>
      </c>
    </row>
    <row r="89" spans="1:5" x14ac:dyDescent="0.3">
      <c r="A89" s="238">
        <v>25</v>
      </c>
      <c r="B89" s="228" t="s">
        <v>303</v>
      </c>
      <c r="C89" s="228" t="s">
        <v>2440</v>
      </c>
      <c r="D89" s="229">
        <v>9.08</v>
      </c>
      <c r="E89" s="253">
        <v>9.17</v>
      </c>
    </row>
    <row r="94" spans="1:5" ht="17.399999999999999" x14ac:dyDescent="0.35">
      <c r="A94" s="399" t="s">
        <v>3417</v>
      </c>
      <c r="B94" s="399"/>
      <c r="C94" s="399"/>
      <c r="D94" s="399"/>
      <c r="E94" s="399"/>
    </row>
    <row r="95" spans="1:5" x14ac:dyDescent="0.3">
      <c r="A95" s="227" t="s">
        <v>318</v>
      </c>
      <c r="B95" s="227" t="s">
        <v>285</v>
      </c>
      <c r="C95" s="227" t="s">
        <v>286</v>
      </c>
      <c r="D95" s="227" t="s">
        <v>287</v>
      </c>
      <c r="E95" s="227" t="s">
        <v>959</v>
      </c>
    </row>
    <row r="96" spans="1:5" x14ac:dyDescent="0.3">
      <c r="A96" s="234">
        <v>1</v>
      </c>
      <c r="B96" s="228" t="s">
        <v>292</v>
      </c>
      <c r="C96" s="228" t="s">
        <v>2644</v>
      </c>
      <c r="D96" s="229">
        <v>9.59</v>
      </c>
      <c r="E96" s="235">
        <v>10.01</v>
      </c>
    </row>
    <row r="97" spans="1:5" x14ac:dyDescent="0.3">
      <c r="A97" s="236">
        <v>2</v>
      </c>
      <c r="B97" s="231" t="s">
        <v>300</v>
      </c>
      <c r="C97" s="231" t="s">
        <v>3167</v>
      </c>
      <c r="D97" s="232">
        <v>9.06</v>
      </c>
      <c r="E97" s="373">
        <v>9.11</v>
      </c>
    </row>
    <row r="98" spans="1:5" x14ac:dyDescent="0.3">
      <c r="A98" s="237">
        <v>3</v>
      </c>
      <c r="B98" s="228" t="s">
        <v>441</v>
      </c>
      <c r="C98" s="228" t="s">
        <v>2645</v>
      </c>
      <c r="D98" s="229">
        <v>8.9700000000000006</v>
      </c>
      <c r="E98" s="258">
        <v>9.0299999999999994</v>
      </c>
    </row>
    <row r="99" spans="1:5" x14ac:dyDescent="0.3">
      <c r="A99" s="238">
        <v>4</v>
      </c>
      <c r="B99" s="231" t="s">
        <v>3164</v>
      </c>
      <c r="C99" s="231" t="s">
        <v>3165</v>
      </c>
      <c r="D99" s="232">
        <v>9.07</v>
      </c>
      <c r="E99" s="257">
        <v>9.0399999999999991</v>
      </c>
    </row>
    <row r="100" spans="1:5" x14ac:dyDescent="0.3">
      <c r="A100" s="238">
        <v>5</v>
      </c>
      <c r="B100" s="228" t="s">
        <v>1450</v>
      </c>
      <c r="C100" s="228" t="s">
        <v>1451</v>
      </c>
      <c r="D100" s="229">
        <v>8.82</v>
      </c>
      <c r="E100" s="272">
        <v>8.84</v>
      </c>
    </row>
    <row r="102" spans="1:5" ht="17.399999999999999" x14ac:dyDescent="0.35">
      <c r="A102" s="399" t="s">
        <v>3166</v>
      </c>
      <c r="B102" s="399"/>
      <c r="C102" s="399"/>
      <c r="D102" s="399"/>
      <c r="E102" s="399"/>
    </row>
    <row r="103" spans="1:5" x14ac:dyDescent="0.3">
      <c r="A103" s="227" t="s">
        <v>318</v>
      </c>
      <c r="B103" s="227" t="s">
        <v>285</v>
      </c>
      <c r="C103" s="227" t="s">
        <v>286</v>
      </c>
      <c r="D103" s="227" t="s">
        <v>287</v>
      </c>
      <c r="E103" s="227" t="s">
        <v>959</v>
      </c>
    </row>
    <row r="104" spans="1:5" x14ac:dyDescent="0.3">
      <c r="A104" s="234">
        <v>1</v>
      </c>
      <c r="B104" s="228" t="s">
        <v>298</v>
      </c>
      <c r="C104" s="228" t="s">
        <v>2646</v>
      </c>
      <c r="D104" s="229">
        <v>9.48</v>
      </c>
      <c r="E104" s="344">
        <v>9.73</v>
      </c>
    </row>
    <row r="105" spans="1:5" x14ac:dyDescent="0.3">
      <c r="A105" s="236">
        <v>2</v>
      </c>
      <c r="B105" s="231" t="s">
        <v>2366</v>
      </c>
      <c r="C105" s="231" t="s">
        <v>2350</v>
      </c>
      <c r="D105" s="232">
        <v>9.67</v>
      </c>
      <c r="E105" s="241">
        <v>9.91</v>
      </c>
    </row>
    <row r="106" spans="1:5" x14ac:dyDescent="0.3">
      <c r="A106" s="237">
        <v>3</v>
      </c>
      <c r="B106" s="228" t="s">
        <v>297</v>
      </c>
      <c r="C106" s="228" t="s">
        <v>2647</v>
      </c>
      <c r="D106" s="229">
        <v>9.35</v>
      </c>
      <c r="E106" s="345">
        <v>9.41</v>
      </c>
    </row>
    <row r="107" spans="1:5" x14ac:dyDescent="0.3">
      <c r="A107" s="238">
        <v>4</v>
      </c>
      <c r="B107" s="231" t="s">
        <v>405</v>
      </c>
      <c r="C107" s="231" t="s">
        <v>36</v>
      </c>
      <c r="D107" s="232">
        <v>9.15</v>
      </c>
      <c r="E107" s="251">
        <v>9.23</v>
      </c>
    </row>
    <row r="108" spans="1:5" x14ac:dyDescent="0.3">
      <c r="A108" s="238">
        <v>5</v>
      </c>
      <c r="B108" s="228" t="s">
        <v>441</v>
      </c>
      <c r="C108" s="228" t="s">
        <v>2648</v>
      </c>
      <c r="D108" s="229">
        <v>9.06</v>
      </c>
      <c r="E108" s="254">
        <v>9.14</v>
      </c>
    </row>
    <row r="110" spans="1:5" ht="17.399999999999999" x14ac:dyDescent="0.35">
      <c r="A110" s="399" t="s">
        <v>3389</v>
      </c>
      <c r="B110" s="399"/>
      <c r="C110" s="399"/>
      <c r="D110" s="399"/>
      <c r="E110" s="399"/>
    </row>
    <row r="111" spans="1:5" x14ac:dyDescent="0.3">
      <c r="A111" s="227" t="s">
        <v>318</v>
      </c>
      <c r="B111" s="227" t="s">
        <v>285</v>
      </c>
      <c r="C111" s="227" t="s">
        <v>286</v>
      </c>
      <c r="D111" s="227" t="s">
        <v>287</v>
      </c>
      <c r="E111" s="227" t="s">
        <v>959</v>
      </c>
    </row>
    <row r="112" spans="1:5" x14ac:dyDescent="0.3">
      <c r="A112" s="234">
        <v>1</v>
      </c>
      <c r="B112" s="228" t="s">
        <v>298</v>
      </c>
      <c r="C112" s="228" t="s">
        <v>2878</v>
      </c>
      <c r="D112" s="229">
        <v>9.4</v>
      </c>
      <c r="E112" s="346">
        <v>9.68</v>
      </c>
    </row>
    <row r="113" spans="1:5" x14ac:dyDescent="0.3">
      <c r="A113" s="236">
        <v>2</v>
      </c>
      <c r="B113" s="231" t="s">
        <v>293</v>
      </c>
      <c r="C113" s="231" t="s">
        <v>2649</v>
      </c>
      <c r="D113" s="232">
        <v>9.51</v>
      </c>
      <c r="E113" s="347">
        <v>9.94</v>
      </c>
    </row>
    <row r="114" spans="1:5" x14ac:dyDescent="0.3">
      <c r="A114" s="237">
        <v>3</v>
      </c>
      <c r="B114" s="228" t="s">
        <v>297</v>
      </c>
      <c r="C114" s="228" t="s">
        <v>2647</v>
      </c>
      <c r="D114" s="229">
        <v>9.35</v>
      </c>
      <c r="E114" s="345">
        <v>9.41</v>
      </c>
    </row>
    <row r="115" spans="1:5" x14ac:dyDescent="0.3">
      <c r="A115" s="238">
        <v>4</v>
      </c>
      <c r="B115" s="231" t="s">
        <v>405</v>
      </c>
      <c r="C115" s="231" t="s">
        <v>36</v>
      </c>
      <c r="D115" s="232">
        <v>9.15</v>
      </c>
      <c r="E115" s="251">
        <v>9.23</v>
      </c>
    </row>
    <row r="116" spans="1:5" x14ac:dyDescent="0.3">
      <c r="A116" s="238">
        <v>5</v>
      </c>
      <c r="B116" s="228" t="s">
        <v>1265</v>
      </c>
      <c r="C116" s="228" t="s">
        <v>1256</v>
      </c>
      <c r="D116" s="229">
        <v>9</v>
      </c>
      <c r="E116" s="262">
        <v>8.9600000000000009</v>
      </c>
    </row>
    <row r="118" spans="1:5" ht="17.399999999999999" x14ac:dyDescent="0.35">
      <c r="A118" s="399" t="s">
        <v>2936</v>
      </c>
      <c r="B118" s="399"/>
      <c r="C118" s="399"/>
      <c r="D118" s="399"/>
      <c r="E118" s="399"/>
    </row>
    <row r="119" spans="1:5" x14ac:dyDescent="0.3">
      <c r="A119" s="227" t="s">
        <v>318</v>
      </c>
      <c r="B119" s="227" t="s">
        <v>285</v>
      </c>
      <c r="C119" s="227" t="s">
        <v>286</v>
      </c>
      <c r="D119" s="227" t="s">
        <v>287</v>
      </c>
      <c r="E119" s="227" t="s">
        <v>959</v>
      </c>
    </row>
    <row r="120" spans="1:5" x14ac:dyDescent="0.3">
      <c r="A120" s="234">
        <v>1</v>
      </c>
      <c r="B120" s="228" t="s">
        <v>293</v>
      </c>
      <c r="C120" s="228" t="s">
        <v>2650</v>
      </c>
      <c r="D120" s="229">
        <v>9.3000000000000007</v>
      </c>
      <c r="E120" s="340">
        <v>9.58</v>
      </c>
    </row>
    <row r="121" spans="1:5" x14ac:dyDescent="0.3">
      <c r="A121" s="236">
        <v>2</v>
      </c>
      <c r="B121" s="231" t="s">
        <v>677</v>
      </c>
      <c r="C121" s="231" t="s">
        <v>1357</v>
      </c>
      <c r="D121" s="232">
        <v>8.8800000000000008</v>
      </c>
      <c r="E121" s="267">
        <v>8.89</v>
      </c>
    </row>
    <row r="122" spans="1:5" x14ac:dyDescent="0.3">
      <c r="A122" s="237">
        <v>3</v>
      </c>
      <c r="B122" s="228" t="s">
        <v>2455</v>
      </c>
      <c r="C122" s="228" t="s">
        <v>2456</v>
      </c>
      <c r="D122" s="229">
        <v>8.86</v>
      </c>
      <c r="E122" s="268">
        <v>8.8800000000000008</v>
      </c>
    </row>
    <row r="123" spans="1:5" x14ac:dyDescent="0.3">
      <c r="A123" s="238">
        <v>4</v>
      </c>
      <c r="B123" s="231" t="s">
        <v>2310</v>
      </c>
      <c r="C123" s="231" t="s">
        <v>2300</v>
      </c>
      <c r="D123" s="232">
        <v>8.86</v>
      </c>
      <c r="E123" s="280">
        <v>8.74</v>
      </c>
    </row>
    <row r="124" spans="1:5" x14ac:dyDescent="0.3">
      <c r="A124" s="238">
        <v>5</v>
      </c>
      <c r="B124" s="228" t="s">
        <v>1266</v>
      </c>
      <c r="C124" s="228" t="s">
        <v>1267</v>
      </c>
      <c r="D124" s="229">
        <v>8.77</v>
      </c>
      <c r="E124" s="287">
        <v>8.65</v>
      </c>
    </row>
    <row r="126" spans="1:5" ht="17.399999999999999" x14ac:dyDescent="0.35">
      <c r="A126" s="399" t="s">
        <v>3360</v>
      </c>
      <c r="B126" s="399"/>
      <c r="C126" s="399"/>
      <c r="D126" s="399"/>
      <c r="E126" s="399"/>
    </row>
    <row r="127" spans="1:5" x14ac:dyDescent="0.3">
      <c r="A127" s="227" t="s">
        <v>318</v>
      </c>
      <c r="B127" s="227" t="s">
        <v>285</v>
      </c>
      <c r="C127" s="227" t="s">
        <v>286</v>
      </c>
      <c r="D127" s="227" t="s">
        <v>287</v>
      </c>
      <c r="E127" s="227" t="s">
        <v>959</v>
      </c>
    </row>
    <row r="128" spans="1:5" x14ac:dyDescent="0.3">
      <c r="A128" s="234">
        <v>1</v>
      </c>
      <c r="B128" s="228" t="s">
        <v>292</v>
      </c>
      <c r="C128" s="228" t="s">
        <v>3125</v>
      </c>
      <c r="D128" s="229">
        <v>9.39</v>
      </c>
      <c r="E128" s="368">
        <v>9.74</v>
      </c>
    </row>
    <row r="129" spans="1:5" x14ac:dyDescent="0.3">
      <c r="A129" s="236">
        <v>2</v>
      </c>
      <c r="B129" s="231" t="s">
        <v>2714</v>
      </c>
      <c r="C129" s="231" t="s">
        <v>2710</v>
      </c>
      <c r="D129" s="232">
        <v>8.83</v>
      </c>
      <c r="E129" s="260">
        <v>9</v>
      </c>
    </row>
    <row r="130" spans="1:5" x14ac:dyDescent="0.3">
      <c r="A130" s="237">
        <v>3</v>
      </c>
      <c r="B130" s="228" t="s">
        <v>2950</v>
      </c>
      <c r="C130" s="228" t="s">
        <v>3361</v>
      </c>
      <c r="D130" s="229">
        <v>8.85</v>
      </c>
      <c r="E130" s="272">
        <v>8.84</v>
      </c>
    </row>
    <row r="131" spans="1:5" x14ac:dyDescent="0.3">
      <c r="A131" s="238">
        <v>4</v>
      </c>
      <c r="B131" s="231" t="s">
        <v>3121</v>
      </c>
      <c r="C131" s="231" t="s">
        <v>3122</v>
      </c>
      <c r="D131" s="232">
        <v>8.6</v>
      </c>
      <c r="E131" s="298">
        <v>8.5299999999999994</v>
      </c>
    </row>
    <row r="132" spans="1:5" x14ac:dyDescent="0.3">
      <c r="A132" s="238">
        <v>5</v>
      </c>
      <c r="B132" s="228" t="s">
        <v>2931</v>
      </c>
      <c r="C132" s="228" t="s">
        <v>2932</v>
      </c>
      <c r="D132" s="229">
        <v>8.41</v>
      </c>
      <c r="E132" s="314">
        <v>8.24</v>
      </c>
    </row>
    <row r="134" spans="1:5" ht="17.399999999999999" x14ac:dyDescent="0.35">
      <c r="A134" s="399" t="s">
        <v>3041</v>
      </c>
      <c r="B134" s="399"/>
      <c r="C134" s="399"/>
      <c r="D134" s="399"/>
      <c r="E134" s="399"/>
    </row>
    <row r="135" spans="1:5" x14ac:dyDescent="0.3">
      <c r="A135" s="227" t="s">
        <v>318</v>
      </c>
      <c r="B135" s="227" t="s">
        <v>285</v>
      </c>
      <c r="C135" s="227" t="s">
        <v>286</v>
      </c>
      <c r="D135" s="227" t="s">
        <v>287</v>
      </c>
      <c r="E135" s="227" t="s">
        <v>959</v>
      </c>
    </row>
    <row r="136" spans="1:5" x14ac:dyDescent="0.3">
      <c r="A136" s="234">
        <v>1</v>
      </c>
      <c r="B136" s="228" t="s">
        <v>300</v>
      </c>
      <c r="C136" s="228" t="s">
        <v>2651</v>
      </c>
      <c r="D136" s="229">
        <v>8.82</v>
      </c>
      <c r="E136" s="272">
        <v>8.83</v>
      </c>
    </row>
    <row r="137" spans="1:5" x14ac:dyDescent="0.3">
      <c r="A137" s="236">
        <v>2</v>
      </c>
      <c r="B137" s="231" t="s">
        <v>1450</v>
      </c>
      <c r="C137" s="231" t="s">
        <v>1451</v>
      </c>
      <c r="D137" s="232">
        <v>8.82</v>
      </c>
      <c r="E137" s="272">
        <v>8.84</v>
      </c>
    </row>
    <row r="138" spans="1:5" x14ac:dyDescent="0.3">
      <c r="A138" s="237">
        <v>3</v>
      </c>
      <c r="B138" s="228" t="s">
        <v>728</v>
      </c>
      <c r="C138" s="228" t="s">
        <v>729</v>
      </c>
      <c r="D138" s="229">
        <v>8.67</v>
      </c>
      <c r="E138" s="294">
        <v>8.57</v>
      </c>
    </row>
    <row r="139" spans="1:5" x14ac:dyDescent="0.3">
      <c r="A139" s="238">
        <v>4</v>
      </c>
      <c r="B139" s="231" t="s">
        <v>1093</v>
      </c>
      <c r="C139" s="231" t="s">
        <v>2365</v>
      </c>
      <c r="D139" s="232">
        <v>8.61</v>
      </c>
      <c r="E139" s="298">
        <v>8.5299999999999994</v>
      </c>
    </row>
    <row r="140" spans="1:5" x14ac:dyDescent="0.3">
      <c r="A140" s="238">
        <v>5</v>
      </c>
      <c r="B140" s="228" t="s">
        <v>3038</v>
      </c>
      <c r="C140" s="228" t="s">
        <v>3039</v>
      </c>
      <c r="D140" s="229">
        <v>8.4</v>
      </c>
      <c r="E140" s="359">
        <v>8.3000000000000007</v>
      </c>
    </row>
    <row r="142" spans="1:5" ht="17.399999999999999" x14ac:dyDescent="0.35">
      <c r="A142" s="399" t="s">
        <v>2871</v>
      </c>
      <c r="B142" s="399"/>
      <c r="C142" s="399"/>
      <c r="D142" s="399"/>
      <c r="E142" s="399"/>
    </row>
    <row r="143" spans="1:5" x14ac:dyDescent="0.3">
      <c r="A143" s="227" t="s">
        <v>318</v>
      </c>
      <c r="B143" s="227" t="s">
        <v>285</v>
      </c>
      <c r="C143" s="227" t="s">
        <v>286</v>
      </c>
      <c r="D143" s="227" t="s">
        <v>287</v>
      </c>
      <c r="E143" s="227" t="s">
        <v>959</v>
      </c>
    </row>
    <row r="144" spans="1:5" x14ac:dyDescent="0.3">
      <c r="A144" s="234">
        <v>1</v>
      </c>
      <c r="B144" s="228" t="s">
        <v>1531</v>
      </c>
      <c r="C144" s="228" t="s">
        <v>2652</v>
      </c>
      <c r="D144" s="229">
        <v>8.91</v>
      </c>
      <c r="E144" s="273">
        <v>8.82</v>
      </c>
    </row>
    <row r="145" spans="1:5" x14ac:dyDescent="0.3">
      <c r="A145" s="236">
        <v>2</v>
      </c>
      <c r="B145" s="231" t="s">
        <v>311</v>
      </c>
      <c r="C145" s="231" t="s">
        <v>2653</v>
      </c>
      <c r="D145" s="232">
        <v>8.8000000000000007</v>
      </c>
      <c r="E145" s="279">
        <v>8.75</v>
      </c>
    </row>
    <row r="146" spans="1:5" x14ac:dyDescent="0.3">
      <c r="A146" s="237">
        <v>3</v>
      </c>
      <c r="B146" s="228" t="s">
        <v>2236</v>
      </c>
      <c r="C146" s="228" t="s">
        <v>2872</v>
      </c>
      <c r="D146" s="229">
        <v>8.66</v>
      </c>
      <c r="E146" s="341">
        <v>8.69</v>
      </c>
    </row>
    <row r="147" spans="1:5" x14ac:dyDescent="0.3">
      <c r="A147" s="238">
        <v>4</v>
      </c>
      <c r="B147" s="231" t="s">
        <v>310</v>
      </c>
      <c r="C147" s="231" t="s">
        <v>159</v>
      </c>
      <c r="D147" s="232">
        <v>8.7100000000000009</v>
      </c>
      <c r="E147" s="287">
        <v>8.65</v>
      </c>
    </row>
    <row r="148" spans="1:5" x14ac:dyDescent="0.3">
      <c r="A148" s="238">
        <v>5</v>
      </c>
      <c r="B148" s="228" t="s">
        <v>2380</v>
      </c>
      <c r="C148" s="228" t="s">
        <v>2381</v>
      </c>
      <c r="D148" s="229">
        <v>7.17</v>
      </c>
      <c r="E148" s="337">
        <v>7.04</v>
      </c>
    </row>
    <row r="150" spans="1:5" ht="17.399999999999999" x14ac:dyDescent="0.35">
      <c r="A150" s="399" t="s">
        <v>2915</v>
      </c>
      <c r="B150" s="399"/>
      <c r="C150" s="399"/>
      <c r="D150" s="399"/>
      <c r="E150" s="399"/>
    </row>
    <row r="151" spans="1:5" x14ac:dyDescent="0.3">
      <c r="A151" s="227" t="s">
        <v>318</v>
      </c>
      <c r="B151" s="227" t="s">
        <v>285</v>
      </c>
      <c r="C151" s="227" t="s">
        <v>286</v>
      </c>
      <c r="D151" s="227" t="s">
        <v>287</v>
      </c>
      <c r="E151" s="227" t="s">
        <v>959</v>
      </c>
    </row>
    <row r="152" spans="1:5" x14ac:dyDescent="0.3">
      <c r="A152" s="234">
        <v>1</v>
      </c>
      <c r="B152" s="228" t="s">
        <v>953</v>
      </c>
      <c r="C152" s="228" t="s">
        <v>951</v>
      </c>
      <c r="D152" s="229">
        <v>10.5</v>
      </c>
      <c r="E152" s="235">
        <v>10.85</v>
      </c>
    </row>
    <row r="153" spans="1:5" x14ac:dyDescent="0.3">
      <c r="A153" s="236">
        <v>2</v>
      </c>
      <c r="B153" s="231" t="s">
        <v>312</v>
      </c>
      <c r="C153" s="231" t="s">
        <v>2655</v>
      </c>
      <c r="D153" s="232">
        <v>8.8699999999999992</v>
      </c>
      <c r="E153" s="266">
        <v>8.91</v>
      </c>
    </row>
    <row r="154" spans="1:5" x14ac:dyDescent="0.3">
      <c r="A154" s="237">
        <v>3</v>
      </c>
      <c r="B154" s="228" t="s">
        <v>1418</v>
      </c>
      <c r="C154" s="228" t="s">
        <v>1419</v>
      </c>
      <c r="D154" s="229">
        <v>8.93</v>
      </c>
      <c r="E154" s="268">
        <v>8.8800000000000008</v>
      </c>
    </row>
    <row r="155" spans="1:5" x14ac:dyDescent="0.3">
      <c r="A155" s="238">
        <v>4</v>
      </c>
      <c r="B155" s="231" t="s">
        <v>357</v>
      </c>
      <c r="C155" s="231" t="s">
        <v>351</v>
      </c>
      <c r="D155" s="232">
        <v>8.8000000000000007</v>
      </c>
      <c r="E155" s="274">
        <v>8.81</v>
      </c>
    </row>
    <row r="156" spans="1:5" x14ac:dyDescent="0.3">
      <c r="A156" s="238">
        <v>5</v>
      </c>
      <c r="B156" s="228" t="s">
        <v>2900</v>
      </c>
      <c r="C156" s="228" t="s">
        <v>2900</v>
      </c>
      <c r="D156" s="229">
        <v>8.8000000000000007</v>
      </c>
      <c r="E156" s="283">
        <v>8.6999999999999993</v>
      </c>
    </row>
    <row r="158" spans="1:5" ht="17.399999999999999" x14ac:dyDescent="0.35">
      <c r="A158" s="399" t="s">
        <v>2916</v>
      </c>
      <c r="B158" s="399"/>
      <c r="C158" s="399"/>
      <c r="D158" s="399"/>
      <c r="E158" s="399"/>
    </row>
    <row r="159" spans="1:5" x14ac:dyDescent="0.3">
      <c r="A159" s="227" t="s">
        <v>318</v>
      </c>
      <c r="B159" s="227" t="s">
        <v>285</v>
      </c>
      <c r="C159" s="227" t="s">
        <v>286</v>
      </c>
      <c r="D159" s="227" t="s">
        <v>287</v>
      </c>
      <c r="E159" s="227" t="s">
        <v>959</v>
      </c>
    </row>
    <row r="160" spans="1:5" x14ac:dyDescent="0.3">
      <c r="A160" s="234">
        <v>1</v>
      </c>
      <c r="B160" s="228" t="s">
        <v>302</v>
      </c>
      <c r="C160" s="228" t="s">
        <v>186</v>
      </c>
      <c r="D160" s="229">
        <v>9.2100000000000009</v>
      </c>
      <c r="E160" s="249">
        <v>9.34</v>
      </c>
    </row>
    <row r="161" spans="1:5" x14ac:dyDescent="0.3">
      <c r="A161" s="236">
        <v>2</v>
      </c>
      <c r="B161" s="231" t="s">
        <v>357</v>
      </c>
      <c r="C161" s="231" t="s">
        <v>351</v>
      </c>
      <c r="D161" s="232">
        <v>8.8000000000000007</v>
      </c>
      <c r="E161" s="274">
        <v>8.81</v>
      </c>
    </row>
    <row r="162" spans="1:5" x14ac:dyDescent="0.3">
      <c r="A162" s="237">
        <v>3</v>
      </c>
      <c r="B162" s="228" t="s">
        <v>2492</v>
      </c>
      <c r="C162" s="228" t="s">
        <v>2493</v>
      </c>
      <c r="D162" s="229">
        <v>8.8800000000000008</v>
      </c>
      <c r="E162" s="277">
        <v>8.77</v>
      </c>
    </row>
    <row r="163" spans="1:5" x14ac:dyDescent="0.3">
      <c r="A163" s="238">
        <v>4</v>
      </c>
      <c r="B163" s="231" t="s">
        <v>2900</v>
      </c>
      <c r="C163" s="231" t="s">
        <v>2900</v>
      </c>
      <c r="D163" s="232">
        <v>8.8000000000000007</v>
      </c>
      <c r="E163" s="283">
        <v>8.6999999999999993</v>
      </c>
    </row>
    <row r="164" spans="1:5" x14ac:dyDescent="0.3">
      <c r="A164" s="238">
        <v>5</v>
      </c>
      <c r="B164" s="228" t="s">
        <v>2588</v>
      </c>
      <c r="C164" s="228" t="s">
        <v>2589</v>
      </c>
      <c r="D164" s="229">
        <v>8.75</v>
      </c>
      <c r="E164" s="285">
        <v>8.67</v>
      </c>
    </row>
    <row r="166" spans="1:5" ht="17.399999999999999" x14ac:dyDescent="0.35">
      <c r="A166" s="399" t="s">
        <v>2663</v>
      </c>
      <c r="B166" s="399"/>
      <c r="C166" s="399"/>
      <c r="D166" s="399"/>
      <c r="E166" s="399"/>
    </row>
    <row r="167" spans="1:5" x14ac:dyDescent="0.3">
      <c r="A167" s="227" t="s">
        <v>318</v>
      </c>
      <c r="B167" s="227" t="s">
        <v>285</v>
      </c>
      <c r="C167" s="227" t="s">
        <v>286</v>
      </c>
      <c r="D167" s="227" t="s">
        <v>287</v>
      </c>
      <c r="E167" s="227" t="s">
        <v>959</v>
      </c>
    </row>
    <row r="168" spans="1:5" x14ac:dyDescent="0.3">
      <c r="A168" s="234">
        <v>1</v>
      </c>
      <c r="B168" s="228" t="s">
        <v>1265</v>
      </c>
      <c r="C168" s="228" t="s">
        <v>1256</v>
      </c>
      <c r="D168" s="229">
        <v>9</v>
      </c>
      <c r="E168" s="262">
        <v>8.9600000000000009</v>
      </c>
    </row>
    <row r="169" spans="1:5" x14ac:dyDescent="0.3">
      <c r="A169" s="236">
        <v>2</v>
      </c>
      <c r="B169" s="231" t="s">
        <v>699</v>
      </c>
      <c r="C169" s="231" t="s">
        <v>700</v>
      </c>
      <c r="D169" s="232">
        <v>8.91</v>
      </c>
      <c r="E169" s="264">
        <v>8.93</v>
      </c>
    </row>
    <row r="170" spans="1:5" x14ac:dyDescent="0.3">
      <c r="A170" s="237">
        <v>3</v>
      </c>
      <c r="B170" s="228" t="s">
        <v>1418</v>
      </c>
      <c r="C170" s="228" t="s">
        <v>1419</v>
      </c>
      <c r="D170" s="229">
        <v>8.93</v>
      </c>
      <c r="E170" s="268">
        <v>8.8800000000000008</v>
      </c>
    </row>
    <row r="171" spans="1:5" x14ac:dyDescent="0.3">
      <c r="A171" s="238">
        <v>4</v>
      </c>
      <c r="B171" s="231" t="s">
        <v>305</v>
      </c>
      <c r="C171" s="231" t="s">
        <v>2654</v>
      </c>
      <c r="D171" s="232">
        <v>8.5399999999999991</v>
      </c>
      <c r="E171" s="302">
        <v>8.4700000000000006</v>
      </c>
    </row>
    <row r="172" spans="1:5" x14ac:dyDescent="0.3">
      <c r="A172" s="238">
        <v>5</v>
      </c>
      <c r="B172" s="228" t="s">
        <v>2295</v>
      </c>
      <c r="C172" s="228" t="s">
        <v>2296</v>
      </c>
      <c r="D172" s="229">
        <v>8.1999999999999993</v>
      </c>
      <c r="E172" s="320">
        <v>8.1300000000000008</v>
      </c>
    </row>
    <row r="174" spans="1:5" ht="17.399999999999999" x14ac:dyDescent="0.35">
      <c r="A174" s="399" t="s">
        <v>2664</v>
      </c>
      <c r="B174" s="399"/>
      <c r="C174" s="399"/>
      <c r="D174" s="399"/>
      <c r="E174" s="399"/>
    </row>
    <row r="175" spans="1:5" x14ac:dyDescent="0.3">
      <c r="A175" s="227" t="s">
        <v>318</v>
      </c>
      <c r="B175" s="227" t="s">
        <v>285</v>
      </c>
      <c r="C175" s="227" t="s">
        <v>286</v>
      </c>
      <c r="D175" s="227" t="s">
        <v>287</v>
      </c>
      <c r="E175" s="227" t="s">
        <v>959</v>
      </c>
    </row>
    <row r="176" spans="1:5" x14ac:dyDescent="0.3">
      <c r="A176" s="234">
        <v>1</v>
      </c>
      <c r="B176" s="228" t="s">
        <v>2536</v>
      </c>
      <c r="C176" s="228" t="s">
        <v>2656</v>
      </c>
      <c r="D176" s="229">
        <v>9.36</v>
      </c>
      <c r="E176" s="244">
        <v>9.5299999999999994</v>
      </c>
    </row>
    <row r="177" spans="1:5" x14ac:dyDescent="0.3">
      <c r="A177" s="236">
        <v>2</v>
      </c>
      <c r="B177" s="231" t="s">
        <v>1697</v>
      </c>
      <c r="C177" s="231" t="s">
        <v>1698</v>
      </c>
      <c r="D177" s="232">
        <v>8.92</v>
      </c>
      <c r="E177" s="272">
        <v>8.83</v>
      </c>
    </row>
    <row r="178" spans="1:5" x14ac:dyDescent="0.3">
      <c r="A178" s="237">
        <v>3</v>
      </c>
      <c r="B178" s="228" t="s">
        <v>2557</v>
      </c>
      <c r="C178" s="228" t="s">
        <v>2556</v>
      </c>
      <c r="D178" s="229">
        <v>8.8800000000000008</v>
      </c>
      <c r="E178" s="274">
        <v>8.81</v>
      </c>
    </row>
    <row r="179" spans="1:5" x14ac:dyDescent="0.3">
      <c r="A179" s="238">
        <v>4</v>
      </c>
      <c r="B179" s="231" t="s">
        <v>1596</v>
      </c>
      <c r="C179" s="231" t="s">
        <v>1595</v>
      </c>
      <c r="D179" s="232">
        <v>8.85</v>
      </c>
      <c r="E179" s="276">
        <v>8.7799999999999994</v>
      </c>
    </row>
    <row r="180" spans="1:5" x14ac:dyDescent="0.3">
      <c r="A180" s="238">
        <v>5</v>
      </c>
      <c r="B180" s="228" t="s">
        <v>2250</v>
      </c>
      <c r="C180" s="228" t="s">
        <v>2249</v>
      </c>
      <c r="D180" s="229">
        <v>8.67</v>
      </c>
      <c r="E180" s="294">
        <v>8.57</v>
      </c>
    </row>
    <row r="182" spans="1:5" ht="17.399999999999999" x14ac:dyDescent="0.35">
      <c r="A182" s="399" t="s">
        <v>3064</v>
      </c>
      <c r="B182" s="399"/>
      <c r="C182" s="399"/>
      <c r="D182" s="399"/>
      <c r="E182" s="399"/>
    </row>
    <row r="183" spans="1:5" x14ac:dyDescent="0.3">
      <c r="A183" s="227" t="s">
        <v>318</v>
      </c>
      <c r="B183" s="227" t="s">
        <v>285</v>
      </c>
      <c r="C183" s="227" t="s">
        <v>286</v>
      </c>
      <c r="D183" s="227" t="s">
        <v>287</v>
      </c>
      <c r="E183" s="227" t="s">
        <v>959</v>
      </c>
    </row>
    <row r="184" spans="1:5" x14ac:dyDescent="0.3">
      <c r="A184" s="234">
        <v>1</v>
      </c>
      <c r="B184" s="228" t="s">
        <v>301</v>
      </c>
      <c r="C184" s="228" t="s">
        <v>2658</v>
      </c>
      <c r="D184" s="229">
        <v>9.02</v>
      </c>
      <c r="E184" s="348">
        <v>9.07</v>
      </c>
    </row>
    <row r="185" spans="1:5" x14ac:dyDescent="0.3">
      <c r="A185" s="236">
        <v>2</v>
      </c>
      <c r="B185" s="231" t="s">
        <v>304</v>
      </c>
      <c r="C185" s="231" t="s">
        <v>2659</v>
      </c>
      <c r="D185" s="232">
        <v>8.39</v>
      </c>
      <c r="E185" s="309">
        <v>8.3699999999999992</v>
      </c>
    </row>
    <row r="186" spans="1:5" x14ac:dyDescent="0.3">
      <c r="A186" s="237">
        <v>3</v>
      </c>
      <c r="B186" s="228" t="s">
        <v>3053</v>
      </c>
      <c r="C186" s="228" t="s">
        <v>3054</v>
      </c>
      <c r="D186" s="229">
        <v>8.4499999999999993</v>
      </c>
      <c r="E186" s="310">
        <v>8.34</v>
      </c>
    </row>
    <row r="190" spans="1:5" ht="17.399999999999999" x14ac:dyDescent="0.35">
      <c r="A190" s="399" t="s">
        <v>2665</v>
      </c>
      <c r="B190" s="399"/>
      <c r="C190" s="399"/>
      <c r="D190" s="399"/>
      <c r="E190" s="399"/>
    </row>
    <row r="191" spans="1:5" x14ac:dyDescent="0.3">
      <c r="A191" s="227" t="s">
        <v>318</v>
      </c>
      <c r="B191" s="227" t="s">
        <v>285</v>
      </c>
      <c r="C191" s="227" t="s">
        <v>286</v>
      </c>
      <c r="D191" s="227" t="s">
        <v>287</v>
      </c>
      <c r="E191" s="227" t="s">
        <v>959</v>
      </c>
    </row>
    <row r="192" spans="1:5" x14ac:dyDescent="0.3">
      <c r="A192" s="234">
        <v>1</v>
      </c>
      <c r="B192" s="228" t="s">
        <v>292</v>
      </c>
      <c r="C192" s="228" t="s">
        <v>1177</v>
      </c>
      <c r="D192" s="229">
        <v>9.36</v>
      </c>
      <c r="E192" s="242">
        <v>9.6</v>
      </c>
    </row>
    <row r="193" spans="1:5" x14ac:dyDescent="0.3">
      <c r="A193" s="236">
        <v>2</v>
      </c>
      <c r="B193" s="231" t="s">
        <v>1369</v>
      </c>
      <c r="C193" s="231" t="s">
        <v>2657</v>
      </c>
      <c r="D193" s="232">
        <v>8.77</v>
      </c>
      <c r="E193" s="285">
        <v>8.67</v>
      </c>
    </row>
    <row r="194" spans="1:5" x14ac:dyDescent="0.3">
      <c r="A194" s="237">
        <v>3</v>
      </c>
      <c r="B194" s="228" t="s">
        <v>1173</v>
      </c>
      <c r="C194" s="228" t="s">
        <v>1168</v>
      </c>
      <c r="D194" s="229">
        <v>8.75</v>
      </c>
      <c r="E194" s="289">
        <v>8.6300000000000008</v>
      </c>
    </row>
    <row r="195" spans="1:5" x14ac:dyDescent="0.3">
      <c r="A195" s="238">
        <v>4</v>
      </c>
      <c r="B195" s="231" t="s">
        <v>2250</v>
      </c>
      <c r="C195" s="231" t="s">
        <v>2249</v>
      </c>
      <c r="D195" s="232">
        <v>8.67</v>
      </c>
      <c r="E195" s="294">
        <v>8.57</v>
      </c>
    </row>
    <row r="196" spans="1:5" x14ac:dyDescent="0.3">
      <c r="A196" s="238">
        <v>5</v>
      </c>
      <c r="B196" s="228" t="s">
        <v>1581</v>
      </c>
      <c r="C196" s="228" t="s">
        <v>1582</v>
      </c>
      <c r="D196" s="229">
        <v>8.4</v>
      </c>
      <c r="E196" s="309">
        <v>8.3699999999999992</v>
      </c>
    </row>
    <row r="198" spans="1:5" ht="17.399999999999999" x14ac:dyDescent="0.35">
      <c r="A198" s="399" t="s">
        <v>2695</v>
      </c>
      <c r="B198" s="399"/>
      <c r="C198" s="399"/>
      <c r="D198" s="399"/>
      <c r="E198" s="399"/>
    </row>
    <row r="199" spans="1:5" x14ac:dyDescent="0.3">
      <c r="A199" s="227" t="s">
        <v>318</v>
      </c>
      <c r="B199" s="227" t="s">
        <v>285</v>
      </c>
      <c r="C199" s="227" t="s">
        <v>286</v>
      </c>
      <c r="D199" s="227" t="s">
        <v>287</v>
      </c>
      <c r="E199" s="227" t="s">
        <v>959</v>
      </c>
    </row>
    <row r="200" spans="1:5" x14ac:dyDescent="0.3">
      <c r="A200" s="234">
        <v>1</v>
      </c>
      <c r="B200" s="228" t="s">
        <v>293</v>
      </c>
      <c r="C200" s="228" t="s">
        <v>2660</v>
      </c>
      <c r="D200" s="229">
        <v>8.52</v>
      </c>
      <c r="E200" s="295">
        <v>8.56</v>
      </c>
    </row>
    <row r="201" spans="1:5" x14ac:dyDescent="0.3">
      <c r="A201" s="236">
        <v>2</v>
      </c>
      <c r="B201" s="231" t="s">
        <v>303</v>
      </c>
      <c r="C201" s="231" t="s">
        <v>2661</v>
      </c>
      <c r="D201" s="232">
        <v>8.61</v>
      </c>
      <c r="E201" s="291">
        <v>8.61</v>
      </c>
    </row>
    <row r="202" spans="1:5" x14ac:dyDescent="0.3">
      <c r="A202" s="237">
        <v>3</v>
      </c>
      <c r="B202" s="228" t="s">
        <v>1666</v>
      </c>
      <c r="C202" s="228" t="s">
        <v>2678</v>
      </c>
      <c r="D202" s="229">
        <v>8.5</v>
      </c>
      <c r="E202" s="302">
        <v>8.4700000000000006</v>
      </c>
    </row>
    <row r="206" spans="1:5" ht="17.399999999999999" x14ac:dyDescent="0.35">
      <c r="A206" s="399" t="s">
        <v>3103</v>
      </c>
      <c r="B206" s="399"/>
      <c r="C206" s="399"/>
      <c r="D206" s="399"/>
      <c r="E206" s="399"/>
    </row>
    <row r="207" spans="1:5" x14ac:dyDescent="0.3">
      <c r="A207" s="227" t="s">
        <v>318</v>
      </c>
      <c r="B207" s="227" t="s">
        <v>285</v>
      </c>
      <c r="C207" s="227" t="s">
        <v>286</v>
      </c>
      <c r="D207" s="227" t="s">
        <v>287</v>
      </c>
      <c r="E207" s="227" t="s">
        <v>959</v>
      </c>
    </row>
    <row r="208" spans="1:5" x14ac:dyDescent="0.3">
      <c r="A208" s="234">
        <v>1</v>
      </c>
      <c r="B208" s="228" t="s">
        <v>2796</v>
      </c>
      <c r="C208" s="228" t="s">
        <v>3104</v>
      </c>
      <c r="D208" s="229">
        <v>8.83</v>
      </c>
      <c r="E208" s="272">
        <v>8.84</v>
      </c>
    </row>
    <row r="209" spans="1:5" x14ac:dyDescent="0.3">
      <c r="A209" s="236">
        <v>2</v>
      </c>
      <c r="B209" s="231" t="s">
        <v>312</v>
      </c>
      <c r="C209" s="231" t="s">
        <v>1758</v>
      </c>
      <c r="D209" s="232">
        <v>8.9600000000000009</v>
      </c>
      <c r="E209" s="264">
        <v>8.93</v>
      </c>
    </row>
    <row r="210" spans="1:5" x14ac:dyDescent="0.3">
      <c r="A210" s="237">
        <v>3</v>
      </c>
      <c r="B210" s="228" t="s">
        <v>1407</v>
      </c>
      <c r="C210" s="228" t="s">
        <v>2804</v>
      </c>
      <c r="D210" s="229">
        <v>8.66</v>
      </c>
      <c r="E210" s="291">
        <v>8.61</v>
      </c>
    </row>
    <row r="214" spans="1:5" ht="17.399999999999999" x14ac:dyDescent="0.35">
      <c r="A214" s="399" t="s">
        <v>3105</v>
      </c>
      <c r="B214" s="399"/>
      <c r="C214" s="399"/>
      <c r="D214" s="399"/>
      <c r="E214" s="399"/>
    </row>
    <row r="215" spans="1:5" x14ac:dyDescent="0.3">
      <c r="A215" s="227" t="s">
        <v>318</v>
      </c>
      <c r="B215" s="227" t="s">
        <v>285</v>
      </c>
      <c r="C215" s="227" t="s">
        <v>286</v>
      </c>
      <c r="D215" s="227" t="s">
        <v>287</v>
      </c>
      <c r="E215" s="227" t="s">
        <v>959</v>
      </c>
    </row>
    <row r="216" spans="1:5" x14ac:dyDescent="0.3">
      <c r="A216" s="234">
        <v>1</v>
      </c>
      <c r="B216" s="228" t="s">
        <v>2796</v>
      </c>
      <c r="C216" s="228" t="s">
        <v>3104</v>
      </c>
      <c r="D216" s="229">
        <v>8.83</v>
      </c>
      <c r="E216" s="272">
        <v>8.84</v>
      </c>
    </row>
    <row r="217" spans="1:5" x14ac:dyDescent="0.3">
      <c r="A217" s="236">
        <v>2</v>
      </c>
      <c r="B217" s="231" t="s">
        <v>1433</v>
      </c>
      <c r="C217" s="231" t="s">
        <v>1434</v>
      </c>
      <c r="D217" s="232">
        <v>8.75</v>
      </c>
      <c r="E217" s="283">
        <v>8.6999999999999993</v>
      </c>
    </row>
    <row r="218" spans="1:5" x14ac:dyDescent="0.3">
      <c r="A218" s="237">
        <v>3</v>
      </c>
      <c r="B218" s="228" t="s">
        <v>309</v>
      </c>
      <c r="C218" s="228" t="s">
        <v>218</v>
      </c>
      <c r="D218" s="229">
        <v>8.77</v>
      </c>
      <c r="E218" s="286">
        <v>8.66</v>
      </c>
    </row>
    <row r="219" spans="1:5" x14ac:dyDescent="0.3">
      <c r="A219" s="238">
        <v>4</v>
      </c>
      <c r="B219" s="231" t="s">
        <v>2799</v>
      </c>
      <c r="C219" s="231" t="s">
        <v>2800</v>
      </c>
      <c r="D219" s="232">
        <v>8.4</v>
      </c>
      <c r="E219" s="309">
        <v>8.3699999999999992</v>
      </c>
    </row>
    <row r="222" spans="1:5" ht="17.399999999999999" x14ac:dyDescent="0.35">
      <c r="A222" s="399" t="s">
        <v>2979</v>
      </c>
      <c r="B222" s="399"/>
      <c r="C222" s="399"/>
      <c r="D222" s="399"/>
      <c r="E222" s="399"/>
    </row>
    <row r="223" spans="1:5" x14ac:dyDescent="0.3">
      <c r="A223" s="227" t="s">
        <v>318</v>
      </c>
      <c r="B223" s="227" t="s">
        <v>285</v>
      </c>
      <c r="C223" s="227" t="s">
        <v>286</v>
      </c>
      <c r="D223" s="227" t="s">
        <v>287</v>
      </c>
      <c r="E223" s="227" t="s">
        <v>959</v>
      </c>
    </row>
    <row r="224" spans="1:5" x14ac:dyDescent="0.3">
      <c r="A224" s="234">
        <v>1</v>
      </c>
      <c r="B224" s="228" t="s">
        <v>1938</v>
      </c>
      <c r="C224" s="228" t="s">
        <v>1931</v>
      </c>
      <c r="D224" s="229">
        <v>9.31</v>
      </c>
      <c r="E224" s="246">
        <v>9.43</v>
      </c>
    </row>
    <row r="225" spans="1:5" x14ac:dyDescent="0.3">
      <c r="A225" s="236">
        <v>2</v>
      </c>
      <c r="B225" s="231" t="s">
        <v>1618</v>
      </c>
      <c r="C225" s="231" t="s">
        <v>2980</v>
      </c>
      <c r="D225" s="232">
        <v>8.81</v>
      </c>
      <c r="E225" s="277">
        <v>8.77</v>
      </c>
    </row>
    <row r="226" spans="1:5" x14ac:dyDescent="0.3">
      <c r="A226" s="237">
        <v>3</v>
      </c>
      <c r="B226" s="228" t="s">
        <v>301</v>
      </c>
      <c r="C226" s="228" t="s">
        <v>301</v>
      </c>
      <c r="D226" s="229">
        <v>8.4600000000000009</v>
      </c>
      <c r="E226" s="287">
        <v>8.65</v>
      </c>
    </row>
    <row r="227" spans="1:5" x14ac:dyDescent="0.3">
      <c r="A227" s="238">
        <v>4</v>
      </c>
      <c r="B227" s="231" t="s">
        <v>2975</v>
      </c>
      <c r="C227" s="231" t="s">
        <v>2976</v>
      </c>
      <c r="D227" s="232">
        <v>8.58</v>
      </c>
      <c r="E227" s="300">
        <v>8.5</v>
      </c>
    </row>
    <row r="230" spans="1:5" ht="17.399999999999999" x14ac:dyDescent="0.35">
      <c r="A230" s="399" t="s">
        <v>2666</v>
      </c>
      <c r="B230" s="399"/>
      <c r="C230" s="399"/>
      <c r="D230" s="399"/>
      <c r="E230" s="399"/>
    </row>
    <row r="231" spans="1:5" x14ac:dyDescent="0.3">
      <c r="A231" s="227" t="s">
        <v>318</v>
      </c>
      <c r="B231" s="227" t="s">
        <v>285</v>
      </c>
      <c r="C231" s="227" t="s">
        <v>286</v>
      </c>
      <c r="D231" s="227" t="s">
        <v>287</v>
      </c>
      <c r="E231" s="227" t="s">
        <v>959</v>
      </c>
    </row>
    <row r="232" spans="1:5" x14ac:dyDescent="0.3">
      <c r="A232" s="234">
        <v>1</v>
      </c>
      <c r="B232" s="228" t="s">
        <v>1304</v>
      </c>
      <c r="C232" s="228" t="s">
        <v>1305</v>
      </c>
      <c r="D232" s="229">
        <v>8.82</v>
      </c>
      <c r="E232" s="268">
        <v>8.8800000000000008</v>
      </c>
    </row>
    <row r="233" spans="1:5" x14ac:dyDescent="0.3">
      <c r="A233" s="236">
        <v>2</v>
      </c>
      <c r="B233" s="231" t="s">
        <v>795</v>
      </c>
      <c r="C233" s="231" t="s">
        <v>2662</v>
      </c>
      <c r="D233" s="232">
        <v>8.64</v>
      </c>
      <c r="E233" s="289">
        <v>8.6300000000000008</v>
      </c>
    </row>
    <row r="234" spans="1:5" x14ac:dyDescent="0.3">
      <c r="A234" s="237">
        <v>3</v>
      </c>
      <c r="B234" s="228" t="s">
        <v>1387</v>
      </c>
      <c r="C234" s="228" t="s">
        <v>1392</v>
      </c>
      <c r="D234" s="229">
        <v>8.8000000000000007</v>
      </c>
      <c r="E234" s="284">
        <v>8.68</v>
      </c>
    </row>
    <row r="235" spans="1:5" x14ac:dyDescent="0.3">
      <c r="A235" s="238">
        <v>4</v>
      </c>
      <c r="B235" s="231" t="s">
        <v>2159</v>
      </c>
      <c r="C235" s="231" t="s">
        <v>2160</v>
      </c>
      <c r="D235" s="232">
        <v>8.5399999999999991</v>
      </c>
      <c r="E235" s="306">
        <v>8.41</v>
      </c>
    </row>
    <row r="238" spans="1:5" ht="17.399999999999999" x14ac:dyDescent="0.35">
      <c r="A238" s="399" t="s">
        <v>3365</v>
      </c>
      <c r="B238" s="399"/>
      <c r="C238" s="399"/>
      <c r="D238" s="399"/>
      <c r="E238" s="399"/>
    </row>
    <row r="239" spans="1:5" x14ac:dyDescent="0.3">
      <c r="A239" s="227" t="s">
        <v>318</v>
      </c>
      <c r="B239" s="227" t="s">
        <v>285</v>
      </c>
      <c r="C239" s="227" t="s">
        <v>286</v>
      </c>
      <c r="D239" s="227" t="s">
        <v>287</v>
      </c>
      <c r="E239" s="227" t="s">
        <v>959</v>
      </c>
    </row>
    <row r="240" spans="1:5" x14ac:dyDescent="0.3">
      <c r="A240" s="234">
        <v>1</v>
      </c>
      <c r="B240" s="228" t="s">
        <v>2310</v>
      </c>
      <c r="C240" s="228" t="s">
        <v>2300</v>
      </c>
      <c r="D240" s="229">
        <v>8.86</v>
      </c>
      <c r="E240" s="280">
        <v>8.74</v>
      </c>
    </row>
    <row r="241" spans="1:5" x14ac:dyDescent="0.3">
      <c r="A241" s="236">
        <v>2</v>
      </c>
      <c r="B241" s="231" t="s">
        <v>3007</v>
      </c>
      <c r="C241" s="231" t="s">
        <v>3008</v>
      </c>
      <c r="D241" s="232">
        <v>8.85</v>
      </c>
      <c r="E241" s="281">
        <v>8.7200000000000006</v>
      </c>
    </row>
    <row r="242" spans="1:5" x14ac:dyDescent="0.3">
      <c r="A242" s="237">
        <v>3</v>
      </c>
      <c r="B242" s="228" t="s">
        <v>3079</v>
      </c>
      <c r="C242" s="228" t="s">
        <v>3067</v>
      </c>
      <c r="D242" s="229">
        <v>8.6300000000000008</v>
      </c>
      <c r="E242" s="298">
        <v>8.5299999999999994</v>
      </c>
    </row>
    <row r="243" spans="1:5" x14ac:dyDescent="0.3">
      <c r="A243" s="238">
        <v>4</v>
      </c>
      <c r="B243" s="231" t="s">
        <v>3357</v>
      </c>
      <c r="C243" s="231" t="s">
        <v>3358</v>
      </c>
      <c r="D243" s="232">
        <v>8.58</v>
      </c>
      <c r="E243" s="379">
        <v>8.51</v>
      </c>
    </row>
    <row r="244" spans="1:5" x14ac:dyDescent="0.3">
      <c r="A244" s="238">
        <v>5</v>
      </c>
      <c r="B244" s="228" t="s">
        <v>2590</v>
      </c>
      <c r="C244" s="228" t="s">
        <v>2586</v>
      </c>
      <c r="D244" s="229">
        <v>8.5500000000000007</v>
      </c>
      <c r="E244" s="302">
        <v>8.4700000000000006</v>
      </c>
    </row>
  </sheetData>
  <mergeCells count="22">
    <mergeCell ref="A1:N1"/>
    <mergeCell ref="A35:E35"/>
    <mergeCell ref="A63:E63"/>
    <mergeCell ref="A94:E94"/>
    <mergeCell ref="A102:E102"/>
    <mergeCell ref="A110:E110"/>
    <mergeCell ref="A118:E118"/>
    <mergeCell ref="A126:E126"/>
    <mergeCell ref="A134:E134"/>
    <mergeCell ref="A214:E214"/>
    <mergeCell ref="A222:E222"/>
    <mergeCell ref="A230:E230"/>
    <mergeCell ref="A238:E238"/>
    <mergeCell ref="A142:E142"/>
    <mergeCell ref="A150:E150"/>
    <mergeCell ref="A158:E158"/>
    <mergeCell ref="A166:E166"/>
    <mergeCell ref="A174:E174"/>
    <mergeCell ref="A182:E182"/>
    <mergeCell ref="A190:E190"/>
    <mergeCell ref="A198:E198"/>
    <mergeCell ref="A206:E20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F0F166-4FCD-4F40-8FF3-DD389DBF85F4}">
  <dimension ref="A1:E102"/>
  <sheetViews>
    <sheetView topLeftCell="A63" zoomScale="80" zoomScaleNormal="80" workbookViewId="0">
      <selection activeCell="E10" sqref="E10"/>
    </sheetView>
  </sheetViews>
  <sheetFormatPr defaultColWidth="8.796875" defaultRowHeight="15.6" x14ac:dyDescent="0.3"/>
  <cols>
    <col min="1" max="1" width="4.3984375" bestFit="1" customWidth="1"/>
    <col min="2" max="2" width="36.69921875" customWidth="1"/>
    <col min="3" max="3" width="33.296875" customWidth="1"/>
    <col min="4" max="4" width="25" customWidth="1"/>
    <col min="5" max="5" width="32.59765625" bestFit="1" customWidth="1"/>
  </cols>
  <sheetData>
    <row r="1" spans="1:5" ht="17.399999999999999" x14ac:dyDescent="0.35">
      <c r="A1" s="399" t="s">
        <v>3192</v>
      </c>
      <c r="B1" s="399"/>
      <c r="C1" s="399"/>
      <c r="D1" s="399"/>
      <c r="E1" s="399"/>
    </row>
    <row r="2" spans="1:5" x14ac:dyDescent="0.3">
      <c r="A2" s="227" t="s">
        <v>318</v>
      </c>
      <c r="B2" s="227" t="s">
        <v>3106</v>
      </c>
      <c r="C2" s="227" t="s">
        <v>286</v>
      </c>
      <c r="D2" s="227" t="s">
        <v>285</v>
      </c>
      <c r="E2" s="227" t="s">
        <v>3193</v>
      </c>
    </row>
    <row r="3" spans="1:5" x14ac:dyDescent="0.3">
      <c r="A3" s="234">
        <v>1</v>
      </c>
      <c r="B3" s="364" t="s">
        <v>0</v>
      </c>
      <c r="C3" s="364" t="s">
        <v>7</v>
      </c>
      <c r="D3" s="228" t="s">
        <v>292</v>
      </c>
      <c r="E3" s="228" t="s">
        <v>712</v>
      </c>
    </row>
    <row r="4" spans="1:5" x14ac:dyDescent="0.3">
      <c r="A4" s="236">
        <v>2</v>
      </c>
      <c r="B4" s="363" t="s">
        <v>951</v>
      </c>
      <c r="C4" s="363" t="s">
        <v>951</v>
      </c>
      <c r="D4" s="231" t="s">
        <v>953</v>
      </c>
      <c r="E4" s="231" t="s">
        <v>954</v>
      </c>
    </row>
    <row r="5" spans="1:5" x14ac:dyDescent="0.3">
      <c r="A5" s="237">
        <v>3</v>
      </c>
      <c r="B5" s="364" t="s">
        <v>980</v>
      </c>
      <c r="C5" s="364" t="s">
        <v>983</v>
      </c>
      <c r="D5" s="228" t="s">
        <v>298</v>
      </c>
      <c r="E5" s="228" t="s">
        <v>714</v>
      </c>
    </row>
    <row r="6" spans="1:5" x14ac:dyDescent="0.3">
      <c r="A6" s="238">
        <v>4</v>
      </c>
      <c r="B6" s="363" t="s">
        <v>14</v>
      </c>
      <c r="C6" s="363" t="s">
        <v>294</v>
      </c>
      <c r="D6" s="231" t="s">
        <v>293</v>
      </c>
      <c r="E6" s="231" t="s">
        <v>713</v>
      </c>
    </row>
    <row r="7" spans="1:5" x14ac:dyDescent="0.3">
      <c r="A7" s="238">
        <v>5</v>
      </c>
      <c r="B7" s="364" t="s">
        <v>630</v>
      </c>
      <c r="C7" s="364" t="s">
        <v>634</v>
      </c>
      <c r="D7" s="228" t="s">
        <v>2536</v>
      </c>
      <c r="E7" s="228" t="s">
        <v>1044</v>
      </c>
    </row>
    <row r="8" spans="1:5" x14ac:dyDescent="0.3">
      <c r="A8" s="238">
        <v>6</v>
      </c>
      <c r="B8" s="363" t="s">
        <v>145</v>
      </c>
      <c r="C8" s="363" t="s">
        <v>295</v>
      </c>
      <c r="D8" s="231" t="s">
        <v>293</v>
      </c>
      <c r="E8" s="231" t="s">
        <v>713</v>
      </c>
    </row>
    <row r="9" spans="1:5" x14ac:dyDescent="0.3">
      <c r="A9" s="238">
        <v>7</v>
      </c>
      <c r="B9" s="364" t="s">
        <v>48</v>
      </c>
      <c r="C9" s="364" t="s">
        <v>299</v>
      </c>
      <c r="D9" s="228" t="s">
        <v>298</v>
      </c>
      <c r="E9" s="228" t="s">
        <v>715</v>
      </c>
    </row>
    <row r="10" spans="1:5" x14ac:dyDescent="0.3">
      <c r="A10" s="238">
        <v>8</v>
      </c>
      <c r="B10" s="363" t="s">
        <v>506</v>
      </c>
      <c r="C10" s="363" t="s">
        <v>517</v>
      </c>
      <c r="D10" s="231" t="s">
        <v>292</v>
      </c>
      <c r="E10" s="231" t="s">
        <v>712</v>
      </c>
    </row>
    <row r="11" spans="1:5" x14ac:dyDescent="0.3">
      <c r="A11" s="238">
        <v>9</v>
      </c>
      <c r="B11" s="364" t="s">
        <v>142</v>
      </c>
      <c r="C11" s="364" t="s">
        <v>156</v>
      </c>
      <c r="D11" s="228" t="s">
        <v>292</v>
      </c>
      <c r="E11" s="228" t="s">
        <v>712</v>
      </c>
    </row>
    <row r="12" spans="1:5" x14ac:dyDescent="0.3">
      <c r="A12" s="238">
        <v>10</v>
      </c>
      <c r="B12" s="363" t="s">
        <v>2350</v>
      </c>
      <c r="C12" s="363" t="s">
        <v>2350</v>
      </c>
      <c r="D12" s="231" t="s">
        <v>2366</v>
      </c>
      <c r="E12" s="231" t="s">
        <v>1026</v>
      </c>
    </row>
    <row r="13" spans="1:5" x14ac:dyDescent="0.3">
      <c r="A13" s="238">
        <v>11</v>
      </c>
      <c r="B13" s="364" t="s">
        <v>1178</v>
      </c>
      <c r="C13" s="364" t="s">
        <v>1177</v>
      </c>
      <c r="D13" s="228" t="s">
        <v>292</v>
      </c>
      <c r="E13" s="228" t="s">
        <v>1189</v>
      </c>
    </row>
    <row r="14" spans="1:5" x14ac:dyDescent="0.3">
      <c r="A14" s="238">
        <v>12</v>
      </c>
      <c r="B14" s="363" t="s">
        <v>702</v>
      </c>
      <c r="C14" s="363" t="s">
        <v>727</v>
      </c>
      <c r="D14" s="231" t="s">
        <v>298</v>
      </c>
      <c r="E14" s="231" t="s">
        <v>715</v>
      </c>
    </row>
    <row r="15" spans="1:5" x14ac:dyDescent="0.3">
      <c r="A15" s="238">
        <v>13</v>
      </c>
      <c r="B15" s="364" t="s">
        <v>213</v>
      </c>
      <c r="C15" s="364" t="s">
        <v>239</v>
      </c>
      <c r="D15" s="228" t="s">
        <v>296</v>
      </c>
      <c r="E15" s="228" t="s">
        <v>720</v>
      </c>
    </row>
    <row r="16" spans="1:5" x14ac:dyDescent="0.3">
      <c r="A16" s="238">
        <v>14</v>
      </c>
      <c r="B16" s="363" t="s">
        <v>2335</v>
      </c>
      <c r="C16" s="363" t="s">
        <v>2441</v>
      </c>
      <c r="D16" s="231" t="s">
        <v>292</v>
      </c>
      <c r="E16" s="231" t="s">
        <v>2442</v>
      </c>
    </row>
    <row r="17" spans="1:5" x14ac:dyDescent="0.3">
      <c r="A17" s="238">
        <v>15</v>
      </c>
      <c r="B17" s="364" t="s">
        <v>391</v>
      </c>
      <c r="C17" s="364" t="s">
        <v>1118</v>
      </c>
      <c r="D17" s="228" t="s">
        <v>297</v>
      </c>
      <c r="E17" s="228" t="s">
        <v>714</v>
      </c>
    </row>
    <row r="18" spans="1:5" x14ac:dyDescent="0.3">
      <c r="A18" s="238">
        <v>16</v>
      </c>
      <c r="B18" s="363" t="s">
        <v>1931</v>
      </c>
      <c r="C18" s="363" t="s">
        <v>1931</v>
      </c>
      <c r="D18" s="231" t="s">
        <v>1938</v>
      </c>
      <c r="E18" s="231" t="s">
        <v>1939</v>
      </c>
    </row>
    <row r="19" spans="1:5" x14ac:dyDescent="0.3">
      <c r="A19" s="238">
        <v>17</v>
      </c>
      <c r="B19" s="364" t="s">
        <v>61</v>
      </c>
      <c r="C19" s="364" t="s">
        <v>56</v>
      </c>
      <c r="D19" s="228" t="s">
        <v>301</v>
      </c>
      <c r="E19" s="228" t="s">
        <v>734</v>
      </c>
    </row>
    <row r="20" spans="1:5" x14ac:dyDescent="0.3">
      <c r="A20" s="238">
        <v>18</v>
      </c>
      <c r="B20" s="363" t="s">
        <v>253</v>
      </c>
      <c r="C20" s="363" t="s">
        <v>251</v>
      </c>
      <c r="D20" s="231" t="s">
        <v>293</v>
      </c>
      <c r="E20" s="231" t="s">
        <v>814</v>
      </c>
    </row>
    <row r="21" spans="1:5" x14ac:dyDescent="0.3">
      <c r="A21" s="238">
        <v>19</v>
      </c>
      <c r="B21" s="364" t="s">
        <v>965</v>
      </c>
      <c r="C21" s="364" t="s">
        <v>961</v>
      </c>
      <c r="D21" s="228" t="s">
        <v>297</v>
      </c>
      <c r="E21" s="228" t="s">
        <v>714</v>
      </c>
    </row>
    <row r="22" spans="1:5" x14ac:dyDescent="0.3">
      <c r="A22" s="238">
        <v>20</v>
      </c>
      <c r="B22" s="363" t="s">
        <v>176</v>
      </c>
      <c r="C22" s="363" t="s">
        <v>186</v>
      </c>
      <c r="D22" s="231" t="s">
        <v>302</v>
      </c>
      <c r="E22" s="231" t="s">
        <v>717</v>
      </c>
    </row>
    <row r="23" spans="1:5" x14ac:dyDescent="0.3">
      <c r="A23" s="238">
        <v>21</v>
      </c>
      <c r="B23" s="364" t="s">
        <v>128</v>
      </c>
      <c r="C23" s="364" t="s">
        <v>131</v>
      </c>
      <c r="D23" s="228" t="s">
        <v>300</v>
      </c>
      <c r="E23" s="228" t="s">
        <v>735</v>
      </c>
    </row>
    <row r="24" spans="1:5" x14ac:dyDescent="0.3">
      <c r="A24" s="238">
        <v>22</v>
      </c>
      <c r="B24" s="363" t="s">
        <v>39</v>
      </c>
      <c r="C24" s="363" t="s">
        <v>36</v>
      </c>
      <c r="D24" s="231" t="s">
        <v>405</v>
      </c>
      <c r="E24" s="231" t="s">
        <v>714</v>
      </c>
    </row>
    <row r="25" spans="1:5" x14ac:dyDescent="0.3">
      <c r="A25" s="238">
        <v>23</v>
      </c>
      <c r="B25" s="364" t="s">
        <v>461</v>
      </c>
      <c r="C25" s="364" t="s">
        <v>459</v>
      </c>
      <c r="D25" s="228" t="s">
        <v>441</v>
      </c>
      <c r="E25" s="228" t="s">
        <v>716</v>
      </c>
    </row>
    <row r="26" spans="1:5" x14ac:dyDescent="0.3">
      <c r="A26" s="238">
        <v>24</v>
      </c>
      <c r="B26" s="363" t="s">
        <v>655</v>
      </c>
      <c r="C26" s="363" t="s">
        <v>653</v>
      </c>
      <c r="D26" s="231" t="s">
        <v>301</v>
      </c>
      <c r="E26" s="231" t="s">
        <v>734</v>
      </c>
    </row>
    <row r="27" spans="1:5" x14ac:dyDescent="0.3">
      <c r="A27" s="238">
        <v>25</v>
      </c>
      <c r="B27" s="364" t="s">
        <v>2429</v>
      </c>
      <c r="C27" s="364" t="s">
        <v>2440</v>
      </c>
      <c r="D27" s="228" t="s">
        <v>303</v>
      </c>
      <c r="E27" s="228" t="s">
        <v>2454</v>
      </c>
    </row>
    <row r="28" spans="1:5" x14ac:dyDescent="0.3">
      <c r="A28" s="238">
        <v>26</v>
      </c>
      <c r="B28" s="363" t="s">
        <v>395</v>
      </c>
      <c r="C28" s="363" t="s">
        <v>393</v>
      </c>
      <c r="D28" s="231" t="s">
        <v>293</v>
      </c>
      <c r="E28" s="231" t="s">
        <v>732</v>
      </c>
    </row>
    <row r="29" spans="1:5" x14ac:dyDescent="0.3">
      <c r="A29" s="238">
        <v>27</v>
      </c>
      <c r="B29" s="364" t="s">
        <v>916</v>
      </c>
      <c r="C29" s="364" t="s">
        <v>924</v>
      </c>
      <c r="D29" s="228" t="s">
        <v>300</v>
      </c>
      <c r="E29" s="228" t="s">
        <v>735</v>
      </c>
    </row>
    <row r="30" spans="1:5" x14ac:dyDescent="0.3">
      <c r="A30" s="238">
        <v>28</v>
      </c>
      <c r="B30" s="363" t="s">
        <v>862</v>
      </c>
      <c r="C30" s="363" t="s">
        <v>857</v>
      </c>
      <c r="D30" s="231" t="s">
        <v>866</v>
      </c>
      <c r="E30" s="231" t="s">
        <v>867</v>
      </c>
    </row>
    <row r="31" spans="1:5" x14ac:dyDescent="0.3">
      <c r="A31" s="238">
        <v>29</v>
      </c>
      <c r="B31" s="364" t="s">
        <v>64</v>
      </c>
      <c r="C31" s="364" t="s">
        <v>157</v>
      </c>
      <c r="D31" s="228" t="s">
        <v>303</v>
      </c>
      <c r="E31" s="228" t="s">
        <v>718</v>
      </c>
    </row>
    <row r="32" spans="1:5" x14ac:dyDescent="0.3">
      <c r="A32" s="238">
        <v>30</v>
      </c>
      <c r="B32" s="363" t="s">
        <v>236</v>
      </c>
      <c r="C32" s="363" t="s">
        <v>229</v>
      </c>
      <c r="D32" s="231" t="s">
        <v>304</v>
      </c>
      <c r="E32" s="231" t="s">
        <v>734</v>
      </c>
    </row>
    <row r="33" spans="1:5" x14ac:dyDescent="0.3">
      <c r="A33" s="238">
        <v>31</v>
      </c>
      <c r="B33" s="364" t="s">
        <v>1067</v>
      </c>
      <c r="C33" s="364" t="s">
        <v>1065</v>
      </c>
      <c r="D33" s="228" t="s">
        <v>301</v>
      </c>
      <c r="E33" s="228" t="s">
        <v>734</v>
      </c>
    </row>
    <row r="34" spans="1:5" x14ac:dyDescent="0.3">
      <c r="A34" s="238">
        <v>32</v>
      </c>
      <c r="B34" s="363" t="s">
        <v>612</v>
      </c>
      <c r="C34" s="363" t="s">
        <v>609</v>
      </c>
      <c r="D34" s="231" t="s">
        <v>441</v>
      </c>
      <c r="E34" s="231" t="s">
        <v>716</v>
      </c>
    </row>
    <row r="35" spans="1:5" x14ac:dyDescent="0.3">
      <c r="A35" s="238">
        <v>33</v>
      </c>
      <c r="B35" s="364" t="s">
        <v>95</v>
      </c>
      <c r="C35" s="364" t="s">
        <v>95</v>
      </c>
      <c r="D35" s="228" t="s">
        <v>307</v>
      </c>
      <c r="E35" s="228" t="s">
        <v>720</v>
      </c>
    </row>
    <row r="36" spans="1:5" x14ac:dyDescent="0.3">
      <c r="A36" s="238">
        <v>34</v>
      </c>
      <c r="B36" s="363" t="s">
        <v>2787</v>
      </c>
      <c r="C36" s="363" t="s">
        <v>2797</v>
      </c>
      <c r="D36" s="231" t="s">
        <v>2796</v>
      </c>
      <c r="E36" s="231" t="s">
        <v>2802</v>
      </c>
    </row>
    <row r="37" spans="1:5" x14ac:dyDescent="0.3">
      <c r="A37" s="238">
        <v>35</v>
      </c>
      <c r="B37" s="364" t="s">
        <v>1458</v>
      </c>
      <c r="C37" s="364" t="s">
        <v>1481</v>
      </c>
      <c r="D37" s="228" t="s">
        <v>1480</v>
      </c>
      <c r="E37" s="228" t="s">
        <v>1482</v>
      </c>
    </row>
    <row r="38" spans="1:5" x14ac:dyDescent="0.3">
      <c r="A38" s="238">
        <v>36</v>
      </c>
      <c r="B38" s="363" t="s">
        <v>2267</v>
      </c>
      <c r="C38" s="363" t="s">
        <v>2277</v>
      </c>
      <c r="D38" s="231" t="s">
        <v>315</v>
      </c>
      <c r="E38" s="231" t="s">
        <v>725</v>
      </c>
    </row>
    <row r="39" spans="1:5" x14ac:dyDescent="0.3">
      <c r="A39" s="238">
        <v>37</v>
      </c>
      <c r="B39" s="364" t="s">
        <v>2704</v>
      </c>
      <c r="C39" s="364" t="s">
        <v>2710</v>
      </c>
      <c r="D39" s="228" t="s">
        <v>2714</v>
      </c>
      <c r="E39" s="228" t="s">
        <v>731</v>
      </c>
    </row>
    <row r="40" spans="1:5" x14ac:dyDescent="0.3">
      <c r="A40" s="238">
        <v>38</v>
      </c>
      <c r="B40" s="363" t="s">
        <v>1721</v>
      </c>
      <c r="C40" s="363" t="s">
        <v>1722</v>
      </c>
      <c r="D40" s="231" t="s">
        <v>298</v>
      </c>
      <c r="E40" s="231" t="s">
        <v>1026</v>
      </c>
    </row>
    <row r="41" spans="1:5" x14ac:dyDescent="0.3">
      <c r="A41" s="238">
        <v>39</v>
      </c>
      <c r="B41" s="364" t="s">
        <v>2847</v>
      </c>
      <c r="C41" s="364" t="s">
        <v>2869</v>
      </c>
      <c r="D41" s="228" t="s">
        <v>298</v>
      </c>
      <c r="E41" s="228" t="s">
        <v>2875</v>
      </c>
    </row>
    <row r="42" spans="1:5" x14ac:dyDescent="0.3">
      <c r="A42" s="238">
        <v>40</v>
      </c>
      <c r="B42" s="363" t="s">
        <v>1541</v>
      </c>
      <c r="C42" s="363" t="s">
        <v>1542</v>
      </c>
      <c r="D42" s="231" t="s">
        <v>311</v>
      </c>
      <c r="E42" s="231" t="s">
        <v>1559</v>
      </c>
    </row>
    <row r="43" spans="1:5" x14ac:dyDescent="0.3">
      <c r="A43" s="238">
        <v>41</v>
      </c>
      <c r="B43" s="364" t="s">
        <v>691</v>
      </c>
      <c r="C43" s="364" t="s">
        <v>700</v>
      </c>
      <c r="D43" s="228" t="s">
        <v>699</v>
      </c>
      <c r="E43" s="228" t="s">
        <v>797</v>
      </c>
    </row>
    <row r="44" spans="1:5" x14ac:dyDescent="0.3">
      <c r="A44" s="238">
        <v>42</v>
      </c>
      <c r="B44" s="363" t="s">
        <v>1965</v>
      </c>
      <c r="C44" s="363" t="s">
        <v>1993</v>
      </c>
      <c r="D44" s="231" t="s">
        <v>1114</v>
      </c>
      <c r="E44" s="231" t="s">
        <v>1482</v>
      </c>
    </row>
    <row r="45" spans="1:5" x14ac:dyDescent="0.3">
      <c r="A45" s="238">
        <v>43</v>
      </c>
      <c r="B45" s="364" t="s">
        <v>2419</v>
      </c>
      <c r="C45" s="364" t="s">
        <v>2419</v>
      </c>
      <c r="D45" s="228" t="s">
        <v>300</v>
      </c>
      <c r="E45" s="228" t="s">
        <v>735</v>
      </c>
    </row>
    <row r="46" spans="1:5" x14ac:dyDescent="0.3">
      <c r="A46" s="238">
        <v>44</v>
      </c>
      <c r="B46" s="363" t="s">
        <v>26</v>
      </c>
      <c r="C46" s="363" t="s">
        <v>1119</v>
      </c>
      <c r="D46" s="231" t="s">
        <v>312</v>
      </c>
      <c r="E46" s="231" t="s">
        <v>1121</v>
      </c>
    </row>
    <row r="47" spans="1:5" x14ac:dyDescent="0.3">
      <c r="A47" s="238">
        <v>45</v>
      </c>
      <c r="B47" s="364" t="s">
        <v>1094</v>
      </c>
      <c r="C47" s="364" t="s">
        <v>1479</v>
      </c>
      <c r="D47" s="228" t="s">
        <v>1114</v>
      </c>
      <c r="E47" s="228" t="s">
        <v>1482</v>
      </c>
    </row>
    <row r="48" spans="1:5" x14ac:dyDescent="0.3">
      <c r="A48" s="238">
        <v>46</v>
      </c>
      <c r="B48" s="363" t="s">
        <v>1348</v>
      </c>
      <c r="C48" s="363" t="s">
        <v>1357</v>
      </c>
      <c r="D48" s="231" t="s">
        <v>677</v>
      </c>
      <c r="E48" s="231" t="s">
        <v>1358</v>
      </c>
    </row>
    <row r="49" spans="1:5" x14ac:dyDescent="0.3">
      <c r="A49" s="238">
        <v>47</v>
      </c>
      <c r="B49" s="364" t="s">
        <v>1290</v>
      </c>
      <c r="C49" s="364" t="s">
        <v>1305</v>
      </c>
      <c r="D49" s="228" t="s">
        <v>1304</v>
      </c>
      <c r="E49" s="228" t="s">
        <v>1306</v>
      </c>
    </row>
    <row r="50" spans="1:5" x14ac:dyDescent="0.3">
      <c r="A50" s="238">
        <v>48</v>
      </c>
      <c r="B50" s="363" t="s">
        <v>2447</v>
      </c>
      <c r="C50" s="363" t="s">
        <v>2456</v>
      </c>
      <c r="D50" s="231" t="s">
        <v>2455</v>
      </c>
      <c r="E50" s="231" t="s">
        <v>2458</v>
      </c>
    </row>
    <row r="51" spans="1:5" x14ac:dyDescent="0.3">
      <c r="A51" s="238">
        <v>49</v>
      </c>
      <c r="B51" s="364" t="s">
        <v>3005</v>
      </c>
      <c r="C51" s="364" t="s">
        <v>2997</v>
      </c>
      <c r="D51" s="228" t="s">
        <v>3025</v>
      </c>
      <c r="E51" s="228" t="s">
        <v>3027</v>
      </c>
    </row>
    <row r="52" spans="1:5" x14ac:dyDescent="0.3">
      <c r="A52" s="238">
        <v>50</v>
      </c>
      <c r="B52" s="363" t="s">
        <v>1141</v>
      </c>
      <c r="C52" s="363" t="s">
        <v>307</v>
      </c>
      <c r="D52" s="231" t="s">
        <v>307</v>
      </c>
      <c r="E52" s="231" t="s">
        <v>1145</v>
      </c>
    </row>
    <row r="53" spans="1:5" x14ac:dyDescent="0.3">
      <c r="A53" s="238">
        <v>51</v>
      </c>
      <c r="B53" s="364" t="s">
        <v>2399</v>
      </c>
      <c r="C53" s="364" t="s">
        <v>2387</v>
      </c>
      <c r="D53" s="228" t="s">
        <v>2236</v>
      </c>
      <c r="E53" s="228" t="s">
        <v>2400</v>
      </c>
    </row>
    <row r="54" spans="1:5" x14ac:dyDescent="0.3">
      <c r="A54" s="238">
        <v>52</v>
      </c>
      <c r="B54" s="363" t="s">
        <v>944</v>
      </c>
      <c r="C54" s="363" t="s">
        <v>949</v>
      </c>
      <c r="D54" s="231" t="s">
        <v>311</v>
      </c>
      <c r="E54" s="231" t="s">
        <v>955</v>
      </c>
    </row>
    <row r="55" spans="1:5" x14ac:dyDescent="0.3">
      <c r="A55" s="238">
        <v>53</v>
      </c>
      <c r="B55" s="364" t="s">
        <v>1443</v>
      </c>
      <c r="C55" s="364" t="s">
        <v>1451</v>
      </c>
      <c r="D55" s="228" t="s">
        <v>1450</v>
      </c>
      <c r="E55" s="228" t="s">
        <v>735</v>
      </c>
    </row>
    <row r="56" spans="1:5" x14ac:dyDescent="0.3">
      <c r="A56" s="238">
        <v>54</v>
      </c>
      <c r="B56" s="363" t="s">
        <v>2016</v>
      </c>
      <c r="C56" s="363" t="s">
        <v>2017</v>
      </c>
      <c r="D56" s="231" t="s">
        <v>1618</v>
      </c>
      <c r="E56" s="231" t="s">
        <v>1286</v>
      </c>
    </row>
    <row r="57" spans="1:5" x14ac:dyDescent="0.3">
      <c r="A57" s="238">
        <v>55</v>
      </c>
      <c r="B57" s="364" t="s">
        <v>2226</v>
      </c>
      <c r="C57" s="364" t="s">
        <v>2237</v>
      </c>
      <c r="D57" s="228" t="s">
        <v>2236</v>
      </c>
      <c r="E57" s="228" t="s">
        <v>1046</v>
      </c>
    </row>
    <row r="58" spans="1:5" x14ac:dyDescent="0.3">
      <c r="A58" s="238">
        <v>56</v>
      </c>
      <c r="B58" s="363" t="s">
        <v>347</v>
      </c>
      <c r="C58" s="363" t="s">
        <v>351</v>
      </c>
      <c r="D58" s="231" t="s">
        <v>357</v>
      </c>
      <c r="E58" s="231" t="s">
        <v>722</v>
      </c>
    </row>
    <row r="59" spans="1:5" x14ac:dyDescent="0.3">
      <c r="A59" s="238">
        <v>57</v>
      </c>
      <c r="B59" s="364" t="s">
        <v>429</v>
      </c>
      <c r="C59" s="364" t="s">
        <v>442</v>
      </c>
      <c r="D59" s="228" t="s">
        <v>441</v>
      </c>
      <c r="E59" s="228" t="s">
        <v>716</v>
      </c>
    </row>
    <row r="60" spans="1:5" x14ac:dyDescent="0.3">
      <c r="A60" s="238">
        <v>58</v>
      </c>
      <c r="B60" s="363" t="s">
        <v>2738</v>
      </c>
      <c r="C60" s="363" t="s">
        <v>2741</v>
      </c>
      <c r="D60" s="231" t="s">
        <v>307</v>
      </c>
      <c r="E60" s="231" t="s">
        <v>1027</v>
      </c>
    </row>
    <row r="61" spans="1:5" x14ac:dyDescent="0.3">
      <c r="A61" s="238">
        <v>59</v>
      </c>
      <c r="B61" s="364" t="s">
        <v>544</v>
      </c>
      <c r="C61" s="364" t="s">
        <v>546</v>
      </c>
      <c r="D61" s="228" t="s">
        <v>545</v>
      </c>
      <c r="E61" s="228" t="s">
        <v>777</v>
      </c>
    </row>
    <row r="62" spans="1:5" x14ac:dyDescent="0.3">
      <c r="A62" s="238">
        <v>60</v>
      </c>
      <c r="B62" s="363" t="s">
        <v>581</v>
      </c>
      <c r="C62" s="363" t="s">
        <v>588</v>
      </c>
      <c r="D62" s="231" t="s">
        <v>303</v>
      </c>
      <c r="E62" s="231" t="s">
        <v>718</v>
      </c>
    </row>
    <row r="63" spans="1:5" x14ac:dyDescent="0.3">
      <c r="A63" s="238">
        <v>61</v>
      </c>
      <c r="B63" s="364" t="s">
        <v>1206</v>
      </c>
      <c r="C63" s="364" t="s">
        <v>1214</v>
      </c>
      <c r="D63" s="228" t="s">
        <v>1213</v>
      </c>
      <c r="E63" s="228" t="s">
        <v>1217</v>
      </c>
    </row>
    <row r="64" spans="1:5" x14ac:dyDescent="0.3">
      <c r="A64" s="238">
        <v>62</v>
      </c>
      <c r="B64" s="363" t="s">
        <v>854</v>
      </c>
      <c r="C64" s="363" t="s">
        <v>855</v>
      </c>
      <c r="D64" s="231" t="s">
        <v>300</v>
      </c>
      <c r="E64" s="231" t="s">
        <v>735</v>
      </c>
    </row>
    <row r="65" spans="1:5" x14ac:dyDescent="0.3">
      <c r="A65" s="238">
        <v>63</v>
      </c>
      <c r="B65" s="364" t="s">
        <v>2406</v>
      </c>
      <c r="C65" s="364" t="s">
        <v>2403</v>
      </c>
      <c r="D65" s="228" t="s">
        <v>441</v>
      </c>
      <c r="E65" s="228" t="s">
        <v>2414</v>
      </c>
    </row>
    <row r="66" spans="1:5" x14ac:dyDescent="0.3">
      <c r="A66" s="238">
        <v>64</v>
      </c>
      <c r="B66" s="363" t="s">
        <v>3336</v>
      </c>
      <c r="C66" s="363" t="s">
        <v>3340</v>
      </c>
      <c r="D66" s="231" t="s">
        <v>2950</v>
      </c>
      <c r="E66" s="231" t="s">
        <v>731</v>
      </c>
    </row>
    <row r="67" spans="1:5" x14ac:dyDescent="0.3">
      <c r="A67" s="238">
        <v>65</v>
      </c>
      <c r="B67" s="364" t="s">
        <v>785</v>
      </c>
      <c r="C67" s="364" t="s">
        <v>790</v>
      </c>
      <c r="D67" s="228" t="s">
        <v>795</v>
      </c>
      <c r="E67" s="228" t="s">
        <v>796</v>
      </c>
    </row>
    <row r="68" spans="1:5" x14ac:dyDescent="0.3">
      <c r="A68" s="238">
        <v>66</v>
      </c>
      <c r="B68" s="363" t="s">
        <v>1406</v>
      </c>
      <c r="C68" s="363" t="s">
        <v>1408</v>
      </c>
      <c r="D68" s="231" t="s">
        <v>1407</v>
      </c>
      <c r="E68" s="231" t="s">
        <v>1409</v>
      </c>
    </row>
    <row r="69" spans="1:5" x14ac:dyDescent="0.3">
      <c r="A69" s="238">
        <v>67</v>
      </c>
      <c r="B69" s="364" t="s">
        <v>667</v>
      </c>
      <c r="C69" s="364" t="s">
        <v>673</v>
      </c>
      <c r="D69" s="228" t="s">
        <v>677</v>
      </c>
      <c r="E69" s="228" t="s">
        <v>736</v>
      </c>
    </row>
    <row r="70" spans="1:5" x14ac:dyDescent="0.3">
      <c r="A70" s="238">
        <v>68</v>
      </c>
      <c r="B70" s="363" t="s">
        <v>364</v>
      </c>
      <c r="C70" s="363" t="s">
        <v>368</v>
      </c>
      <c r="D70" s="231" t="s">
        <v>370</v>
      </c>
      <c r="E70" s="231" t="s">
        <v>777</v>
      </c>
    </row>
    <row r="71" spans="1:5" x14ac:dyDescent="0.3">
      <c r="A71" s="238">
        <v>69</v>
      </c>
      <c r="B71" s="364" t="s">
        <v>2468</v>
      </c>
      <c r="C71" s="364" t="s">
        <v>2491</v>
      </c>
      <c r="D71" s="228" t="s">
        <v>1407</v>
      </c>
      <c r="E71" s="228" t="s">
        <v>1761</v>
      </c>
    </row>
    <row r="72" spans="1:5" x14ac:dyDescent="0.3">
      <c r="A72" s="238">
        <v>70</v>
      </c>
      <c r="B72" s="363" t="s">
        <v>1277</v>
      </c>
      <c r="C72" s="363" t="s">
        <v>301</v>
      </c>
      <c r="D72" s="231" t="s">
        <v>301</v>
      </c>
      <c r="E72" s="231" t="s">
        <v>1286</v>
      </c>
    </row>
    <row r="73" spans="1:5" x14ac:dyDescent="0.3">
      <c r="A73" s="238">
        <v>71</v>
      </c>
      <c r="B73" s="364" t="s">
        <v>3108</v>
      </c>
      <c r="C73" s="364" t="s">
        <v>1627</v>
      </c>
      <c r="D73" s="228" t="s">
        <v>1087</v>
      </c>
      <c r="E73" s="228" t="s">
        <v>1654</v>
      </c>
    </row>
    <row r="74" spans="1:5" x14ac:dyDescent="0.3">
      <c r="A74" s="238">
        <v>72</v>
      </c>
      <c r="B74" s="363" t="s">
        <v>887</v>
      </c>
      <c r="C74" s="363" t="s">
        <v>869</v>
      </c>
      <c r="D74" s="231" t="s">
        <v>888</v>
      </c>
      <c r="E74" s="231" t="s">
        <v>889</v>
      </c>
    </row>
    <row r="75" spans="1:5" x14ac:dyDescent="0.3">
      <c r="A75" s="238">
        <v>73</v>
      </c>
      <c r="B75" s="364" t="s">
        <v>2961</v>
      </c>
      <c r="C75" s="364" t="s">
        <v>3109</v>
      </c>
      <c r="D75" s="228" t="s">
        <v>2966</v>
      </c>
      <c r="E75" s="228" t="s">
        <v>2967</v>
      </c>
    </row>
    <row r="76" spans="1:5" x14ac:dyDescent="0.3">
      <c r="A76" s="238">
        <v>74</v>
      </c>
      <c r="B76" s="363" t="s">
        <v>807</v>
      </c>
      <c r="C76" s="363" t="s">
        <v>813</v>
      </c>
      <c r="D76" s="231" t="s">
        <v>293</v>
      </c>
      <c r="E76" s="231" t="s">
        <v>713</v>
      </c>
    </row>
    <row r="77" spans="1:5" x14ac:dyDescent="0.3">
      <c r="A77" s="238">
        <v>75</v>
      </c>
      <c r="B77" s="364" t="s">
        <v>2290</v>
      </c>
      <c r="C77" s="364" t="s">
        <v>2294</v>
      </c>
      <c r="D77" s="228" t="s">
        <v>2293</v>
      </c>
      <c r="E77" s="228" t="s">
        <v>2142</v>
      </c>
    </row>
    <row r="78" spans="1:5" x14ac:dyDescent="0.3">
      <c r="A78" s="238">
        <v>76</v>
      </c>
      <c r="B78" s="363" t="s">
        <v>1996</v>
      </c>
      <c r="C78" s="363" t="s">
        <v>2006</v>
      </c>
      <c r="D78" s="231" t="s">
        <v>296</v>
      </c>
      <c r="E78" s="231" t="s">
        <v>2010</v>
      </c>
    </row>
    <row r="79" spans="1:5" x14ac:dyDescent="0.3">
      <c r="A79" s="238">
        <v>77</v>
      </c>
      <c r="B79" s="364" t="s">
        <v>2671</v>
      </c>
      <c r="C79" s="364" t="s">
        <v>2678</v>
      </c>
      <c r="D79" s="228" t="s">
        <v>1666</v>
      </c>
      <c r="E79" s="228" t="s">
        <v>900</v>
      </c>
    </row>
    <row r="80" spans="1:5" x14ac:dyDescent="0.3">
      <c r="A80" s="238">
        <v>78</v>
      </c>
      <c r="B80" s="363" t="s">
        <v>2831</v>
      </c>
      <c r="C80" s="363" t="s">
        <v>2840</v>
      </c>
      <c r="D80" s="231" t="s">
        <v>2236</v>
      </c>
      <c r="E80" s="231" t="s">
        <v>2824</v>
      </c>
    </row>
    <row r="81" spans="1:5" x14ac:dyDescent="0.3">
      <c r="A81" s="238">
        <v>79</v>
      </c>
      <c r="B81" s="364" t="s">
        <v>2509</v>
      </c>
      <c r="C81" s="364" t="s">
        <v>677</v>
      </c>
      <c r="D81" s="228" t="s">
        <v>677</v>
      </c>
      <c r="E81" s="228" t="s">
        <v>2522</v>
      </c>
    </row>
    <row r="82" spans="1:5" x14ac:dyDescent="0.3">
      <c r="A82" s="238">
        <v>80</v>
      </c>
      <c r="B82" s="363" t="s">
        <v>563</v>
      </c>
      <c r="C82" s="363" t="s">
        <v>573</v>
      </c>
      <c r="D82" s="231" t="s">
        <v>293</v>
      </c>
      <c r="E82" s="231" t="s">
        <v>713</v>
      </c>
    </row>
    <row r="83" spans="1:5" x14ac:dyDescent="0.3">
      <c r="A83" s="238">
        <v>81</v>
      </c>
      <c r="B83" s="364" t="s">
        <v>3160</v>
      </c>
      <c r="C83" s="364" t="s">
        <v>3165</v>
      </c>
      <c r="D83" s="228" t="s">
        <v>3164</v>
      </c>
      <c r="E83" s="228" t="s">
        <v>733</v>
      </c>
    </row>
    <row r="84" spans="1:5" x14ac:dyDescent="0.3">
      <c r="A84" s="238">
        <v>82</v>
      </c>
      <c r="B84" s="363" t="s">
        <v>2254</v>
      </c>
      <c r="C84" s="363" t="s">
        <v>2261</v>
      </c>
      <c r="D84" s="231" t="s">
        <v>1531</v>
      </c>
      <c r="E84" s="231" t="s">
        <v>1533</v>
      </c>
    </row>
    <row r="85" spans="1:5" x14ac:dyDescent="0.3">
      <c r="A85" s="238">
        <v>83</v>
      </c>
      <c r="B85" s="364" t="s">
        <v>2613</v>
      </c>
      <c r="C85" s="364" t="s">
        <v>2613</v>
      </c>
      <c r="D85" s="228" t="s">
        <v>2620</v>
      </c>
      <c r="E85" s="228" t="s">
        <v>2622</v>
      </c>
    </row>
    <row r="86" spans="1:5" x14ac:dyDescent="0.3">
      <c r="A86" s="238">
        <v>84</v>
      </c>
      <c r="B86" s="363" t="s">
        <v>1254</v>
      </c>
      <c r="C86" s="363" t="s">
        <v>1256</v>
      </c>
      <c r="D86" s="231" t="s">
        <v>1265</v>
      </c>
      <c r="E86" s="231" t="s">
        <v>1269</v>
      </c>
    </row>
    <row r="87" spans="1:5" x14ac:dyDescent="0.3">
      <c r="A87" s="238">
        <v>85</v>
      </c>
      <c r="B87" s="364" t="s">
        <v>1746</v>
      </c>
      <c r="C87" s="364" t="s">
        <v>1758</v>
      </c>
      <c r="D87" s="228" t="s">
        <v>312</v>
      </c>
      <c r="E87" s="228" t="s">
        <v>1759</v>
      </c>
    </row>
    <row r="88" spans="1:5" x14ac:dyDescent="0.3">
      <c r="A88" s="238">
        <v>86</v>
      </c>
      <c r="B88" s="363" t="s">
        <v>2939</v>
      </c>
      <c r="C88" s="363" t="s">
        <v>2951</v>
      </c>
      <c r="D88" s="231" t="s">
        <v>2950</v>
      </c>
      <c r="E88" s="231" t="s">
        <v>731</v>
      </c>
    </row>
    <row r="89" spans="1:5" x14ac:dyDescent="0.3">
      <c r="A89" s="238">
        <v>87</v>
      </c>
      <c r="B89" s="364" t="s">
        <v>1413</v>
      </c>
      <c r="C89" s="364" t="s">
        <v>1419</v>
      </c>
      <c r="D89" s="228" t="s">
        <v>1418</v>
      </c>
      <c r="E89" s="228" t="s">
        <v>1422</v>
      </c>
    </row>
    <row r="90" spans="1:5" x14ac:dyDescent="0.3">
      <c r="A90" s="238">
        <v>88</v>
      </c>
      <c r="B90" s="363" t="s">
        <v>1516</v>
      </c>
      <c r="C90" s="363" t="s">
        <v>1518</v>
      </c>
      <c r="D90" s="231" t="s">
        <v>1517</v>
      </c>
      <c r="E90" s="231" t="s">
        <v>1519</v>
      </c>
    </row>
    <row r="91" spans="1:5" x14ac:dyDescent="0.3">
      <c r="A91" s="238">
        <v>89</v>
      </c>
      <c r="B91" s="364" t="s">
        <v>1662</v>
      </c>
      <c r="C91" s="364" t="s">
        <v>1667</v>
      </c>
      <c r="D91" s="228" t="s">
        <v>1666</v>
      </c>
      <c r="E91" s="228" t="s">
        <v>1041</v>
      </c>
    </row>
    <row r="92" spans="1:5" x14ac:dyDescent="0.3">
      <c r="A92" s="238">
        <v>90</v>
      </c>
      <c r="B92" s="363" t="s">
        <v>132</v>
      </c>
      <c r="C92" s="363" t="s">
        <v>306</v>
      </c>
      <c r="D92" s="231" t="s">
        <v>305</v>
      </c>
      <c r="E92" s="231" t="s">
        <v>719</v>
      </c>
    </row>
    <row r="93" spans="1:5" x14ac:dyDescent="0.3">
      <c r="A93" s="238">
        <v>91</v>
      </c>
      <c r="B93" s="364" t="s">
        <v>2628</v>
      </c>
      <c r="C93" s="364" t="s">
        <v>168</v>
      </c>
      <c r="D93" s="228" t="s">
        <v>2636</v>
      </c>
      <c r="E93" s="228" t="s">
        <v>2640</v>
      </c>
    </row>
    <row r="94" spans="1:5" x14ac:dyDescent="0.3">
      <c r="A94" s="238">
        <v>92</v>
      </c>
      <c r="B94" s="363" t="s">
        <v>2748</v>
      </c>
      <c r="C94" s="363" t="s">
        <v>2798</v>
      </c>
      <c r="D94" s="231" t="s">
        <v>2796</v>
      </c>
      <c r="E94" s="231" t="s">
        <v>2802</v>
      </c>
    </row>
    <row r="95" spans="1:5" x14ac:dyDescent="0.3">
      <c r="A95" s="238">
        <v>93</v>
      </c>
      <c r="B95" s="364" t="s">
        <v>1308</v>
      </c>
      <c r="C95" s="364" t="s">
        <v>1308</v>
      </c>
      <c r="D95" s="228" t="s">
        <v>1315</v>
      </c>
      <c r="E95" s="228" t="s">
        <v>1317</v>
      </c>
    </row>
    <row r="96" spans="1:5" x14ac:dyDescent="0.3">
      <c r="A96" s="238">
        <v>94</v>
      </c>
      <c r="B96" s="363" t="s">
        <v>1696</v>
      </c>
      <c r="C96" s="363" t="s">
        <v>1698</v>
      </c>
      <c r="D96" s="231" t="s">
        <v>1697</v>
      </c>
      <c r="E96" s="231" t="s">
        <v>1699</v>
      </c>
    </row>
    <row r="97" spans="1:5" x14ac:dyDescent="0.3">
      <c r="A97" s="238">
        <v>95</v>
      </c>
      <c r="B97" s="364" t="s">
        <v>2562</v>
      </c>
      <c r="C97" s="364" t="s">
        <v>2556</v>
      </c>
      <c r="D97" s="228" t="s">
        <v>2557</v>
      </c>
      <c r="E97" s="228" t="s">
        <v>2594</v>
      </c>
    </row>
    <row r="98" spans="1:5" x14ac:dyDescent="0.3">
      <c r="A98" s="238">
        <v>96</v>
      </c>
      <c r="B98" s="363" t="s">
        <v>763</v>
      </c>
      <c r="C98" s="363" t="s">
        <v>775</v>
      </c>
      <c r="D98" s="231" t="s">
        <v>774</v>
      </c>
      <c r="E98" s="231" t="s">
        <v>776</v>
      </c>
    </row>
    <row r="99" spans="1:5" x14ac:dyDescent="0.3">
      <c r="A99" s="238">
        <v>97</v>
      </c>
      <c r="B99" s="364" t="s">
        <v>1588</v>
      </c>
      <c r="C99" s="364" t="s">
        <v>1595</v>
      </c>
      <c r="D99" s="228" t="s">
        <v>1596</v>
      </c>
      <c r="E99" s="228" t="s">
        <v>1597</v>
      </c>
    </row>
    <row r="100" spans="1:5" x14ac:dyDescent="0.3">
      <c r="A100" s="238">
        <v>98</v>
      </c>
      <c r="B100" s="363" t="s">
        <v>1324</v>
      </c>
      <c r="C100" s="363" t="s">
        <v>1325</v>
      </c>
      <c r="D100" s="231" t="s">
        <v>297</v>
      </c>
      <c r="E100" s="231" t="s">
        <v>1327</v>
      </c>
    </row>
    <row r="101" spans="1:5" x14ac:dyDescent="0.3">
      <c r="A101" s="238">
        <v>99</v>
      </c>
      <c r="B101" s="364" t="s">
        <v>2462</v>
      </c>
      <c r="C101" s="364" t="s">
        <v>2493</v>
      </c>
      <c r="D101" s="228" t="s">
        <v>2492</v>
      </c>
      <c r="E101" s="228" t="s">
        <v>2496</v>
      </c>
    </row>
    <row r="102" spans="1:5" x14ac:dyDescent="0.3">
      <c r="A102" s="238">
        <v>100</v>
      </c>
      <c r="B102" s="363" t="s">
        <v>220</v>
      </c>
      <c r="C102" s="363" t="s">
        <v>240</v>
      </c>
      <c r="D102" s="231" t="s">
        <v>308</v>
      </c>
      <c r="E102" s="231" t="s">
        <v>721</v>
      </c>
    </row>
  </sheetData>
  <mergeCells count="1">
    <mergeCell ref="A1:E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4FA842-9E03-4A71-8EB2-02308CCB50E6}">
  <dimension ref="A1:E296"/>
  <sheetViews>
    <sheetView topLeftCell="A163" zoomScale="70" zoomScaleNormal="70" workbookViewId="0">
      <selection activeCell="E10" sqref="E10"/>
    </sheetView>
  </sheetViews>
  <sheetFormatPr defaultColWidth="8.796875" defaultRowHeight="15.6" x14ac:dyDescent="0.3"/>
  <cols>
    <col min="1" max="1" width="3.3984375" bestFit="1" customWidth="1"/>
    <col min="2" max="2" width="25.8984375" bestFit="1" customWidth="1"/>
    <col min="3" max="3" width="41.8984375" bestFit="1" customWidth="1"/>
    <col min="4" max="4" width="6.5" bestFit="1" customWidth="1"/>
    <col min="5" max="5" width="13.69921875" bestFit="1" customWidth="1"/>
  </cols>
  <sheetData>
    <row r="1" spans="1:5" ht="17.399999999999999" x14ac:dyDescent="0.35">
      <c r="A1" s="399" t="s">
        <v>3390</v>
      </c>
      <c r="B1" s="399"/>
      <c r="C1" s="399"/>
      <c r="D1" s="399"/>
      <c r="E1" s="399"/>
    </row>
    <row r="2" spans="1:5" x14ac:dyDescent="0.3">
      <c r="A2" s="227" t="s">
        <v>318</v>
      </c>
      <c r="B2" s="227" t="s">
        <v>285</v>
      </c>
      <c r="C2" s="227" t="s">
        <v>286</v>
      </c>
      <c r="D2" s="227" t="s">
        <v>287</v>
      </c>
      <c r="E2" s="227" t="s">
        <v>959</v>
      </c>
    </row>
    <row r="3" spans="1:5" x14ac:dyDescent="0.3">
      <c r="A3" s="234">
        <v>1</v>
      </c>
      <c r="B3" s="228" t="s">
        <v>953</v>
      </c>
      <c r="C3" s="228" t="s">
        <v>951</v>
      </c>
      <c r="D3" s="229">
        <v>10.5</v>
      </c>
      <c r="E3" s="235">
        <v>10.85</v>
      </c>
    </row>
    <row r="4" spans="1:5" x14ac:dyDescent="0.3">
      <c r="A4" s="236">
        <v>2</v>
      </c>
      <c r="B4" s="231" t="s">
        <v>298</v>
      </c>
      <c r="C4" s="231" t="s">
        <v>983</v>
      </c>
      <c r="D4" s="232">
        <v>10</v>
      </c>
      <c r="E4" s="235">
        <v>10.39</v>
      </c>
    </row>
    <row r="5" spans="1:5" x14ac:dyDescent="0.3">
      <c r="A5" s="237">
        <v>3</v>
      </c>
      <c r="B5" s="228" t="s">
        <v>293</v>
      </c>
      <c r="C5" s="228" t="s">
        <v>294</v>
      </c>
      <c r="D5" s="229">
        <v>9.6999999999999993</v>
      </c>
      <c r="E5" s="235">
        <v>10.37</v>
      </c>
    </row>
    <row r="6" spans="1:5" x14ac:dyDescent="0.3">
      <c r="A6" s="238">
        <v>4</v>
      </c>
      <c r="B6" s="231" t="s">
        <v>2536</v>
      </c>
      <c r="C6" s="231" t="s">
        <v>634</v>
      </c>
      <c r="D6" s="232">
        <v>9.8800000000000008</v>
      </c>
      <c r="E6" s="235">
        <v>10.220000000000001</v>
      </c>
    </row>
    <row r="7" spans="1:5" x14ac:dyDescent="0.3">
      <c r="A7" s="238">
        <v>5</v>
      </c>
      <c r="B7" s="228" t="s">
        <v>293</v>
      </c>
      <c r="C7" s="228" t="s">
        <v>295</v>
      </c>
      <c r="D7" s="229">
        <v>9.68</v>
      </c>
      <c r="E7" s="235">
        <v>10.07</v>
      </c>
    </row>
    <row r="8" spans="1:5" x14ac:dyDescent="0.3">
      <c r="A8" s="238">
        <v>6</v>
      </c>
      <c r="B8" s="231" t="s">
        <v>298</v>
      </c>
      <c r="C8" s="231" t="s">
        <v>299</v>
      </c>
      <c r="D8" s="232">
        <v>9.61</v>
      </c>
      <c r="E8" s="235">
        <v>10</v>
      </c>
    </row>
    <row r="9" spans="1:5" x14ac:dyDescent="0.3">
      <c r="A9" s="238">
        <v>7</v>
      </c>
      <c r="B9" s="228" t="s">
        <v>2366</v>
      </c>
      <c r="C9" s="228" t="s">
        <v>2350</v>
      </c>
      <c r="D9" s="229">
        <v>9.67</v>
      </c>
      <c r="E9" s="241">
        <v>9.91</v>
      </c>
    </row>
    <row r="10" spans="1:5" x14ac:dyDescent="0.3">
      <c r="A10" s="238">
        <v>8</v>
      </c>
      <c r="B10" s="231" t="s">
        <v>298</v>
      </c>
      <c r="C10" s="231" t="s">
        <v>727</v>
      </c>
      <c r="D10" s="232">
        <v>9.4</v>
      </c>
      <c r="E10" s="243">
        <v>9.5500000000000007</v>
      </c>
    </row>
    <row r="11" spans="1:5" x14ac:dyDescent="0.3">
      <c r="A11" s="238">
        <v>9</v>
      </c>
      <c r="B11" s="228" t="s">
        <v>296</v>
      </c>
      <c r="C11" s="228" t="s">
        <v>239</v>
      </c>
      <c r="D11" s="229">
        <v>9.3800000000000008</v>
      </c>
      <c r="E11" s="244">
        <v>9.5299999999999994</v>
      </c>
    </row>
    <row r="12" spans="1:5" x14ac:dyDescent="0.3">
      <c r="A12" s="238">
        <v>10</v>
      </c>
      <c r="B12" s="231" t="s">
        <v>297</v>
      </c>
      <c r="C12" s="231" t="s">
        <v>1118</v>
      </c>
      <c r="D12" s="232">
        <v>9.4</v>
      </c>
      <c r="E12" s="245">
        <v>9.4600000000000009</v>
      </c>
    </row>
    <row r="13" spans="1:5" x14ac:dyDescent="0.3">
      <c r="A13" s="238">
        <v>11</v>
      </c>
      <c r="B13" s="228" t="s">
        <v>1938</v>
      </c>
      <c r="C13" s="228" t="s">
        <v>1931</v>
      </c>
      <c r="D13" s="229">
        <v>9.31</v>
      </c>
      <c r="E13" s="246">
        <v>9.43</v>
      </c>
    </row>
    <row r="14" spans="1:5" x14ac:dyDescent="0.3">
      <c r="A14" s="238">
        <v>12</v>
      </c>
      <c r="B14" s="231" t="s">
        <v>293</v>
      </c>
      <c r="C14" s="231" t="s">
        <v>251</v>
      </c>
      <c r="D14" s="232">
        <v>9.15</v>
      </c>
      <c r="E14" s="247">
        <v>9.3699999999999992</v>
      </c>
    </row>
    <row r="15" spans="1:5" x14ac:dyDescent="0.3">
      <c r="A15" s="238">
        <v>13</v>
      </c>
      <c r="B15" s="228" t="s">
        <v>297</v>
      </c>
      <c r="C15" s="228" t="s">
        <v>961</v>
      </c>
      <c r="D15" s="229">
        <v>9.3000000000000007</v>
      </c>
      <c r="E15" s="248">
        <v>9.36</v>
      </c>
    </row>
    <row r="16" spans="1:5" x14ac:dyDescent="0.3">
      <c r="A16" s="238">
        <v>14</v>
      </c>
      <c r="B16" s="231" t="s">
        <v>302</v>
      </c>
      <c r="C16" s="231" t="s">
        <v>186</v>
      </c>
      <c r="D16" s="232">
        <v>9.2100000000000009</v>
      </c>
      <c r="E16" s="249">
        <v>9.34</v>
      </c>
    </row>
    <row r="17" spans="1:5" x14ac:dyDescent="0.3">
      <c r="A17" s="238">
        <v>15</v>
      </c>
      <c r="B17" s="228" t="s">
        <v>405</v>
      </c>
      <c r="C17" s="228" t="s">
        <v>36</v>
      </c>
      <c r="D17" s="229">
        <v>9.15</v>
      </c>
      <c r="E17" s="251">
        <v>9.23</v>
      </c>
    </row>
    <row r="18" spans="1:5" x14ac:dyDescent="0.3">
      <c r="A18" s="238">
        <v>16</v>
      </c>
      <c r="B18" s="231" t="s">
        <v>441</v>
      </c>
      <c r="C18" s="231" t="s">
        <v>459</v>
      </c>
      <c r="D18" s="232">
        <v>9.17</v>
      </c>
      <c r="E18" s="251">
        <v>9.23</v>
      </c>
    </row>
    <row r="19" spans="1:5" x14ac:dyDescent="0.3">
      <c r="A19" s="238">
        <v>17</v>
      </c>
      <c r="B19" s="228" t="s">
        <v>293</v>
      </c>
      <c r="C19" s="228" t="s">
        <v>393</v>
      </c>
      <c r="D19" s="229">
        <v>9.0399999999999991</v>
      </c>
      <c r="E19" s="254">
        <v>9.14</v>
      </c>
    </row>
    <row r="20" spans="1:5" x14ac:dyDescent="0.3">
      <c r="A20" s="238">
        <v>18</v>
      </c>
      <c r="B20" s="231" t="s">
        <v>441</v>
      </c>
      <c r="C20" s="231" t="s">
        <v>609</v>
      </c>
      <c r="D20" s="232">
        <v>8.94</v>
      </c>
      <c r="E20" s="257">
        <v>9.0399999999999991</v>
      </c>
    </row>
    <row r="21" spans="1:5" x14ac:dyDescent="0.3">
      <c r="A21" s="238">
        <v>19</v>
      </c>
      <c r="B21" s="228" t="s">
        <v>307</v>
      </c>
      <c r="C21" s="228" t="s">
        <v>95</v>
      </c>
      <c r="D21" s="229">
        <v>8.94</v>
      </c>
      <c r="E21" s="258">
        <v>9.0299999999999994</v>
      </c>
    </row>
    <row r="22" spans="1:5" x14ac:dyDescent="0.3">
      <c r="A22" s="238">
        <v>20</v>
      </c>
      <c r="B22" s="231" t="s">
        <v>1531</v>
      </c>
      <c r="C22" s="231" t="s">
        <v>2261</v>
      </c>
      <c r="D22" s="232">
        <v>9.07</v>
      </c>
      <c r="E22" s="259">
        <v>9.02</v>
      </c>
    </row>
    <row r="23" spans="1:5" x14ac:dyDescent="0.3">
      <c r="A23" s="238">
        <v>21</v>
      </c>
      <c r="B23" s="228" t="s">
        <v>298</v>
      </c>
      <c r="C23" s="228" t="s">
        <v>1722</v>
      </c>
      <c r="D23" s="229">
        <v>8.92</v>
      </c>
      <c r="E23" s="261">
        <v>8.9700000000000006</v>
      </c>
    </row>
    <row r="24" spans="1:5" x14ac:dyDescent="0.3">
      <c r="A24" s="238">
        <v>22</v>
      </c>
      <c r="B24" s="231" t="s">
        <v>298</v>
      </c>
      <c r="C24" s="231" t="s">
        <v>2869</v>
      </c>
      <c r="D24" s="232">
        <v>8.8000000000000007</v>
      </c>
      <c r="E24" s="261">
        <v>8.9700000000000006</v>
      </c>
    </row>
    <row r="25" spans="1:5" x14ac:dyDescent="0.3">
      <c r="A25" s="238">
        <v>23</v>
      </c>
      <c r="B25" s="228" t="s">
        <v>1265</v>
      </c>
      <c r="C25" s="228" t="s">
        <v>1256</v>
      </c>
      <c r="D25" s="229">
        <v>9</v>
      </c>
      <c r="E25" s="262">
        <v>8.9600000000000009</v>
      </c>
    </row>
    <row r="26" spans="1:5" x14ac:dyDescent="0.3">
      <c r="A26" s="238">
        <v>24</v>
      </c>
      <c r="B26" s="231" t="s">
        <v>311</v>
      </c>
      <c r="C26" s="231" t="s">
        <v>1542</v>
      </c>
      <c r="D26" s="232">
        <v>8.94</v>
      </c>
      <c r="E26" s="263">
        <v>8.9499999999999993</v>
      </c>
    </row>
    <row r="27" spans="1:5" x14ac:dyDescent="0.3">
      <c r="A27" s="238">
        <v>25</v>
      </c>
      <c r="B27" s="228" t="s">
        <v>699</v>
      </c>
      <c r="C27" s="228" t="s">
        <v>700</v>
      </c>
      <c r="D27" s="229">
        <v>8.91</v>
      </c>
      <c r="E27" s="264">
        <v>8.93</v>
      </c>
    </row>
    <row r="28" spans="1:5" x14ac:dyDescent="0.3">
      <c r="A28" s="238">
        <v>26</v>
      </c>
      <c r="B28" s="231" t="s">
        <v>312</v>
      </c>
      <c r="C28" s="231" t="s">
        <v>1758</v>
      </c>
      <c r="D28" s="232">
        <v>8.9600000000000009</v>
      </c>
      <c r="E28" s="264">
        <v>8.93</v>
      </c>
    </row>
    <row r="29" spans="1:5" x14ac:dyDescent="0.3">
      <c r="A29" s="238">
        <v>27</v>
      </c>
      <c r="B29" s="228" t="s">
        <v>312</v>
      </c>
      <c r="C29" s="228" t="s">
        <v>1119</v>
      </c>
      <c r="D29" s="229">
        <v>8.77</v>
      </c>
      <c r="E29" s="267">
        <v>8.89</v>
      </c>
    </row>
    <row r="30" spans="1:5" x14ac:dyDescent="0.3">
      <c r="A30" s="238">
        <v>28</v>
      </c>
      <c r="B30" s="231" t="s">
        <v>677</v>
      </c>
      <c r="C30" s="231" t="s">
        <v>1357</v>
      </c>
      <c r="D30" s="232">
        <v>8.8800000000000008</v>
      </c>
      <c r="E30" s="267">
        <v>8.89</v>
      </c>
    </row>
    <row r="31" spans="1:5" x14ac:dyDescent="0.3">
      <c r="A31" s="238">
        <v>29</v>
      </c>
      <c r="B31" s="228" t="s">
        <v>1418</v>
      </c>
      <c r="C31" s="228" t="s">
        <v>1419</v>
      </c>
      <c r="D31" s="229">
        <v>8.93</v>
      </c>
      <c r="E31" s="268">
        <v>8.8800000000000008</v>
      </c>
    </row>
    <row r="32" spans="1:5" x14ac:dyDescent="0.3">
      <c r="A32" s="238">
        <v>30</v>
      </c>
      <c r="B32" s="231" t="s">
        <v>1517</v>
      </c>
      <c r="C32" s="231" t="s">
        <v>1518</v>
      </c>
      <c r="D32" s="232">
        <v>8.9</v>
      </c>
      <c r="E32" s="268">
        <v>8.8800000000000008</v>
      </c>
    </row>
    <row r="33" spans="1:5" x14ac:dyDescent="0.3">
      <c r="A33" s="238">
        <v>31</v>
      </c>
      <c r="B33" s="228" t="s">
        <v>2455</v>
      </c>
      <c r="C33" s="228" t="s">
        <v>2456</v>
      </c>
      <c r="D33" s="229">
        <v>8.86</v>
      </c>
      <c r="E33" s="268">
        <v>8.8800000000000008</v>
      </c>
    </row>
    <row r="34" spans="1:5" x14ac:dyDescent="0.3">
      <c r="A34" s="238">
        <v>32</v>
      </c>
      <c r="B34" s="231" t="s">
        <v>305</v>
      </c>
      <c r="C34" s="231" t="s">
        <v>306</v>
      </c>
      <c r="D34" s="232">
        <v>8.89</v>
      </c>
      <c r="E34" s="269">
        <v>8.8699999999999992</v>
      </c>
    </row>
    <row r="35" spans="1:5" x14ac:dyDescent="0.3">
      <c r="A35" s="238">
        <v>33</v>
      </c>
      <c r="B35" s="228" t="s">
        <v>307</v>
      </c>
      <c r="C35" s="228" t="s">
        <v>307</v>
      </c>
      <c r="D35" s="229">
        <v>8.83</v>
      </c>
      <c r="E35" s="270">
        <v>8.86</v>
      </c>
    </row>
    <row r="36" spans="1:5" x14ac:dyDescent="0.3">
      <c r="A36" s="238">
        <v>34</v>
      </c>
      <c r="B36" s="231" t="s">
        <v>2236</v>
      </c>
      <c r="C36" s="231" t="s">
        <v>2387</v>
      </c>
      <c r="D36" s="232">
        <v>8.7899999999999991</v>
      </c>
      <c r="E36" s="270">
        <v>8.86</v>
      </c>
    </row>
    <row r="37" spans="1:5" x14ac:dyDescent="0.3">
      <c r="A37" s="238">
        <v>35</v>
      </c>
      <c r="B37" s="228" t="s">
        <v>2636</v>
      </c>
      <c r="C37" s="228" t="s">
        <v>168</v>
      </c>
      <c r="D37" s="229">
        <v>8.91</v>
      </c>
      <c r="E37" s="270">
        <v>8.86</v>
      </c>
    </row>
    <row r="38" spans="1:5" x14ac:dyDescent="0.3">
      <c r="A38" s="238">
        <v>36</v>
      </c>
      <c r="B38" s="231" t="s">
        <v>311</v>
      </c>
      <c r="C38" s="231" t="s">
        <v>949</v>
      </c>
      <c r="D38" s="232">
        <v>8.73</v>
      </c>
      <c r="E38" s="271">
        <v>8.85</v>
      </c>
    </row>
    <row r="39" spans="1:5" x14ac:dyDescent="0.3">
      <c r="A39" s="238">
        <v>37</v>
      </c>
      <c r="B39" s="228" t="s">
        <v>2536</v>
      </c>
      <c r="C39" s="228" t="s">
        <v>2537</v>
      </c>
      <c r="D39" s="229">
        <v>8.83</v>
      </c>
      <c r="E39" s="272">
        <v>8.84</v>
      </c>
    </row>
    <row r="40" spans="1:5" x14ac:dyDescent="0.3">
      <c r="A40" s="238">
        <v>38</v>
      </c>
      <c r="B40" s="231" t="s">
        <v>1315</v>
      </c>
      <c r="C40" s="231" t="s">
        <v>1308</v>
      </c>
      <c r="D40" s="232">
        <v>8.86</v>
      </c>
      <c r="E40" s="272">
        <v>8.83</v>
      </c>
    </row>
    <row r="41" spans="1:5" x14ac:dyDescent="0.3">
      <c r="A41" s="238">
        <v>39</v>
      </c>
      <c r="B41" s="228" t="s">
        <v>1697</v>
      </c>
      <c r="C41" s="228" t="s">
        <v>1698</v>
      </c>
      <c r="D41" s="229">
        <v>8.92</v>
      </c>
      <c r="E41" s="272">
        <v>8.83</v>
      </c>
    </row>
    <row r="42" spans="1:5" x14ac:dyDescent="0.3">
      <c r="A42" s="238">
        <v>40</v>
      </c>
      <c r="B42" s="231" t="s">
        <v>2236</v>
      </c>
      <c r="C42" s="231" t="s">
        <v>2237</v>
      </c>
      <c r="D42" s="232">
        <v>8.81</v>
      </c>
      <c r="E42" s="272">
        <v>8.83</v>
      </c>
    </row>
    <row r="43" spans="1:5" x14ac:dyDescent="0.3">
      <c r="A43" s="238">
        <v>41</v>
      </c>
      <c r="B43" s="228" t="s">
        <v>297</v>
      </c>
      <c r="C43" s="228" t="s">
        <v>2531</v>
      </c>
      <c r="D43" s="229">
        <v>8.86</v>
      </c>
      <c r="E43" s="273">
        <v>8.82</v>
      </c>
    </row>
    <row r="44" spans="1:5" x14ac:dyDescent="0.3">
      <c r="A44" s="238">
        <v>42</v>
      </c>
      <c r="B44" s="231" t="s">
        <v>357</v>
      </c>
      <c r="C44" s="231" t="s">
        <v>351</v>
      </c>
      <c r="D44" s="232">
        <v>8.8000000000000007</v>
      </c>
      <c r="E44" s="274">
        <v>8.81</v>
      </c>
    </row>
    <row r="45" spans="1:5" x14ac:dyDescent="0.3">
      <c r="A45" s="238">
        <v>43</v>
      </c>
      <c r="B45" s="228" t="s">
        <v>441</v>
      </c>
      <c r="C45" s="228" t="s">
        <v>442</v>
      </c>
      <c r="D45" s="229">
        <v>8.7899999999999991</v>
      </c>
      <c r="E45" s="274">
        <v>8.81</v>
      </c>
    </row>
    <row r="46" spans="1:5" x14ac:dyDescent="0.3">
      <c r="A46" s="238">
        <v>44</v>
      </c>
      <c r="B46" s="231" t="s">
        <v>2557</v>
      </c>
      <c r="C46" s="231" t="s">
        <v>2556</v>
      </c>
      <c r="D46" s="232">
        <v>8.8800000000000008</v>
      </c>
      <c r="E46" s="274">
        <v>8.81</v>
      </c>
    </row>
    <row r="47" spans="1:5" x14ac:dyDescent="0.3">
      <c r="A47" s="238">
        <v>45</v>
      </c>
      <c r="B47" s="228" t="s">
        <v>307</v>
      </c>
      <c r="C47" s="228" t="s">
        <v>2741</v>
      </c>
      <c r="D47" s="229">
        <v>8.8000000000000007</v>
      </c>
      <c r="E47" s="274">
        <v>8.81</v>
      </c>
    </row>
    <row r="48" spans="1:5" x14ac:dyDescent="0.3">
      <c r="A48" s="238">
        <v>46</v>
      </c>
      <c r="B48" s="231" t="s">
        <v>545</v>
      </c>
      <c r="C48" s="231" t="s">
        <v>546</v>
      </c>
      <c r="D48" s="232">
        <v>8.7799999999999994</v>
      </c>
      <c r="E48" s="275">
        <v>8.7899999999999991</v>
      </c>
    </row>
    <row r="49" spans="1:5" x14ac:dyDescent="0.3">
      <c r="A49" s="238">
        <v>47</v>
      </c>
      <c r="B49" s="228" t="s">
        <v>1596</v>
      </c>
      <c r="C49" s="228" t="s">
        <v>1595</v>
      </c>
      <c r="D49" s="229">
        <v>8.85</v>
      </c>
      <c r="E49" s="276">
        <v>8.7799999999999994</v>
      </c>
    </row>
    <row r="50" spans="1:5" x14ac:dyDescent="0.3">
      <c r="A50" s="238">
        <v>48</v>
      </c>
      <c r="B50" s="231" t="s">
        <v>441</v>
      </c>
      <c r="C50" s="231" t="s">
        <v>2403</v>
      </c>
      <c r="D50" s="232">
        <v>8.75</v>
      </c>
      <c r="E50" s="276">
        <v>8.7799999999999994</v>
      </c>
    </row>
    <row r="51" spans="1:5" x14ac:dyDescent="0.3">
      <c r="A51" s="238">
        <v>49</v>
      </c>
      <c r="B51" s="228" t="s">
        <v>297</v>
      </c>
      <c r="C51" s="228" t="s">
        <v>1325</v>
      </c>
      <c r="D51" s="229">
        <v>8.83</v>
      </c>
      <c r="E51" s="277">
        <v>8.77</v>
      </c>
    </row>
    <row r="52" spans="1:5" x14ac:dyDescent="0.3">
      <c r="A52" s="238">
        <v>50</v>
      </c>
      <c r="B52" s="231" t="s">
        <v>2492</v>
      </c>
      <c r="C52" s="231" t="s">
        <v>2493</v>
      </c>
      <c r="D52" s="232">
        <v>8.8800000000000008</v>
      </c>
      <c r="E52" s="277">
        <v>8.77</v>
      </c>
    </row>
    <row r="53" spans="1:5" x14ac:dyDescent="0.3">
      <c r="A53" s="238">
        <v>51</v>
      </c>
      <c r="B53" s="228" t="s">
        <v>293</v>
      </c>
      <c r="C53" s="228" t="s">
        <v>518</v>
      </c>
      <c r="D53" s="229">
        <v>8.77</v>
      </c>
      <c r="E53" s="279">
        <v>8.75</v>
      </c>
    </row>
    <row r="54" spans="1:5" x14ac:dyDescent="0.3">
      <c r="A54" s="238">
        <v>52</v>
      </c>
      <c r="B54" s="231" t="s">
        <v>2310</v>
      </c>
      <c r="C54" s="231" t="s">
        <v>2300</v>
      </c>
      <c r="D54" s="232">
        <v>8.86</v>
      </c>
      <c r="E54" s="280">
        <v>8.74</v>
      </c>
    </row>
    <row r="55" spans="1:5" x14ac:dyDescent="0.3">
      <c r="A55" s="238">
        <v>53</v>
      </c>
      <c r="B55" s="228" t="s">
        <v>370</v>
      </c>
      <c r="C55" s="228" t="s">
        <v>368</v>
      </c>
      <c r="D55" s="229">
        <v>8.67</v>
      </c>
      <c r="E55" s="282">
        <v>8.7100000000000009</v>
      </c>
    </row>
    <row r="56" spans="1:5" x14ac:dyDescent="0.3">
      <c r="A56" s="238">
        <v>54</v>
      </c>
      <c r="B56" s="231" t="s">
        <v>2900</v>
      </c>
      <c r="C56" s="231" t="s">
        <v>2900</v>
      </c>
      <c r="D56" s="232">
        <v>8.8000000000000007</v>
      </c>
      <c r="E56" s="283">
        <v>8.6999999999999993</v>
      </c>
    </row>
    <row r="57" spans="1:5" x14ac:dyDescent="0.3">
      <c r="A57" s="238">
        <v>55</v>
      </c>
      <c r="B57" s="228" t="s">
        <v>2588</v>
      </c>
      <c r="C57" s="228" t="s">
        <v>2589</v>
      </c>
      <c r="D57" s="229">
        <v>8.75</v>
      </c>
      <c r="E57" s="285">
        <v>8.67</v>
      </c>
    </row>
    <row r="58" spans="1:5" x14ac:dyDescent="0.3">
      <c r="A58" s="238">
        <v>56</v>
      </c>
      <c r="B58" s="231" t="s">
        <v>2636</v>
      </c>
      <c r="C58" s="231" t="s">
        <v>3382</v>
      </c>
      <c r="D58" s="232">
        <v>8.7899999999999991</v>
      </c>
      <c r="E58" s="285">
        <v>8.67</v>
      </c>
    </row>
    <row r="59" spans="1:5" x14ac:dyDescent="0.3">
      <c r="A59" s="238">
        <v>57</v>
      </c>
      <c r="B59" s="228" t="s">
        <v>310</v>
      </c>
      <c r="C59" s="228" t="s">
        <v>159</v>
      </c>
      <c r="D59" s="229">
        <v>8.7100000000000009</v>
      </c>
      <c r="E59" s="287">
        <v>8.65</v>
      </c>
    </row>
    <row r="60" spans="1:5" x14ac:dyDescent="0.3">
      <c r="A60" s="238">
        <v>58</v>
      </c>
      <c r="B60" s="231" t="s">
        <v>1266</v>
      </c>
      <c r="C60" s="231" t="s">
        <v>1267</v>
      </c>
      <c r="D60" s="232">
        <v>8.77</v>
      </c>
      <c r="E60" s="287">
        <v>8.65</v>
      </c>
    </row>
    <row r="61" spans="1:5" x14ac:dyDescent="0.3">
      <c r="A61" s="238">
        <v>59</v>
      </c>
      <c r="B61" s="228" t="s">
        <v>1531</v>
      </c>
      <c r="C61" s="228" t="s">
        <v>1524</v>
      </c>
      <c r="D61" s="229">
        <v>8.75</v>
      </c>
      <c r="E61" s="289">
        <v>8.6300000000000008</v>
      </c>
    </row>
    <row r="62" spans="1:5" x14ac:dyDescent="0.3">
      <c r="A62" s="238">
        <v>60</v>
      </c>
      <c r="B62" s="231" t="s">
        <v>1087</v>
      </c>
      <c r="C62" s="231" t="s">
        <v>1627</v>
      </c>
      <c r="D62" s="232">
        <v>8.57</v>
      </c>
      <c r="E62" s="289">
        <v>8.6300000000000008</v>
      </c>
    </row>
    <row r="63" spans="1:5" x14ac:dyDescent="0.3">
      <c r="A63" s="238">
        <v>61</v>
      </c>
      <c r="B63" s="228" t="s">
        <v>560</v>
      </c>
      <c r="C63" s="228" t="s">
        <v>561</v>
      </c>
      <c r="D63" s="229">
        <v>8.73</v>
      </c>
      <c r="E63" s="290">
        <v>8.6199999999999992</v>
      </c>
    </row>
    <row r="64" spans="1:5" x14ac:dyDescent="0.3">
      <c r="A64" s="238">
        <v>62</v>
      </c>
      <c r="B64" s="231" t="s">
        <v>1914</v>
      </c>
      <c r="C64" s="231" t="s">
        <v>1915</v>
      </c>
      <c r="D64" s="232">
        <v>8.67</v>
      </c>
      <c r="E64" s="291">
        <v>8.61</v>
      </c>
    </row>
    <row r="65" spans="1:5" x14ac:dyDescent="0.3">
      <c r="A65" s="238">
        <v>63</v>
      </c>
      <c r="B65" s="228" t="s">
        <v>888</v>
      </c>
      <c r="C65" s="228" t="s">
        <v>869</v>
      </c>
      <c r="D65" s="229">
        <v>8.5500000000000007</v>
      </c>
      <c r="E65" s="292">
        <v>8.6</v>
      </c>
    </row>
    <row r="66" spans="1:5" x14ac:dyDescent="0.3">
      <c r="A66" s="238">
        <v>64</v>
      </c>
      <c r="B66" s="231" t="s">
        <v>2966</v>
      </c>
      <c r="C66" s="231">
        <v>4</v>
      </c>
      <c r="D66" s="232">
        <v>8.6</v>
      </c>
      <c r="E66" s="292">
        <v>8.6</v>
      </c>
    </row>
    <row r="67" spans="1:5" x14ac:dyDescent="0.3">
      <c r="A67" s="238">
        <v>65</v>
      </c>
      <c r="B67" s="228" t="s">
        <v>2250</v>
      </c>
      <c r="C67" s="228" t="s">
        <v>2249</v>
      </c>
      <c r="D67" s="229">
        <v>8.67</v>
      </c>
      <c r="E67" s="294">
        <v>8.57</v>
      </c>
    </row>
    <row r="68" spans="1:5" x14ac:dyDescent="0.3">
      <c r="A68" s="238">
        <v>66</v>
      </c>
      <c r="B68" s="231" t="s">
        <v>311</v>
      </c>
      <c r="C68" s="231" t="s">
        <v>158</v>
      </c>
      <c r="D68" s="232">
        <v>8.65</v>
      </c>
      <c r="E68" s="295">
        <v>8.56</v>
      </c>
    </row>
    <row r="69" spans="1:5" x14ac:dyDescent="0.3">
      <c r="A69" s="238">
        <v>67</v>
      </c>
      <c r="B69" s="228" t="s">
        <v>293</v>
      </c>
      <c r="C69" s="228" t="s">
        <v>813</v>
      </c>
      <c r="D69" s="229">
        <v>8.5</v>
      </c>
      <c r="E69" s="295">
        <v>8.56</v>
      </c>
    </row>
    <row r="70" spans="1:5" x14ac:dyDescent="0.3">
      <c r="A70" s="238">
        <v>68</v>
      </c>
      <c r="B70" s="231" t="s">
        <v>913</v>
      </c>
      <c r="C70" s="231" t="s">
        <v>911</v>
      </c>
      <c r="D70" s="232">
        <v>8.67</v>
      </c>
      <c r="E70" s="295">
        <v>8.56</v>
      </c>
    </row>
    <row r="71" spans="1:5" x14ac:dyDescent="0.3">
      <c r="A71" s="238">
        <v>69</v>
      </c>
      <c r="B71" s="228" t="s">
        <v>296</v>
      </c>
      <c r="C71" s="228" t="s">
        <v>2006</v>
      </c>
      <c r="D71" s="229">
        <v>8.6</v>
      </c>
      <c r="E71" s="297">
        <v>8.5399999999999991</v>
      </c>
    </row>
    <row r="72" spans="1:5" x14ac:dyDescent="0.3">
      <c r="A72" s="238">
        <v>70</v>
      </c>
      <c r="B72" s="231" t="s">
        <v>1557</v>
      </c>
      <c r="C72" s="231" t="s">
        <v>1558</v>
      </c>
      <c r="D72" s="232">
        <v>8.6</v>
      </c>
      <c r="E72" s="300">
        <v>8.5</v>
      </c>
    </row>
    <row r="73" spans="1:5" x14ac:dyDescent="0.3">
      <c r="A73" s="238">
        <v>71</v>
      </c>
      <c r="B73" s="228" t="s">
        <v>2139</v>
      </c>
      <c r="C73" s="228" t="s">
        <v>2140</v>
      </c>
      <c r="D73" s="229">
        <v>8.58</v>
      </c>
      <c r="E73" s="300">
        <v>8.5</v>
      </c>
    </row>
    <row r="74" spans="1:5" x14ac:dyDescent="0.3">
      <c r="A74" s="238">
        <v>72</v>
      </c>
      <c r="B74" s="231" t="s">
        <v>2975</v>
      </c>
      <c r="C74" s="231" t="s">
        <v>2976</v>
      </c>
      <c r="D74" s="232">
        <v>8.58</v>
      </c>
      <c r="E74" s="300">
        <v>8.5</v>
      </c>
    </row>
    <row r="75" spans="1:5" x14ac:dyDescent="0.3">
      <c r="A75" s="238">
        <v>73</v>
      </c>
      <c r="B75" s="228" t="s">
        <v>1666</v>
      </c>
      <c r="C75" s="228" t="s">
        <v>2678</v>
      </c>
      <c r="D75" s="229">
        <v>8.5</v>
      </c>
      <c r="E75" s="302">
        <v>8.4700000000000006</v>
      </c>
    </row>
    <row r="76" spans="1:5" x14ac:dyDescent="0.3">
      <c r="A76" s="238">
        <v>74</v>
      </c>
      <c r="B76" s="231" t="s">
        <v>2236</v>
      </c>
      <c r="C76" s="231" t="s">
        <v>2840</v>
      </c>
      <c r="D76" s="232">
        <v>8.39</v>
      </c>
      <c r="E76" s="307">
        <v>8.39</v>
      </c>
    </row>
    <row r="77" spans="1:5" x14ac:dyDescent="0.3">
      <c r="A77" s="238">
        <v>75</v>
      </c>
      <c r="B77" s="228" t="s">
        <v>2914</v>
      </c>
      <c r="C77" s="228" t="s">
        <v>2904</v>
      </c>
      <c r="D77" s="229">
        <v>8.44</v>
      </c>
      <c r="E77" s="307">
        <v>8.39</v>
      </c>
    </row>
    <row r="78" spans="1:5" x14ac:dyDescent="0.3">
      <c r="A78" s="238">
        <v>76</v>
      </c>
      <c r="B78" s="231" t="s">
        <v>1087</v>
      </c>
      <c r="C78" s="231" t="s">
        <v>1088</v>
      </c>
      <c r="D78" s="232">
        <v>8.4600000000000009</v>
      </c>
      <c r="E78" s="312">
        <v>8.27</v>
      </c>
    </row>
    <row r="79" spans="1:5" x14ac:dyDescent="0.3">
      <c r="A79" s="238">
        <v>77</v>
      </c>
      <c r="B79" s="228" t="s">
        <v>313</v>
      </c>
      <c r="C79" s="228" t="s">
        <v>160</v>
      </c>
      <c r="D79" s="229">
        <v>8.3800000000000008</v>
      </c>
      <c r="E79" s="313">
        <v>8.25</v>
      </c>
    </row>
    <row r="80" spans="1:5" x14ac:dyDescent="0.3">
      <c r="A80" s="238">
        <v>78</v>
      </c>
      <c r="B80" s="231" t="s">
        <v>2931</v>
      </c>
      <c r="C80" s="231" t="s">
        <v>2932</v>
      </c>
      <c r="D80" s="232">
        <v>8.41</v>
      </c>
      <c r="E80" s="314">
        <v>8.24</v>
      </c>
    </row>
    <row r="81" spans="1:5" x14ac:dyDescent="0.3">
      <c r="A81" s="238">
        <v>79</v>
      </c>
      <c r="B81" s="228" t="s">
        <v>677</v>
      </c>
      <c r="C81" s="228" t="s">
        <v>677</v>
      </c>
      <c r="D81" s="229">
        <v>8.24</v>
      </c>
      <c r="E81" s="315">
        <v>8.23</v>
      </c>
    </row>
    <row r="82" spans="1:5" x14ac:dyDescent="0.3">
      <c r="A82" s="238">
        <v>80</v>
      </c>
      <c r="B82" s="231" t="s">
        <v>314</v>
      </c>
      <c r="C82" s="231" t="s">
        <v>271</v>
      </c>
      <c r="D82" s="232">
        <v>8.35</v>
      </c>
      <c r="E82" s="317">
        <v>8.1999999999999993</v>
      </c>
    </row>
    <row r="83" spans="1:5" x14ac:dyDescent="0.3">
      <c r="A83" s="238">
        <v>81</v>
      </c>
      <c r="B83" s="228" t="s">
        <v>759</v>
      </c>
      <c r="C83" s="228" t="s">
        <v>760</v>
      </c>
      <c r="D83" s="229">
        <v>8.33</v>
      </c>
      <c r="E83" s="319">
        <v>8.16</v>
      </c>
    </row>
    <row r="84" spans="1:5" x14ac:dyDescent="0.3">
      <c r="A84" s="238">
        <v>82</v>
      </c>
      <c r="B84" s="231" t="s">
        <v>2607</v>
      </c>
      <c r="C84" s="231" t="s">
        <v>2608</v>
      </c>
      <c r="D84" s="232">
        <v>8.31</v>
      </c>
      <c r="E84" s="319">
        <v>8.16</v>
      </c>
    </row>
    <row r="85" spans="1:5" x14ac:dyDescent="0.3">
      <c r="A85" s="238">
        <v>83</v>
      </c>
      <c r="B85" s="228" t="s">
        <v>2295</v>
      </c>
      <c r="C85" s="228" t="s">
        <v>2296</v>
      </c>
      <c r="D85" s="229">
        <v>8.1999999999999993</v>
      </c>
      <c r="E85" s="320">
        <v>8.1300000000000008</v>
      </c>
    </row>
    <row r="86" spans="1:5" x14ac:dyDescent="0.3">
      <c r="A86" s="238">
        <v>84</v>
      </c>
      <c r="B86" s="231" t="s">
        <v>293</v>
      </c>
      <c r="C86" s="231" t="s">
        <v>573</v>
      </c>
      <c r="D86" s="232">
        <v>8.0500000000000007</v>
      </c>
      <c r="E86" s="321">
        <v>8.11</v>
      </c>
    </row>
    <row r="87" spans="1:5" x14ac:dyDescent="0.3">
      <c r="A87" s="238">
        <v>85</v>
      </c>
      <c r="B87" s="228" t="s">
        <v>305</v>
      </c>
      <c r="C87" s="228" t="s">
        <v>1778</v>
      </c>
      <c r="D87" s="229">
        <v>8.18</v>
      </c>
      <c r="E87" s="322">
        <v>8.06</v>
      </c>
    </row>
    <row r="88" spans="1:5" x14ac:dyDescent="0.3">
      <c r="A88" s="238">
        <v>86</v>
      </c>
      <c r="B88" s="231" t="s">
        <v>300</v>
      </c>
      <c r="C88" s="231" t="s">
        <v>2355</v>
      </c>
      <c r="D88" s="232">
        <v>8.11</v>
      </c>
      <c r="E88" s="323">
        <v>8.0299999999999994</v>
      </c>
    </row>
    <row r="89" spans="1:5" x14ac:dyDescent="0.3">
      <c r="A89" s="238">
        <v>87</v>
      </c>
      <c r="B89" s="228" t="s">
        <v>346</v>
      </c>
      <c r="C89" s="228" t="s">
        <v>339</v>
      </c>
      <c r="D89" s="229">
        <v>8</v>
      </c>
      <c r="E89" s="325">
        <v>7.98</v>
      </c>
    </row>
    <row r="90" spans="1:5" x14ac:dyDescent="0.3">
      <c r="A90" s="238">
        <v>88</v>
      </c>
      <c r="B90" s="231" t="s">
        <v>300</v>
      </c>
      <c r="C90" s="231" t="s">
        <v>1678</v>
      </c>
      <c r="D90" s="232">
        <v>8.06</v>
      </c>
      <c r="E90" s="326">
        <v>7.95</v>
      </c>
    </row>
    <row r="91" spans="1:5" x14ac:dyDescent="0.3">
      <c r="A91" s="238">
        <v>89</v>
      </c>
      <c r="B91" s="228" t="s">
        <v>2208</v>
      </c>
      <c r="C91" s="228" t="s">
        <v>2209</v>
      </c>
      <c r="D91" s="229">
        <v>8</v>
      </c>
      <c r="E91" s="327">
        <v>7.94</v>
      </c>
    </row>
    <row r="92" spans="1:5" x14ac:dyDescent="0.3">
      <c r="A92" s="238">
        <v>90</v>
      </c>
      <c r="B92" s="231" t="s">
        <v>300</v>
      </c>
      <c r="C92" s="231" t="s">
        <v>3153</v>
      </c>
      <c r="D92" s="232">
        <v>7.95</v>
      </c>
      <c r="E92" s="371">
        <v>7.89</v>
      </c>
    </row>
    <row r="93" spans="1:5" x14ac:dyDescent="0.3">
      <c r="A93" s="238">
        <v>91</v>
      </c>
      <c r="B93" s="228" t="s">
        <v>293</v>
      </c>
      <c r="C93" s="228" t="s">
        <v>899</v>
      </c>
      <c r="D93" s="229">
        <v>7.88</v>
      </c>
      <c r="E93" s="329">
        <v>7.74</v>
      </c>
    </row>
    <row r="94" spans="1:5" x14ac:dyDescent="0.3">
      <c r="A94" s="238">
        <v>92</v>
      </c>
      <c r="B94" s="231" t="s">
        <v>1131</v>
      </c>
      <c r="C94" s="231" t="s">
        <v>1132</v>
      </c>
      <c r="D94" s="232">
        <v>7.71</v>
      </c>
      <c r="E94" s="333">
        <v>7.61</v>
      </c>
    </row>
    <row r="95" spans="1:5" x14ac:dyDescent="0.3">
      <c r="A95" s="238">
        <v>93</v>
      </c>
      <c r="B95" s="228" t="s">
        <v>293</v>
      </c>
      <c r="C95" s="228" t="s">
        <v>938</v>
      </c>
      <c r="D95" s="229">
        <v>7.5</v>
      </c>
      <c r="E95" s="334">
        <v>7.4</v>
      </c>
    </row>
    <row r="96" spans="1:5" x14ac:dyDescent="0.3">
      <c r="A96" s="238">
        <v>94</v>
      </c>
      <c r="B96" s="231" t="s">
        <v>2380</v>
      </c>
      <c r="C96" s="231" t="s">
        <v>2381</v>
      </c>
      <c r="D96" s="232">
        <v>7.17</v>
      </c>
      <c r="E96" s="337">
        <v>7.04</v>
      </c>
    </row>
    <row r="97" spans="1:5" x14ac:dyDescent="0.3">
      <c r="A97" s="238">
        <v>95</v>
      </c>
      <c r="B97" s="228" t="s">
        <v>2494</v>
      </c>
      <c r="C97" s="228" t="s">
        <v>2495</v>
      </c>
      <c r="D97" s="229">
        <v>2.5</v>
      </c>
      <c r="E97" s="339">
        <v>2.39</v>
      </c>
    </row>
    <row r="99" spans="1:5" ht="17.399999999999999" x14ac:dyDescent="0.35">
      <c r="A99" s="399" t="s">
        <v>3418</v>
      </c>
      <c r="B99" s="399"/>
      <c r="C99" s="399"/>
      <c r="D99" s="399"/>
      <c r="E99" s="399"/>
    </row>
    <row r="100" spans="1:5" x14ac:dyDescent="0.3">
      <c r="A100" s="227" t="s">
        <v>318</v>
      </c>
      <c r="B100" s="227" t="s">
        <v>285</v>
      </c>
      <c r="C100" s="227" t="s">
        <v>286</v>
      </c>
      <c r="D100" s="227" t="s">
        <v>287</v>
      </c>
      <c r="E100" s="227" t="s">
        <v>959</v>
      </c>
    </row>
    <row r="101" spans="1:5" x14ac:dyDescent="0.3">
      <c r="A101" s="234">
        <v>1</v>
      </c>
      <c r="B101" s="228" t="s">
        <v>292</v>
      </c>
      <c r="C101" s="228" t="s">
        <v>7</v>
      </c>
      <c r="D101" s="229">
        <v>10.11</v>
      </c>
      <c r="E101" s="235">
        <v>10.99</v>
      </c>
    </row>
    <row r="102" spans="1:5" x14ac:dyDescent="0.3">
      <c r="A102" s="236">
        <v>2</v>
      </c>
      <c r="B102" s="231" t="s">
        <v>292</v>
      </c>
      <c r="C102" s="231" t="s">
        <v>517</v>
      </c>
      <c r="D102" s="232">
        <v>9.61</v>
      </c>
      <c r="E102" s="239">
        <v>9.99</v>
      </c>
    </row>
    <row r="103" spans="1:5" x14ac:dyDescent="0.3">
      <c r="A103" s="237">
        <v>3</v>
      </c>
      <c r="B103" s="228" t="s">
        <v>292</v>
      </c>
      <c r="C103" s="228" t="s">
        <v>156</v>
      </c>
      <c r="D103" s="229">
        <v>9.61</v>
      </c>
      <c r="E103" s="240">
        <v>9.9600000000000009</v>
      </c>
    </row>
    <row r="104" spans="1:5" x14ac:dyDescent="0.3">
      <c r="A104" s="238">
        <v>4</v>
      </c>
      <c r="B104" s="231" t="s">
        <v>292</v>
      </c>
      <c r="C104" s="231" t="s">
        <v>1177</v>
      </c>
      <c r="D104" s="232">
        <v>9.36</v>
      </c>
      <c r="E104" s="242">
        <v>9.6</v>
      </c>
    </row>
    <row r="105" spans="1:5" x14ac:dyDescent="0.3">
      <c r="A105" s="238">
        <v>5</v>
      </c>
      <c r="B105" s="228" t="s">
        <v>292</v>
      </c>
      <c r="C105" s="228" t="s">
        <v>2441</v>
      </c>
      <c r="D105" s="229">
        <v>9.25</v>
      </c>
      <c r="E105" s="244">
        <v>9.5299999999999994</v>
      </c>
    </row>
    <row r="106" spans="1:5" x14ac:dyDescent="0.3">
      <c r="A106" s="238">
        <v>6</v>
      </c>
      <c r="B106" s="231" t="s">
        <v>1938</v>
      </c>
      <c r="C106" s="231" t="s">
        <v>1931</v>
      </c>
      <c r="D106" s="232">
        <v>9.31</v>
      </c>
      <c r="E106" s="246">
        <v>9.43</v>
      </c>
    </row>
    <row r="107" spans="1:5" x14ac:dyDescent="0.3">
      <c r="A107" s="238">
        <v>7</v>
      </c>
      <c r="B107" s="228" t="s">
        <v>301</v>
      </c>
      <c r="C107" s="228" t="s">
        <v>56</v>
      </c>
      <c r="D107" s="229">
        <v>9.25</v>
      </c>
      <c r="E107" s="247">
        <v>9.3699999999999992</v>
      </c>
    </row>
    <row r="108" spans="1:5" x14ac:dyDescent="0.3">
      <c r="A108" s="238">
        <v>8</v>
      </c>
      <c r="B108" s="231" t="s">
        <v>300</v>
      </c>
      <c r="C108" s="231" t="s">
        <v>131</v>
      </c>
      <c r="D108" s="232">
        <v>9.2100000000000009</v>
      </c>
      <c r="E108" s="250">
        <v>9.2799999999999994</v>
      </c>
    </row>
    <row r="109" spans="1:5" x14ac:dyDescent="0.3">
      <c r="A109" s="238">
        <v>9</v>
      </c>
      <c r="B109" s="228" t="s">
        <v>441</v>
      </c>
      <c r="C109" s="228" t="s">
        <v>459</v>
      </c>
      <c r="D109" s="229">
        <v>9.17</v>
      </c>
      <c r="E109" s="251">
        <v>9.23</v>
      </c>
    </row>
    <row r="110" spans="1:5" x14ac:dyDescent="0.3">
      <c r="A110" s="238">
        <v>10</v>
      </c>
      <c r="B110" s="231" t="s">
        <v>301</v>
      </c>
      <c r="C110" s="231" t="s">
        <v>653</v>
      </c>
      <c r="D110" s="232">
        <v>9.1300000000000008</v>
      </c>
      <c r="E110" s="252">
        <v>9.2100000000000009</v>
      </c>
    </row>
    <row r="111" spans="1:5" x14ac:dyDescent="0.3">
      <c r="A111" s="238">
        <v>11</v>
      </c>
      <c r="B111" s="228" t="s">
        <v>300</v>
      </c>
      <c r="C111" s="228" t="s">
        <v>924</v>
      </c>
      <c r="D111" s="229">
        <v>9.06</v>
      </c>
      <c r="E111" s="254">
        <v>9.14</v>
      </c>
    </row>
    <row r="112" spans="1:5" x14ac:dyDescent="0.3">
      <c r="A112" s="238">
        <v>12</v>
      </c>
      <c r="B112" s="231" t="s">
        <v>304</v>
      </c>
      <c r="C112" s="231" t="s">
        <v>229</v>
      </c>
      <c r="D112" s="232">
        <v>9</v>
      </c>
      <c r="E112" s="255">
        <v>9.09</v>
      </c>
    </row>
    <row r="113" spans="1:5" x14ac:dyDescent="0.3">
      <c r="A113" s="238">
        <v>13</v>
      </c>
      <c r="B113" s="228" t="s">
        <v>301</v>
      </c>
      <c r="C113" s="228" t="s">
        <v>1065</v>
      </c>
      <c r="D113" s="229">
        <v>9</v>
      </c>
      <c r="E113" s="256">
        <v>9.08</v>
      </c>
    </row>
    <row r="114" spans="1:5" x14ac:dyDescent="0.3">
      <c r="A114" s="238">
        <v>14</v>
      </c>
      <c r="B114" s="231" t="s">
        <v>441</v>
      </c>
      <c r="C114" s="231" t="s">
        <v>609</v>
      </c>
      <c r="D114" s="232">
        <v>8.94</v>
      </c>
      <c r="E114" s="257">
        <v>9.0399999999999991</v>
      </c>
    </row>
    <row r="115" spans="1:5" x14ac:dyDescent="0.3">
      <c r="A115" s="238">
        <v>15</v>
      </c>
      <c r="B115" s="228" t="s">
        <v>3164</v>
      </c>
      <c r="C115" s="228" t="s">
        <v>3165</v>
      </c>
      <c r="D115" s="229">
        <v>9.07</v>
      </c>
      <c r="E115" s="257">
        <v>9.0399999999999991</v>
      </c>
    </row>
    <row r="116" spans="1:5" x14ac:dyDescent="0.3">
      <c r="A116" s="238">
        <v>16</v>
      </c>
      <c r="B116" s="231" t="s">
        <v>315</v>
      </c>
      <c r="C116" s="231" t="s">
        <v>2277</v>
      </c>
      <c r="D116" s="232">
        <v>8.92</v>
      </c>
      <c r="E116" s="260">
        <v>9</v>
      </c>
    </row>
    <row r="117" spans="1:5" x14ac:dyDescent="0.3">
      <c r="A117" s="238">
        <v>17</v>
      </c>
      <c r="B117" s="228" t="s">
        <v>2714</v>
      </c>
      <c r="C117" s="228" t="s">
        <v>2710</v>
      </c>
      <c r="D117" s="229">
        <v>8.83</v>
      </c>
      <c r="E117" s="260">
        <v>9</v>
      </c>
    </row>
    <row r="118" spans="1:5" x14ac:dyDescent="0.3">
      <c r="A118" s="238">
        <v>18</v>
      </c>
      <c r="B118" s="231" t="s">
        <v>2950</v>
      </c>
      <c r="C118" s="231" t="s">
        <v>2951</v>
      </c>
      <c r="D118" s="232">
        <v>8.9600000000000009</v>
      </c>
      <c r="E118" s="265">
        <v>8.92</v>
      </c>
    </row>
    <row r="119" spans="1:5" x14ac:dyDescent="0.3">
      <c r="A119" s="238">
        <v>19</v>
      </c>
      <c r="B119" s="228" t="s">
        <v>300</v>
      </c>
      <c r="C119" s="228" t="s">
        <v>2419</v>
      </c>
      <c r="D119" s="229">
        <v>8.9</v>
      </c>
      <c r="E119" s="266">
        <v>8.9</v>
      </c>
    </row>
    <row r="120" spans="1:5" x14ac:dyDescent="0.3">
      <c r="A120" s="238">
        <v>20</v>
      </c>
      <c r="B120" s="231" t="s">
        <v>1450</v>
      </c>
      <c r="C120" s="231" t="s">
        <v>1451</v>
      </c>
      <c r="D120" s="232">
        <v>8.82</v>
      </c>
      <c r="E120" s="272">
        <v>8.84</v>
      </c>
    </row>
    <row r="121" spans="1:5" x14ac:dyDescent="0.3">
      <c r="A121" s="238">
        <v>21</v>
      </c>
      <c r="B121" s="228" t="s">
        <v>1618</v>
      </c>
      <c r="C121" s="228" t="s">
        <v>2017</v>
      </c>
      <c r="D121" s="229">
        <v>8.81</v>
      </c>
      <c r="E121" s="272">
        <v>8.83</v>
      </c>
    </row>
    <row r="122" spans="1:5" x14ac:dyDescent="0.3">
      <c r="A122" s="238">
        <v>22</v>
      </c>
      <c r="B122" s="231" t="s">
        <v>441</v>
      </c>
      <c r="C122" s="231" t="s">
        <v>442</v>
      </c>
      <c r="D122" s="232">
        <v>8.7899999999999991</v>
      </c>
      <c r="E122" s="274">
        <v>8.81</v>
      </c>
    </row>
    <row r="123" spans="1:5" x14ac:dyDescent="0.3">
      <c r="A123" s="238">
        <v>23</v>
      </c>
      <c r="B123" s="228" t="s">
        <v>1213</v>
      </c>
      <c r="C123" s="228" t="s">
        <v>1214</v>
      </c>
      <c r="D123" s="229">
        <v>8.67</v>
      </c>
      <c r="E123" s="275">
        <v>8.7899999999999991</v>
      </c>
    </row>
    <row r="124" spans="1:5" x14ac:dyDescent="0.3">
      <c r="A124" s="238">
        <v>24</v>
      </c>
      <c r="B124" s="231" t="s">
        <v>300</v>
      </c>
      <c r="C124" s="231" t="s">
        <v>855</v>
      </c>
      <c r="D124" s="232">
        <v>8.7899999999999991</v>
      </c>
      <c r="E124" s="276">
        <v>8.7799999999999994</v>
      </c>
    </row>
    <row r="125" spans="1:5" x14ac:dyDescent="0.3">
      <c r="A125" s="238">
        <v>25</v>
      </c>
      <c r="B125" s="228" t="s">
        <v>2950</v>
      </c>
      <c r="C125" s="228" t="s">
        <v>3340</v>
      </c>
      <c r="D125" s="229">
        <v>8.73</v>
      </c>
      <c r="E125" s="277">
        <v>8.77</v>
      </c>
    </row>
    <row r="126" spans="1:5" x14ac:dyDescent="0.3">
      <c r="A126" s="238">
        <v>26</v>
      </c>
      <c r="B126" s="231" t="s">
        <v>1369</v>
      </c>
      <c r="C126" s="231" t="s">
        <v>1370</v>
      </c>
      <c r="D126" s="232">
        <v>8.83</v>
      </c>
      <c r="E126" s="281">
        <v>8.7200000000000006</v>
      </c>
    </row>
    <row r="127" spans="1:5" x14ac:dyDescent="0.3">
      <c r="A127" s="238">
        <v>27</v>
      </c>
      <c r="B127" s="228" t="s">
        <v>1618</v>
      </c>
      <c r="C127" s="228" t="s">
        <v>1614</v>
      </c>
      <c r="D127" s="229">
        <v>8.81</v>
      </c>
      <c r="E127" s="283">
        <v>8.6999999999999993</v>
      </c>
    </row>
    <row r="128" spans="1:5" x14ac:dyDescent="0.3">
      <c r="A128" s="238">
        <v>28</v>
      </c>
      <c r="B128" s="231" t="s">
        <v>301</v>
      </c>
      <c r="C128" s="231" t="s">
        <v>301</v>
      </c>
      <c r="D128" s="232">
        <v>8.4600000000000009</v>
      </c>
      <c r="E128" s="287">
        <v>8.65</v>
      </c>
    </row>
    <row r="129" spans="1:5" x14ac:dyDescent="0.3">
      <c r="A129" s="238">
        <v>29</v>
      </c>
      <c r="B129" s="228" t="s">
        <v>1570</v>
      </c>
      <c r="C129" s="228" t="s">
        <v>1566</v>
      </c>
      <c r="D129" s="229">
        <v>8.75</v>
      </c>
      <c r="E129" s="287">
        <v>8.65</v>
      </c>
    </row>
    <row r="130" spans="1:5" x14ac:dyDescent="0.3">
      <c r="A130" s="238">
        <v>30</v>
      </c>
      <c r="B130" s="231" t="s">
        <v>2103</v>
      </c>
      <c r="C130" s="231" t="s">
        <v>2104</v>
      </c>
      <c r="D130" s="232">
        <v>8.75</v>
      </c>
      <c r="E130" s="288">
        <v>8.64</v>
      </c>
    </row>
    <row r="131" spans="1:5" x14ac:dyDescent="0.3">
      <c r="A131" s="238">
        <v>31</v>
      </c>
      <c r="B131" s="228" t="s">
        <v>300</v>
      </c>
      <c r="C131" s="228" t="s">
        <v>473</v>
      </c>
      <c r="D131" s="229">
        <v>8.69</v>
      </c>
      <c r="E131" s="289">
        <v>8.6300000000000008</v>
      </c>
    </row>
    <row r="132" spans="1:5" x14ac:dyDescent="0.3">
      <c r="A132" s="238">
        <v>32</v>
      </c>
      <c r="B132" s="231" t="s">
        <v>1173</v>
      </c>
      <c r="C132" s="231" t="s">
        <v>1168</v>
      </c>
      <c r="D132" s="232">
        <v>8.75</v>
      </c>
      <c r="E132" s="289">
        <v>8.6300000000000008</v>
      </c>
    </row>
    <row r="133" spans="1:5" x14ac:dyDescent="0.3">
      <c r="A133" s="238">
        <v>33</v>
      </c>
      <c r="B133" s="228" t="s">
        <v>1369</v>
      </c>
      <c r="C133" s="228" t="s">
        <v>1606</v>
      </c>
      <c r="D133" s="229">
        <v>8.7100000000000009</v>
      </c>
      <c r="E133" s="290">
        <v>8.6199999999999992</v>
      </c>
    </row>
    <row r="134" spans="1:5" x14ac:dyDescent="0.3">
      <c r="A134" s="238">
        <v>34</v>
      </c>
      <c r="B134" s="231" t="s">
        <v>301</v>
      </c>
      <c r="C134" s="231" t="s">
        <v>2194</v>
      </c>
      <c r="D134" s="232">
        <v>8.6999999999999993</v>
      </c>
      <c r="E134" s="291">
        <v>8.61</v>
      </c>
    </row>
    <row r="135" spans="1:5" x14ac:dyDescent="0.3">
      <c r="A135" s="238">
        <v>35</v>
      </c>
      <c r="B135" s="228" t="s">
        <v>728</v>
      </c>
      <c r="C135" s="228" t="s">
        <v>729</v>
      </c>
      <c r="D135" s="229">
        <v>8.67</v>
      </c>
      <c r="E135" s="294">
        <v>8.57</v>
      </c>
    </row>
    <row r="136" spans="1:5" x14ac:dyDescent="0.3">
      <c r="A136" s="238">
        <v>36</v>
      </c>
      <c r="B136" s="231" t="s">
        <v>2250</v>
      </c>
      <c r="C136" s="231" t="s">
        <v>2249</v>
      </c>
      <c r="D136" s="232">
        <v>8.67</v>
      </c>
      <c r="E136" s="294">
        <v>8.57</v>
      </c>
    </row>
    <row r="137" spans="1:5" x14ac:dyDescent="0.3">
      <c r="A137" s="238">
        <v>37</v>
      </c>
      <c r="B137" s="228" t="s">
        <v>1093</v>
      </c>
      <c r="C137" s="228" t="s">
        <v>2365</v>
      </c>
      <c r="D137" s="229">
        <v>8.61</v>
      </c>
      <c r="E137" s="298">
        <v>8.5299999999999994</v>
      </c>
    </row>
    <row r="138" spans="1:5" x14ac:dyDescent="0.3">
      <c r="A138" s="238">
        <v>38</v>
      </c>
      <c r="B138" s="231" t="s">
        <v>3121</v>
      </c>
      <c r="C138" s="231" t="s">
        <v>3122</v>
      </c>
      <c r="D138" s="232">
        <v>8.6</v>
      </c>
      <c r="E138" s="298">
        <v>8.5299999999999994</v>
      </c>
    </row>
    <row r="139" spans="1:5" x14ac:dyDescent="0.3">
      <c r="A139" s="238">
        <v>39</v>
      </c>
      <c r="B139" s="228" t="s">
        <v>2975</v>
      </c>
      <c r="C139" s="228" t="s">
        <v>2976</v>
      </c>
      <c r="D139" s="229">
        <v>8.58</v>
      </c>
      <c r="E139" s="300">
        <v>8.5</v>
      </c>
    </row>
    <row r="140" spans="1:5" x14ac:dyDescent="0.3">
      <c r="A140" s="238">
        <v>40</v>
      </c>
      <c r="B140" s="231" t="s">
        <v>978</v>
      </c>
      <c r="C140" s="231" t="s">
        <v>979</v>
      </c>
      <c r="D140" s="232">
        <v>8.5500000000000007</v>
      </c>
      <c r="E140" s="302">
        <v>8.4700000000000006</v>
      </c>
    </row>
    <row r="141" spans="1:5" x14ac:dyDescent="0.3">
      <c r="A141" s="238">
        <v>41</v>
      </c>
      <c r="B141" s="228" t="s">
        <v>300</v>
      </c>
      <c r="C141" s="228" t="s">
        <v>1906</v>
      </c>
      <c r="D141" s="229">
        <v>8.5</v>
      </c>
      <c r="E141" s="303">
        <v>8.4600000000000009</v>
      </c>
    </row>
    <row r="142" spans="1:5" x14ac:dyDescent="0.3">
      <c r="A142" s="238">
        <v>42</v>
      </c>
      <c r="B142" s="231" t="s">
        <v>300</v>
      </c>
      <c r="C142" s="231" t="s">
        <v>2218</v>
      </c>
      <c r="D142" s="232">
        <v>8.5</v>
      </c>
      <c r="E142" s="305">
        <v>8.43</v>
      </c>
    </row>
    <row r="143" spans="1:5" x14ac:dyDescent="0.3">
      <c r="A143" s="238">
        <v>43</v>
      </c>
      <c r="B143" s="228" t="s">
        <v>2914</v>
      </c>
      <c r="C143" s="228" t="s">
        <v>2904</v>
      </c>
      <c r="D143" s="229">
        <v>8.44</v>
      </c>
      <c r="E143" s="307">
        <v>8.39</v>
      </c>
    </row>
    <row r="144" spans="1:5" x14ac:dyDescent="0.3">
      <c r="A144" s="238">
        <v>44</v>
      </c>
      <c r="B144" s="231" t="s">
        <v>1926</v>
      </c>
      <c r="C144" s="231" t="s">
        <v>1927</v>
      </c>
      <c r="D144" s="232">
        <v>8.43</v>
      </c>
      <c r="E144" s="308">
        <v>8.3800000000000008</v>
      </c>
    </row>
    <row r="145" spans="1:5" x14ac:dyDescent="0.3">
      <c r="A145" s="238">
        <v>45</v>
      </c>
      <c r="B145" s="228" t="s">
        <v>1581</v>
      </c>
      <c r="C145" s="228" t="s">
        <v>1582</v>
      </c>
      <c r="D145" s="229">
        <v>8.4</v>
      </c>
      <c r="E145" s="309">
        <v>8.3699999999999992</v>
      </c>
    </row>
    <row r="146" spans="1:5" x14ac:dyDescent="0.3">
      <c r="A146" s="238">
        <v>46</v>
      </c>
      <c r="B146" s="231" t="s">
        <v>315</v>
      </c>
      <c r="C146" s="231" t="s">
        <v>316</v>
      </c>
      <c r="D146" s="232">
        <v>8.42</v>
      </c>
      <c r="E146" s="310">
        <v>8.34</v>
      </c>
    </row>
    <row r="147" spans="1:5" x14ac:dyDescent="0.3">
      <c r="A147" s="238">
        <v>47</v>
      </c>
      <c r="B147" s="228" t="s">
        <v>1450</v>
      </c>
      <c r="C147" s="228" t="s">
        <v>1504</v>
      </c>
      <c r="D147" s="229">
        <v>8.44</v>
      </c>
      <c r="E147" s="310">
        <v>8.34</v>
      </c>
    </row>
    <row r="148" spans="1:5" x14ac:dyDescent="0.3">
      <c r="A148" s="238">
        <v>48</v>
      </c>
      <c r="B148" s="231" t="s">
        <v>3053</v>
      </c>
      <c r="C148" s="231" t="s">
        <v>3054</v>
      </c>
      <c r="D148" s="232">
        <v>8.4499999999999993</v>
      </c>
      <c r="E148" s="310">
        <v>8.34</v>
      </c>
    </row>
    <row r="149" spans="1:5" x14ac:dyDescent="0.3">
      <c r="A149" s="238">
        <v>49</v>
      </c>
      <c r="B149" s="228" t="s">
        <v>3038</v>
      </c>
      <c r="C149" s="228" t="s">
        <v>3039</v>
      </c>
      <c r="D149" s="229">
        <v>8.4</v>
      </c>
      <c r="E149" s="359">
        <v>8.3000000000000007</v>
      </c>
    </row>
    <row r="150" spans="1:5" x14ac:dyDescent="0.3">
      <c r="A150" s="238">
        <v>50</v>
      </c>
      <c r="B150" s="231" t="s">
        <v>300</v>
      </c>
      <c r="C150" s="231" t="s">
        <v>1743</v>
      </c>
      <c r="D150" s="232">
        <v>8.2899999999999991</v>
      </c>
      <c r="E150" s="312">
        <v>8.27</v>
      </c>
    </row>
    <row r="151" spans="1:5" x14ac:dyDescent="0.3">
      <c r="A151" s="238">
        <v>51</v>
      </c>
      <c r="B151" s="228" t="s">
        <v>300</v>
      </c>
      <c r="C151" s="228" t="s">
        <v>1625</v>
      </c>
      <c r="D151" s="229">
        <v>8.4</v>
      </c>
      <c r="E151" s="313">
        <v>8.25</v>
      </c>
    </row>
    <row r="152" spans="1:5" x14ac:dyDescent="0.3">
      <c r="A152" s="238">
        <v>52</v>
      </c>
      <c r="B152" s="231" t="s">
        <v>2931</v>
      </c>
      <c r="C152" s="231" t="s">
        <v>2932</v>
      </c>
      <c r="D152" s="232">
        <v>8.41</v>
      </c>
      <c r="E152" s="314">
        <v>8.24</v>
      </c>
    </row>
    <row r="153" spans="1:5" x14ac:dyDescent="0.3">
      <c r="A153" s="238">
        <v>53</v>
      </c>
      <c r="B153" s="228" t="s">
        <v>292</v>
      </c>
      <c r="C153" s="228" t="s">
        <v>278</v>
      </c>
      <c r="D153" s="229">
        <v>8.35</v>
      </c>
      <c r="E153" s="316">
        <v>8.2200000000000006</v>
      </c>
    </row>
    <row r="154" spans="1:5" x14ac:dyDescent="0.3">
      <c r="A154" s="238">
        <v>54</v>
      </c>
      <c r="B154" s="231" t="s">
        <v>346</v>
      </c>
      <c r="C154" s="231" t="s">
        <v>339</v>
      </c>
      <c r="D154" s="232">
        <v>8</v>
      </c>
      <c r="E154" s="325">
        <v>7.98</v>
      </c>
    </row>
    <row r="155" spans="1:5" x14ac:dyDescent="0.3">
      <c r="A155" s="238">
        <v>55</v>
      </c>
      <c r="B155" s="228" t="s">
        <v>1339</v>
      </c>
      <c r="C155" s="228" t="s">
        <v>1340</v>
      </c>
      <c r="D155" s="229">
        <v>8.0500000000000007</v>
      </c>
      <c r="E155" s="326">
        <v>7.95</v>
      </c>
    </row>
    <row r="156" spans="1:5" x14ac:dyDescent="0.3">
      <c r="A156" s="238">
        <v>56</v>
      </c>
      <c r="B156" s="231" t="s">
        <v>300</v>
      </c>
      <c r="C156" s="231" t="s">
        <v>3408</v>
      </c>
      <c r="D156" s="232">
        <v>8</v>
      </c>
      <c r="E156" s="327">
        <v>7.94</v>
      </c>
    </row>
    <row r="157" spans="1:5" x14ac:dyDescent="0.3">
      <c r="A157" s="238">
        <v>57</v>
      </c>
      <c r="B157" s="228" t="s">
        <v>292</v>
      </c>
      <c r="C157" s="228" t="s">
        <v>3062</v>
      </c>
      <c r="D157" s="229">
        <v>7.92</v>
      </c>
      <c r="E157" s="361">
        <v>7.84</v>
      </c>
    </row>
    <row r="158" spans="1:5" x14ac:dyDescent="0.3">
      <c r="A158" s="238">
        <v>58</v>
      </c>
      <c r="B158" s="231" t="s">
        <v>304</v>
      </c>
      <c r="C158" s="231" t="s">
        <v>304</v>
      </c>
      <c r="D158" s="232">
        <v>7.77</v>
      </c>
      <c r="E158" s="332">
        <v>7.64</v>
      </c>
    </row>
    <row r="159" spans="1:5" x14ac:dyDescent="0.3">
      <c r="A159" s="238">
        <v>59</v>
      </c>
      <c r="B159" s="228" t="s">
        <v>628</v>
      </c>
      <c r="C159" s="228" t="s">
        <v>629</v>
      </c>
      <c r="D159" s="229">
        <v>7.06</v>
      </c>
      <c r="E159" s="338">
        <v>6.99</v>
      </c>
    </row>
    <row r="160" spans="1:5" x14ac:dyDescent="0.3">
      <c r="A160" s="238">
        <v>60</v>
      </c>
      <c r="B160" s="231" t="s">
        <v>301</v>
      </c>
      <c r="C160" s="231" t="s">
        <v>1703</v>
      </c>
      <c r="D160" s="232">
        <v>3.68</v>
      </c>
      <c r="E160" s="339">
        <v>3.37</v>
      </c>
    </row>
    <row r="162" spans="1:5" ht="17.399999999999999" x14ac:dyDescent="0.35">
      <c r="A162" s="399" t="s">
        <v>3182</v>
      </c>
      <c r="B162" s="399"/>
      <c r="C162" s="399"/>
      <c r="D162" s="399"/>
      <c r="E162" s="399"/>
    </row>
    <row r="163" spans="1:5" x14ac:dyDescent="0.3">
      <c r="A163" s="227" t="s">
        <v>318</v>
      </c>
      <c r="B163" s="227" t="s">
        <v>285</v>
      </c>
      <c r="C163" s="227" t="s">
        <v>286</v>
      </c>
      <c r="D163" s="227" t="s">
        <v>287</v>
      </c>
      <c r="E163" s="227" t="s">
        <v>959</v>
      </c>
    </row>
    <row r="164" spans="1:5" x14ac:dyDescent="0.3">
      <c r="A164" s="234">
        <v>1</v>
      </c>
      <c r="B164" s="228" t="s">
        <v>293</v>
      </c>
      <c r="C164" s="228" t="s">
        <v>251</v>
      </c>
      <c r="D164" s="229">
        <v>9.15</v>
      </c>
      <c r="E164" s="247">
        <v>9.3699999999999992</v>
      </c>
    </row>
    <row r="165" spans="1:5" x14ac:dyDescent="0.3">
      <c r="A165" s="236">
        <v>2</v>
      </c>
      <c r="B165" s="231" t="s">
        <v>303</v>
      </c>
      <c r="C165" s="231" t="s">
        <v>2440</v>
      </c>
      <c r="D165" s="232">
        <v>9.08</v>
      </c>
      <c r="E165" s="253">
        <v>9.17</v>
      </c>
    </row>
    <row r="166" spans="1:5" x14ac:dyDescent="0.3">
      <c r="A166" s="237">
        <v>3</v>
      </c>
      <c r="B166" s="228" t="s">
        <v>303</v>
      </c>
      <c r="C166" s="228" t="s">
        <v>157</v>
      </c>
      <c r="D166" s="229">
        <v>9</v>
      </c>
      <c r="E166" s="255">
        <v>9.09</v>
      </c>
    </row>
    <row r="167" spans="1:5" x14ac:dyDescent="0.3">
      <c r="A167" s="238">
        <v>4</v>
      </c>
      <c r="B167" s="231" t="s">
        <v>2796</v>
      </c>
      <c r="C167" s="231" t="s">
        <v>2797</v>
      </c>
      <c r="D167" s="232">
        <v>8.85</v>
      </c>
      <c r="E167" s="259">
        <v>9.02</v>
      </c>
    </row>
    <row r="168" spans="1:5" x14ac:dyDescent="0.3">
      <c r="A168" s="238">
        <v>5</v>
      </c>
      <c r="B168" s="228" t="s">
        <v>1480</v>
      </c>
      <c r="C168" s="228" t="s">
        <v>1481</v>
      </c>
      <c r="D168" s="229">
        <v>8.67</v>
      </c>
      <c r="E168" s="260">
        <v>9</v>
      </c>
    </row>
    <row r="169" spans="1:5" x14ac:dyDescent="0.3">
      <c r="A169" s="238">
        <v>6</v>
      </c>
      <c r="B169" s="231" t="s">
        <v>312</v>
      </c>
      <c r="C169" s="231" t="s">
        <v>1758</v>
      </c>
      <c r="D169" s="232">
        <v>8.9600000000000009</v>
      </c>
      <c r="E169" s="264">
        <v>8.93</v>
      </c>
    </row>
    <row r="170" spans="1:5" x14ac:dyDescent="0.3">
      <c r="A170" s="238">
        <v>7</v>
      </c>
      <c r="B170" s="228" t="s">
        <v>1114</v>
      </c>
      <c r="C170" s="228" t="s">
        <v>1993</v>
      </c>
      <c r="D170" s="229">
        <v>8.7200000000000006</v>
      </c>
      <c r="E170" s="266">
        <v>8.91</v>
      </c>
    </row>
    <row r="171" spans="1:5" x14ac:dyDescent="0.3">
      <c r="A171" s="238">
        <v>8</v>
      </c>
      <c r="B171" s="231" t="s">
        <v>1114</v>
      </c>
      <c r="C171" s="231" t="s">
        <v>1479</v>
      </c>
      <c r="D171" s="232">
        <v>8.7200000000000006</v>
      </c>
      <c r="E171" s="267">
        <v>8.89</v>
      </c>
    </row>
    <row r="172" spans="1:5" x14ac:dyDescent="0.3">
      <c r="A172" s="238">
        <v>9</v>
      </c>
      <c r="B172" s="228" t="s">
        <v>1666</v>
      </c>
      <c r="C172" s="228" t="s">
        <v>1667</v>
      </c>
      <c r="D172" s="229">
        <v>8.91</v>
      </c>
      <c r="E172" s="268">
        <v>8.8800000000000008</v>
      </c>
    </row>
    <row r="173" spans="1:5" x14ac:dyDescent="0.3">
      <c r="A173" s="238">
        <v>10</v>
      </c>
      <c r="B173" s="231" t="s">
        <v>2796</v>
      </c>
      <c r="C173" s="231" t="s">
        <v>2798</v>
      </c>
      <c r="D173" s="232">
        <v>8.8800000000000008</v>
      </c>
      <c r="E173" s="272">
        <v>8.84</v>
      </c>
    </row>
    <row r="174" spans="1:5" x14ac:dyDescent="0.3">
      <c r="A174" s="238">
        <v>11</v>
      </c>
      <c r="B174" s="228" t="s">
        <v>303</v>
      </c>
      <c r="C174" s="228" t="s">
        <v>588</v>
      </c>
      <c r="D174" s="229">
        <v>8.77</v>
      </c>
      <c r="E174" s="275">
        <v>8.7899999999999991</v>
      </c>
    </row>
    <row r="175" spans="1:5" x14ac:dyDescent="0.3">
      <c r="A175" s="238">
        <v>12</v>
      </c>
      <c r="B175" s="231" t="s">
        <v>1407</v>
      </c>
      <c r="C175" s="231" t="s">
        <v>1408</v>
      </c>
      <c r="D175" s="232">
        <v>8.73</v>
      </c>
      <c r="E175" s="278">
        <v>8.76</v>
      </c>
    </row>
    <row r="176" spans="1:5" x14ac:dyDescent="0.3">
      <c r="A176" s="238">
        <v>13</v>
      </c>
      <c r="B176" s="228" t="s">
        <v>1433</v>
      </c>
      <c r="C176" s="228" t="s">
        <v>1434</v>
      </c>
      <c r="D176" s="229">
        <v>8.75</v>
      </c>
      <c r="E176" s="283">
        <v>8.6999999999999993</v>
      </c>
    </row>
    <row r="177" spans="1:5" x14ac:dyDescent="0.3">
      <c r="A177" s="238">
        <v>14</v>
      </c>
      <c r="B177" s="231" t="s">
        <v>1407</v>
      </c>
      <c r="C177" s="231" t="s">
        <v>2491</v>
      </c>
      <c r="D177" s="232">
        <v>8.6300000000000008</v>
      </c>
      <c r="E177" s="285">
        <v>8.67</v>
      </c>
    </row>
    <row r="178" spans="1:5" x14ac:dyDescent="0.3">
      <c r="A178" s="238">
        <v>15</v>
      </c>
      <c r="B178" s="228" t="s">
        <v>309</v>
      </c>
      <c r="C178" s="228" t="s">
        <v>218</v>
      </c>
      <c r="D178" s="229">
        <v>8.77</v>
      </c>
      <c r="E178" s="286">
        <v>8.66</v>
      </c>
    </row>
    <row r="179" spans="1:5" x14ac:dyDescent="0.3">
      <c r="A179" s="238">
        <v>16</v>
      </c>
      <c r="B179" s="231" t="s">
        <v>2796</v>
      </c>
      <c r="C179" s="231" t="s">
        <v>3099</v>
      </c>
      <c r="D179" s="232">
        <v>8.75</v>
      </c>
      <c r="E179" s="287">
        <v>8.65</v>
      </c>
    </row>
    <row r="180" spans="1:5" x14ac:dyDescent="0.3">
      <c r="A180" s="238">
        <v>17</v>
      </c>
      <c r="B180" s="228" t="s">
        <v>3137</v>
      </c>
      <c r="C180" s="228" t="s">
        <v>3138</v>
      </c>
      <c r="D180" s="229">
        <v>8.6999999999999993</v>
      </c>
      <c r="E180" s="291">
        <v>8.61</v>
      </c>
    </row>
    <row r="181" spans="1:5" x14ac:dyDescent="0.3">
      <c r="A181" s="238">
        <v>18</v>
      </c>
      <c r="B181" s="231" t="s">
        <v>2820</v>
      </c>
      <c r="C181" s="231" t="s">
        <v>2821</v>
      </c>
      <c r="D181" s="232">
        <v>8.65</v>
      </c>
      <c r="E181" s="295">
        <v>8.56</v>
      </c>
    </row>
    <row r="182" spans="1:5" x14ac:dyDescent="0.3">
      <c r="A182" s="238">
        <v>19</v>
      </c>
      <c r="B182" s="228" t="s">
        <v>1407</v>
      </c>
      <c r="C182" s="228" t="s">
        <v>2544</v>
      </c>
      <c r="D182" s="229">
        <v>8.69</v>
      </c>
      <c r="E182" s="297">
        <v>8.5399999999999991</v>
      </c>
    </row>
    <row r="183" spans="1:5" x14ac:dyDescent="0.3">
      <c r="A183" s="238">
        <v>20</v>
      </c>
      <c r="B183" s="231" t="s">
        <v>2693</v>
      </c>
      <c r="C183" s="231" t="s">
        <v>2693</v>
      </c>
      <c r="D183" s="232">
        <v>8.6300000000000008</v>
      </c>
      <c r="E183" s="297">
        <v>8.5399999999999991</v>
      </c>
    </row>
    <row r="184" spans="1:5" x14ac:dyDescent="0.3">
      <c r="A184" s="238">
        <v>21</v>
      </c>
      <c r="B184" s="228" t="s">
        <v>1666</v>
      </c>
      <c r="C184" s="228" t="s">
        <v>2678</v>
      </c>
      <c r="D184" s="229">
        <v>8.5</v>
      </c>
      <c r="E184" s="302">
        <v>8.4700000000000006</v>
      </c>
    </row>
    <row r="185" spans="1:5" x14ac:dyDescent="0.3">
      <c r="A185" s="238">
        <v>22</v>
      </c>
      <c r="B185" s="231" t="s">
        <v>1160</v>
      </c>
      <c r="C185" s="231" t="s">
        <v>1161</v>
      </c>
      <c r="D185" s="232">
        <v>8.5299999999999994</v>
      </c>
      <c r="E185" s="304">
        <v>8.4499999999999993</v>
      </c>
    </row>
    <row r="186" spans="1:5" x14ac:dyDescent="0.3">
      <c r="A186" s="238">
        <v>23</v>
      </c>
      <c r="B186" s="228" t="s">
        <v>1689</v>
      </c>
      <c r="C186" s="228" t="s">
        <v>1690</v>
      </c>
      <c r="D186" s="229">
        <v>8.5</v>
      </c>
      <c r="E186" s="304">
        <v>8.4499999999999993</v>
      </c>
    </row>
    <row r="187" spans="1:5" x14ac:dyDescent="0.3">
      <c r="A187" s="238">
        <v>24</v>
      </c>
      <c r="B187" s="231" t="s">
        <v>1202</v>
      </c>
      <c r="C187" s="231" t="s">
        <v>1192</v>
      </c>
      <c r="D187" s="232">
        <v>8.4499999999999993</v>
      </c>
      <c r="E187" s="308">
        <v>8.3800000000000008</v>
      </c>
    </row>
    <row r="188" spans="1:5" x14ac:dyDescent="0.3">
      <c r="A188" s="238">
        <v>25</v>
      </c>
      <c r="B188" s="228" t="s">
        <v>2799</v>
      </c>
      <c r="C188" s="228" t="s">
        <v>2800</v>
      </c>
      <c r="D188" s="229">
        <v>8.4</v>
      </c>
      <c r="E188" s="309">
        <v>8.3699999999999992</v>
      </c>
    </row>
    <row r="189" spans="1:5" x14ac:dyDescent="0.3">
      <c r="A189" s="238">
        <v>26</v>
      </c>
      <c r="B189" s="231" t="s">
        <v>533</v>
      </c>
      <c r="C189" s="231" t="s">
        <v>534</v>
      </c>
      <c r="D189" s="232">
        <v>8.31</v>
      </c>
      <c r="E189" s="319">
        <v>8.16</v>
      </c>
    </row>
    <row r="190" spans="1:5" x14ac:dyDescent="0.3">
      <c r="A190" s="238">
        <v>27</v>
      </c>
      <c r="B190" s="228" t="s">
        <v>303</v>
      </c>
      <c r="C190" s="228" t="s">
        <v>651</v>
      </c>
      <c r="D190" s="229">
        <v>8.07</v>
      </c>
      <c r="E190" s="326">
        <v>7.95</v>
      </c>
    </row>
    <row r="191" spans="1:5" x14ac:dyDescent="0.3">
      <c r="A191" s="238">
        <v>28</v>
      </c>
      <c r="B191" s="231" t="s">
        <v>303</v>
      </c>
      <c r="C191" s="231" t="s">
        <v>1484</v>
      </c>
      <c r="D191" s="232">
        <v>8</v>
      </c>
      <c r="E191" s="328">
        <v>7.79</v>
      </c>
    </row>
    <row r="192" spans="1:5" x14ac:dyDescent="0.3">
      <c r="A192" s="238">
        <v>29</v>
      </c>
      <c r="B192" s="228" t="s">
        <v>293</v>
      </c>
      <c r="C192" s="228" t="s">
        <v>899</v>
      </c>
      <c r="D192" s="229">
        <v>7.88</v>
      </c>
      <c r="E192" s="329">
        <v>7.74</v>
      </c>
    </row>
    <row r="194" spans="1:5" ht="17.399999999999999" x14ac:dyDescent="0.35">
      <c r="A194" s="399" t="s">
        <v>3183</v>
      </c>
      <c r="B194" s="399"/>
      <c r="C194" s="399"/>
      <c r="D194" s="399"/>
      <c r="E194" s="399"/>
    </row>
    <row r="195" spans="1:5" x14ac:dyDescent="0.3">
      <c r="A195" s="227" t="s">
        <v>318</v>
      </c>
      <c r="B195" s="227" t="s">
        <v>285</v>
      </c>
      <c r="C195" s="227" t="s">
        <v>286</v>
      </c>
      <c r="D195" s="227" t="s">
        <v>287</v>
      </c>
      <c r="E195" s="227" t="s">
        <v>959</v>
      </c>
    </row>
    <row r="196" spans="1:5" x14ac:dyDescent="0.3">
      <c r="A196" s="234">
        <v>1</v>
      </c>
      <c r="B196" s="228" t="s">
        <v>1531</v>
      </c>
      <c r="C196" s="228" t="s">
        <v>2261</v>
      </c>
      <c r="D196" s="229">
        <v>9.07</v>
      </c>
      <c r="E196" s="259">
        <v>9.02</v>
      </c>
    </row>
    <row r="197" spans="1:5" x14ac:dyDescent="0.3">
      <c r="A197" s="236">
        <v>2</v>
      </c>
      <c r="B197" s="231" t="s">
        <v>2620</v>
      </c>
      <c r="C197" s="231" t="s">
        <v>2613</v>
      </c>
      <c r="D197" s="232">
        <v>9.06</v>
      </c>
      <c r="E197" s="259">
        <v>9.02</v>
      </c>
    </row>
    <row r="198" spans="1:5" x14ac:dyDescent="0.3">
      <c r="A198" s="237">
        <v>3</v>
      </c>
      <c r="B198" s="228" t="s">
        <v>312</v>
      </c>
      <c r="C198" s="228" t="s">
        <v>1119</v>
      </c>
      <c r="D198" s="229">
        <v>8.77</v>
      </c>
      <c r="E198" s="267">
        <v>8.89</v>
      </c>
    </row>
    <row r="199" spans="1:5" x14ac:dyDescent="0.3">
      <c r="A199" s="238">
        <v>4</v>
      </c>
      <c r="B199" s="231" t="s">
        <v>677</v>
      </c>
      <c r="C199" s="231" t="s">
        <v>1357</v>
      </c>
      <c r="D199" s="232">
        <v>8.8800000000000008</v>
      </c>
      <c r="E199" s="267">
        <v>8.89</v>
      </c>
    </row>
    <row r="200" spans="1:5" x14ac:dyDescent="0.3">
      <c r="A200" s="238">
        <v>5</v>
      </c>
      <c r="B200" s="228" t="s">
        <v>3025</v>
      </c>
      <c r="C200" s="228" t="s">
        <v>2997</v>
      </c>
      <c r="D200" s="229">
        <v>8.8000000000000007</v>
      </c>
      <c r="E200" s="269">
        <v>8.8699999999999992</v>
      </c>
    </row>
    <row r="201" spans="1:5" x14ac:dyDescent="0.3">
      <c r="A201" s="238">
        <v>6</v>
      </c>
      <c r="B201" s="231" t="s">
        <v>2236</v>
      </c>
      <c r="C201" s="231" t="s">
        <v>2387</v>
      </c>
      <c r="D201" s="232">
        <v>8.7899999999999991</v>
      </c>
      <c r="E201" s="270">
        <v>8.86</v>
      </c>
    </row>
    <row r="202" spans="1:5" x14ac:dyDescent="0.3">
      <c r="A202" s="238">
        <v>7</v>
      </c>
      <c r="B202" s="228" t="s">
        <v>677</v>
      </c>
      <c r="C202" s="228" t="s">
        <v>673</v>
      </c>
      <c r="D202" s="229">
        <v>8.67</v>
      </c>
      <c r="E202" s="279">
        <v>8.75</v>
      </c>
    </row>
    <row r="203" spans="1:5" x14ac:dyDescent="0.3">
      <c r="A203" s="238">
        <v>8</v>
      </c>
      <c r="B203" s="231" t="s">
        <v>1433</v>
      </c>
      <c r="C203" s="231" t="s">
        <v>1434</v>
      </c>
      <c r="D203" s="232">
        <v>8.75</v>
      </c>
      <c r="E203" s="283">
        <v>8.6999999999999993</v>
      </c>
    </row>
    <row r="204" spans="1:5" x14ac:dyDescent="0.3">
      <c r="A204" s="238">
        <v>9</v>
      </c>
      <c r="B204" s="228" t="s">
        <v>1531</v>
      </c>
      <c r="C204" s="228" t="s">
        <v>1524</v>
      </c>
      <c r="D204" s="229">
        <v>8.75</v>
      </c>
      <c r="E204" s="289">
        <v>8.6300000000000008</v>
      </c>
    </row>
    <row r="205" spans="1:5" x14ac:dyDescent="0.3">
      <c r="A205" s="238">
        <v>10</v>
      </c>
      <c r="B205" s="231" t="s">
        <v>2122</v>
      </c>
      <c r="C205" s="231" t="s">
        <v>2123</v>
      </c>
      <c r="D205" s="232">
        <v>8.73</v>
      </c>
      <c r="E205" s="289">
        <v>8.6300000000000008</v>
      </c>
    </row>
    <row r="206" spans="1:5" x14ac:dyDescent="0.3">
      <c r="A206" s="238">
        <v>11</v>
      </c>
      <c r="B206" s="228" t="s">
        <v>311</v>
      </c>
      <c r="C206" s="228" t="s">
        <v>158</v>
      </c>
      <c r="D206" s="229">
        <v>8.65</v>
      </c>
      <c r="E206" s="295">
        <v>8.56</v>
      </c>
    </row>
    <row r="207" spans="1:5" x14ac:dyDescent="0.3">
      <c r="A207" s="238">
        <v>12</v>
      </c>
      <c r="B207" s="231" t="s">
        <v>2820</v>
      </c>
      <c r="C207" s="231" t="s">
        <v>2821</v>
      </c>
      <c r="D207" s="232">
        <v>8.65</v>
      </c>
      <c r="E207" s="295">
        <v>8.56</v>
      </c>
    </row>
    <row r="208" spans="1:5" x14ac:dyDescent="0.3">
      <c r="A208" s="238">
        <v>13</v>
      </c>
      <c r="B208" s="228" t="s">
        <v>2293</v>
      </c>
      <c r="C208" s="228" t="s">
        <v>2294</v>
      </c>
      <c r="D208" s="229">
        <v>8.61</v>
      </c>
      <c r="E208" s="296">
        <v>8.5500000000000007</v>
      </c>
    </row>
    <row r="209" spans="1:5" x14ac:dyDescent="0.3">
      <c r="A209" s="238">
        <v>14</v>
      </c>
      <c r="B209" s="231" t="s">
        <v>2324</v>
      </c>
      <c r="C209" s="231" t="s">
        <v>2325</v>
      </c>
      <c r="D209" s="232">
        <v>8.69</v>
      </c>
      <c r="E209" s="298">
        <v>8.5299999999999994</v>
      </c>
    </row>
    <row r="210" spans="1:5" x14ac:dyDescent="0.3">
      <c r="A210" s="238">
        <v>15</v>
      </c>
      <c r="B210" s="228" t="s">
        <v>3079</v>
      </c>
      <c r="C210" s="228" t="s">
        <v>3067</v>
      </c>
      <c r="D210" s="229">
        <v>8.6300000000000008</v>
      </c>
      <c r="E210" s="298">
        <v>8.5299999999999994</v>
      </c>
    </row>
    <row r="211" spans="1:5" x14ac:dyDescent="0.3">
      <c r="A211" s="238">
        <v>16</v>
      </c>
      <c r="B211" s="231" t="s">
        <v>1773</v>
      </c>
      <c r="C211" s="231" t="s">
        <v>1774</v>
      </c>
      <c r="D211" s="232">
        <v>8.6</v>
      </c>
      <c r="E211" s="299">
        <v>8.52</v>
      </c>
    </row>
    <row r="212" spans="1:5" x14ac:dyDescent="0.3">
      <c r="A212" s="238">
        <v>17</v>
      </c>
      <c r="B212" s="228" t="s">
        <v>1160</v>
      </c>
      <c r="C212" s="228" t="s">
        <v>1161</v>
      </c>
      <c r="D212" s="229">
        <v>8.5299999999999994</v>
      </c>
      <c r="E212" s="304">
        <v>8.4499999999999993</v>
      </c>
    </row>
    <row r="213" spans="1:5" x14ac:dyDescent="0.3">
      <c r="A213" s="238">
        <v>18</v>
      </c>
      <c r="B213" s="231" t="s">
        <v>1689</v>
      </c>
      <c r="C213" s="231" t="s">
        <v>1690</v>
      </c>
      <c r="D213" s="232">
        <v>8.5</v>
      </c>
      <c r="E213" s="304">
        <v>8.4499999999999993</v>
      </c>
    </row>
    <row r="214" spans="1:5" x14ac:dyDescent="0.3">
      <c r="A214" s="238">
        <v>19</v>
      </c>
      <c r="B214" s="228" t="s">
        <v>2236</v>
      </c>
      <c r="C214" s="228" t="s">
        <v>2840</v>
      </c>
      <c r="D214" s="229">
        <v>8.39</v>
      </c>
      <c r="E214" s="307">
        <v>8.39</v>
      </c>
    </row>
    <row r="215" spans="1:5" x14ac:dyDescent="0.3">
      <c r="A215" s="238">
        <v>20</v>
      </c>
      <c r="B215" s="231" t="s">
        <v>2893</v>
      </c>
      <c r="C215" s="231" t="s">
        <v>2894</v>
      </c>
      <c r="D215" s="232">
        <v>8.25</v>
      </c>
      <c r="E215" s="318">
        <v>8.18</v>
      </c>
    </row>
    <row r="216" spans="1:5" x14ac:dyDescent="0.3">
      <c r="A216" s="238">
        <v>21</v>
      </c>
      <c r="B216" s="228" t="s">
        <v>677</v>
      </c>
      <c r="C216" s="228" t="s">
        <v>1219</v>
      </c>
      <c r="D216" s="229">
        <v>8.11</v>
      </c>
      <c r="E216" s="324">
        <v>8</v>
      </c>
    </row>
    <row r="218" spans="1:5" ht="17.399999999999999" x14ac:dyDescent="0.35">
      <c r="A218" s="399" t="s">
        <v>3184</v>
      </c>
      <c r="B218" s="399"/>
      <c r="C218" s="399"/>
      <c r="D218" s="399"/>
      <c r="E218" s="399"/>
    </row>
    <row r="219" spans="1:5" x14ac:dyDescent="0.3">
      <c r="A219" s="227" t="s">
        <v>318</v>
      </c>
      <c r="B219" s="227" t="s">
        <v>285</v>
      </c>
      <c r="C219" s="227" t="s">
        <v>286</v>
      </c>
      <c r="D219" s="227" t="s">
        <v>287</v>
      </c>
      <c r="E219" s="227" t="s">
        <v>959</v>
      </c>
    </row>
    <row r="220" spans="1:5" x14ac:dyDescent="0.3">
      <c r="A220" s="234">
        <v>1</v>
      </c>
      <c r="B220" s="228" t="s">
        <v>1304</v>
      </c>
      <c r="C220" s="228" t="s">
        <v>1305</v>
      </c>
      <c r="D220" s="229">
        <v>8.82</v>
      </c>
      <c r="E220" s="268">
        <v>8.8800000000000008</v>
      </c>
    </row>
    <row r="221" spans="1:5" x14ac:dyDescent="0.3">
      <c r="A221" s="236">
        <v>2</v>
      </c>
      <c r="B221" s="231" t="s">
        <v>774</v>
      </c>
      <c r="C221" s="231" t="s">
        <v>775</v>
      </c>
      <c r="D221" s="232">
        <v>8.82</v>
      </c>
      <c r="E221" s="275">
        <v>8.7899999999999991</v>
      </c>
    </row>
    <row r="222" spans="1:5" x14ac:dyDescent="0.3">
      <c r="A222" s="237">
        <v>3</v>
      </c>
      <c r="B222" s="228" t="s">
        <v>308</v>
      </c>
      <c r="C222" s="228" t="s">
        <v>240</v>
      </c>
      <c r="D222" s="229">
        <v>8.7799999999999994</v>
      </c>
      <c r="E222" s="278">
        <v>8.76</v>
      </c>
    </row>
    <row r="223" spans="1:5" x14ac:dyDescent="0.3">
      <c r="A223" s="238">
        <v>4</v>
      </c>
      <c r="B223" s="231" t="s">
        <v>795</v>
      </c>
      <c r="C223" s="231" t="s">
        <v>790</v>
      </c>
      <c r="D223" s="232">
        <v>8.7100000000000009</v>
      </c>
      <c r="E223" s="278">
        <v>8.76</v>
      </c>
    </row>
    <row r="224" spans="1:5" x14ac:dyDescent="0.3">
      <c r="A224" s="238">
        <v>5</v>
      </c>
      <c r="B224" s="228" t="s">
        <v>1387</v>
      </c>
      <c r="C224" s="228" t="s">
        <v>1392</v>
      </c>
      <c r="D224" s="229">
        <v>8.8000000000000007</v>
      </c>
      <c r="E224" s="284">
        <v>8.68</v>
      </c>
    </row>
    <row r="225" spans="1:5" x14ac:dyDescent="0.3">
      <c r="A225" s="238">
        <v>6</v>
      </c>
      <c r="B225" s="231" t="s">
        <v>774</v>
      </c>
      <c r="C225" s="231" t="s">
        <v>2736</v>
      </c>
      <c r="D225" s="232">
        <v>8.73</v>
      </c>
      <c r="E225" s="290">
        <v>8.6199999999999992</v>
      </c>
    </row>
    <row r="226" spans="1:5" x14ac:dyDescent="0.3">
      <c r="A226" s="238">
        <v>7</v>
      </c>
      <c r="B226" s="228" t="s">
        <v>795</v>
      </c>
      <c r="C226" s="228" t="s">
        <v>2181</v>
      </c>
      <c r="D226" s="229">
        <v>8.57</v>
      </c>
      <c r="E226" s="301">
        <v>8.49</v>
      </c>
    </row>
    <row r="227" spans="1:5" x14ac:dyDescent="0.3">
      <c r="A227" s="238">
        <v>8</v>
      </c>
      <c r="B227" s="231" t="s">
        <v>493</v>
      </c>
      <c r="C227" s="231" t="s">
        <v>494</v>
      </c>
      <c r="D227" s="232">
        <v>8.5</v>
      </c>
      <c r="E227" s="305">
        <v>8.43</v>
      </c>
    </row>
    <row r="228" spans="1:5" x14ac:dyDescent="0.3">
      <c r="A228" s="238">
        <v>9</v>
      </c>
      <c r="B228" s="228" t="s">
        <v>2159</v>
      </c>
      <c r="C228" s="228" t="s">
        <v>2160</v>
      </c>
      <c r="D228" s="229">
        <v>8.5399999999999991</v>
      </c>
      <c r="E228" s="306">
        <v>8.41</v>
      </c>
    </row>
    <row r="229" spans="1:5" x14ac:dyDescent="0.3">
      <c r="A229" s="238">
        <v>10</v>
      </c>
      <c r="B229" s="231" t="s">
        <v>334</v>
      </c>
      <c r="C229" s="231" t="s">
        <v>335</v>
      </c>
      <c r="D229" s="232">
        <v>8.4600000000000009</v>
      </c>
      <c r="E229" s="307">
        <v>8.39</v>
      </c>
    </row>
    <row r="230" spans="1:5" x14ac:dyDescent="0.3">
      <c r="A230" s="238">
        <v>11</v>
      </c>
      <c r="B230" s="228" t="s">
        <v>1959</v>
      </c>
      <c r="C230" s="228" t="s">
        <v>1945</v>
      </c>
      <c r="D230" s="229">
        <v>8.3800000000000008</v>
      </c>
      <c r="E230" s="311">
        <v>8.33</v>
      </c>
    </row>
    <row r="231" spans="1:5" x14ac:dyDescent="0.3">
      <c r="A231" s="238">
        <v>12</v>
      </c>
      <c r="B231" s="231" t="s">
        <v>677</v>
      </c>
      <c r="C231" s="231" t="s">
        <v>677</v>
      </c>
      <c r="D231" s="232">
        <v>8.24</v>
      </c>
      <c r="E231" s="315">
        <v>8.23</v>
      </c>
    </row>
    <row r="232" spans="1:5" x14ac:dyDescent="0.3">
      <c r="A232" s="238">
        <v>13</v>
      </c>
      <c r="B232" s="228" t="s">
        <v>319</v>
      </c>
      <c r="C232" s="228" t="s">
        <v>320</v>
      </c>
      <c r="D232" s="229">
        <v>8.33</v>
      </c>
      <c r="E232" s="319">
        <v>8.17</v>
      </c>
    </row>
    <row r="233" spans="1:5" x14ac:dyDescent="0.3">
      <c r="A233" s="238">
        <v>14</v>
      </c>
      <c r="B233" s="231" t="s">
        <v>1731</v>
      </c>
      <c r="C233" s="231" t="s">
        <v>1731</v>
      </c>
      <c r="D233" s="232">
        <v>8.2899999999999991</v>
      </c>
      <c r="E233" s="319">
        <v>8.16</v>
      </c>
    </row>
    <row r="234" spans="1:5" x14ac:dyDescent="0.3">
      <c r="A234" s="238">
        <v>15</v>
      </c>
      <c r="B234" s="228" t="s">
        <v>426</v>
      </c>
      <c r="C234" s="228" t="s">
        <v>427</v>
      </c>
      <c r="D234" s="229">
        <v>8.18</v>
      </c>
      <c r="E234" s="322">
        <v>8.06</v>
      </c>
    </row>
    <row r="235" spans="1:5" x14ac:dyDescent="0.3">
      <c r="A235" s="238">
        <v>16</v>
      </c>
      <c r="B235" s="231" t="s">
        <v>607</v>
      </c>
      <c r="C235" s="231" t="s">
        <v>608</v>
      </c>
      <c r="D235" s="232">
        <v>7.72</v>
      </c>
      <c r="E235" s="330">
        <v>7.7</v>
      </c>
    </row>
    <row r="236" spans="1:5" x14ac:dyDescent="0.3">
      <c r="A236" s="238">
        <v>17</v>
      </c>
      <c r="B236" s="228" t="s">
        <v>456</v>
      </c>
      <c r="C236" s="228" t="s">
        <v>457</v>
      </c>
      <c r="D236" s="229">
        <v>7.67</v>
      </c>
      <c r="E236" s="331">
        <v>7.66</v>
      </c>
    </row>
    <row r="237" spans="1:5" x14ac:dyDescent="0.3">
      <c r="A237" s="238">
        <v>18</v>
      </c>
      <c r="B237" s="231" t="s">
        <v>774</v>
      </c>
      <c r="C237" s="231" t="s">
        <v>1797</v>
      </c>
      <c r="D237" s="232">
        <v>7.31</v>
      </c>
      <c r="E237" s="335">
        <v>7.2</v>
      </c>
    </row>
    <row r="238" spans="1:5" x14ac:dyDescent="0.3">
      <c r="A238" s="238">
        <v>19</v>
      </c>
      <c r="B238" s="228" t="s">
        <v>378</v>
      </c>
      <c r="C238" s="228" t="s">
        <v>379</v>
      </c>
      <c r="D238" s="229">
        <v>7.29</v>
      </c>
      <c r="E238" s="336">
        <v>7.16</v>
      </c>
    </row>
    <row r="240" spans="1:5" ht="17.399999999999999" x14ac:dyDescent="0.35">
      <c r="A240" s="399" t="s">
        <v>3185</v>
      </c>
      <c r="B240" s="399"/>
      <c r="C240" s="399"/>
      <c r="D240" s="399"/>
      <c r="E240" s="399"/>
    </row>
    <row r="241" spans="1:5" x14ac:dyDescent="0.3">
      <c r="A241" s="227" t="s">
        <v>318</v>
      </c>
      <c r="B241" s="227" t="s">
        <v>285</v>
      </c>
      <c r="C241" s="227" t="s">
        <v>286</v>
      </c>
      <c r="D241" s="227" t="s">
        <v>287</v>
      </c>
      <c r="E241" s="227" t="s">
        <v>959</v>
      </c>
    </row>
    <row r="242" spans="1:5" x14ac:dyDescent="0.3">
      <c r="A242" s="234">
        <v>1</v>
      </c>
      <c r="B242" s="228" t="s">
        <v>699</v>
      </c>
      <c r="C242" s="228" t="s">
        <v>700</v>
      </c>
      <c r="D242" s="229">
        <v>8.91</v>
      </c>
      <c r="E242" s="264">
        <v>8.93</v>
      </c>
    </row>
    <row r="243" spans="1:5" x14ac:dyDescent="0.3">
      <c r="A243" s="236">
        <v>2</v>
      </c>
      <c r="B243" s="231" t="s">
        <v>1697</v>
      </c>
      <c r="C243" s="231" t="s">
        <v>1698</v>
      </c>
      <c r="D243" s="232">
        <v>8.92</v>
      </c>
      <c r="E243" s="272">
        <v>8.83</v>
      </c>
    </row>
    <row r="244" spans="1:5" x14ac:dyDescent="0.3">
      <c r="A244" s="237">
        <v>3</v>
      </c>
      <c r="B244" s="228" t="s">
        <v>545</v>
      </c>
      <c r="C244" s="228" t="s">
        <v>546</v>
      </c>
      <c r="D244" s="229">
        <v>8.7799999999999994</v>
      </c>
      <c r="E244" s="275">
        <v>8.7899999999999991</v>
      </c>
    </row>
    <row r="245" spans="1:5" x14ac:dyDescent="0.3">
      <c r="A245" s="238">
        <v>4</v>
      </c>
      <c r="B245" s="231" t="s">
        <v>370</v>
      </c>
      <c r="C245" s="231" t="s">
        <v>368</v>
      </c>
      <c r="D245" s="232">
        <v>8.67</v>
      </c>
      <c r="E245" s="282">
        <v>8.7100000000000009</v>
      </c>
    </row>
    <row r="246" spans="1:5" x14ac:dyDescent="0.3">
      <c r="A246" s="238">
        <v>5</v>
      </c>
      <c r="B246" s="228" t="s">
        <v>888</v>
      </c>
      <c r="C246" s="228" t="s">
        <v>869</v>
      </c>
      <c r="D246" s="229">
        <v>8.5500000000000007</v>
      </c>
      <c r="E246" s="292">
        <v>8.6</v>
      </c>
    </row>
    <row r="247" spans="1:5" x14ac:dyDescent="0.3">
      <c r="A247" s="238">
        <v>6</v>
      </c>
      <c r="B247" s="231" t="s">
        <v>3121</v>
      </c>
      <c r="C247" s="231" t="s">
        <v>3122</v>
      </c>
      <c r="D247" s="232">
        <v>8.6</v>
      </c>
      <c r="E247" s="298">
        <v>8.5299999999999994</v>
      </c>
    </row>
    <row r="248" spans="1:5" x14ac:dyDescent="0.3">
      <c r="A248" s="238">
        <v>7</v>
      </c>
      <c r="B248" s="228" t="s">
        <v>314</v>
      </c>
      <c r="C248" s="228" t="s">
        <v>271</v>
      </c>
      <c r="D248" s="229">
        <v>8.35</v>
      </c>
      <c r="E248" s="317">
        <v>8.1999999999999993</v>
      </c>
    </row>
    <row r="250" spans="1:5" ht="17.399999999999999" x14ac:dyDescent="0.35">
      <c r="A250" s="399" t="s">
        <v>3186</v>
      </c>
      <c r="B250" s="399"/>
      <c r="C250" s="399"/>
      <c r="D250" s="399"/>
      <c r="E250" s="399"/>
    </row>
    <row r="251" spans="1:5" x14ac:dyDescent="0.3">
      <c r="A251" s="227" t="s">
        <v>318</v>
      </c>
      <c r="B251" s="227" t="s">
        <v>285</v>
      </c>
      <c r="C251" s="227" t="s">
        <v>286</v>
      </c>
      <c r="D251" s="227" t="s">
        <v>287</v>
      </c>
      <c r="E251" s="227" t="s">
        <v>959</v>
      </c>
    </row>
    <row r="252" spans="1:5" x14ac:dyDescent="0.3">
      <c r="A252" s="234">
        <v>1</v>
      </c>
      <c r="B252" s="228" t="s">
        <v>1480</v>
      </c>
      <c r="C252" s="228" t="s">
        <v>1481</v>
      </c>
      <c r="D252" s="229">
        <v>8.67</v>
      </c>
      <c r="E252" s="260">
        <v>9</v>
      </c>
    </row>
    <row r="253" spans="1:5" x14ac:dyDescent="0.3">
      <c r="A253" s="236">
        <v>2</v>
      </c>
      <c r="B253" s="231" t="s">
        <v>1114</v>
      </c>
      <c r="C253" s="231" t="s">
        <v>1993</v>
      </c>
      <c r="D253" s="232">
        <v>8.7200000000000006</v>
      </c>
      <c r="E253" s="266">
        <v>8.91</v>
      </c>
    </row>
    <row r="254" spans="1:5" x14ac:dyDescent="0.3">
      <c r="A254" s="237">
        <v>3</v>
      </c>
      <c r="B254" s="228" t="s">
        <v>1114</v>
      </c>
      <c r="C254" s="228" t="s">
        <v>1479</v>
      </c>
      <c r="D254" s="229">
        <v>8.7200000000000006</v>
      </c>
      <c r="E254" s="267">
        <v>8.89</v>
      </c>
    </row>
    <row r="255" spans="1:5" x14ac:dyDescent="0.3">
      <c r="A255" s="238">
        <v>4</v>
      </c>
      <c r="B255" s="231" t="s">
        <v>2636</v>
      </c>
      <c r="C255" s="231" t="s">
        <v>168</v>
      </c>
      <c r="D255" s="232">
        <v>8.91</v>
      </c>
      <c r="E255" s="270">
        <v>8.86</v>
      </c>
    </row>
    <row r="256" spans="1:5" x14ac:dyDescent="0.3">
      <c r="A256" s="238">
        <v>5</v>
      </c>
      <c r="B256" s="228" t="s">
        <v>2557</v>
      </c>
      <c r="C256" s="228" t="s">
        <v>2556</v>
      </c>
      <c r="D256" s="229">
        <v>8.8800000000000008</v>
      </c>
      <c r="E256" s="274">
        <v>8.81</v>
      </c>
    </row>
    <row r="258" spans="1:5" ht="17.399999999999999" x14ac:dyDescent="0.35">
      <c r="A258" s="399" t="s">
        <v>3367</v>
      </c>
      <c r="B258" s="399"/>
      <c r="C258" s="399"/>
      <c r="D258" s="399"/>
      <c r="E258" s="399"/>
    </row>
    <row r="259" spans="1:5" x14ac:dyDescent="0.3">
      <c r="A259" s="227" t="s">
        <v>318</v>
      </c>
      <c r="B259" s="227" t="s">
        <v>285</v>
      </c>
      <c r="C259" s="227" t="s">
        <v>286</v>
      </c>
      <c r="D259" s="227" t="s">
        <v>287</v>
      </c>
      <c r="E259" s="227" t="s">
        <v>959</v>
      </c>
    </row>
    <row r="260" spans="1:5" x14ac:dyDescent="0.3">
      <c r="A260" s="234">
        <v>1</v>
      </c>
      <c r="B260" s="228" t="s">
        <v>2310</v>
      </c>
      <c r="C260" s="228" t="s">
        <v>2300</v>
      </c>
      <c r="D260" s="229">
        <v>8.86</v>
      </c>
      <c r="E260" s="280">
        <v>8.74</v>
      </c>
    </row>
    <row r="261" spans="1:5" x14ac:dyDescent="0.3">
      <c r="A261" s="236">
        <v>2</v>
      </c>
      <c r="B261" s="231" t="s">
        <v>3007</v>
      </c>
      <c r="C261" s="231" t="s">
        <v>3008</v>
      </c>
      <c r="D261" s="232">
        <v>8.85</v>
      </c>
      <c r="E261" s="281">
        <v>8.7200000000000006</v>
      </c>
    </row>
    <row r="262" spans="1:5" x14ac:dyDescent="0.3">
      <c r="A262" s="237">
        <v>3</v>
      </c>
      <c r="B262" s="228" t="s">
        <v>3079</v>
      </c>
      <c r="C262" s="228" t="s">
        <v>3067</v>
      </c>
      <c r="D262" s="229">
        <v>8.6300000000000008</v>
      </c>
      <c r="E262" s="298">
        <v>8.5299999999999994</v>
      </c>
    </row>
    <row r="263" spans="1:5" x14ac:dyDescent="0.3">
      <c r="A263" s="238">
        <v>4</v>
      </c>
      <c r="B263" s="231" t="s">
        <v>3357</v>
      </c>
      <c r="C263" s="231" t="s">
        <v>3358</v>
      </c>
      <c r="D263" s="232">
        <v>8.58</v>
      </c>
      <c r="E263" s="379">
        <v>8.51</v>
      </c>
    </row>
    <row r="264" spans="1:5" x14ac:dyDescent="0.3">
      <c r="A264" s="238">
        <v>5</v>
      </c>
      <c r="B264" s="228" t="s">
        <v>2590</v>
      </c>
      <c r="C264" s="228" t="s">
        <v>2586</v>
      </c>
      <c r="D264" s="229">
        <v>8.5500000000000007</v>
      </c>
      <c r="E264" s="302">
        <v>8.4700000000000006</v>
      </c>
    </row>
    <row r="266" spans="1:5" ht="17.399999999999999" x14ac:dyDescent="0.35">
      <c r="A266" s="399" t="s">
        <v>3187</v>
      </c>
      <c r="B266" s="399"/>
      <c r="C266" s="399"/>
      <c r="D266" s="399"/>
      <c r="E266" s="399"/>
    </row>
    <row r="267" spans="1:5" x14ac:dyDescent="0.3">
      <c r="A267" s="227" t="s">
        <v>318</v>
      </c>
      <c r="B267" s="227" t="s">
        <v>285</v>
      </c>
      <c r="C267" s="227" t="s">
        <v>286</v>
      </c>
      <c r="D267" s="227" t="s">
        <v>287</v>
      </c>
      <c r="E267" s="227" t="s">
        <v>959</v>
      </c>
    </row>
    <row r="268" spans="1:5" x14ac:dyDescent="0.3">
      <c r="A268" s="234">
        <v>1</v>
      </c>
      <c r="B268" s="228" t="s">
        <v>866</v>
      </c>
      <c r="C268" s="228" t="s">
        <v>857</v>
      </c>
      <c r="D268" s="229">
        <v>9.06</v>
      </c>
      <c r="E268" s="255">
        <v>9.1</v>
      </c>
    </row>
    <row r="269" spans="1:5" x14ac:dyDescent="0.3">
      <c r="A269" s="236">
        <v>2</v>
      </c>
      <c r="B269" s="231" t="s">
        <v>2620</v>
      </c>
      <c r="C269" s="231" t="s">
        <v>2613</v>
      </c>
      <c r="D269" s="232">
        <v>9.06</v>
      </c>
      <c r="E269" s="259">
        <v>9.02</v>
      </c>
    </row>
    <row r="270" spans="1:5" x14ac:dyDescent="0.3">
      <c r="A270" s="237">
        <v>3</v>
      </c>
      <c r="B270" s="228" t="s">
        <v>687</v>
      </c>
      <c r="C270" s="228" t="s">
        <v>688</v>
      </c>
      <c r="D270" s="229">
        <v>8.67</v>
      </c>
      <c r="E270" s="293">
        <v>8.58</v>
      </c>
    </row>
    <row r="271" spans="1:5" x14ac:dyDescent="0.3">
      <c r="A271" s="238">
        <v>4</v>
      </c>
      <c r="B271" s="231" t="s">
        <v>493</v>
      </c>
      <c r="C271" s="231" t="s">
        <v>494</v>
      </c>
      <c r="D271" s="232">
        <v>8.5</v>
      </c>
      <c r="E271" s="305">
        <v>8.43</v>
      </c>
    </row>
    <row r="273" spans="1:5" ht="17.399999999999999" x14ac:dyDescent="0.35">
      <c r="A273" s="399" t="s">
        <v>3371</v>
      </c>
      <c r="B273" s="399"/>
      <c r="C273" s="399"/>
      <c r="D273" s="399"/>
      <c r="E273" s="399"/>
    </row>
    <row r="274" spans="1:5" x14ac:dyDescent="0.3">
      <c r="A274" s="227" t="s">
        <v>318</v>
      </c>
      <c r="B274" s="227" t="s">
        <v>285</v>
      </c>
      <c r="C274" s="227" t="s">
        <v>286</v>
      </c>
      <c r="D274" s="227" t="s">
        <v>287</v>
      </c>
      <c r="E274" s="227" t="s">
        <v>959</v>
      </c>
    </row>
    <row r="275" spans="1:5" x14ac:dyDescent="0.3">
      <c r="A275" s="234">
        <v>1</v>
      </c>
      <c r="B275" s="228" t="s">
        <v>3007</v>
      </c>
      <c r="C275" s="228" t="s">
        <v>3008</v>
      </c>
      <c r="D275" s="229">
        <v>8.85</v>
      </c>
      <c r="E275" s="281">
        <v>8.7200000000000006</v>
      </c>
    </row>
    <row r="276" spans="1:5" x14ac:dyDescent="0.3">
      <c r="A276" s="236">
        <v>2</v>
      </c>
      <c r="B276" s="231" t="s">
        <v>296</v>
      </c>
      <c r="C276" s="231" t="s">
        <v>2006</v>
      </c>
      <c r="D276" s="232">
        <v>8.6</v>
      </c>
      <c r="E276" s="297">
        <v>8.5399999999999991</v>
      </c>
    </row>
    <row r="277" spans="1:5" x14ac:dyDescent="0.3">
      <c r="A277" s="237">
        <v>3</v>
      </c>
      <c r="B277" s="228" t="s">
        <v>3357</v>
      </c>
      <c r="C277" s="228" t="s">
        <v>3358</v>
      </c>
      <c r="D277" s="229">
        <v>8.58</v>
      </c>
      <c r="E277" s="379">
        <v>8.51</v>
      </c>
    </row>
    <row r="278" spans="1:5" x14ac:dyDescent="0.3">
      <c r="A278" s="238">
        <v>4</v>
      </c>
      <c r="B278" s="231" t="s">
        <v>2590</v>
      </c>
      <c r="C278" s="231" t="s">
        <v>2586</v>
      </c>
      <c r="D278" s="232">
        <v>8.5500000000000007</v>
      </c>
      <c r="E278" s="302">
        <v>8.4700000000000006</v>
      </c>
    </row>
    <row r="280" spans="1:5" ht="17.399999999999999" x14ac:dyDescent="0.35">
      <c r="A280" s="399" t="s">
        <v>3188</v>
      </c>
      <c r="B280" s="399"/>
      <c r="C280" s="399"/>
      <c r="D280" s="399"/>
      <c r="E280" s="399"/>
    </row>
    <row r="281" spans="1:5" x14ac:dyDescent="0.3">
      <c r="A281" s="227" t="s">
        <v>318</v>
      </c>
      <c r="B281" s="227" t="s">
        <v>285</v>
      </c>
      <c r="C281" s="227" t="s">
        <v>286</v>
      </c>
      <c r="D281" s="227" t="s">
        <v>287</v>
      </c>
      <c r="E281" s="227" t="s">
        <v>959</v>
      </c>
    </row>
    <row r="282" spans="1:5" x14ac:dyDescent="0.3">
      <c r="A282" s="234">
        <v>1</v>
      </c>
      <c r="B282" s="228" t="s">
        <v>2122</v>
      </c>
      <c r="C282" s="228" t="s">
        <v>2123</v>
      </c>
      <c r="D282" s="229">
        <v>8.73</v>
      </c>
      <c r="E282" s="289">
        <v>8.6300000000000008</v>
      </c>
    </row>
    <row r="283" spans="1:5" x14ac:dyDescent="0.3">
      <c r="A283" s="236">
        <v>2</v>
      </c>
      <c r="B283" s="231" t="s">
        <v>677</v>
      </c>
      <c r="C283" s="231" t="s">
        <v>1219</v>
      </c>
      <c r="D283" s="232">
        <v>8.11</v>
      </c>
      <c r="E283" s="324">
        <v>8</v>
      </c>
    </row>
    <row r="285" spans="1:5" ht="17.399999999999999" x14ac:dyDescent="0.35">
      <c r="A285" s="399" t="s">
        <v>3189</v>
      </c>
      <c r="B285" s="399"/>
      <c r="C285" s="399"/>
      <c r="D285" s="399"/>
      <c r="E285" s="399"/>
    </row>
    <row r="286" spans="1:5" x14ac:dyDescent="0.3">
      <c r="A286" s="227" t="s">
        <v>318</v>
      </c>
      <c r="B286" s="227" t="s">
        <v>285</v>
      </c>
      <c r="C286" s="227" t="s">
        <v>286</v>
      </c>
      <c r="D286" s="227" t="s">
        <v>287</v>
      </c>
      <c r="E286" s="227" t="s">
        <v>959</v>
      </c>
    </row>
    <row r="287" spans="1:5" x14ac:dyDescent="0.3">
      <c r="A287" s="234">
        <v>1</v>
      </c>
      <c r="B287" s="228" t="s">
        <v>2324</v>
      </c>
      <c r="C287" s="228" t="s">
        <v>2325</v>
      </c>
      <c r="D287" s="229">
        <v>8.69</v>
      </c>
      <c r="E287" s="298">
        <v>8.5299999999999994</v>
      </c>
    </row>
    <row r="288" spans="1:5" x14ac:dyDescent="0.3">
      <c r="A288" s="236">
        <v>2</v>
      </c>
      <c r="B288" s="231" t="s">
        <v>1202</v>
      </c>
      <c r="C288" s="231" t="s">
        <v>1192</v>
      </c>
      <c r="D288" s="232">
        <v>8.4499999999999993</v>
      </c>
      <c r="E288" s="308">
        <v>8.3800000000000008</v>
      </c>
    </row>
    <row r="290" spans="1:5" ht="17.399999999999999" x14ac:dyDescent="0.35">
      <c r="A290" s="399" t="s">
        <v>3190</v>
      </c>
      <c r="B290" s="399"/>
      <c r="C290" s="399"/>
      <c r="D290" s="399"/>
      <c r="E290" s="399"/>
    </row>
    <row r="291" spans="1:5" x14ac:dyDescent="0.3">
      <c r="A291" s="227" t="s">
        <v>318</v>
      </c>
      <c r="B291" s="227" t="s">
        <v>285</v>
      </c>
      <c r="C291" s="227" t="s">
        <v>286</v>
      </c>
      <c r="D291" s="227" t="s">
        <v>287</v>
      </c>
      <c r="E291" s="227" t="s">
        <v>959</v>
      </c>
    </row>
    <row r="292" spans="1:5" x14ac:dyDescent="0.3">
      <c r="A292" s="234">
        <v>1</v>
      </c>
      <c r="B292" s="228" t="s">
        <v>2799</v>
      </c>
      <c r="C292" s="228" t="s">
        <v>2800</v>
      </c>
      <c r="D292" s="229">
        <v>8.4</v>
      </c>
      <c r="E292" s="309">
        <v>8.3699999999999992</v>
      </c>
    </row>
    <row r="294" spans="1:5" ht="17.399999999999999" x14ac:dyDescent="0.35">
      <c r="A294" s="399" t="s">
        <v>3191</v>
      </c>
      <c r="B294" s="399"/>
      <c r="C294" s="399"/>
      <c r="D294" s="399"/>
      <c r="E294" s="399"/>
    </row>
    <row r="295" spans="1:5" x14ac:dyDescent="0.3">
      <c r="A295" s="227" t="s">
        <v>318</v>
      </c>
      <c r="B295" s="227" t="s">
        <v>285</v>
      </c>
      <c r="C295" s="227" t="s">
        <v>286</v>
      </c>
      <c r="D295" s="227" t="s">
        <v>287</v>
      </c>
      <c r="E295" s="227" t="s">
        <v>959</v>
      </c>
    </row>
    <row r="296" spans="1:5" x14ac:dyDescent="0.3">
      <c r="A296" s="234">
        <v>1</v>
      </c>
      <c r="B296" s="228" t="s">
        <v>303</v>
      </c>
      <c r="C296" s="228" t="s">
        <v>1484</v>
      </c>
      <c r="D296" s="229">
        <v>8</v>
      </c>
      <c r="E296" s="328">
        <v>7.79</v>
      </c>
    </row>
  </sheetData>
  <mergeCells count="14">
    <mergeCell ref="A294:E294"/>
    <mergeCell ref="A258:E258"/>
    <mergeCell ref="A266:E266"/>
    <mergeCell ref="A273:E273"/>
    <mergeCell ref="A280:E280"/>
    <mergeCell ref="A285:E285"/>
    <mergeCell ref="A290:E290"/>
    <mergeCell ref="A240:E240"/>
    <mergeCell ref="A250:E250"/>
    <mergeCell ref="A1:E1"/>
    <mergeCell ref="A99:E99"/>
    <mergeCell ref="A162:E162"/>
    <mergeCell ref="A194:E194"/>
    <mergeCell ref="A218:E218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885C0B-0924-4E91-9DED-FD144395D557}">
  <dimension ref="A1:E115"/>
  <sheetViews>
    <sheetView zoomScale="80" zoomScaleNormal="80" workbookViewId="0">
      <selection activeCell="L18" sqref="L18"/>
    </sheetView>
  </sheetViews>
  <sheetFormatPr defaultColWidth="8.796875" defaultRowHeight="15.6" x14ac:dyDescent="0.3"/>
  <cols>
    <col min="1" max="1" width="22.19921875" bestFit="1" customWidth="1"/>
    <col min="2" max="3" width="15.69921875" bestFit="1" customWidth="1"/>
  </cols>
  <sheetData>
    <row r="1" spans="1:5" x14ac:dyDescent="0.3">
      <c r="A1" s="349" t="s">
        <v>3178</v>
      </c>
      <c r="B1" s="349" t="s">
        <v>3179</v>
      </c>
      <c r="C1" s="349" t="s">
        <v>3180</v>
      </c>
      <c r="E1" s="374" t="s">
        <v>3324</v>
      </c>
    </row>
    <row r="2" spans="1:5" x14ac:dyDescent="0.3">
      <c r="A2" t="s">
        <v>1023</v>
      </c>
      <c r="B2" t="s">
        <v>3168</v>
      </c>
      <c r="C2" t="s">
        <v>1120</v>
      </c>
      <c r="E2" t="s">
        <v>3327</v>
      </c>
    </row>
    <row r="3" spans="1:5" x14ac:dyDescent="0.3">
      <c r="A3" t="s">
        <v>1028</v>
      </c>
      <c r="B3" t="s">
        <v>3168</v>
      </c>
      <c r="C3" t="s">
        <v>1050</v>
      </c>
      <c r="E3" t="s">
        <v>3325</v>
      </c>
    </row>
    <row r="4" spans="1:5" x14ac:dyDescent="0.3">
      <c r="A4" t="s">
        <v>1025</v>
      </c>
      <c r="B4" t="s">
        <v>3168</v>
      </c>
      <c r="C4" t="s">
        <v>3171</v>
      </c>
      <c r="E4" t="s">
        <v>3326</v>
      </c>
    </row>
    <row r="5" spans="1:5" x14ac:dyDescent="0.3">
      <c r="A5" t="s">
        <v>720</v>
      </c>
      <c r="B5" t="s">
        <v>3168</v>
      </c>
      <c r="C5" t="s">
        <v>1034</v>
      </c>
    </row>
    <row r="6" spans="1:5" x14ac:dyDescent="0.3">
      <c r="A6" t="s">
        <v>2457</v>
      </c>
      <c r="B6" t="s">
        <v>1050</v>
      </c>
      <c r="C6" t="s">
        <v>3177</v>
      </c>
    </row>
    <row r="7" spans="1:5" x14ac:dyDescent="0.3">
      <c r="A7" t="s">
        <v>1029</v>
      </c>
      <c r="B7" t="s">
        <v>3169</v>
      </c>
      <c r="C7" t="s">
        <v>3176</v>
      </c>
    </row>
    <row r="8" spans="1:5" x14ac:dyDescent="0.3">
      <c r="A8" t="s">
        <v>1030</v>
      </c>
      <c r="B8" t="s">
        <v>3169</v>
      </c>
      <c r="C8" t="s">
        <v>3172</v>
      </c>
    </row>
    <row r="9" spans="1:5" x14ac:dyDescent="0.3">
      <c r="A9" t="s">
        <v>2637</v>
      </c>
      <c r="B9" t="s">
        <v>3169</v>
      </c>
      <c r="C9" t="s">
        <v>2805</v>
      </c>
    </row>
    <row r="10" spans="1:5" x14ac:dyDescent="0.3">
      <c r="A10" t="s">
        <v>2638</v>
      </c>
      <c r="B10" t="s">
        <v>3170</v>
      </c>
      <c r="C10" t="s">
        <v>3170</v>
      </c>
    </row>
    <row r="11" spans="1:5" x14ac:dyDescent="0.3">
      <c r="A11" t="s">
        <v>1024</v>
      </c>
      <c r="B11" t="s">
        <v>3168</v>
      </c>
      <c r="C11" t="s">
        <v>3173</v>
      </c>
    </row>
    <row r="12" spans="1:5" x14ac:dyDescent="0.3">
      <c r="A12" t="s">
        <v>1027</v>
      </c>
      <c r="B12" t="s">
        <v>3168</v>
      </c>
      <c r="C12" t="s">
        <v>3175</v>
      </c>
    </row>
    <row r="13" spans="1:5" x14ac:dyDescent="0.3">
      <c r="A13" t="s">
        <v>1044</v>
      </c>
      <c r="B13" t="s">
        <v>3168</v>
      </c>
      <c r="C13" t="s">
        <v>3169</v>
      </c>
    </row>
    <row r="14" spans="1:5" x14ac:dyDescent="0.3">
      <c r="A14" t="s">
        <v>1534</v>
      </c>
      <c r="B14" t="s">
        <v>3170</v>
      </c>
      <c r="C14" t="s">
        <v>3168</v>
      </c>
    </row>
    <row r="15" spans="1:5" x14ac:dyDescent="0.3">
      <c r="A15" t="s">
        <v>1532</v>
      </c>
      <c r="B15" t="s">
        <v>3168</v>
      </c>
      <c r="C15" t="s">
        <v>3174</v>
      </c>
    </row>
    <row r="16" spans="1:5" x14ac:dyDescent="0.3">
      <c r="A16" t="s">
        <v>1026</v>
      </c>
      <c r="B16" t="s">
        <v>3168</v>
      </c>
    </row>
    <row r="17" spans="1:2" x14ac:dyDescent="0.3">
      <c r="A17" t="s">
        <v>1032</v>
      </c>
      <c r="B17" t="s">
        <v>3168</v>
      </c>
    </row>
    <row r="18" spans="1:2" x14ac:dyDescent="0.3">
      <c r="A18" t="s">
        <v>2597</v>
      </c>
      <c r="B18" t="s">
        <v>1120</v>
      </c>
    </row>
    <row r="19" spans="1:2" x14ac:dyDescent="0.3">
      <c r="A19" t="s">
        <v>2503</v>
      </c>
      <c r="B19" t="s">
        <v>3168</v>
      </c>
    </row>
    <row r="20" spans="1:2" x14ac:dyDescent="0.3">
      <c r="A20" t="s">
        <v>1326</v>
      </c>
      <c r="B20" t="s">
        <v>3168</v>
      </c>
    </row>
    <row r="21" spans="1:2" x14ac:dyDescent="0.3">
      <c r="A21" t="s">
        <v>3026</v>
      </c>
      <c r="B21" t="s">
        <v>3171</v>
      </c>
    </row>
    <row r="22" spans="1:2" x14ac:dyDescent="0.3">
      <c r="A22" t="s">
        <v>1037</v>
      </c>
      <c r="B22" t="s">
        <v>3168</v>
      </c>
    </row>
    <row r="23" spans="1:2" x14ac:dyDescent="0.3">
      <c r="A23" t="s">
        <v>1041</v>
      </c>
      <c r="B23" t="s">
        <v>1050</v>
      </c>
    </row>
    <row r="24" spans="1:2" x14ac:dyDescent="0.3">
      <c r="A24" t="s">
        <v>1162</v>
      </c>
      <c r="B24" t="s">
        <v>3168</v>
      </c>
    </row>
    <row r="25" spans="1:2" x14ac:dyDescent="0.3">
      <c r="A25" t="s">
        <v>1163</v>
      </c>
      <c r="B25" t="s">
        <v>3168</v>
      </c>
    </row>
    <row r="26" spans="1:2" x14ac:dyDescent="0.3">
      <c r="A26" t="s">
        <v>1388</v>
      </c>
      <c r="B26" t="s">
        <v>3172</v>
      </c>
    </row>
    <row r="27" spans="1:2" x14ac:dyDescent="0.3">
      <c r="A27" t="s">
        <v>2879</v>
      </c>
      <c r="B27" t="s">
        <v>3168</v>
      </c>
    </row>
    <row r="28" spans="1:2" x14ac:dyDescent="0.3">
      <c r="A28" t="s">
        <v>3040</v>
      </c>
      <c r="B28" t="s">
        <v>3170</v>
      </c>
    </row>
    <row r="29" spans="1:2" x14ac:dyDescent="0.3">
      <c r="A29" t="s">
        <v>1761</v>
      </c>
      <c r="B29" t="s">
        <v>1050</v>
      </c>
    </row>
    <row r="30" spans="1:2" x14ac:dyDescent="0.3">
      <c r="A30" t="s">
        <v>1286</v>
      </c>
      <c r="B30" t="s">
        <v>3172</v>
      </c>
    </row>
    <row r="31" spans="1:2" x14ac:dyDescent="0.3">
      <c r="A31" t="s">
        <v>733</v>
      </c>
      <c r="B31" t="s">
        <v>3172</v>
      </c>
    </row>
    <row r="32" spans="1:2" x14ac:dyDescent="0.3">
      <c r="A32" t="s">
        <v>1176</v>
      </c>
      <c r="B32" t="s">
        <v>3172</v>
      </c>
    </row>
    <row r="33" spans="1:2" x14ac:dyDescent="0.3">
      <c r="A33" t="s">
        <v>1960</v>
      </c>
      <c r="B33" t="s">
        <v>3168</v>
      </c>
    </row>
    <row r="34" spans="1:2" x14ac:dyDescent="0.3">
      <c r="A34" t="s">
        <v>1271</v>
      </c>
      <c r="B34" t="s">
        <v>3168</v>
      </c>
    </row>
    <row r="35" spans="1:2" x14ac:dyDescent="0.3">
      <c r="A35" t="s">
        <v>1031</v>
      </c>
      <c r="B35" t="s">
        <v>3168</v>
      </c>
    </row>
    <row r="36" spans="1:2" x14ac:dyDescent="0.3">
      <c r="A36" t="s">
        <v>734</v>
      </c>
      <c r="B36" t="s">
        <v>3172</v>
      </c>
    </row>
    <row r="37" spans="1:2" x14ac:dyDescent="0.3">
      <c r="A37" t="s">
        <v>1120</v>
      </c>
      <c r="B37" t="s">
        <v>1120</v>
      </c>
    </row>
    <row r="38" spans="1:2" x14ac:dyDescent="0.3">
      <c r="A38" t="s">
        <v>2416</v>
      </c>
      <c r="B38" t="s">
        <v>3168</v>
      </c>
    </row>
    <row r="39" spans="1:2" x14ac:dyDescent="0.3">
      <c r="A39" t="s">
        <v>1436</v>
      </c>
      <c r="B39" t="s">
        <v>3170</v>
      </c>
    </row>
    <row r="40" spans="1:2" x14ac:dyDescent="0.3">
      <c r="A40" t="s">
        <v>2639</v>
      </c>
      <c r="B40" t="s">
        <v>3168</v>
      </c>
    </row>
    <row r="41" spans="1:2" x14ac:dyDescent="0.3">
      <c r="A41" t="s">
        <v>1573</v>
      </c>
      <c r="B41" t="s">
        <v>3172</v>
      </c>
    </row>
    <row r="42" spans="1:2" x14ac:dyDescent="0.3">
      <c r="A42" t="s">
        <v>1574</v>
      </c>
      <c r="B42" t="s">
        <v>3172</v>
      </c>
    </row>
    <row r="43" spans="1:2" x14ac:dyDescent="0.3">
      <c r="A43" t="s">
        <v>2105</v>
      </c>
      <c r="B43" t="s">
        <v>3172</v>
      </c>
    </row>
    <row r="44" spans="1:2" x14ac:dyDescent="0.3">
      <c r="A44" t="s">
        <v>1175</v>
      </c>
      <c r="B44" t="s">
        <v>3172</v>
      </c>
    </row>
    <row r="45" spans="1:2" x14ac:dyDescent="0.3">
      <c r="A45" t="s">
        <v>1036</v>
      </c>
      <c r="B45" t="s">
        <v>3172</v>
      </c>
    </row>
    <row r="46" spans="1:2" x14ac:dyDescent="0.3">
      <c r="A46" t="s">
        <v>1042</v>
      </c>
      <c r="B46" t="s">
        <v>1050</v>
      </c>
    </row>
    <row r="47" spans="1:2" x14ac:dyDescent="0.3">
      <c r="A47" t="s">
        <v>1048</v>
      </c>
      <c r="B47" t="s">
        <v>1050</v>
      </c>
    </row>
    <row r="48" spans="1:2" x14ac:dyDescent="0.3">
      <c r="A48" t="s">
        <v>1133</v>
      </c>
      <c r="B48" t="s">
        <v>3170</v>
      </c>
    </row>
    <row r="49" spans="1:2" x14ac:dyDescent="0.3">
      <c r="A49" t="s">
        <v>1420</v>
      </c>
      <c r="B49" t="s">
        <v>1050</v>
      </c>
    </row>
    <row r="50" spans="1:2" x14ac:dyDescent="0.3">
      <c r="A50" t="s">
        <v>1421</v>
      </c>
      <c r="B50" t="s">
        <v>1050</v>
      </c>
    </row>
    <row r="51" spans="1:2" x14ac:dyDescent="0.3">
      <c r="A51" t="s">
        <v>2141</v>
      </c>
      <c r="B51" t="s">
        <v>3173</v>
      </c>
    </row>
    <row r="52" spans="1:2" x14ac:dyDescent="0.3">
      <c r="A52" t="s">
        <v>1038</v>
      </c>
      <c r="B52" t="s">
        <v>3168</v>
      </c>
    </row>
    <row r="53" spans="1:2" x14ac:dyDescent="0.3">
      <c r="A53" t="s">
        <v>2744</v>
      </c>
      <c r="B53" t="s">
        <v>1034</v>
      </c>
    </row>
    <row r="54" spans="1:2" x14ac:dyDescent="0.3">
      <c r="A54" t="s">
        <v>2314</v>
      </c>
      <c r="B54" t="s">
        <v>3174</v>
      </c>
    </row>
    <row r="55" spans="1:2" x14ac:dyDescent="0.3">
      <c r="A55" t="s">
        <v>1700</v>
      </c>
      <c r="B55" t="s">
        <v>3175</v>
      </c>
    </row>
    <row r="56" spans="1:2" x14ac:dyDescent="0.3">
      <c r="A56" t="s">
        <v>2679</v>
      </c>
      <c r="B56" t="s">
        <v>3168</v>
      </c>
    </row>
    <row r="57" spans="1:2" x14ac:dyDescent="0.3">
      <c r="A57" t="s">
        <v>1483</v>
      </c>
      <c r="B57" t="s">
        <v>1050</v>
      </c>
    </row>
    <row r="58" spans="1:2" x14ac:dyDescent="0.3">
      <c r="A58" t="s">
        <v>3139</v>
      </c>
      <c r="B58" t="s">
        <v>1050</v>
      </c>
    </row>
    <row r="59" spans="1:2" x14ac:dyDescent="0.3">
      <c r="A59" t="s">
        <v>1039</v>
      </c>
      <c r="B59" t="s">
        <v>1034</v>
      </c>
    </row>
    <row r="60" spans="1:2" x14ac:dyDescent="0.3">
      <c r="A60" t="s">
        <v>2559</v>
      </c>
      <c r="B60" t="s">
        <v>1050</v>
      </c>
    </row>
    <row r="61" spans="1:2" x14ac:dyDescent="0.3">
      <c r="A61" t="s">
        <v>2337</v>
      </c>
      <c r="B61" t="s">
        <v>3176</v>
      </c>
    </row>
    <row r="62" spans="1:2" x14ac:dyDescent="0.3">
      <c r="A62" t="s">
        <v>2338</v>
      </c>
      <c r="B62" t="s">
        <v>3170</v>
      </c>
    </row>
    <row r="63" spans="1:2" x14ac:dyDescent="0.3">
      <c r="A63" t="s">
        <v>732</v>
      </c>
      <c r="B63" t="s">
        <v>3168</v>
      </c>
    </row>
    <row r="64" spans="1:2" x14ac:dyDescent="0.3">
      <c r="A64" t="s">
        <v>1047</v>
      </c>
      <c r="B64" t="s">
        <v>3175</v>
      </c>
    </row>
    <row r="65" spans="1:2" x14ac:dyDescent="0.3">
      <c r="A65" t="s">
        <v>1316</v>
      </c>
      <c r="B65" t="s">
        <v>1034</v>
      </c>
    </row>
    <row r="66" spans="1:2" x14ac:dyDescent="0.3">
      <c r="A66" t="s">
        <v>1057</v>
      </c>
      <c r="B66" t="s">
        <v>3172</v>
      </c>
    </row>
    <row r="67" spans="1:2" x14ac:dyDescent="0.3">
      <c r="A67" t="s">
        <v>1058</v>
      </c>
      <c r="B67" t="s">
        <v>3172</v>
      </c>
    </row>
    <row r="68" spans="1:2" x14ac:dyDescent="0.3">
      <c r="A68" t="s">
        <v>2142</v>
      </c>
      <c r="B68" t="s">
        <v>3170</v>
      </c>
    </row>
    <row r="69" spans="1:2" x14ac:dyDescent="0.3">
      <c r="A69" t="s">
        <v>1218</v>
      </c>
      <c r="B69" t="s">
        <v>3172</v>
      </c>
    </row>
    <row r="70" spans="1:2" x14ac:dyDescent="0.3">
      <c r="A70" t="s">
        <v>737</v>
      </c>
      <c r="B70" t="s">
        <v>3169</v>
      </c>
    </row>
    <row r="71" spans="1:2" x14ac:dyDescent="0.3">
      <c r="A71" t="s">
        <v>1328</v>
      </c>
      <c r="B71" t="s">
        <v>3168</v>
      </c>
    </row>
    <row r="72" spans="1:2" x14ac:dyDescent="0.3">
      <c r="A72" t="s">
        <v>1040</v>
      </c>
      <c r="B72" t="s">
        <v>1034</v>
      </c>
    </row>
    <row r="73" spans="1:2" x14ac:dyDescent="0.3">
      <c r="A73" t="s">
        <v>2696</v>
      </c>
      <c r="B73" t="s">
        <v>1050</v>
      </c>
    </row>
    <row r="74" spans="1:2" x14ac:dyDescent="0.3">
      <c r="A74" t="s">
        <v>1055</v>
      </c>
      <c r="B74" t="s">
        <v>3168</v>
      </c>
    </row>
    <row r="75" spans="1:2" x14ac:dyDescent="0.3">
      <c r="A75" t="s">
        <v>1033</v>
      </c>
      <c r="B75" t="s">
        <v>1034</v>
      </c>
    </row>
    <row r="76" spans="1:2" x14ac:dyDescent="0.3">
      <c r="A76" t="s">
        <v>2977</v>
      </c>
      <c r="B76" t="s">
        <v>3168</v>
      </c>
    </row>
    <row r="77" spans="1:2" x14ac:dyDescent="0.3">
      <c r="A77" t="s">
        <v>2012</v>
      </c>
      <c r="B77" t="s">
        <v>3171</v>
      </c>
    </row>
    <row r="78" spans="1:2" x14ac:dyDescent="0.3">
      <c r="A78" t="s">
        <v>1049</v>
      </c>
      <c r="B78" t="s">
        <v>3168</v>
      </c>
    </row>
    <row r="79" spans="1:2" x14ac:dyDescent="0.3">
      <c r="A79" t="s">
        <v>1043</v>
      </c>
      <c r="B79" t="s">
        <v>3170</v>
      </c>
    </row>
    <row r="80" spans="1:2" x14ac:dyDescent="0.3">
      <c r="A80" t="s">
        <v>2402</v>
      </c>
      <c r="B80" t="s">
        <v>3170</v>
      </c>
    </row>
    <row r="81" spans="1:2" x14ac:dyDescent="0.3">
      <c r="A81" t="s">
        <v>1390</v>
      </c>
      <c r="B81" t="s">
        <v>1034</v>
      </c>
    </row>
    <row r="82" spans="1:2" x14ac:dyDescent="0.3">
      <c r="A82" t="s">
        <v>1045</v>
      </c>
      <c r="B82" t="s">
        <v>3170</v>
      </c>
    </row>
    <row r="83" spans="1:2" x14ac:dyDescent="0.3">
      <c r="A83" t="s">
        <v>1050</v>
      </c>
      <c r="B83" t="s">
        <v>1050</v>
      </c>
    </row>
    <row r="84" spans="1:2" x14ac:dyDescent="0.3">
      <c r="A84" t="s">
        <v>1051</v>
      </c>
      <c r="B84" t="s">
        <v>1034</v>
      </c>
    </row>
    <row r="85" spans="1:2" x14ac:dyDescent="0.3">
      <c r="A85" t="s">
        <v>1052</v>
      </c>
      <c r="B85" t="s">
        <v>1034</v>
      </c>
    </row>
    <row r="86" spans="1:2" x14ac:dyDescent="0.3">
      <c r="A86" t="s">
        <v>1584</v>
      </c>
      <c r="B86" t="s">
        <v>3172</v>
      </c>
    </row>
    <row r="87" spans="1:2" x14ac:dyDescent="0.3">
      <c r="A87" t="s">
        <v>1053</v>
      </c>
      <c r="B87" t="s">
        <v>3175</v>
      </c>
    </row>
    <row r="88" spans="1:2" x14ac:dyDescent="0.3">
      <c r="A88" t="s">
        <v>2593</v>
      </c>
      <c r="B88" t="s">
        <v>3171</v>
      </c>
    </row>
    <row r="89" spans="1:2" x14ac:dyDescent="0.3">
      <c r="A89" t="s">
        <v>1034</v>
      </c>
      <c r="B89" t="s">
        <v>1034</v>
      </c>
    </row>
    <row r="90" spans="1:2" x14ac:dyDescent="0.3">
      <c r="A90" t="s">
        <v>1054</v>
      </c>
      <c r="B90" t="s">
        <v>3169</v>
      </c>
    </row>
    <row r="91" spans="1:2" x14ac:dyDescent="0.3">
      <c r="A91" t="s">
        <v>731</v>
      </c>
      <c r="B91" t="s">
        <v>3172</v>
      </c>
    </row>
    <row r="92" spans="1:2" x14ac:dyDescent="0.3">
      <c r="A92" t="s">
        <v>724</v>
      </c>
      <c r="B92" t="s">
        <v>1050</v>
      </c>
    </row>
    <row r="93" spans="1:2" x14ac:dyDescent="0.3">
      <c r="A93" t="s">
        <v>1215</v>
      </c>
      <c r="B93" t="s">
        <v>3176</v>
      </c>
    </row>
    <row r="94" spans="1:2" x14ac:dyDescent="0.3">
      <c r="A94" t="s">
        <v>1216</v>
      </c>
      <c r="B94" t="s">
        <v>1050</v>
      </c>
    </row>
    <row r="95" spans="1:2" x14ac:dyDescent="0.3">
      <c r="A95" t="s">
        <v>2933</v>
      </c>
      <c r="B95" t="s">
        <v>3172</v>
      </c>
    </row>
    <row r="96" spans="1:2" x14ac:dyDescent="0.3">
      <c r="A96" t="s">
        <v>1510</v>
      </c>
      <c r="B96" t="s">
        <v>3172</v>
      </c>
    </row>
    <row r="97" spans="1:2" x14ac:dyDescent="0.3">
      <c r="A97" t="s">
        <v>1775</v>
      </c>
      <c r="B97" t="s">
        <v>3170</v>
      </c>
    </row>
    <row r="98" spans="1:2" x14ac:dyDescent="0.3">
      <c r="A98" t="s">
        <v>1928</v>
      </c>
      <c r="B98" t="s">
        <v>3172</v>
      </c>
    </row>
    <row r="99" spans="1:2" x14ac:dyDescent="0.3">
      <c r="A99" t="s">
        <v>1035</v>
      </c>
      <c r="B99" t="s">
        <v>3168</v>
      </c>
    </row>
    <row r="100" spans="1:2" x14ac:dyDescent="0.3">
      <c r="A100" t="s">
        <v>1060</v>
      </c>
      <c r="B100" t="s">
        <v>3168</v>
      </c>
    </row>
    <row r="101" spans="1:2" x14ac:dyDescent="0.3">
      <c r="A101" t="s">
        <v>2805</v>
      </c>
      <c r="B101" t="s">
        <v>2805</v>
      </c>
    </row>
    <row r="102" spans="1:2" x14ac:dyDescent="0.3">
      <c r="A102" t="s">
        <v>1994</v>
      </c>
      <c r="B102" t="s">
        <v>1034</v>
      </c>
    </row>
    <row r="103" spans="1:2" x14ac:dyDescent="0.3">
      <c r="A103" t="s">
        <v>1056</v>
      </c>
      <c r="B103" t="s">
        <v>3168</v>
      </c>
    </row>
    <row r="104" spans="1:2" x14ac:dyDescent="0.3">
      <c r="A104" t="s">
        <v>1496</v>
      </c>
      <c r="B104" t="s">
        <v>1050</v>
      </c>
    </row>
    <row r="105" spans="1:2" x14ac:dyDescent="0.3">
      <c r="A105" t="s">
        <v>739</v>
      </c>
      <c r="B105" t="s">
        <v>1034</v>
      </c>
    </row>
    <row r="106" spans="1:2" x14ac:dyDescent="0.3">
      <c r="A106" t="s">
        <v>1808</v>
      </c>
      <c r="B106" t="s">
        <v>3168</v>
      </c>
    </row>
    <row r="107" spans="1:2" x14ac:dyDescent="0.3">
      <c r="A107" t="s">
        <v>1236</v>
      </c>
      <c r="B107" t="s">
        <v>3173</v>
      </c>
    </row>
    <row r="108" spans="1:2" x14ac:dyDescent="0.3">
      <c r="A108" t="s">
        <v>1497</v>
      </c>
      <c r="B108" t="s">
        <v>3177</v>
      </c>
    </row>
    <row r="109" spans="1:2" x14ac:dyDescent="0.3">
      <c r="A109" t="s">
        <v>1046</v>
      </c>
      <c r="B109" t="s">
        <v>3168</v>
      </c>
    </row>
    <row r="110" spans="1:2" x14ac:dyDescent="0.3">
      <c r="A110" t="s">
        <v>1059</v>
      </c>
      <c r="B110" t="s">
        <v>1034</v>
      </c>
    </row>
    <row r="111" spans="1:2" x14ac:dyDescent="0.3">
      <c r="A111" t="s">
        <v>1134</v>
      </c>
      <c r="B111" t="s">
        <v>3168</v>
      </c>
    </row>
    <row r="112" spans="1:2" x14ac:dyDescent="0.3">
      <c r="A112" t="s">
        <v>1061</v>
      </c>
      <c r="B112" t="s">
        <v>1034</v>
      </c>
    </row>
    <row r="113" spans="1:2" x14ac:dyDescent="0.3">
      <c r="A113" t="s">
        <v>1062</v>
      </c>
      <c r="B113" t="s">
        <v>1034</v>
      </c>
    </row>
    <row r="114" spans="1:2" x14ac:dyDescent="0.3">
      <c r="A114" t="s">
        <v>740</v>
      </c>
      <c r="B114" t="s">
        <v>1034</v>
      </c>
    </row>
    <row r="115" spans="1:2" x14ac:dyDescent="0.3">
      <c r="A115" t="s">
        <v>3366</v>
      </c>
      <c r="B115" t="s">
        <v>3171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45BF62-93D0-4B29-8E67-A52714E58CAE}">
  <dimension ref="A1:B267"/>
  <sheetViews>
    <sheetView tabSelected="1" topLeftCell="A239" zoomScale="80" zoomScaleNormal="80" workbookViewId="0">
      <selection activeCell="E10" sqref="E10"/>
    </sheetView>
  </sheetViews>
  <sheetFormatPr defaultColWidth="8.796875" defaultRowHeight="15.6" x14ac:dyDescent="0.3"/>
  <cols>
    <col min="1" max="1" width="36.5" bestFit="1" customWidth="1"/>
    <col min="2" max="2" width="53.09765625" bestFit="1" customWidth="1"/>
  </cols>
  <sheetData>
    <row r="1" spans="1:2" ht="17.399999999999999" x14ac:dyDescent="0.35">
      <c r="A1" s="399" t="s">
        <v>986</v>
      </c>
      <c r="B1" s="399"/>
    </row>
    <row r="2" spans="1:2" x14ac:dyDescent="0.3">
      <c r="A2" s="349" t="s">
        <v>987</v>
      </c>
      <c r="B2" s="349"/>
    </row>
    <row r="3" spans="1:2" x14ac:dyDescent="0.3">
      <c r="A3" s="231" t="s">
        <v>988</v>
      </c>
      <c r="B3" s="350">
        <v>204</v>
      </c>
    </row>
    <row r="4" spans="1:2" x14ac:dyDescent="0.3">
      <c r="A4" s="228" t="s">
        <v>989</v>
      </c>
      <c r="B4" s="351">
        <v>128</v>
      </c>
    </row>
    <row r="5" spans="1:2" x14ac:dyDescent="0.3">
      <c r="A5" s="231" t="s">
        <v>990</v>
      </c>
      <c r="B5" s="350">
        <v>2208</v>
      </c>
    </row>
    <row r="6" spans="1:2" x14ac:dyDescent="0.3">
      <c r="A6" s="228" t="s">
        <v>991</v>
      </c>
      <c r="B6" s="351">
        <v>2100</v>
      </c>
    </row>
    <row r="7" spans="1:2" x14ac:dyDescent="0.3">
      <c r="A7" s="231" t="s">
        <v>291</v>
      </c>
      <c r="B7" s="350">
        <v>108</v>
      </c>
    </row>
    <row r="8" spans="1:2" x14ac:dyDescent="0.3">
      <c r="A8" s="228" t="s">
        <v>992</v>
      </c>
      <c r="B8" s="351">
        <v>10.82</v>
      </c>
    </row>
    <row r="9" spans="1:2" x14ac:dyDescent="0.3">
      <c r="A9" s="231" t="s">
        <v>993</v>
      </c>
      <c r="B9" s="352">
        <v>4.8899999999999999E-2</v>
      </c>
    </row>
    <row r="11" spans="1:2" x14ac:dyDescent="0.3">
      <c r="A11" s="349" t="s">
        <v>994</v>
      </c>
      <c r="B11" s="349"/>
    </row>
    <row r="12" spans="1:2" x14ac:dyDescent="0.3">
      <c r="A12" s="228" t="s">
        <v>995</v>
      </c>
      <c r="B12" s="351">
        <v>8.59</v>
      </c>
    </row>
    <row r="13" spans="1:2" x14ac:dyDescent="0.3">
      <c r="A13" s="231" t="s">
        <v>996</v>
      </c>
      <c r="B13" s="350">
        <v>8.5</v>
      </c>
    </row>
    <row r="14" spans="1:2" x14ac:dyDescent="0.3">
      <c r="A14" s="228" t="s">
        <v>997</v>
      </c>
      <c r="B14" s="351" t="s">
        <v>3411</v>
      </c>
    </row>
    <row r="16" spans="1:2" x14ac:dyDescent="0.3">
      <c r="A16" s="349" t="s">
        <v>998</v>
      </c>
      <c r="B16" s="349"/>
    </row>
    <row r="17" spans="1:2" x14ac:dyDescent="0.3">
      <c r="A17" s="231" t="s">
        <v>999</v>
      </c>
      <c r="B17" s="350">
        <v>1.08</v>
      </c>
    </row>
    <row r="18" spans="1:2" x14ac:dyDescent="0.3">
      <c r="A18" s="228" t="s">
        <v>1000</v>
      </c>
      <c r="B18" s="353">
        <v>0.12570000000000001</v>
      </c>
    </row>
    <row r="19" spans="1:2" x14ac:dyDescent="0.3">
      <c r="A19" s="231" t="s">
        <v>1001</v>
      </c>
      <c r="B19" s="350" t="s">
        <v>2501</v>
      </c>
    </row>
    <row r="20" spans="1:2" x14ac:dyDescent="0.3">
      <c r="A20" s="228" t="s">
        <v>1002</v>
      </c>
      <c r="B20" s="351" t="s">
        <v>1744</v>
      </c>
    </row>
    <row r="22" spans="1:2" x14ac:dyDescent="0.3">
      <c r="A22" s="349" t="s">
        <v>1003</v>
      </c>
      <c r="B22" s="349"/>
    </row>
    <row r="23" spans="1:2" x14ac:dyDescent="0.3">
      <c r="A23" s="231" t="s">
        <v>1004</v>
      </c>
      <c r="B23" s="350" t="s">
        <v>3409</v>
      </c>
    </row>
    <row r="24" spans="1:2" x14ac:dyDescent="0.3">
      <c r="A24" s="228" t="s">
        <v>1005</v>
      </c>
      <c r="B24" s="351" t="s">
        <v>3410</v>
      </c>
    </row>
    <row r="26" spans="1:2" x14ac:dyDescent="0.3">
      <c r="A26" s="349" t="s">
        <v>1006</v>
      </c>
      <c r="B26" s="349"/>
    </row>
    <row r="27" spans="1:2" x14ac:dyDescent="0.3">
      <c r="A27" s="231" t="s">
        <v>1007</v>
      </c>
      <c r="B27" s="350" t="s">
        <v>3362</v>
      </c>
    </row>
    <row r="28" spans="1:2" x14ac:dyDescent="0.3">
      <c r="A28" s="228" t="s">
        <v>1008</v>
      </c>
      <c r="B28" s="351" t="s">
        <v>3383</v>
      </c>
    </row>
    <row r="29" spans="1:2" x14ac:dyDescent="0.3">
      <c r="A29" s="231" t="s">
        <v>1009</v>
      </c>
      <c r="B29" s="350" t="s">
        <v>3439</v>
      </c>
    </row>
    <row r="30" spans="1:2" x14ac:dyDescent="0.3">
      <c r="A30" s="228" t="s">
        <v>1010</v>
      </c>
      <c r="B30" s="351" t="s">
        <v>3440</v>
      </c>
    </row>
    <row r="31" spans="1:2" x14ac:dyDescent="0.3">
      <c r="A31" s="231" t="s">
        <v>1011</v>
      </c>
      <c r="B31" s="350" t="s">
        <v>3441</v>
      </c>
    </row>
    <row r="32" spans="1:2" x14ac:dyDescent="0.3">
      <c r="A32" s="228" t="s">
        <v>1012</v>
      </c>
      <c r="B32" s="351" t="s">
        <v>3442</v>
      </c>
    </row>
    <row r="34" spans="1:2" x14ac:dyDescent="0.3">
      <c r="A34" s="349" t="s">
        <v>1013</v>
      </c>
      <c r="B34" s="349"/>
    </row>
    <row r="35" spans="1:2" x14ac:dyDescent="0.3">
      <c r="A35" s="231" t="s">
        <v>1014</v>
      </c>
      <c r="B35" s="350" t="s">
        <v>1015</v>
      </c>
    </row>
    <row r="36" spans="1:2" x14ac:dyDescent="0.3">
      <c r="A36" s="228" t="s">
        <v>1016</v>
      </c>
      <c r="B36" s="351" t="s">
        <v>2502</v>
      </c>
    </row>
    <row r="37" spans="1:2" x14ac:dyDescent="0.3">
      <c r="A37" s="231" t="s">
        <v>1017</v>
      </c>
      <c r="B37" s="350" t="s">
        <v>2538</v>
      </c>
    </row>
    <row r="38" spans="1:2" x14ac:dyDescent="0.3">
      <c r="A38" s="228" t="s">
        <v>1018</v>
      </c>
      <c r="B38" s="351" t="s">
        <v>1713</v>
      </c>
    </row>
    <row r="40" spans="1:2" x14ac:dyDescent="0.3">
      <c r="A40" s="349" t="s">
        <v>3194</v>
      </c>
      <c r="B40" s="349"/>
    </row>
    <row r="41" spans="1:2" x14ac:dyDescent="0.3">
      <c r="A41" s="231" t="s">
        <v>3195</v>
      </c>
      <c r="B41" s="350" t="s">
        <v>3419</v>
      </c>
    </row>
    <row r="42" spans="1:2" x14ac:dyDescent="0.3">
      <c r="A42" s="228" t="s">
        <v>3196</v>
      </c>
      <c r="B42" s="351">
        <v>114</v>
      </c>
    </row>
    <row r="43" spans="1:2" x14ac:dyDescent="0.3">
      <c r="A43" s="231" t="s">
        <v>1019</v>
      </c>
      <c r="B43" s="350" t="s">
        <v>3420</v>
      </c>
    </row>
    <row r="44" spans="1:2" x14ac:dyDescent="0.3">
      <c r="A44" s="228" t="s">
        <v>1020</v>
      </c>
      <c r="B44" s="351" t="s">
        <v>2021</v>
      </c>
    </row>
    <row r="45" spans="1:2" x14ac:dyDescent="0.3">
      <c r="A45" s="231" t="s">
        <v>1021</v>
      </c>
      <c r="B45" s="350" t="s">
        <v>1022</v>
      </c>
    </row>
    <row r="47" spans="1:2" x14ac:dyDescent="0.3">
      <c r="A47" s="349" t="s">
        <v>3197</v>
      </c>
      <c r="B47" s="349"/>
    </row>
    <row r="48" spans="1:2" x14ac:dyDescent="0.3">
      <c r="A48" s="228" t="s">
        <v>1023</v>
      </c>
      <c r="B48" s="351" t="s">
        <v>3198</v>
      </c>
    </row>
    <row r="49" spans="1:2" x14ac:dyDescent="0.3">
      <c r="A49" s="231" t="s">
        <v>1028</v>
      </c>
      <c r="B49" s="350" t="s">
        <v>3199</v>
      </c>
    </row>
    <row r="50" spans="1:2" x14ac:dyDescent="0.3">
      <c r="A50" s="228" t="s">
        <v>1025</v>
      </c>
      <c r="B50" s="351" t="s">
        <v>3200</v>
      </c>
    </row>
    <row r="51" spans="1:2" x14ac:dyDescent="0.3">
      <c r="A51" s="231" t="s">
        <v>720</v>
      </c>
      <c r="B51" s="350" t="s">
        <v>3201</v>
      </c>
    </row>
    <row r="52" spans="1:2" x14ac:dyDescent="0.3">
      <c r="A52" s="228" t="s">
        <v>2457</v>
      </c>
      <c r="B52" s="351" t="s">
        <v>3202</v>
      </c>
    </row>
    <row r="53" spans="1:2" x14ac:dyDescent="0.3">
      <c r="A53" s="231" t="s">
        <v>1029</v>
      </c>
      <c r="B53" s="350" t="s">
        <v>3203</v>
      </c>
    </row>
    <row r="54" spans="1:2" x14ac:dyDescent="0.3">
      <c r="A54" s="228" t="s">
        <v>1030</v>
      </c>
      <c r="B54" s="351" t="s">
        <v>3203</v>
      </c>
    </row>
    <row r="55" spans="1:2" x14ac:dyDescent="0.3">
      <c r="A55" s="231" t="s">
        <v>2637</v>
      </c>
      <c r="B55" s="350" t="s">
        <v>3204</v>
      </c>
    </row>
    <row r="56" spans="1:2" x14ac:dyDescent="0.3">
      <c r="A56" s="228" t="s">
        <v>2638</v>
      </c>
      <c r="B56" s="351" t="s">
        <v>3204</v>
      </c>
    </row>
    <row r="57" spans="1:2" x14ac:dyDescent="0.3">
      <c r="A57" s="231" t="s">
        <v>1024</v>
      </c>
      <c r="B57" s="350" t="s">
        <v>3205</v>
      </c>
    </row>
    <row r="58" spans="1:2" x14ac:dyDescent="0.3">
      <c r="A58" s="228" t="s">
        <v>1027</v>
      </c>
      <c r="B58" s="351" t="s">
        <v>3391</v>
      </c>
    </row>
    <row r="59" spans="1:2" x14ac:dyDescent="0.3">
      <c r="A59" s="231" t="s">
        <v>1044</v>
      </c>
      <c r="B59" s="350" t="s">
        <v>3392</v>
      </c>
    </row>
    <row r="60" spans="1:2" x14ac:dyDescent="0.3">
      <c r="A60" s="228" t="s">
        <v>1534</v>
      </c>
      <c r="B60" s="351" t="s">
        <v>3206</v>
      </c>
    </row>
    <row r="61" spans="1:2" x14ac:dyDescent="0.3">
      <c r="A61" s="231" t="s">
        <v>1532</v>
      </c>
      <c r="B61" s="350" t="s">
        <v>3207</v>
      </c>
    </row>
    <row r="62" spans="1:2" x14ac:dyDescent="0.3">
      <c r="A62" s="228" t="s">
        <v>1026</v>
      </c>
      <c r="B62" s="351" t="s">
        <v>3208</v>
      </c>
    </row>
    <row r="63" spans="1:2" x14ac:dyDescent="0.3">
      <c r="A63" s="231" t="s">
        <v>1032</v>
      </c>
      <c r="B63" s="350" t="s">
        <v>3209</v>
      </c>
    </row>
    <row r="64" spans="1:2" x14ac:dyDescent="0.3">
      <c r="A64" s="228" t="s">
        <v>2597</v>
      </c>
      <c r="B64" s="351" t="s">
        <v>3210</v>
      </c>
    </row>
    <row r="65" spans="1:2" x14ac:dyDescent="0.3">
      <c r="A65" s="231" t="s">
        <v>2503</v>
      </c>
      <c r="B65" s="350" t="s">
        <v>3211</v>
      </c>
    </row>
    <row r="66" spans="1:2" x14ac:dyDescent="0.3">
      <c r="A66" s="228" t="s">
        <v>1326</v>
      </c>
      <c r="B66" s="351" t="s">
        <v>3212</v>
      </c>
    </row>
    <row r="67" spans="1:2" x14ac:dyDescent="0.3">
      <c r="A67" s="231" t="s">
        <v>3026</v>
      </c>
      <c r="B67" s="350" t="s">
        <v>3213</v>
      </c>
    </row>
    <row r="68" spans="1:2" x14ac:dyDescent="0.3">
      <c r="A68" s="228" t="s">
        <v>1037</v>
      </c>
      <c r="B68" s="351" t="s">
        <v>3214</v>
      </c>
    </row>
    <row r="69" spans="1:2" x14ac:dyDescent="0.3">
      <c r="A69" s="231" t="s">
        <v>1041</v>
      </c>
      <c r="B69" s="350" t="s">
        <v>3215</v>
      </c>
    </row>
    <row r="70" spans="1:2" x14ac:dyDescent="0.3">
      <c r="A70" s="228" t="s">
        <v>1162</v>
      </c>
      <c r="B70" s="351" t="s">
        <v>3216</v>
      </c>
    </row>
    <row r="71" spans="1:2" x14ac:dyDescent="0.3">
      <c r="A71" s="231" t="s">
        <v>1163</v>
      </c>
      <c r="B71" s="350" t="s">
        <v>3216</v>
      </c>
    </row>
    <row r="72" spans="1:2" x14ac:dyDescent="0.3">
      <c r="A72" s="228" t="s">
        <v>1388</v>
      </c>
      <c r="B72" s="351" t="s">
        <v>3217</v>
      </c>
    </row>
    <row r="73" spans="1:2" x14ac:dyDescent="0.3">
      <c r="A73" s="231" t="s">
        <v>2879</v>
      </c>
      <c r="B73" s="350" t="s">
        <v>3218</v>
      </c>
    </row>
    <row r="74" spans="1:2" x14ac:dyDescent="0.3">
      <c r="A74" s="228" t="s">
        <v>3040</v>
      </c>
      <c r="B74" s="351" t="s">
        <v>3219</v>
      </c>
    </row>
    <row r="75" spans="1:2" x14ac:dyDescent="0.3">
      <c r="A75" s="231" t="s">
        <v>1176</v>
      </c>
      <c r="B75" s="350" t="s">
        <v>3393</v>
      </c>
    </row>
    <row r="76" spans="1:2" x14ac:dyDescent="0.3">
      <c r="A76" s="228" t="s">
        <v>1761</v>
      </c>
      <c r="B76" s="351" t="s">
        <v>3220</v>
      </c>
    </row>
    <row r="77" spans="1:2" x14ac:dyDescent="0.3">
      <c r="A77" s="231" t="s">
        <v>1286</v>
      </c>
      <c r="B77" s="350" t="s">
        <v>3221</v>
      </c>
    </row>
    <row r="78" spans="1:2" x14ac:dyDescent="0.3">
      <c r="A78" s="228" t="s">
        <v>1960</v>
      </c>
      <c r="B78" s="351" t="s">
        <v>3222</v>
      </c>
    </row>
    <row r="79" spans="1:2" x14ac:dyDescent="0.3">
      <c r="A79" s="231" t="s">
        <v>1271</v>
      </c>
      <c r="B79" s="350" t="s">
        <v>3223</v>
      </c>
    </row>
    <row r="80" spans="1:2" x14ac:dyDescent="0.3">
      <c r="A80" s="228" t="s">
        <v>1031</v>
      </c>
      <c r="B80" s="351" t="s">
        <v>3224</v>
      </c>
    </row>
    <row r="81" spans="1:2" x14ac:dyDescent="0.3">
      <c r="A81" s="231" t="s">
        <v>734</v>
      </c>
      <c r="B81" s="350" t="s">
        <v>3225</v>
      </c>
    </row>
    <row r="82" spans="1:2" x14ac:dyDescent="0.3">
      <c r="A82" s="228" t="s">
        <v>1700</v>
      </c>
      <c r="B82" s="351" t="s">
        <v>3373</v>
      </c>
    </row>
    <row r="83" spans="1:2" x14ac:dyDescent="0.3">
      <c r="A83" s="231" t="s">
        <v>733</v>
      </c>
      <c r="B83" s="350" t="s">
        <v>3443</v>
      </c>
    </row>
    <row r="84" spans="1:2" x14ac:dyDescent="0.3">
      <c r="A84" s="228" t="s">
        <v>1120</v>
      </c>
      <c r="B84" s="351" t="s">
        <v>3384</v>
      </c>
    </row>
    <row r="85" spans="1:2" x14ac:dyDescent="0.3">
      <c r="A85" s="231" t="s">
        <v>2416</v>
      </c>
      <c r="B85" s="350" t="s">
        <v>3226</v>
      </c>
    </row>
    <row r="86" spans="1:2" x14ac:dyDescent="0.3">
      <c r="A86" s="228" t="s">
        <v>1436</v>
      </c>
      <c r="B86" s="351" t="s">
        <v>3227</v>
      </c>
    </row>
    <row r="87" spans="1:2" x14ac:dyDescent="0.3">
      <c r="A87" s="231" t="s">
        <v>2639</v>
      </c>
      <c r="B87" s="350" t="s">
        <v>3228</v>
      </c>
    </row>
    <row r="88" spans="1:2" x14ac:dyDescent="0.3">
      <c r="A88" s="228" t="s">
        <v>1573</v>
      </c>
      <c r="B88" s="351" t="s">
        <v>3229</v>
      </c>
    </row>
    <row r="89" spans="1:2" x14ac:dyDescent="0.3">
      <c r="A89" s="231" t="s">
        <v>1574</v>
      </c>
      <c r="B89" s="350" t="s">
        <v>3229</v>
      </c>
    </row>
    <row r="90" spans="1:2" x14ac:dyDescent="0.3">
      <c r="A90" s="228" t="s">
        <v>1175</v>
      </c>
      <c r="B90" s="351" t="s">
        <v>3230</v>
      </c>
    </row>
    <row r="91" spans="1:2" x14ac:dyDescent="0.3">
      <c r="A91" s="231" t="s">
        <v>1036</v>
      </c>
      <c r="B91" s="350" t="s">
        <v>3231</v>
      </c>
    </row>
    <row r="92" spans="1:2" x14ac:dyDescent="0.3">
      <c r="A92" s="228" t="s">
        <v>1042</v>
      </c>
      <c r="B92" s="351" t="s">
        <v>3232</v>
      </c>
    </row>
    <row r="93" spans="1:2" x14ac:dyDescent="0.3">
      <c r="A93" s="231" t="s">
        <v>1048</v>
      </c>
      <c r="B93" s="350" t="s">
        <v>3233</v>
      </c>
    </row>
    <row r="94" spans="1:2" x14ac:dyDescent="0.3">
      <c r="A94" s="228" t="s">
        <v>1133</v>
      </c>
      <c r="B94" s="351" t="s">
        <v>3234</v>
      </c>
    </row>
    <row r="95" spans="1:2" x14ac:dyDescent="0.3">
      <c r="A95" s="231" t="s">
        <v>1420</v>
      </c>
      <c r="B95" s="350" t="s">
        <v>3235</v>
      </c>
    </row>
    <row r="96" spans="1:2" x14ac:dyDescent="0.3">
      <c r="A96" s="228" t="s">
        <v>1421</v>
      </c>
      <c r="B96" s="351" t="s">
        <v>3235</v>
      </c>
    </row>
    <row r="97" spans="1:2" x14ac:dyDescent="0.3">
      <c r="A97" s="231" t="s">
        <v>2141</v>
      </c>
      <c r="B97" s="350" t="s">
        <v>3236</v>
      </c>
    </row>
    <row r="98" spans="1:2" x14ac:dyDescent="0.3">
      <c r="A98" s="228" t="s">
        <v>1038</v>
      </c>
      <c r="B98" s="351" t="s">
        <v>3237</v>
      </c>
    </row>
    <row r="99" spans="1:2" x14ac:dyDescent="0.3">
      <c r="A99" s="231" t="s">
        <v>2744</v>
      </c>
      <c r="B99" s="350" t="s">
        <v>3237</v>
      </c>
    </row>
    <row r="100" spans="1:2" x14ac:dyDescent="0.3">
      <c r="A100" s="228" t="s">
        <v>2679</v>
      </c>
      <c r="B100" s="351" t="s">
        <v>3238</v>
      </c>
    </row>
    <row r="101" spans="1:2" x14ac:dyDescent="0.3">
      <c r="A101" s="231" t="s">
        <v>1483</v>
      </c>
      <c r="B101" s="350" t="s">
        <v>3239</v>
      </c>
    </row>
    <row r="102" spans="1:2" x14ac:dyDescent="0.3">
      <c r="A102" s="228" t="s">
        <v>3139</v>
      </c>
      <c r="B102" s="351" t="s">
        <v>3240</v>
      </c>
    </row>
    <row r="103" spans="1:2" x14ac:dyDescent="0.3">
      <c r="A103" s="231" t="s">
        <v>1039</v>
      </c>
      <c r="B103" s="350" t="s">
        <v>3241</v>
      </c>
    </row>
    <row r="104" spans="1:2" x14ac:dyDescent="0.3">
      <c r="A104" s="228" t="s">
        <v>2314</v>
      </c>
      <c r="B104" s="351" t="s">
        <v>3368</v>
      </c>
    </row>
    <row r="105" spans="1:2" x14ac:dyDescent="0.3">
      <c r="A105" s="231" t="s">
        <v>2559</v>
      </c>
      <c r="B105" s="350" t="s">
        <v>3242</v>
      </c>
    </row>
    <row r="106" spans="1:2" x14ac:dyDescent="0.3">
      <c r="A106" s="228" t="s">
        <v>2337</v>
      </c>
      <c r="B106" s="351" t="s">
        <v>3243</v>
      </c>
    </row>
    <row r="107" spans="1:2" x14ac:dyDescent="0.3">
      <c r="A107" s="231" t="s">
        <v>2338</v>
      </c>
      <c r="B107" s="350" t="s">
        <v>3243</v>
      </c>
    </row>
    <row r="108" spans="1:2" x14ac:dyDescent="0.3">
      <c r="A108" s="228" t="s">
        <v>732</v>
      </c>
      <c r="B108" s="351" t="s">
        <v>3244</v>
      </c>
    </row>
    <row r="109" spans="1:2" x14ac:dyDescent="0.3">
      <c r="A109" s="231" t="s">
        <v>1047</v>
      </c>
      <c r="B109" s="350" t="s">
        <v>3245</v>
      </c>
    </row>
    <row r="110" spans="1:2" x14ac:dyDescent="0.3">
      <c r="A110" s="228" t="s">
        <v>1316</v>
      </c>
      <c r="B110" s="351" t="s">
        <v>3246</v>
      </c>
    </row>
    <row r="111" spans="1:2" x14ac:dyDescent="0.3">
      <c r="A111" s="231" t="s">
        <v>1057</v>
      </c>
      <c r="B111" s="350" t="s">
        <v>3247</v>
      </c>
    </row>
    <row r="112" spans="1:2" x14ac:dyDescent="0.3">
      <c r="A112" s="228" t="s">
        <v>1058</v>
      </c>
      <c r="B112" s="351" t="s">
        <v>3247</v>
      </c>
    </row>
    <row r="113" spans="1:2" x14ac:dyDescent="0.3">
      <c r="A113" s="231" t="s">
        <v>2142</v>
      </c>
      <c r="B113" s="350" t="s">
        <v>3248</v>
      </c>
    </row>
    <row r="114" spans="1:2" x14ac:dyDescent="0.3">
      <c r="A114" s="228" t="s">
        <v>1218</v>
      </c>
      <c r="B114" s="351" t="s">
        <v>3249</v>
      </c>
    </row>
    <row r="115" spans="1:2" x14ac:dyDescent="0.3">
      <c r="A115" s="231" t="s">
        <v>737</v>
      </c>
      <c r="B115" s="350" t="s">
        <v>3250</v>
      </c>
    </row>
    <row r="116" spans="1:2" x14ac:dyDescent="0.3">
      <c r="A116" s="228" t="s">
        <v>1328</v>
      </c>
      <c r="B116" s="351" t="s">
        <v>3251</v>
      </c>
    </row>
    <row r="117" spans="1:2" x14ac:dyDescent="0.3">
      <c r="A117" s="231" t="s">
        <v>1040</v>
      </c>
      <c r="B117" s="350" t="s">
        <v>3252</v>
      </c>
    </row>
    <row r="118" spans="1:2" x14ac:dyDescent="0.3">
      <c r="A118" s="228" t="s">
        <v>2696</v>
      </c>
      <c r="B118" s="351" t="s">
        <v>3253</v>
      </c>
    </row>
    <row r="119" spans="1:2" x14ac:dyDescent="0.3">
      <c r="A119" s="231" t="s">
        <v>1055</v>
      </c>
      <c r="B119" s="350" t="s">
        <v>3254</v>
      </c>
    </row>
    <row r="120" spans="1:2" x14ac:dyDescent="0.3">
      <c r="A120" s="228" t="s">
        <v>1033</v>
      </c>
      <c r="B120" s="351" t="s">
        <v>3255</v>
      </c>
    </row>
    <row r="121" spans="1:2" x14ac:dyDescent="0.3">
      <c r="A121" s="231" t="s">
        <v>2977</v>
      </c>
      <c r="B121" s="350" t="s">
        <v>3256</v>
      </c>
    </row>
    <row r="122" spans="1:2" x14ac:dyDescent="0.3">
      <c r="A122" s="228" t="s">
        <v>2012</v>
      </c>
      <c r="B122" s="351" t="s">
        <v>3257</v>
      </c>
    </row>
    <row r="123" spans="1:2" x14ac:dyDescent="0.3">
      <c r="A123" s="231" t="s">
        <v>1049</v>
      </c>
      <c r="B123" s="350" t="s">
        <v>3258</v>
      </c>
    </row>
    <row r="124" spans="1:2" x14ac:dyDescent="0.3">
      <c r="A124" s="228" t="s">
        <v>1043</v>
      </c>
      <c r="B124" s="351" t="s">
        <v>3259</v>
      </c>
    </row>
    <row r="125" spans="1:2" x14ac:dyDescent="0.3">
      <c r="A125" s="231" t="s">
        <v>2402</v>
      </c>
      <c r="B125" s="350" t="s">
        <v>3260</v>
      </c>
    </row>
    <row r="126" spans="1:2" x14ac:dyDescent="0.3">
      <c r="A126" s="228" t="s">
        <v>1390</v>
      </c>
      <c r="B126" s="351" t="s">
        <v>3261</v>
      </c>
    </row>
    <row r="127" spans="1:2" x14ac:dyDescent="0.3">
      <c r="A127" s="231" t="s">
        <v>1045</v>
      </c>
      <c r="B127" s="350" t="s">
        <v>3262</v>
      </c>
    </row>
    <row r="128" spans="1:2" x14ac:dyDescent="0.3">
      <c r="A128" s="228" t="s">
        <v>3366</v>
      </c>
      <c r="B128" s="351" t="s">
        <v>3369</v>
      </c>
    </row>
    <row r="129" spans="1:2" x14ac:dyDescent="0.3">
      <c r="A129" s="231" t="s">
        <v>1050</v>
      </c>
      <c r="B129" s="350" t="s">
        <v>3263</v>
      </c>
    </row>
    <row r="130" spans="1:2" x14ac:dyDescent="0.3">
      <c r="A130" s="228" t="s">
        <v>1051</v>
      </c>
      <c r="B130" s="351" t="s">
        <v>3264</v>
      </c>
    </row>
    <row r="131" spans="1:2" x14ac:dyDescent="0.3">
      <c r="A131" s="231" t="s">
        <v>1052</v>
      </c>
      <c r="B131" s="350" t="s">
        <v>3264</v>
      </c>
    </row>
    <row r="132" spans="1:2" x14ac:dyDescent="0.3">
      <c r="A132" s="228" t="s">
        <v>1584</v>
      </c>
      <c r="B132" s="351" t="s">
        <v>3265</v>
      </c>
    </row>
    <row r="133" spans="1:2" x14ac:dyDescent="0.3">
      <c r="A133" s="231" t="s">
        <v>1053</v>
      </c>
      <c r="B133" s="350" t="s">
        <v>3266</v>
      </c>
    </row>
    <row r="134" spans="1:2" x14ac:dyDescent="0.3">
      <c r="A134" s="228" t="s">
        <v>2593</v>
      </c>
      <c r="B134" s="351" t="s">
        <v>3267</v>
      </c>
    </row>
    <row r="135" spans="1:2" x14ac:dyDescent="0.3">
      <c r="A135" s="231" t="s">
        <v>1034</v>
      </c>
      <c r="B135" s="350" t="s">
        <v>3268</v>
      </c>
    </row>
    <row r="136" spans="1:2" x14ac:dyDescent="0.3">
      <c r="A136" s="228" t="s">
        <v>1054</v>
      </c>
      <c r="B136" s="351" t="s">
        <v>3269</v>
      </c>
    </row>
    <row r="137" spans="1:2" x14ac:dyDescent="0.3">
      <c r="A137" s="231" t="s">
        <v>731</v>
      </c>
      <c r="B137" s="350" t="s">
        <v>3363</v>
      </c>
    </row>
    <row r="138" spans="1:2" x14ac:dyDescent="0.3">
      <c r="A138" s="228" t="s">
        <v>724</v>
      </c>
      <c r="B138" s="351" t="s">
        <v>3270</v>
      </c>
    </row>
    <row r="139" spans="1:2" x14ac:dyDescent="0.3">
      <c r="A139" s="231" t="s">
        <v>1215</v>
      </c>
      <c r="B139" s="350" t="s">
        <v>3271</v>
      </c>
    </row>
    <row r="140" spans="1:2" x14ac:dyDescent="0.3">
      <c r="A140" s="228" t="s">
        <v>1216</v>
      </c>
      <c r="B140" s="351" t="s">
        <v>3271</v>
      </c>
    </row>
    <row r="141" spans="1:2" x14ac:dyDescent="0.3">
      <c r="A141" s="231" t="s">
        <v>2933</v>
      </c>
      <c r="B141" s="350" t="s">
        <v>3272</v>
      </c>
    </row>
    <row r="142" spans="1:2" x14ac:dyDescent="0.3">
      <c r="A142" s="228" t="s">
        <v>1510</v>
      </c>
      <c r="B142" s="351" t="s">
        <v>3273</v>
      </c>
    </row>
    <row r="143" spans="1:2" x14ac:dyDescent="0.3">
      <c r="A143" s="231" t="s">
        <v>1775</v>
      </c>
      <c r="B143" s="350" t="s">
        <v>3274</v>
      </c>
    </row>
    <row r="144" spans="1:2" x14ac:dyDescent="0.3">
      <c r="A144" s="228" t="s">
        <v>1928</v>
      </c>
      <c r="B144" s="351" t="s">
        <v>3275</v>
      </c>
    </row>
    <row r="145" spans="1:2" x14ac:dyDescent="0.3">
      <c r="A145" s="231" t="s">
        <v>1035</v>
      </c>
      <c r="B145" s="350" t="s">
        <v>3276</v>
      </c>
    </row>
    <row r="146" spans="1:2" x14ac:dyDescent="0.3">
      <c r="A146" s="228" t="s">
        <v>1060</v>
      </c>
      <c r="B146" s="351" t="s">
        <v>3277</v>
      </c>
    </row>
    <row r="147" spans="1:2" x14ac:dyDescent="0.3">
      <c r="A147" s="231" t="s">
        <v>2805</v>
      </c>
      <c r="B147" s="350" t="s">
        <v>3278</v>
      </c>
    </row>
    <row r="148" spans="1:2" x14ac:dyDescent="0.3">
      <c r="A148" s="228" t="s">
        <v>2105</v>
      </c>
      <c r="B148" s="351" t="s">
        <v>3444</v>
      </c>
    </row>
    <row r="149" spans="1:2" x14ac:dyDescent="0.3">
      <c r="A149" s="231" t="s">
        <v>1994</v>
      </c>
      <c r="B149" s="350" t="s">
        <v>3279</v>
      </c>
    </row>
    <row r="150" spans="1:2" x14ac:dyDescent="0.3">
      <c r="A150" s="228" t="s">
        <v>1056</v>
      </c>
      <c r="B150" s="351" t="s">
        <v>3280</v>
      </c>
    </row>
    <row r="151" spans="1:2" x14ac:dyDescent="0.3">
      <c r="A151" s="231" t="s">
        <v>1496</v>
      </c>
      <c r="B151" s="350" t="s">
        <v>3281</v>
      </c>
    </row>
    <row r="152" spans="1:2" x14ac:dyDescent="0.3">
      <c r="A152" s="228" t="s">
        <v>739</v>
      </c>
      <c r="B152" s="351" t="s">
        <v>3282</v>
      </c>
    </row>
    <row r="153" spans="1:2" x14ac:dyDescent="0.3">
      <c r="A153" s="231" t="s">
        <v>1808</v>
      </c>
      <c r="B153" s="350" t="s">
        <v>3283</v>
      </c>
    </row>
    <row r="154" spans="1:2" x14ac:dyDescent="0.3">
      <c r="A154" s="228" t="s">
        <v>1236</v>
      </c>
      <c r="B154" s="351" t="s">
        <v>3284</v>
      </c>
    </row>
    <row r="155" spans="1:2" x14ac:dyDescent="0.3">
      <c r="A155" s="231" t="s">
        <v>1497</v>
      </c>
      <c r="B155" s="350" t="s">
        <v>3285</v>
      </c>
    </row>
    <row r="156" spans="1:2" x14ac:dyDescent="0.3">
      <c r="A156" s="228" t="s">
        <v>1046</v>
      </c>
      <c r="B156" s="351" t="s">
        <v>3286</v>
      </c>
    </row>
    <row r="157" spans="1:2" x14ac:dyDescent="0.3">
      <c r="A157" s="231" t="s">
        <v>1059</v>
      </c>
      <c r="B157" s="350" t="s">
        <v>3287</v>
      </c>
    </row>
    <row r="158" spans="1:2" x14ac:dyDescent="0.3">
      <c r="A158" s="228" t="s">
        <v>1134</v>
      </c>
      <c r="B158" s="351" t="s">
        <v>3288</v>
      </c>
    </row>
    <row r="159" spans="1:2" x14ac:dyDescent="0.3">
      <c r="A159" s="231" t="s">
        <v>1061</v>
      </c>
      <c r="B159" s="350" t="s">
        <v>3289</v>
      </c>
    </row>
    <row r="160" spans="1:2" x14ac:dyDescent="0.3">
      <c r="A160" s="228" t="s">
        <v>1062</v>
      </c>
      <c r="B160" s="351" t="s">
        <v>3289</v>
      </c>
    </row>
    <row r="161" spans="1:2" x14ac:dyDescent="0.3">
      <c r="A161" s="231" t="s">
        <v>740</v>
      </c>
      <c r="B161" s="350" t="s">
        <v>3290</v>
      </c>
    </row>
    <row r="163" spans="1:2" x14ac:dyDescent="0.3">
      <c r="A163" s="349" t="s">
        <v>3291</v>
      </c>
      <c r="B163" s="349"/>
    </row>
    <row r="164" spans="1:2" x14ac:dyDescent="0.3">
      <c r="A164" s="228" t="s">
        <v>3292</v>
      </c>
      <c r="B164" s="351" t="s">
        <v>3419</v>
      </c>
    </row>
    <row r="165" spans="1:2" x14ac:dyDescent="0.3">
      <c r="A165" s="231" t="s">
        <v>3293</v>
      </c>
      <c r="B165" s="350">
        <v>14</v>
      </c>
    </row>
    <row r="166" spans="1:2" x14ac:dyDescent="0.3">
      <c r="A166" s="228" t="s">
        <v>1019</v>
      </c>
      <c r="B166" s="351" t="s">
        <v>3394</v>
      </c>
    </row>
    <row r="167" spans="1:2" x14ac:dyDescent="0.3">
      <c r="A167" s="231" t="s">
        <v>1020</v>
      </c>
      <c r="B167" s="350" t="s">
        <v>3294</v>
      </c>
    </row>
    <row r="168" spans="1:2" x14ac:dyDescent="0.3">
      <c r="A168" s="228" t="s">
        <v>1021</v>
      </c>
      <c r="B168" s="351" t="s">
        <v>3295</v>
      </c>
    </row>
    <row r="169" spans="1:2" x14ac:dyDescent="0.3">
      <c r="A169" s="231" t="s">
        <v>3296</v>
      </c>
      <c r="B169" s="350" t="s">
        <v>3385</v>
      </c>
    </row>
    <row r="170" spans="1:2" x14ac:dyDescent="0.3">
      <c r="A170" s="228" t="s">
        <v>3297</v>
      </c>
      <c r="B170" s="351" t="s">
        <v>3298</v>
      </c>
    </row>
    <row r="171" spans="1:2" x14ac:dyDescent="0.3">
      <c r="A171" s="231" t="s">
        <v>3299</v>
      </c>
      <c r="B171" s="350" t="s">
        <v>3300</v>
      </c>
    </row>
    <row r="173" spans="1:2" x14ac:dyDescent="0.3">
      <c r="A173" s="349" t="s">
        <v>3301</v>
      </c>
      <c r="B173" s="349"/>
    </row>
    <row r="174" spans="1:2" x14ac:dyDescent="0.3">
      <c r="A174" s="228" t="s">
        <v>1120</v>
      </c>
      <c r="B174" s="351" t="s">
        <v>3386</v>
      </c>
    </row>
    <row r="175" spans="1:2" x14ac:dyDescent="0.3">
      <c r="A175" s="231" t="s">
        <v>3169</v>
      </c>
      <c r="B175" s="350" t="s">
        <v>3302</v>
      </c>
    </row>
    <row r="176" spans="1:2" x14ac:dyDescent="0.3">
      <c r="A176" s="228" t="s">
        <v>3168</v>
      </c>
      <c r="B176" s="351" t="s">
        <v>3395</v>
      </c>
    </row>
    <row r="177" spans="1:2" x14ac:dyDescent="0.3">
      <c r="A177" s="231" t="s">
        <v>3175</v>
      </c>
      <c r="B177" s="350" t="s">
        <v>3374</v>
      </c>
    </row>
    <row r="178" spans="1:2" x14ac:dyDescent="0.3">
      <c r="A178" s="228" t="s">
        <v>3172</v>
      </c>
      <c r="B178" s="351" t="s">
        <v>3421</v>
      </c>
    </row>
    <row r="179" spans="1:2" x14ac:dyDescent="0.3">
      <c r="A179" s="231" t="s">
        <v>1050</v>
      </c>
      <c r="B179" s="350" t="s">
        <v>3303</v>
      </c>
    </row>
    <row r="180" spans="1:2" x14ac:dyDescent="0.3">
      <c r="A180" s="228" t="s">
        <v>3170</v>
      </c>
      <c r="B180" s="351" t="s">
        <v>3304</v>
      </c>
    </row>
    <row r="181" spans="1:2" x14ac:dyDescent="0.3">
      <c r="A181" s="231" t="s">
        <v>3174</v>
      </c>
      <c r="B181" s="350" t="s">
        <v>3370</v>
      </c>
    </row>
    <row r="182" spans="1:2" x14ac:dyDescent="0.3">
      <c r="A182" s="228" t="s">
        <v>3171</v>
      </c>
      <c r="B182" s="351" t="s">
        <v>3372</v>
      </c>
    </row>
    <row r="183" spans="1:2" x14ac:dyDescent="0.3">
      <c r="A183" s="231" t="s">
        <v>3176</v>
      </c>
      <c r="B183" s="350" t="s">
        <v>3305</v>
      </c>
    </row>
    <row r="184" spans="1:2" x14ac:dyDescent="0.3">
      <c r="A184" s="228" t="s">
        <v>2805</v>
      </c>
      <c r="B184" s="351" t="s">
        <v>3306</v>
      </c>
    </row>
    <row r="185" spans="1:2" x14ac:dyDescent="0.3">
      <c r="A185" s="231" t="s">
        <v>3173</v>
      </c>
      <c r="B185" s="350" t="s">
        <v>3307</v>
      </c>
    </row>
    <row r="186" spans="1:2" x14ac:dyDescent="0.3">
      <c r="A186" s="228" t="s">
        <v>1034</v>
      </c>
      <c r="B186" s="351" t="s">
        <v>3308</v>
      </c>
    </row>
    <row r="187" spans="1:2" x14ac:dyDescent="0.3">
      <c r="A187" s="231" t="s">
        <v>3177</v>
      </c>
      <c r="B187" s="350" t="s">
        <v>3309</v>
      </c>
    </row>
    <row r="189" spans="1:2" x14ac:dyDescent="0.3">
      <c r="A189" s="349" t="s">
        <v>3310</v>
      </c>
      <c r="B189" s="349"/>
    </row>
    <row r="190" spans="1:2" x14ac:dyDescent="0.3">
      <c r="A190" s="228" t="s">
        <v>1120</v>
      </c>
      <c r="B190" s="351" t="s">
        <v>3311</v>
      </c>
    </row>
    <row r="191" spans="1:2" x14ac:dyDescent="0.3">
      <c r="A191" s="231" t="s">
        <v>3169</v>
      </c>
      <c r="B191" s="350" t="s">
        <v>3312</v>
      </c>
    </row>
    <row r="192" spans="1:2" x14ac:dyDescent="0.3">
      <c r="A192" s="228" t="s">
        <v>3168</v>
      </c>
      <c r="B192" s="351" t="s">
        <v>3313</v>
      </c>
    </row>
    <row r="193" spans="1:2" x14ac:dyDescent="0.3">
      <c r="A193" s="231" t="s">
        <v>3175</v>
      </c>
      <c r="B193" s="350" t="s">
        <v>3314</v>
      </c>
    </row>
    <row r="194" spans="1:2" x14ac:dyDescent="0.3">
      <c r="A194" s="228" t="s">
        <v>3172</v>
      </c>
      <c r="B194" s="351" t="s">
        <v>3315</v>
      </c>
    </row>
    <row r="195" spans="1:2" x14ac:dyDescent="0.3">
      <c r="A195" s="231" t="s">
        <v>1050</v>
      </c>
      <c r="B195" s="350" t="s">
        <v>3316</v>
      </c>
    </row>
    <row r="196" spans="1:2" x14ac:dyDescent="0.3">
      <c r="A196" s="228" t="s">
        <v>3170</v>
      </c>
      <c r="B196" s="351" t="s">
        <v>3489</v>
      </c>
    </row>
    <row r="197" spans="1:2" x14ac:dyDescent="0.3">
      <c r="A197" s="231" t="s">
        <v>3174</v>
      </c>
      <c r="B197" s="350" t="s">
        <v>3317</v>
      </c>
    </row>
    <row r="198" spans="1:2" x14ac:dyDescent="0.3">
      <c r="A198" s="228" t="s">
        <v>3171</v>
      </c>
      <c r="B198" s="351" t="s">
        <v>3318</v>
      </c>
    </row>
    <row r="199" spans="1:2" x14ac:dyDescent="0.3">
      <c r="A199" s="231" t="s">
        <v>3176</v>
      </c>
      <c r="B199" s="350" t="s">
        <v>3319</v>
      </c>
    </row>
    <row r="200" spans="1:2" x14ac:dyDescent="0.3">
      <c r="A200" s="228" t="s">
        <v>2805</v>
      </c>
      <c r="B200" s="351" t="s">
        <v>3320</v>
      </c>
    </row>
    <row r="201" spans="1:2" x14ac:dyDescent="0.3">
      <c r="A201" s="231" t="s">
        <v>3173</v>
      </c>
      <c r="B201" s="350" t="s">
        <v>3321</v>
      </c>
    </row>
    <row r="202" spans="1:2" x14ac:dyDescent="0.3">
      <c r="A202" s="228" t="s">
        <v>1034</v>
      </c>
      <c r="B202" s="351" t="s">
        <v>3322</v>
      </c>
    </row>
    <row r="203" spans="1:2" x14ac:dyDescent="0.3">
      <c r="A203" s="231" t="s">
        <v>3177</v>
      </c>
      <c r="B203" s="350" t="s">
        <v>3323</v>
      </c>
    </row>
    <row r="205" spans="1:2" x14ac:dyDescent="0.3">
      <c r="A205" s="349" t="s">
        <v>1871</v>
      </c>
      <c r="B205" s="349"/>
    </row>
    <row r="206" spans="1:2" x14ac:dyDescent="0.3">
      <c r="A206" s="228" t="s">
        <v>1872</v>
      </c>
      <c r="B206" s="351" t="s">
        <v>3419</v>
      </c>
    </row>
    <row r="207" spans="1:2" x14ac:dyDescent="0.3">
      <c r="A207" s="231" t="s">
        <v>1873</v>
      </c>
      <c r="B207" s="350">
        <v>1966</v>
      </c>
    </row>
    <row r="208" spans="1:2" x14ac:dyDescent="0.3">
      <c r="A208" s="228" t="s">
        <v>1874</v>
      </c>
      <c r="B208" s="351">
        <v>2026</v>
      </c>
    </row>
    <row r="209" spans="1:2" x14ac:dyDescent="0.3">
      <c r="A209" s="231" t="s">
        <v>1875</v>
      </c>
      <c r="B209" s="350" t="s">
        <v>2953</v>
      </c>
    </row>
    <row r="210" spans="1:2" x14ac:dyDescent="0.3">
      <c r="A210" s="228" t="s">
        <v>1876</v>
      </c>
      <c r="B210" s="351" t="s">
        <v>2981</v>
      </c>
    </row>
    <row r="212" spans="1:2" x14ac:dyDescent="0.3">
      <c r="A212" s="349" t="s">
        <v>1877</v>
      </c>
      <c r="B212" s="349"/>
    </row>
    <row r="213" spans="1:2" x14ac:dyDescent="0.3">
      <c r="A213" s="231" t="s">
        <v>1878</v>
      </c>
      <c r="B213" s="350" t="s">
        <v>2873</v>
      </c>
    </row>
    <row r="214" spans="1:2" x14ac:dyDescent="0.3">
      <c r="A214" s="228" t="s">
        <v>1879</v>
      </c>
      <c r="B214" s="351" t="s">
        <v>2982</v>
      </c>
    </row>
    <row r="215" spans="1:2" x14ac:dyDescent="0.3">
      <c r="A215" s="231" t="s">
        <v>1880</v>
      </c>
      <c r="B215" s="350" t="s">
        <v>3065</v>
      </c>
    </row>
    <row r="216" spans="1:2" x14ac:dyDescent="0.3">
      <c r="A216" s="228" t="s">
        <v>1881</v>
      </c>
      <c r="B216" s="351" t="s">
        <v>3422</v>
      </c>
    </row>
    <row r="217" spans="1:2" x14ac:dyDescent="0.3">
      <c r="A217" s="231" t="s">
        <v>1882</v>
      </c>
      <c r="B217" s="350" t="s">
        <v>2954</v>
      </c>
    </row>
    <row r="218" spans="1:2" x14ac:dyDescent="0.3">
      <c r="A218" s="228" t="s">
        <v>1883</v>
      </c>
      <c r="B218" s="351" t="s">
        <v>3396</v>
      </c>
    </row>
    <row r="219" spans="1:2" x14ac:dyDescent="0.3">
      <c r="A219" s="231" t="s">
        <v>1884</v>
      </c>
      <c r="B219" s="350" t="s">
        <v>3107</v>
      </c>
    </row>
    <row r="221" spans="1:2" x14ac:dyDescent="0.3">
      <c r="A221" s="349" t="s">
        <v>1885</v>
      </c>
      <c r="B221" s="349"/>
    </row>
    <row r="222" spans="1:2" x14ac:dyDescent="0.3">
      <c r="A222" s="228" t="s">
        <v>1886</v>
      </c>
      <c r="B222" s="351" t="s">
        <v>3419</v>
      </c>
    </row>
    <row r="223" spans="1:2" x14ac:dyDescent="0.3">
      <c r="A223" s="231" t="s">
        <v>1887</v>
      </c>
      <c r="B223" s="350" t="s">
        <v>1815</v>
      </c>
    </row>
    <row r="224" spans="1:2" x14ac:dyDescent="0.3">
      <c r="A224" s="228" t="s">
        <v>1888</v>
      </c>
      <c r="B224" s="351" t="s">
        <v>2009</v>
      </c>
    </row>
    <row r="225" spans="1:2" x14ac:dyDescent="0.3">
      <c r="A225" s="231" t="s">
        <v>1889</v>
      </c>
      <c r="B225" s="350" t="s">
        <v>2917</v>
      </c>
    </row>
    <row r="227" spans="1:2" x14ac:dyDescent="0.3">
      <c r="A227" s="349" t="s">
        <v>1890</v>
      </c>
      <c r="B227" s="349"/>
    </row>
    <row r="228" spans="1:2" x14ac:dyDescent="0.3">
      <c r="A228" s="228" t="s">
        <v>1891</v>
      </c>
      <c r="B228" s="351"/>
    </row>
    <row r="229" spans="1:2" x14ac:dyDescent="0.3">
      <c r="A229" s="231" t="s">
        <v>990</v>
      </c>
      <c r="B229" s="350" t="s">
        <v>3445</v>
      </c>
    </row>
    <row r="230" spans="1:2" x14ac:dyDescent="0.3">
      <c r="A230" s="228" t="s">
        <v>1892</v>
      </c>
      <c r="B230" s="351" t="s">
        <v>3446</v>
      </c>
    </row>
    <row r="231" spans="1:2" x14ac:dyDescent="0.3">
      <c r="A231" s="231" t="s">
        <v>993</v>
      </c>
      <c r="B231" s="350" t="s">
        <v>3447</v>
      </c>
    </row>
    <row r="232" spans="1:2" x14ac:dyDescent="0.3">
      <c r="A232" s="228" t="s">
        <v>999</v>
      </c>
      <c r="B232" s="351" t="s">
        <v>3448</v>
      </c>
    </row>
    <row r="233" spans="1:2" x14ac:dyDescent="0.3">
      <c r="A233" s="231" t="s">
        <v>289</v>
      </c>
      <c r="B233" s="350" t="s">
        <v>3449</v>
      </c>
    </row>
    <row r="234" spans="1:2" x14ac:dyDescent="0.3">
      <c r="A234" s="228" t="s">
        <v>1893</v>
      </c>
      <c r="B234" s="351" t="s">
        <v>3423</v>
      </c>
    </row>
    <row r="235" spans="1:2" x14ac:dyDescent="0.3">
      <c r="A235" s="231" t="s">
        <v>1894</v>
      </c>
      <c r="B235" s="350" t="s">
        <v>3424</v>
      </c>
    </row>
    <row r="237" spans="1:2" x14ac:dyDescent="0.3">
      <c r="A237" s="231" t="s">
        <v>1895</v>
      </c>
      <c r="B237" s="350" t="s">
        <v>3450</v>
      </c>
    </row>
    <row r="238" spans="1:2" x14ac:dyDescent="0.3">
      <c r="A238" s="228" t="s">
        <v>1896</v>
      </c>
      <c r="B238" s="351" t="s">
        <v>3451</v>
      </c>
    </row>
    <row r="240" spans="1:2" x14ac:dyDescent="0.3">
      <c r="A240" s="349" t="s">
        <v>3412</v>
      </c>
      <c r="B240" s="349"/>
    </row>
    <row r="241" spans="1:2" x14ac:dyDescent="0.3">
      <c r="A241" s="231" t="s">
        <v>3425</v>
      </c>
      <c r="B241" s="350" t="s">
        <v>3483</v>
      </c>
    </row>
    <row r="242" spans="1:2" x14ac:dyDescent="0.3">
      <c r="A242" s="228" t="s">
        <v>3426</v>
      </c>
      <c r="B242" s="351" t="s">
        <v>3484</v>
      </c>
    </row>
    <row r="243" spans="1:2" x14ac:dyDescent="0.3">
      <c r="A243" s="231" t="s">
        <v>3427</v>
      </c>
      <c r="B243" s="350" t="s">
        <v>3485</v>
      </c>
    </row>
    <row r="244" spans="1:2" x14ac:dyDescent="0.3">
      <c r="A244" s="228" t="s">
        <v>3428</v>
      </c>
      <c r="B244" s="351" t="s">
        <v>3486</v>
      </c>
    </row>
    <row r="245" spans="1:2" x14ac:dyDescent="0.3">
      <c r="A245" s="231" t="s">
        <v>3429</v>
      </c>
      <c r="B245" s="350" t="s">
        <v>3453</v>
      </c>
    </row>
    <row r="246" spans="1:2" x14ac:dyDescent="0.3">
      <c r="A246" s="228" t="s">
        <v>3452</v>
      </c>
      <c r="B246" s="351" t="s">
        <v>3487</v>
      </c>
    </row>
    <row r="247" spans="1:2" x14ac:dyDescent="0.3">
      <c r="A247" s="231" t="s">
        <v>3430</v>
      </c>
      <c r="B247" s="350" t="s">
        <v>3454</v>
      </c>
    </row>
    <row r="248" spans="1:2" x14ac:dyDescent="0.3">
      <c r="A248" s="228" t="s">
        <v>3431</v>
      </c>
      <c r="B248" s="351" t="s">
        <v>3455</v>
      </c>
    </row>
    <row r="249" spans="1:2" x14ac:dyDescent="0.3">
      <c r="A249" s="231" t="s">
        <v>3432</v>
      </c>
      <c r="B249" s="350" t="s">
        <v>3456</v>
      </c>
    </row>
    <row r="250" spans="1:2" x14ac:dyDescent="0.3">
      <c r="A250" s="228" t="s">
        <v>3433</v>
      </c>
      <c r="B250" s="351" t="s">
        <v>3457</v>
      </c>
    </row>
    <row r="251" spans="1:2" x14ac:dyDescent="0.3">
      <c r="A251" s="231" t="s">
        <v>3434</v>
      </c>
      <c r="B251" s="350" t="s">
        <v>3458</v>
      </c>
    </row>
    <row r="252" spans="1:2" x14ac:dyDescent="0.3">
      <c r="A252" s="228" t="s">
        <v>3435</v>
      </c>
      <c r="B252" s="351" t="s">
        <v>3459</v>
      </c>
    </row>
    <row r="253" spans="1:2" x14ac:dyDescent="0.3">
      <c r="A253" s="231" t="s">
        <v>3436</v>
      </c>
      <c r="B253" s="350" t="s">
        <v>3460</v>
      </c>
    </row>
    <row r="254" spans="1:2" x14ac:dyDescent="0.3">
      <c r="A254" s="228" t="s">
        <v>3437</v>
      </c>
      <c r="B254" s="351" t="s">
        <v>3461</v>
      </c>
    </row>
    <row r="255" spans="1:2" x14ac:dyDescent="0.3">
      <c r="A255" s="231" t="s">
        <v>3438</v>
      </c>
      <c r="B255" s="350" t="s">
        <v>3462</v>
      </c>
    </row>
    <row r="257" spans="1:2" x14ac:dyDescent="0.3">
      <c r="A257" s="349" t="s">
        <v>3463</v>
      </c>
      <c r="B257" s="349"/>
    </row>
    <row r="258" spans="1:2" x14ac:dyDescent="0.3">
      <c r="A258" s="228" t="s">
        <v>3469</v>
      </c>
      <c r="B258" s="351" t="s">
        <v>3479</v>
      </c>
    </row>
    <row r="259" spans="1:2" x14ac:dyDescent="0.3">
      <c r="A259" s="231" t="s">
        <v>3470</v>
      </c>
      <c r="B259" s="350" t="s">
        <v>3480</v>
      </c>
    </row>
    <row r="260" spans="1:2" x14ac:dyDescent="0.3">
      <c r="A260" s="228" t="s">
        <v>3471</v>
      </c>
      <c r="B260" s="351" t="s">
        <v>3481</v>
      </c>
    </row>
    <row r="261" spans="1:2" x14ac:dyDescent="0.3">
      <c r="A261" s="231" t="s">
        <v>3472</v>
      </c>
      <c r="B261" s="350" t="s">
        <v>3482</v>
      </c>
    </row>
    <row r="262" spans="1:2" x14ac:dyDescent="0.3">
      <c r="A262" s="228" t="s">
        <v>3473</v>
      </c>
      <c r="B262" s="351" t="s">
        <v>3464</v>
      </c>
    </row>
    <row r="263" spans="1:2" x14ac:dyDescent="0.3">
      <c r="A263" s="231" t="s">
        <v>3474</v>
      </c>
      <c r="B263" s="350" t="s">
        <v>3465</v>
      </c>
    </row>
    <row r="264" spans="1:2" x14ac:dyDescent="0.3">
      <c r="A264" s="228" t="s">
        <v>3475</v>
      </c>
      <c r="B264" s="351" t="s">
        <v>3464</v>
      </c>
    </row>
    <row r="265" spans="1:2" x14ac:dyDescent="0.3">
      <c r="A265" s="231" t="s">
        <v>3476</v>
      </c>
      <c r="B265" s="350" t="s">
        <v>3466</v>
      </c>
    </row>
    <row r="266" spans="1:2" x14ac:dyDescent="0.3">
      <c r="A266" s="228" t="s">
        <v>3477</v>
      </c>
      <c r="B266" s="351" t="s">
        <v>3467</v>
      </c>
    </row>
    <row r="267" spans="1:2" x14ac:dyDescent="0.3">
      <c r="A267" s="231" t="s">
        <v>3478</v>
      </c>
      <c r="B267" s="350" t="s">
        <v>3468</v>
      </c>
    </row>
  </sheetData>
  <mergeCells count="1">
    <mergeCell ref="A1:B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08F21-A2FB-6F42-8147-9B5B33780F39}">
  <dimension ref="A1:D25"/>
  <sheetViews>
    <sheetView zoomScale="90" zoomScaleNormal="90" workbookViewId="0">
      <selection activeCell="F12" sqref="F12"/>
    </sheetView>
  </sheetViews>
  <sheetFormatPr defaultColWidth="11.19921875" defaultRowHeight="15.6" x14ac:dyDescent="0.3"/>
  <cols>
    <col min="1" max="1" width="15.296875" bestFit="1" customWidth="1"/>
    <col min="2" max="2" width="27.8984375" bestFit="1" customWidth="1"/>
  </cols>
  <sheetData>
    <row r="1" spans="1:4" x14ac:dyDescent="0.3">
      <c r="A1" s="382" t="s">
        <v>2366</v>
      </c>
      <c r="B1" s="388" t="s">
        <v>2350</v>
      </c>
      <c r="C1" s="389">
        <v>9.91</v>
      </c>
      <c r="D1" s="390">
        <f>Albums!E383</f>
        <v>9.67</v>
      </c>
    </row>
    <row r="2" spans="1:4" x14ac:dyDescent="0.3">
      <c r="A2" s="383" t="s">
        <v>3398</v>
      </c>
      <c r="B2" s="386" t="s">
        <v>3399</v>
      </c>
      <c r="C2" s="387">
        <v>10.220000000000001</v>
      </c>
      <c r="D2" s="391">
        <f>Albums!H125</f>
        <v>9.8800000000000008</v>
      </c>
    </row>
    <row r="3" spans="1:4" x14ac:dyDescent="0.3">
      <c r="A3" s="383" t="s">
        <v>300</v>
      </c>
      <c r="B3" s="386" t="s">
        <v>924</v>
      </c>
      <c r="C3" s="387">
        <v>9.14</v>
      </c>
      <c r="D3" s="391">
        <f>Albums!K165</f>
        <v>9.06</v>
      </c>
    </row>
    <row r="4" spans="1:4" x14ac:dyDescent="0.3">
      <c r="A4" s="383" t="s">
        <v>953</v>
      </c>
      <c r="B4" s="386" t="s">
        <v>951</v>
      </c>
      <c r="C4" s="387">
        <v>10.85</v>
      </c>
      <c r="D4" s="391">
        <f>Albums!N182</f>
        <v>10.5</v>
      </c>
    </row>
    <row r="5" spans="1:4" ht="16.2" thickBot="1" x14ac:dyDescent="0.35">
      <c r="A5" s="384" t="s">
        <v>298</v>
      </c>
      <c r="B5" s="392" t="s">
        <v>983</v>
      </c>
      <c r="C5" s="393">
        <v>10.39</v>
      </c>
      <c r="D5" s="394">
        <f>Albums!K182</f>
        <v>10</v>
      </c>
    </row>
    <row r="6" spans="1:4" x14ac:dyDescent="0.3">
      <c r="A6" s="383" t="s">
        <v>301</v>
      </c>
      <c r="B6" s="397" t="s">
        <v>653</v>
      </c>
      <c r="C6">
        <v>9.2100000000000009</v>
      </c>
      <c r="D6" s="395">
        <f>Albums!N127</f>
        <v>9.1300000000000008</v>
      </c>
    </row>
    <row r="7" spans="1:4" x14ac:dyDescent="0.3">
      <c r="A7" s="383" t="s">
        <v>293</v>
      </c>
      <c r="B7" s="386" t="s">
        <v>393</v>
      </c>
      <c r="C7">
        <v>9.14</v>
      </c>
      <c r="D7" s="395">
        <f>Albums!B79</f>
        <v>9.0399999999999991</v>
      </c>
    </row>
    <row r="8" spans="1:4" x14ac:dyDescent="0.3">
      <c r="A8" s="383" t="s">
        <v>441</v>
      </c>
      <c r="B8" s="386" t="s">
        <v>459</v>
      </c>
      <c r="C8">
        <v>9.23</v>
      </c>
      <c r="D8" s="395">
        <f>Albums!K90</f>
        <v>9.17</v>
      </c>
    </row>
    <row r="9" spans="1:4" x14ac:dyDescent="0.3">
      <c r="A9" s="383" t="s">
        <v>303</v>
      </c>
      <c r="B9" s="386" t="s">
        <v>3397</v>
      </c>
      <c r="C9">
        <v>9.17</v>
      </c>
      <c r="D9" s="395">
        <f>Albums!N397</f>
        <v>9.08</v>
      </c>
    </row>
    <row r="10" spans="1:4" x14ac:dyDescent="0.3">
      <c r="A10" s="383" t="s">
        <v>866</v>
      </c>
      <c r="B10" s="386" t="s">
        <v>857</v>
      </c>
      <c r="C10">
        <v>9.1</v>
      </c>
      <c r="D10" s="395">
        <f>Albums!E161</f>
        <v>9.06</v>
      </c>
    </row>
    <row r="11" spans="1:4" x14ac:dyDescent="0.3">
      <c r="A11" s="383" t="s">
        <v>3164</v>
      </c>
      <c r="B11" s="386" t="s">
        <v>3165</v>
      </c>
      <c r="C11">
        <v>9.0399999999999991</v>
      </c>
      <c r="D11" s="395">
        <f>Albums!H512</f>
        <v>9.07</v>
      </c>
    </row>
    <row r="12" spans="1:4" x14ac:dyDescent="0.3">
      <c r="A12" s="383" t="s">
        <v>307</v>
      </c>
      <c r="B12" s="386" t="s">
        <v>95</v>
      </c>
      <c r="C12">
        <v>9.0299999999999994</v>
      </c>
      <c r="D12" s="395">
        <f>Albums!K14</f>
        <v>8.94</v>
      </c>
    </row>
    <row r="13" spans="1:4" x14ac:dyDescent="0.3">
      <c r="A13" s="383" t="s">
        <v>1531</v>
      </c>
      <c r="B13" s="386" t="s">
        <v>2261</v>
      </c>
      <c r="C13">
        <v>9.02</v>
      </c>
      <c r="D13" s="395">
        <f>Albums!H365</f>
        <v>9.07</v>
      </c>
    </row>
    <row r="14" spans="1:4" x14ac:dyDescent="0.3">
      <c r="A14" s="383" t="s">
        <v>2796</v>
      </c>
      <c r="B14" s="386" t="s">
        <v>2797</v>
      </c>
      <c r="C14">
        <v>9.02</v>
      </c>
      <c r="D14" s="395">
        <f>Albums!K445</f>
        <v>8.85</v>
      </c>
    </row>
    <row r="15" spans="1:4" x14ac:dyDescent="0.3">
      <c r="A15" s="383" t="s">
        <v>2620</v>
      </c>
      <c r="B15" s="386" t="s">
        <v>2613</v>
      </c>
      <c r="C15">
        <v>9.02</v>
      </c>
      <c r="D15" s="395">
        <f>Albums!E425</f>
        <v>9.06</v>
      </c>
    </row>
    <row r="16" spans="1:4" x14ac:dyDescent="0.3">
      <c r="A16" s="383" t="s">
        <v>1265</v>
      </c>
      <c r="B16" s="386" t="s">
        <v>1256</v>
      </c>
      <c r="C16">
        <v>8.9600000000000009</v>
      </c>
      <c r="D16" s="395">
        <f>Albums!B213</f>
        <v>9</v>
      </c>
    </row>
    <row r="17" spans="1:4" x14ac:dyDescent="0.3">
      <c r="A17" s="383" t="s">
        <v>315</v>
      </c>
      <c r="B17" s="386" t="s">
        <v>2277</v>
      </c>
      <c r="C17">
        <v>9</v>
      </c>
      <c r="D17" s="395">
        <f>Albums!K365</f>
        <v>8.92</v>
      </c>
    </row>
    <row r="18" spans="1:4" x14ac:dyDescent="0.3">
      <c r="A18" s="383" t="s">
        <v>312</v>
      </c>
      <c r="B18" s="386" t="s">
        <v>1758</v>
      </c>
      <c r="C18">
        <v>8.93</v>
      </c>
      <c r="D18" s="395">
        <f>Albums!K304</f>
        <v>8.9600000000000009</v>
      </c>
    </row>
    <row r="19" spans="1:4" x14ac:dyDescent="0.3">
      <c r="A19" s="383" t="s">
        <v>699</v>
      </c>
      <c r="B19" s="386" t="s">
        <v>700</v>
      </c>
      <c r="C19">
        <v>8.93</v>
      </c>
      <c r="D19" s="395">
        <f>Albums!K136</f>
        <v>8.91</v>
      </c>
    </row>
    <row r="20" spans="1:4" x14ac:dyDescent="0.3">
      <c r="A20" s="383" t="s">
        <v>1666</v>
      </c>
      <c r="B20" s="386" t="s">
        <v>1667</v>
      </c>
      <c r="C20">
        <v>8.8800000000000008</v>
      </c>
      <c r="D20" s="395">
        <f>Albums!N284</f>
        <v>8.91</v>
      </c>
    </row>
    <row r="21" spans="1:4" x14ac:dyDescent="0.3">
      <c r="A21" s="383" t="s">
        <v>2636</v>
      </c>
      <c r="B21" s="386" t="s">
        <v>168</v>
      </c>
      <c r="C21">
        <v>8.8699999999999992</v>
      </c>
      <c r="D21" s="395">
        <f>Albums!B428</f>
        <v>8.91</v>
      </c>
    </row>
    <row r="22" spans="1:4" x14ac:dyDescent="0.3">
      <c r="A22" s="383" t="s">
        <v>1517</v>
      </c>
      <c r="B22" s="386" t="s">
        <v>1518</v>
      </c>
      <c r="C22">
        <v>8.8800000000000008</v>
      </c>
      <c r="D22" s="395">
        <f>Albums!H258</f>
        <v>8.9</v>
      </c>
    </row>
    <row r="23" spans="1:4" x14ac:dyDescent="0.3">
      <c r="A23" s="383" t="s">
        <v>1369</v>
      </c>
      <c r="B23" s="386" t="s">
        <v>1370</v>
      </c>
      <c r="C23">
        <v>8.7200000000000006</v>
      </c>
      <c r="D23" s="395">
        <f>Albums!B235</f>
        <v>8.83</v>
      </c>
    </row>
    <row r="24" spans="1:4" x14ac:dyDescent="0.3">
      <c r="A24" s="383" t="s">
        <v>357</v>
      </c>
      <c r="B24" s="386" t="s">
        <v>351</v>
      </c>
      <c r="C24">
        <v>8.81</v>
      </c>
      <c r="D24" s="395">
        <f>Albums!N67</f>
        <v>8.8000000000000007</v>
      </c>
    </row>
    <row r="25" spans="1:4" ht="16.2" thickBot="1" x14ac:dyDescent="0.35">
      <c r="A25" s="384" t="s">
        <v>311</v>
      </c>
      <c r="B25" s="392" t="s">
        <v>1542</v>
      </c>
      <c r="C25" s="385">
        <v>8.9499999999999993</v>
      </c>
      <c r="D25" s="396">
        <f>Albums!K264</f>
        <v>8.94</v>
      </c>
    </row>
  </sheetData>
  <sortState xmlns:xlrd2="http://schemas.microsoft.com/office/spreadsheetml/2017/richdata2" ref="A28:D52">
    <sortCondition descending="1" ref="D28:D52"/>
  </sortState>
  <conditionalFormatting sqref="C1:C25">
    <cfRule type="colorScale" priority="24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:D25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2TPRHG2BFLMP7NV4ARDKU2XQ7O5O6OQF:ms-officescript%3A%2F%2Fonedrive_business_sharinglink%2Fu!aHR0cHM6Ly9hcnRpY2FpbmdlbmllcmlhLW15LnNoYXJlcG9pbnQuY29tLzp1Oi9nL3BlcnNvbmFsL21yb2RyaWd1ZXpfYXJ0aWNhaV9lcy9JUUJCS3RqX3Ryd0VScXBxOFB1Njd6b0ZBVXN3R0tnbkdFYkhLZzc2aGRETk9QVQ"/>
  <scriptId xmlns="" id="ms-officescript%3A%2F%2Fonedrive_business_itemlink%2F01MLL275BDVP2MJTOR45GZ2A3G32POHLEE:ms-officescript%3A%2F%2Fonedrive_business_sharinglink%2Fu!aHR0cHM6Ly91cG0zNjUtbXkuc2hhcmVwb2ludC5jb20vOnU6L2cvcGVyc29uYWwvbWlndWVsX3JvZHJpZ3VlejkxX2FsdW1ub3NfdXBtX2VzL0lRQWpxX1RFemRIblRaMERadDZlNDZ5RUFhRlctV1ZueXRleWF1b05HVHVLMDQw"/>
</scriptIds>
</file>

<file path=customXml/itemProps1.xml><?xml version="1.0" encoding="utf-8"?>
<ds:datastoreItem xmlns:ds="http://schemas.openxmlformats.org/officeDocument/2006/customXml" ds:itemID="{0E199ECA-DC30-48B1-BCD4-1F875D95F05D}">
  <ds:schemaRefs>
    <ds:schemaRef ds:uri="http://schemas.microsoft.com/office/extensibility/maker/v1.0"/>
    <ds:schemaRef ds:uri="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Albums</vt:lpstr>
      <vt:lpstr>Tabla Albums</vt:lpstr>
      <vt:lpstr>Tablas TOP</vt:lpstr>
      <vt:lpstr>TOP Canciones</vt:lpstr>
      <vt:lpstr>TOP Generos</vt:lpstr>
      <vt:lpstr>Mapeo Generos</vt:lpstr>
      <vt:lpstr>Resumen</vt:lpstr>
      <vt:lpstr>video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Paula Rodriguez Andreu</dc:creator>
  <cp:lastModifiedBy>Miguel Rodriguez Rodriguez</cp:lastModifiedBy>
  <cp:lastPrinted>2026-02-04T22:08:03Z</cp:lastPrinted>
  <dcterms:created xsi:type="dcterms:W3CDTF">2025-12-22T12:54:57Z</dcterms:created>
  <dcterms:modified xsi:type="dcterms:W3CDTF">2026-06-04T11:30:08Z</dcterms:modified>
</cp:coreProperties>
</file>