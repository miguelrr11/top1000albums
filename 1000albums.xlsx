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1DE2651-B429-400D-B1AD-33992DAE367A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0" i="4" l="1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<sst xmlns="http://schemas.openxmlformats.org/spreadsheetml/2006/main" count="2664" uniqueCount="2099">
  <si>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</si>
  <si>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</si>
  <si>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</si>
  <si>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</si>
  <si>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</si>
  <si>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</si>
  <si>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</si>
  <si>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</si>
  <si>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</si>
  <si>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</si>
  <si>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</si>
  <si>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</si>
  <si>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</si>
  <si>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</si>
  <si>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</si>
  <si>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</si>
  <si>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</si>
  <si>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</si>
  <si>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</si>
  <si>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</si>
  <si>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</si>
  <si>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</si>
  <si>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</si>
  <si>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</si>
  <si>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</si>
  <si>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</si>
  <si>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</si>
  <si>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</si>
  <si>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</si>
  <si>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</si>
  <si>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</si>
  <si>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</si>
  <si>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</si>
  <si>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</si>
  <si>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</si>
  <si>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</si>
  <si>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</si>
  <si>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</si>
  <si>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</si>
  <si>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</si>
  <si>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</si>
  <si>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</si>
  <si>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</si>
  <si>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</si>
  <si>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</si>
  <si>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</si>
  <si>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</si>
  <si>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</si>
  <si>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</si>
  <si>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</si>
  <si>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</si>
  <si>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</si>
  <si>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</si>
  <si>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</si>
  <si>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</si>
  <si>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</si>
  <si>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</si>
  <si>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</si>
  <si>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</si>
  <si>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</si>
  <si>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</si>
  <si>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</si>
  <si>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</si>
  <si>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</si>
  <si>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</si>
  <si>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</si>
  <si>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</si>
  <si>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</si>
  <si>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</si>
  <si>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</si>
  <si>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</si>
  <si>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</si>
  <si>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</si>
  <si>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</si>
  <si>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</si>
  <si>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</si>
  <si>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</si>
  <si>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</si>
  <si>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</si>
  <si>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</si>
  <si>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</si>
  <si>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</si>
  <si>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</si>
  <si>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</si>
  <si>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</si>
  <si>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</si>
  <si>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</si>
  <si>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</si>
  <si>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</si>
  <si>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</si>
  <si>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</si>
  <si>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</si>
  <si>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</si>
  <si>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</si>
  <si>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</si>
  <si>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</si>
  <si>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</si>
  <si>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</si>
  <si>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</si>
  <si>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</si>
  <si>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</si>
  <si>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</si>
  <si>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</si>
  <si>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</si>
  <si>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</si>
  <si>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</si>
  <si>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</si>
  <si>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</si>
  <si>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</si>
  <si>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</si>
  <si>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</si>
  <si>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</si>
  <si>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</si>
  <si>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</si>
  <si>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</si>
  <si>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</si>
  <si>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</si>
  <si>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</si>
  <si>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</si>
  <si>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</si>
  <si>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</si>
  <si>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</si>
  <si>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</si>
  <si>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</si>
  <si>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</si>
  <si>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</si>
  <si>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</si>
  <si>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</si>
  <si>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</si>
  <si>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</si>
  <si>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</si>
  <si>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</si>
  <si>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</si>
  <si>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</si>
  <si>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</si>
  <si>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</si>
  <si>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</si>
  <si>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</si>
  <si>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</si>
  <si>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</si>
  <si>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</si>
  <si>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</si>
  <si>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</si>
  <si>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</si>
  <si>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</si>
  <si>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</si>
  <si>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</si>
  <si>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</si>
  <si>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</si>
  <si>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</si>
  <si>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</si>
  <si>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</si>
  <si>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</si>
  <si>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</si>
  <si>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</si>
  <si>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</si>
  <si>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</si>
  <si>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</si>
  <si>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</si>
  <si>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</si>
  <si>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</si>
  <si>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</si>
  <si>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</si>
  <si>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</si>
  <si>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</si>
  <si>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</si>
  <si>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</si>
  <si>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</si>
  <si>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</si>
  <si>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</si>
  <si>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</si>
  <si>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</si>
  <si>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</si>
  <si>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</si>
  <si>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</si>
  <si>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</si>
  <si>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</si>
  <si>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</si>
  <si>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</si>
  <si>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</si>
  <si>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</si>
  <si>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</si>
  <si>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</si>
  <si>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</si>
  <si>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</si>
  <si>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</si>
  <si>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</si>
  <si>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</si>
  <si>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</si>
  <si>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</si>
  <si>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</si>
  <si>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</si>
  <si>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</si>
  <si>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</si>
  <si>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</si>
  <si>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</si>
  <si>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</si>
  <si>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</si>
  <si>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</si>
  <si>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</si>
  <si>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</si>
  <si>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</si>
  <si>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</si>
  <si>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</si>
  <si>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</si>
  <si>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</si>
  <si>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</si>
  <si>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</si>
  <si>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</si>
  <si>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</si>
  <si>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</si>
  <si>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</si>
  <si>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</si>
  <si>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</si>
  <si>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</si>
  <si>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</si>
  <si>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</si>
  <si>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</si>
  <si>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</si>
  <si>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</si>
  <si>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</si>
  <si>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</si>
  <si>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</si>
  <si>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</si>
  <si>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</si>
  <si>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</si>
  <si>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</si>
  <si>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</si>
  <si>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</si>
  <si>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</si>
  <si>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</si>
  <si>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</si>
  <si>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</si>
  <si>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</si>
  <si>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</si>
  <si>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</si>
  <si>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</si>
  <si>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</si>
  <si>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</si>
  <si>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</si>
  <si>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</si>
  <si>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</si>
  <si>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</si>
  <si>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</si>
  <si>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</si>
  <si>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</si>
  <si>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</si>
  <si>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</si>
  <si>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</si>
  <si>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</si>
  <si>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</si>
  <si>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</si>
  <si>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</si>
  <si>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</si>
  <si>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</si>
  <si>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</si>
  <si>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</si>
  <si>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</si>
  <si>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</si>
  <si>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</si>
  <si>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</si>
  <si>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</si>
  <si>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</si>
  <si>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</si>
  <si>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</si>
  <si>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</si>
  <si>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</si>
  <si>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</si>
  <si>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</si>
  <si>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</si>
  <si>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</si>
  <si>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</si>
  <si>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</si>
  <si>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</si>
  <si>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</si>
  <si>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</si>
  <si>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</si>
  <si>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</si>
  <si>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</si>
  <si>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</si>
  <si>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</si>
  <si>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</si>
  <si>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</si>
  <si>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</si>
  <si>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</si>
  <si>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</si>
  <si>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</si>
  <si>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</si>
  <si>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</si>
  <si>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</si>
  <si>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</si>
  <si>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</si>
  <si>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</si>
  <si>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</si>
  <si>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</si>
  <si>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</si>
  <si>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</si>
  <si>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</si>
  <si>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</si>
  <si>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</si>
  <si>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</si>
  <si>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</si>
  <si>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</si>
  <si>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</si>
  <si>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</si>
  <si>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</si>
  <si>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</si>
  <si>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</si>
  <si>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</si>
  <si>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</si>
  <si>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</si>
  <si>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</si>
  <si>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</si>
  <si>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</si>
  <si>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</si>
  <si>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</si>
  <si>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</si>
  <si>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</si>
  <si>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</si>
  <si>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</si>
  <si>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</si>
  <si>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</si>
  <si>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</si>
  <si>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</si>
  <si>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</si>
  <si>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</si>
  <si>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</si>
  <si>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</si>
  <si>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</si>
  <si>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</si>
  <si>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</si>
  <si>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</si>
  <si>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</si>
  <si>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</si>
  <si>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</si>
  <si>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</si>
  <si>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</si>
  <si>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</si>
  <si>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</si>
  <si>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</si>
  <si>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</si>
  <si>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</si>
  <si>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</si>
  <si>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</si>
  <si>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</si>
  <si>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</si>
  <si>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</si>
  <si>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</si>
  <si>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</si>
  <si>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</si>
  <si>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</si>
  <si>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</si>
  <si>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</si>
  <si>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</si>
  <si>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</si>
  <si>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</si>
  <si>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</si>
  <si>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</si>
  <si>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</si>
  <si>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</si>
  <si>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</si>
  <si>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</si>
  <si>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</si>
  <si>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</si>
  <si>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</si>
  <si>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</si>
  <si>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</si>
  <si>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</si>
  <si>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</si>
  <si>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</si>
  <si>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</si>
  <si>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</si>
  <si>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</si>
  <si>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</si>
  <si>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</si>
  <si>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</si>
  <si>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</si>
  <si>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</si>
  <si>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</si>
  <si>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</si>
  <si>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</si>
  <si>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</si>
  <si>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</si>
  <si>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</si>
  <si>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</si>
  <si>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</si>
  <si>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</si>
  <si>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</si>
  <si>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</si>
  <si>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</si>
  <si>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</si>
  <si>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</si>
  <si>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</si>
  <si>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</si>
  <si>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</si>
  <si>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</si>
  <si>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</si>
  <si>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</si>
  <si>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</si>
  <si>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</si>
  <si>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</si>
  <si>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</si>
  <si>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</si>
  <si>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</si>
  <si>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</si>
  <si>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</si>
  <si>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</si>
  <si>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</si>
  <si>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</si>
  <si>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</si>
  <si>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</si>
  <si>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</si>
  <si>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</si>
  <si>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</si>
  <si>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</si>
  <si>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</si>
  <si>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</si>
  <si>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</si>
  <si>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</si>
  <si>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</si>
  <si>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</si>
  <si>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</si>
  <si>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</si>
  <si>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</si>
  <si>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</si>
  <si>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</si>
  <si>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</si>
  <si>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</si>
  <si>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</si>
  <si>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</si>
  <si>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</si>
  <si>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</si>
  <si>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</si>
  <si>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</si>
  <si>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</si>
  <si>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</si>
  <si>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</si>
  <si>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</si>
  <si>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</si>
  <si>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</si>
  <si>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</si>
  <si>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</si>
  <si>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</si>
  <si>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</si>
  <si>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</si>
  <si>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</si>
  <si>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</si>
  <si>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</si>
  <si>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</si>
  <si>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</si>
  <si>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</si>
  <si>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</si>
  <si>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</si>
  <si>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</si>
  <si>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</si>
  <si>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</si>
  <si>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</si>
  <si>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</si>
  <si>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</si>
  <si>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</si>
  <si>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</si>
  <si>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</si>
  <si>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</si>
  <si>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</si>
  <si>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</si>
  <si>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</si>
  <si>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</si>
  <si>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</si>
  <si>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</si>
  <si>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</si>
  <si>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</si>
  <si>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</si>
  <si>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</si>
  <si>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</si>
  <si>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</si>
  <si>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</si>
  <si>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</si>
  <si>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</si>
  <si>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</si>
  <si>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</si>
  <si>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</si>
  <si>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</si>
  <si>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</si>
  <si>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</si>
  <si>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</si>
  <si>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</si>
  <si>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</si>
  <si>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</si>
  <si>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</si>
  <si>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</si>
  <si>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</si>
  <si>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</si>
  <si>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</si>
  <si>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</si>
  <si>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</si>
  <si>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</si>
  <si>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</si>
  <si>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</si>
  <si>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</si>
  <si>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</si>
  <si>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</si>
  <si>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</si>
  <si>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</si>
  <si>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</si>
  <si>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</si>
  <si>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</si>
  <si>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</si>
  <si>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</si>
  <si>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</si>
  <si>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</si>
  <si>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</si>
  <si>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</si>
  <si>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</si>
  <si>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</si>
  <si>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</si>
  <si>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</si>
  <si>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</si>
  <si>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</si>
  <si>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</si>
  <si>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</si>
  <si>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</si>
  <si>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</si>
  <si>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</si>
  <si>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</si>
  <si>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</si>
  <si>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</si>
  <si>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</si>
  <si>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</si>
  <si>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</si>
  <si>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</si>
  <si>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</si>
  <si>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</si>
  <si>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</si>
  <si>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</si>
  <si>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</si>
  <si>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</si>
  <si>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</si>
  <si>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</si>
  <si>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</si>
  <si>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</si>
  <si>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</si>
  <si>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</si>
  <si>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</si>
  <si>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</si>
  <si>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</si>
  <si>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</si>
  <si>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</si>
  <si>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</si>
  <si>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</si>
  <si>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</si>
  <si>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</si>
  <si>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</si>
  <si>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</si>
  <si>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</si>
  <si>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</si>
  <si>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</si>
  <si>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</si>
  <si>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</si>
  <si>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</si>
  <si>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</si>
  <si>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</si>
  <si>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</si>
  <si>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</si>
  <si>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</si>
  <si>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</si>
  <si>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</si>
  <si>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</si>
  <si>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</si>
  <si>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</si>
  <si>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</si>
  <si>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</si>
  <si>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</si>
  <si>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</si>
  <si>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</si>
  <si>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</si>
  <si>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</si>
  <si>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</si>
  <si>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</si>
  <si>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</si>
  <si>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</si>
  <si>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</si>
  <si>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</si>
  <si>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</si>
  <si>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</si>
  <si>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</si>
  <si>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</si>
  <si>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</si>
  <si>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</si>
  <si>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</si>
  <si>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</si>
  <si>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</si>
  <si>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</si>
  <si>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</si>
  <si>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</si>
  <si>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</si>
  <si>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</si>
  <si>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</si>
  <si>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</si>
  <si>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</si>
  <si>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</si>
  <si>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</si>
  <si>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</si>
  <si>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</si>
  <si>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</si>
  <si>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</si>
  <si>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</si>
  <si>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</si>
  <si>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</si>
  <si>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</si>
  <si>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</si>
  <si>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</si>
  <si>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</si>
  <si>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</si>
  <si>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</si>
  <si>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</si>
  <si>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</si>
  <si>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</si>
  <si>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</si>
  <si>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</si>
  <si>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</si>
  <si>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</si>
  <si>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</si>
  <si>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</si>
  <si>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</si>
  <si>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</si>
  <si>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</si>
  <si>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</si>
  <si>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</si>
  <si>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</si>
  <si>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</si>
  <si>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</si>
  <si>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</si>
  <si>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</si>
  <si>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</si>
  <si>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</si>
  <si>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</si>
  <si>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</si>
  <si>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</si>
  <si>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</si>
  <si>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</si>
  <si>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</si>
  <si>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</si>
  <si>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</si>
  <si>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</si>
  <si>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</si>
  <si>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</si>
  <si>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</si>
  <si>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</si>
  <si>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</si>
  <si>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</si>
  <si>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</si>
  <si>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</si>
  <si>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</si>
  <si>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</si>
  <si>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</si>
  <si>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</si>
  <si>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</si>
  <si>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</si>
  <si>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</si>
  <si>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</si>
  <si>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</si>
  <si>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</si>
  <si>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</si>
  <si>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</si>
  <si>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</si>
  <si>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</si>
  <si>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</si>
  <si>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</si>
  <si>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</si>
  <si>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</si>
  <si>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</si>
  <si>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</si>
  <si>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</si>
  <si>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</si>
  <si>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</si>
  <si>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</si>
  <si>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</si>
  <si>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</si>
  <si>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</si>
  <si>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</si>
  <si>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</si>
  <si>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</si>
  <si>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</si>
  <si>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</si>
  <si>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</si>
  <si>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</si>
  <si>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</si>
  <si>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</si>
  <si>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</si>
  <si>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</si>
  <si>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</si>
  <si>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</si>
  <si>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</si>
  <si>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</si>
  <si>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</si>
  <si>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</si>
  <si>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</si>
  <si>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</si>
  <si>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</si>
  <si>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</si>
  <si>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</si>
  <si>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</si>
  <si>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</si>
  <si>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</si>
  <si>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</si>
  <si>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</si>
  <si>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</si>
  <si>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</si>
  <si>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</si>
  <si>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</si>
  <si>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</si>
  <si>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</si>
  <si>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</si>
  <si>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</si>
  <si>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</si>
  <si>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</si>
  <si>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</si>
  <si>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</si>
  <si>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</si>
  <si>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</si>
  <si>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</si>
  <si>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</si>
  <si>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</si>
  <si>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</si>
  <si>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</si>
  <si>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</si>
  <si>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</si>
  <si>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</si>
  <si>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</si>
  <si>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</si>
  <si>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</si>
  <si>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</si>
  <si>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</si>
  <si>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</si>
  <si>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</si>
  <si>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</si>
  <si>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</si>
  <si>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</si>
  <si>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</si>
  <si>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</si>
  <si>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</si>
  <si>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</si>
  <si>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</si>
  <si>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</si>
  <si>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</si>
  <si>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</si>
  <si>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</si>
  <si>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</si>
  <si>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</si>
  <si>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</si>
  <si>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</si>
  <si>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</si>
  <si>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</si>
  <si>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</si>
  <si>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</si>
  <si>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</si>
  <si>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</si>
  <si>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</si>
  <si>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</si>
  <si>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</si>
  <si>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</si>
  <si>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</si>
  <si>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</si>
  <si>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</si>
  <si>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</si>
  <si>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</si>
  <si>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</si>
  <si>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</si>
  <si>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</si>
  <si>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</si>
  <si>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</si>
  <si>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</si>
  <si>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</si>
  <si>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</si>
  <si>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</si>
  <si>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</si>
  <si>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</si>
  <si>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</si>
  <si>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</si>
  <si>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</si>
  <si>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</si>
  <si>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</si>
  <si>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</si>
  <si>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</si>
  <si>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</si>
  <si>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</si>
  <si>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</si>
  <si>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</si>
  <si>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</si>
  <si>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</si>
  <si>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</si>
  <si>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</si>
  <si>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</si>
  <si>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</si>
  <si>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</si>
  <si>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</si>
  <si>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</si>
  <si>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</si>
  <si>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</si>
  <si>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</si>
  <si>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</si>
  <si>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</si>
  <si>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</si>
  <si>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</si>
  <si>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</si>
  <si>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</si>
  <si>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</si>
  <si>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</si>
  <si>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</si>
  <si>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</si>
  <si>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</si>
  <si>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</si>
  <si>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</si>
  <si>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</si>
  <si>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</si>
  <si>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</si>
  <si>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</si>
  <si>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</si>
  <si>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</si>
  <si>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</si>
  <si>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</si>
  <si>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</si>
  <si>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</si>
  <si>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</si>
  <si>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</si>
  <si>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</si>
  <si>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</si>
  <si>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</si>
  <si>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</si>
  <si>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</si>
  <si>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</si>
  <si>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</si>
  <si>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</si>
  <si>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</si>
  <si>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</si>
  <si>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</si>
  <si>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</si>
  <si>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</si>
  <si>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</si>
  <si>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</si>
  <si>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</si>
  <si>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</si>
  <si>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</si>
  <si>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</si>
  <si>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</si>
  <si>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</si>
  <si>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</si>
  <si>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</si>
  <si>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</si>
  <si>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</si>
  <si>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</si>
  <si>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</si>
  <si>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</si>
  <si>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</si>
  <si>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</si>
  <si>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</si>
  <si>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</si>
  <si>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</si>
  <si>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</si>
  <si>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</si>
  <si>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</si>
  <si>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</si>
  <si>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</si>
  <si>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</si>
  <si>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</si>
  <si>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</si>
  <si>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</si>
  <si>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</si>
  <si>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</si>
  <si>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</si>
  <si>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</si>
  <si>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</si>
  <si>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</si>
  <si>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</si>
  <si>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</si>
  <si>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</si>
  <si>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</si>
  <si>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</si>
  <si>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</si>
  <si>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</si>
  <si>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</si>
  <si>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</si>
  <si>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</si>
  <si>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</si>
  <si>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</si>
  <si>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</si>
  <si>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</si>
  <si>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</si>
  <si>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</si>
  <si>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</si>
  <si>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</si>
  <si>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</si>
  <si>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</si>
  <si>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</si>
  <si>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</si>
  <si>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</si>
  <si>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</si>
  <si>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</si>
  <si>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</si>
  <si>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</si>
  <si>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</si>
  <si>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</si>
  <si>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</si>
  <si>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</si>
  <si>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</si>
  <si>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</si>
  <si>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</si>
  <si>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</si>
  <si>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</si>
  <si>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</si>
  <si>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</si>
  <si>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</si>
  <si>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</si>
  <si>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</si>
  <si>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</si>
  <si>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</si>
  <si>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</si>
  <si>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</si>
  <si>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</si>
  <si>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</si>
  <si>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</si>
  <si>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</si>
  <si>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</si>
  <si>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</si>
  <si>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</si>
  <si>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</si>
  <si>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</si>
  <si>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</si>
  <si>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</si>
  <si>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</si>
  <si>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</si>
  <si>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</si>
  <si>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</si>
  <si>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</si>
  <si>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</si>
  <si>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</si>
  <si>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</si>
  <si>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</si>
  <si>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</si>
  <si>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</si>
  <si>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</si>
  <si>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</si>
  <si>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</si>
  <si>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</si>
  <si>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</si>
  <si>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</si>
  <si>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</si>
  <si>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</si>
  <si>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</si>
  <si>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</si>
  <si>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</si>
  <si>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</si>
  <si>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</si>
  <si>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</si>
  <si>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</si>
  <si>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</si>
  <si>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</si>
  <si>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</si>
  <si>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</si>
  <si>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</si>
  <si>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</si>
  <si>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</si>
  <si>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</si>
  <si>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</si>
  <si>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</si>
  <si>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</si>
  <si>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</si>
  <si>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</si>
  <si>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</si>
  <si>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</si>
  <si>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</si>
  <si>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</si>
  <si>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</si>
  <si>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</si>
  <si>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</si>
  <si>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</si>
  <si>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</si>
  <si>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</si>
  <si>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</si>
  <si>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</si>
  <si>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</si>
  <si>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</si>
  <si>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</si>
  <si>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</si>
  <si>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</si>
  <si>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</si>
  <si>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</si>
  <si>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</si>
  <si>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</si>
  <si>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</si>
  <si>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</si>
  <si>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</si>
  <si>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</si>
  <si>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</si>
  <si>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</si>
  <si>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</si>
  <si>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</si>
  <si>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</si>
  <si>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</si>
  <si>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</si>
  <si>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</si>
  <si>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</si>
  <si>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</si>
  <si>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</si>
  <si>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</si>
  <si>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</si>
  <si>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</si>
  <si>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</si>
  <si>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</si>
  <si>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</si>
  <si>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</si>
  <si>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</si>
  <si>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</si>
  <si>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</si>
  <si>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</si>
  <si>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</si>
  <si>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</si>
  <si>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</si>
  <si>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</si>
  <si>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</si>
  <si>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</si>
  <si>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</si>
  <si>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</si>
  <si>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</si>
  <si>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</si>
  <si>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</si>
  <si>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</si>
  <si>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</si>
  <si>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</si>
  <si>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</si>
  <si>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</si>
  <si>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</si>
  <si>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</si>
  <si>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</si>
  <si>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</si>
  <si>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</si>
  <si>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</si>
  <si>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</si>
  <si>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</si>
  <si>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</si>
  <si>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</si>
  <si>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</si>
  <si>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</si>
  <si>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</si>
  <si>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</si>
  <si>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</si>
  <si>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</si>
  <si>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</si>
  <si>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</si>
  <si>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</si>
  <si>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</si>
  <si>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</si>
  <si>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</si>
  <si>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</si>
  <si>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</si>
  <si>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</si>
  <si>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</si>
  <si>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</si>
  <si>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</si>
  <si>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</si>
  <si>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</si>
  <si>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</si>
  <si>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</si>
  <si>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</si>
  <si>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</si>
  <si>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</si>
  <si>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</si>
  <si>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</si>
  <si>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</si>
  <si>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</si>
  <si>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</si>
  <si>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</si>
  <si>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</si>
  <si>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</si>
  <si>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</si>
  <si>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</si>
  <si>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</si>
  <si>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</si>
  <si>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</si>
  <si>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</si>
  <si>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</si>
  <si>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</si>
  <si>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</si>
  <si>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</si>
  <si>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</si>
  <si>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</si>
  <si>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</si>
  <si>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</si>
  <si>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</si>
  <si>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</si>
  <si>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</si>
  <si>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</si>
  <si>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</si>
  <si>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</si>
  <si>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</si>
  <si>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</si>
  <si>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</si>
  <si>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</si>
  <si>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</si>
  <si>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</si>
  <si>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</si>
  <si>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</si>
  <si>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</si>
  <si>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</si>
  <si>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</si>
  <si>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</si>
  <si>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</si>
  <si>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</si>
  <si>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</si>
  <si>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</si>
  <si>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</si>
  <si>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</si>
  <si>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</si>
  <si>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</si>
  <si>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</si>
  <si>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</si>
  <si>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</si>
  <si>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</si>
  <si>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</si>
  <si>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</si>
  <si>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</si>
  <si>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</si>
  <si>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</si>
  <si>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</si>
  <si>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</si>
  <si>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</si>
  <si>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</si>
  <si>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</si>
  <si>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</si>
  <si>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</si>
  <si>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</si>
  <si>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</si>
  <si>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</si>
  <si>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</si>
  <si>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</si>
  <si>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</si>
  <si>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</si>
  <si>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</si>
  <si>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</si>
  <si>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</si>
  <si>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</si>
  <si>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</si>
  <si>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</si>
  <si>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</si>
  <si>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</si>
  <si>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</si>
  <si>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</si>
  <si>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</si>
  <si>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</si>
  <si>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</si>
  <si>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</si>
  <si>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</si>
  <si>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</si>
  <si>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</si>
  <si>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</si>
  <si>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</si>
  <si>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</si>
  <si>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</si>
  <si>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</si>
  <si>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</si>
  <si>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</si>
  <si>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</si>
  <si>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</si>
  <si>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</si>
  <si>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</si>
  <si>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</si>
  <si>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</si>
  <si>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</si>
  <si>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</si>
  <si>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</si>
  <si>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</si>
  <si>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</si>
  <si>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</si>
  <si>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</si>
  <si>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</si>
  <si>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</si>
  <si>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</si>
  <si>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</si>
  <si>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</si>
  <si>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</si>
  <si>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</si>
  <si>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</si>
  <si>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</si>
  <si>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</si>
  <si>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</si>
  <si>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</si>
  <si>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</si>
  <si>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</si>
  <si>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</si>
  <si>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</si>
  <si>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</si>
  <si>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</si>
  <si>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</si>
  <si>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</si>
  <si>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</si>
  <si>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</si>
  <si>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</si>
  <si>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</si>
  <si>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</si>
  <si>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</si>
  <si>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</si>
  <si>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</si>
  <si>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</si>
  <si>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</si>
  <si>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</si>
  <si>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</si>
  <si>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</si>
  <si>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</si>
  <si>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</si>
  <si>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</si>
  <si>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</si>
  <si>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</si>
  <si>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</si>
  <si>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</si>
  <si>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</si>
  <si>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</si>
  <si>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</si>
  <si>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</si>
  <si>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</si>
  <si>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</si>
  <si>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</si>
  <si>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</si>
  <si>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</si>
  <si>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</si>
  <si>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</si>
  <si>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</si>
  <si>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</si>
  <si>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</si>
  <si>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</si>
  <si>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</si>
  <si>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</si>
  <si>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</si>
  <si>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</si>
  <si>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</si>
  <si>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</si>
  <si>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</si>
  <si>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</si>
  <si>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</si>
  <si>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</si>
  <si>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</si>
  <si>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</si>
  <si>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</si>
  <si>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</si>
  <si>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</si>
  <si>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</si>
  <si>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</si>
  <si>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</si>
  <si>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</si>
  <si>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</si>
  <si>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</si>
  <si>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</si>
  <si>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</si>
  <si>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</si>
  <si>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</si>
  <si>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</si>
  <si>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</si>
  <si>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</si>
  <si>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</si>
  <si>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</si>
  <si>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</si>
  <si>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</si>
  <si>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</si>
  <si>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</si>
  <si>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</si>
  <si>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</si>
  <si>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</si>
  <si>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</si>
  <si>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</si>
  <si>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</si>
  <si>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</si>
  <si>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</si>
  <si>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</si>
  <si>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</si>
  <si>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</si>
  <si>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</si>
  <si>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</si>
  <si>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</si>
  <si>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</si>
  <si>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</si>
  <si>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</si>
  <si>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</si>
  <si>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</si>
  <si>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</si>
  <si>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</si>
  <si>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</si>
  <si>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</si>
  <si>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</si>
  <si>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</si>
  <si>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</si>
  <si>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</si>
  <si>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</si>
  <si>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</si>
  <si>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</si>
  <si>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</si>
  <si>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</si>
  <si>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</si>
  <si>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</si>
  <si>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</si>
  <si>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</si>
  <si>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</si>
  <si>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</si>
  <si>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</si>
  <si>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</si>
  <si>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</si>
  <si>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</si>
  <si>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</si>
  <si>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</si>
  <si>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</si>
  <si>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</si>
  <si>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</si>
  <si>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</si>
  <si>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</si>
  <si>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</si>
  <si>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</si>
  <si>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</si>
  <si>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</si>
  <si>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</si>
  <si>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</si>
  <si>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</si>
  <si>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</si>
  <si>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</si>
  <si>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</si>
  <si>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</si>
  <si>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</si>
  <si>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</si>
  <si>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</si>
  <si>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</si>
  <si>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</si>
  <si>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</si>
  <si>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</si>
  <si>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</si>
  <si>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</si>
  <si>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</si>
  <si>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</si>
  <si>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</si>
  <si>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</si>
  <si>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</si>
  <si>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</si>
  <si>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</si>
  <si>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</si>
  <si>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</si>
  <si>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</si>
  <si>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</si>
  <si>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</si>
  <si>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</si>
  <si>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</si>
  <si>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</si>
  <si>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</si>
  <si>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</si>
  <si>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</si>
  <si>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</si>
  <si>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</si>
  <si>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</si>
  <si>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</si>
  <si>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</si>
  <si>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</si>
  <si>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</si>
  <si>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</si>
  <si>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</si>
  <si>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</si>
  <si>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</si>
  <si>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</si>
  <si>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</si>
  <si>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</si>
  <si>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</si>
  <si>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</si>
  <si>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</si>
  <si>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</si>
  <si>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</si>
  <si>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</si>
  <si>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</si>
  <si>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</si>
  <si>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</si>
  <si>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</si>
  <si>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</si>
  <si>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</si>
  <si>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</si>
  <si>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</si>
  <si>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</si>
  <si>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</si>
  <si>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</si>
  <si>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</si>
  <si>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</si>
  <si>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</si>
  <si>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</si>
  <si>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</si>
  <si>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</si>
  <si>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</si>
  <si>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</si>
  <si>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</si>
  <si>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</si>
  <si>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</si>
  <si>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</si>
  <si>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</si>
  <si>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</si>
  <si>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</si>
  <si>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</si>
  <si>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</si>
  <si>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</si>
  <si>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</si>
  <si>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</si>
  <si>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</si>
  <si>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</si>
  <si>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</si>
  <si>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</si>
  <si>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</si>
  <si>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</si>
  <si>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</si>
  <si>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</si>
  <si>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</si>
  <si>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</si>
  <si>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</si>
  <si>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</si>
  <si>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</si>
  <si>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</si>
  <si>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</si>
  <si>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</si>
  <si>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</si>
  <si>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</si>
  <si>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</si>
  <si>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</si>
  <si>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</si>
  <si>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</si>
  <si>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</si>
  <si>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</si>
  <si>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</si>
  <si>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</si>
  <si>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</si>
  <si>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</si>
  <si>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</si>
  <si>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</si>
  <si>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</si>
  <si>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</si>
  <si>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</si>
  <si>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</si>
  <si>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</si>
  <si>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</si>
  <si>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</si>
  <si>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</si>
  <si>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</si>
  <si>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</si>
  <si>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</si>
  <si>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</si>
  <si>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</si>
  <si>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</si>
  <si>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</si>
  <si>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</si>
  <si>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</si>
  <si>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</si>
  <si>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</si>
  <si>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</si>
  <si>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</si>
  <si>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</si>
  <si>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</si>
  <si>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</si>
  <si>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</si>
  <si>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</si>
  <si>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</si>
  <si>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</si>
  <si>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</si>
  <si>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</si>
  <si>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</si>
  <si>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</si>
  <si>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</si>
  <si>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</si>
  <si>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</si>
  <si>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</si>
  <si>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</si>
  <si>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</si>
  <si>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</si>
  <si>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</si>
  <si>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</si>
  <si>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</si>
  <si>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</si>
  <si>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</si>
  <si>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</si>
  <si>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</si>
  <si>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</si>
  <si>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</si>
  <si>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</si>
  <si>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</si>
  <si>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</si>
  <si>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</si>
  <si>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</si>
  <si>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</si>
  <si>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</si>
  <si>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</si>
  <si>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</si>
  <si>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</si>
  <si>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</si>
  <si>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</si>
  <si>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</si>
  <si>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</si>
  <si>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</si>
  <si>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</si>
  <si>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</si>
  <si>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</si>
  <si>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</si>
  <si>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</si>
  <si>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</si>
  <si>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</si>
  <si>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</si>
  <si>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</si>
  <si>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</si>
  <si>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</si>
  <si>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</si>
  <si>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</si>
  <si>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</si>
  <si>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</si>
  <si>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</si>
  <si>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</si>
  <si>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</si>
  <si>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</si>
  <si>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</si>
  <si>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</si>
  <si>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</si>
  <si>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</si>
  <si>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</si>
  <si>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</si>
  <si>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</si>
  <si>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</si>
  <si>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</si>
  <si>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</si>
  <si>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</si>
  <si>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</si>
  <si>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</si>
  <si>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</si>
  <si>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</si>
  <si>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</si>
  <si>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</si>
  <si>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</si>
  <si>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</si>
  <si>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</si>
  <si>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</si>
  <si>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</si>
  <si>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</si>
  <si>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</si>
  <si>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</si>
  <si>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</si>
  <si>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</si>
  <si>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</si>
  <si>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</si>
  <si>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</si>
  <si>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</si>
  <si>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</si>
  <si>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</si>
  <si>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</si>
  <si>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</si>
  <si>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</si>
  <si>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</si>
  <si>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</si>
  <si>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</si>
  <si>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</si>
  <si>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</si>
  <si>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</si>
  <si>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</si>
  <si>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</si>
  <si>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</si>
  <si>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</si>
  <si>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</si>
  <si>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</si>
  <si>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</si>
  <si>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</si>
  <si>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</si>
  <si>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</si>
  <si>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</si>
  <si>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</si>
  <si>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</si>
  <si>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</si>
  <si>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</si>
  <si>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</si>
  <si>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</si>
  <si>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</si>
  <si>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</si>
  <si>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</si>
  <si>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</si>
  <si>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</si>
  <si>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</si>
  <si>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</si>
  <si>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</si>
  <si>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</si>
  <si>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</si>
  <si>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</si>
  <si>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</si>
  <si>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</si>
  <si>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</si>
  <si>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</si>
  <si>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</si>
  <si>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</si>
  <si>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</si>
  <si>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</si>
  <si>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</si>
  <si>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</si>
  <si>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</si>
  <si>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</si>
  <si>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</si>
  <si>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</si>
  <si>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</si>
  <si>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</si>
  <si>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</si>
  <si>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</si>
  <si>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</si>
  <si>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</si>
  <si>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</si>
  <si>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</si>
  <si>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</si>
  <si>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</si>
  <si>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</si>
  <si>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</si>
  <si>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</si>
  <si>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</si>
  <si>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</si>
  <si>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</si>
  <si>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</si>
  <si>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</si>
  <si>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</si>
  <si>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</si>
  <si>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</si>
  <si>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</si>
  <si>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</si>
  <si>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</si>
  <si>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</si>
  <si>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</si>
  <si>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</si>
  <si>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</si>
  <si>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</si>
  <si>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</si>
  <si>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</si>
  <si>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</si>
  <si>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</si>
  <si>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</si>
  <si>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</si>
  <si>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</si>
  <si>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</si>
  <si>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</si>
  <si>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</si>
  <si>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</si>
  <si>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</si>
  <si>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</si>
  <si>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</si>
  <si>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</si>
  <si>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</si>
  <si>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</si>
  <si>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</si>
  <si>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</si>
  <si>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</si>
  <si>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</si>
  <si>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</si>
  <si>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</si>
  <si>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</si>
  <si>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</si>
  <si>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</si>
  <si>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</si>
  <si>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</si>
  <si>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</si>
  <si>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</si>
  <si>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</si>
  <si>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</si>
  <si>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</si>
  <si>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</si>
  <si>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</si>
  <si>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</si>
  <si>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</si>
  <si>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</si>
  <si>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</si>
  <si>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</si>
  <si>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</si>
  <si>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</si>
  <si>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</si>
  <si>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</si>
  <si>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</si>
  <si>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</si>
  <si>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</si>
  <si>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</si>
  <si>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</si>
  <si>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</si>
  <si>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</si>
  <si>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</si>
  <si>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</si>
  <si>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</si>
  <si>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</si>
  <si>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</si>
  <si>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</si>
  <si>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</si>
  <si>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</si>
  <si>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</si>
  <si>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</si>
  <si>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</si>
  <si>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</si>
  <si>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</si>
  <si>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</si>
  <si>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</si>
  <si>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</si>
  <si>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</si>
  <si>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</si>
  <si>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</si>
  <si>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</si>
  <si>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</si>
  <si>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</si>
  <si>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</si>
  <si>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</si>
  <si>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</si>
  <si>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</si>
  <si>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</si>
  <si>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</si>
  <si>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</si>
  <si>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</si>
  <si>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</si>
  <si>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</si>
  <si>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</si>
  <si>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</si>
  <si>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</si>
  <si>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</si>
  <si>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</si>
  <si>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</si>
  <si>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</si>
  <si>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</si>
  <si>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</si>
  <si>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</si>
  <si>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</si>
  <si>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</si>
  <si>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</si>
  <si>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</si>
  <si>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</si>
  <si>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</si>
  <si>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</si>
  <si>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</si>
  <si>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</si>
  <si>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</si>
  <si>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</si>
  <si>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</si>
  <si>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</si>
  <si>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</si>
  <si>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</si>
  <si>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</si>
  <si>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</si>
  <si>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</si>
  <si>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</si>
  <si>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</si>
  <si>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</si>
  <si>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</si>
  <si>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</si>
  <si>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</si>
  <si>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</si>
  <si>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</si>
  <si>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</si>
  <si>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</si>
  <si>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</si>
  <si>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</si>
  <si>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</si>
  <si>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</si>
  <si>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</si>
  <si>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</si>
  <si>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</si>
  <si>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</si>
  <si>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</si>
  <si>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</si>
  <si>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</si>
  <si>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</si>
  <si>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</si>
  <si>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</si>
  <si>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</si>
  <si>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</si>
  <si>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</si>
  <si>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</si>
  <si>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</si>
  <si>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</si>
  <si>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</si>
  <si>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</si>
  <si>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</si>
  <si>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</si>
  <si>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</si>
  <si>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</si>
  <si>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</si>
  <si>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</si>
  <si>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</si>
  <si>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</si>
  <si>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</si>
  <si>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</si>
  <si>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</si>
  <si>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</si>
  <si>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</si>
  <si>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</si>
  <si>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</si>
  <si>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</si>
  <si>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</si>
  <si>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</si>
  <si>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</si>
  <si>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</si>
  <si>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</si>
  <si>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</si>
  <si>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</si>
  <si>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</si>
  <si>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</si>
  <si>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</si>
  <si>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</si>
  <si>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</si>
  <si>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</si>
  <si>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</si>
  <si>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</si>
  <si>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</si>
  <si>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</si>
  <si>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</si>
  <si>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</si>
  <si>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</si>
  <si>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</si>
  <si>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</si>
  <si>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</si>
  <si>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</si>
  <si>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</si>
  <si>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</si>
  <si>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</si>
  <si>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</si>
  <si>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</si>
  <si>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</si>
  <si>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</si>
  <si>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</si>
  <si>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</si>
  <si>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</si>
  <si>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</si>
  <si>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</si>
  <si>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</si>
  <si>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</si>
  <si>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</si>
  <si>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</si>
  <si>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</si>
  <si>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</si>
  <si>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</si>
  <si>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</si>
  <si>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</si>
  <si>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</si>
  <si>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</si>
  <si>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</si>
  <si>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</si>
  <si>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</si>
  <si>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</si>
  <si>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</si>
  <si>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</si>
  <si>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</si>
  <si>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</si>
  <si>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</si>
  <si>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</si>
  <si>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</si>
  <si>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</si>
  <si>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</si>
  <si>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</si>
  <si>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</si>
  <si>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</si>
  <si>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</si>
  <si>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</si>
  <si>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</si>
  <si>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</si>
  <si>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</si>
  <si>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</si>
  <si>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</si>
  <si>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</si>
  <si>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</si>
  <si>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</si>
  <si>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</si>
  <si>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</si>
  <si>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</si>
  <si>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</si>
  <si>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</si>
  <si>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</si>
  <si>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</si>
  <si>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</si>
  <si>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</si>
  <si>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</si>
  <si>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</si>
  <si>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</si>
  <si>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</si>
  <si>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</si>
  <si>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</si>
  <si>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</si>
  <si>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</si>
  <si>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</si>
  <si>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</si>
  <si>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</si>
  <si>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</si>
  <si>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</si>
  <si>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</si>
  <si>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</si>
  <si>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progressive metal (21)</t>
  </si>
  <si>
    <t>21 (8.74)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</si>
  <si>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</si>
  <si>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</si>
  <si>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</si>
  <si>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</si>
  <si>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</si>
  <si>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</si>
  <si>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</si>
  <si>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</si>
  <si>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</si>
  <si>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</si>
  <si>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</si>
  <si>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</si>
  <si>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</si>
  <si>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</si>
  <si>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</si>
  <si>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</si>
  <si>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</si>
  <si>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</si>
  <si>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</si>
  <si>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</si>
  <si>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</si>
  <si>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</si>
  <si>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</si>
  <si>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</si>
  <si>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</si>
  <si>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</si>
  <si>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</si>
  <si>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</si>
  <si>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</si>
  <si>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</si>
  <si>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</si>
  <si>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</si>
  <si>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</si>
  <si>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</si>
  <si>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</si>
  <si>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</si>
  <si>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</si>
  <si>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</si>
  <si>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</si>
  <si>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</si>
  <si>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</si>
  <si>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</si>
  <si>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</si>
  <si>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</si>
  <si>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</si>
  <si>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</si>
  <si>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</si>
  <si>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</si>
  <si>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</si>
  <si>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</si>
  <si>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</si>
  <si>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</si>
  <si>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</si>
  <si>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</si>
  <si>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</si>
  <si>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</si>
  <si>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</si>
  <si>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</si>
  <si>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</si>
  <si>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</si>
  <si>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</si>
  <si>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</si>
  <si>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</si>
  <si>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</si>
  <si>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</si>
  <si>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</si>
  <si>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</si>
  <si>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</si>
  <si>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</si>
  <si>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</si>
  <si>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-0.82 ← sesgo alto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</si>
  <si>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</si>
  <si>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</si>
  <si>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</si>
  <si>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</si>
  <si>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</si>
  <si>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</si>
  <si>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</si>
  <si>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</si>
  <si>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</si>
  <si>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</si>
  <si>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</si>
  <si>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</si>
  <si>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</si>
  <si>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</si>
  <si>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</si>
  <si>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</si>
  <si>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</si>
  <si>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</si>
  <si>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</si>
  <si>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</si>
  <si>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</si>
  <si>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</si>
  <si>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</si>
  <si>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</si>
  <si>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</si>
  <si>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</si>
  <si>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</si>
  <si>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</si>
  <si>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</si>
  <si>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</si>
  <si>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</si>
  <si>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</si>
  <si>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</si>
  <si>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</si>
  <si>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</si>
  <si>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</si>
  <si>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</si>
  <si>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</si>
  <si>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</si>
  <si>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</si>
  <si>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</si>
  <si>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</si>
  <si>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</si>
  <si>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</si>
  <si>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</si>
  <si>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</si>
  <si>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</si>
  <si>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</si>
  <si>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</si>
  <si>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</si>
  <si>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</si>
  <si>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</si>
  <si>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</si>
  <si>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</si>
  <si>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</si>
  <si>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</si>
  <si>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</si>
  <si>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</si>
  <si>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</si>
  <si>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</si>
  <si>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</si>
  <si>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</si>
  <si>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1996 - 2014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</si>
  <si>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</si>
  <si>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</si>
  <si>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</si>
  <si>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</si>
  <si>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</si>
  <si>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</si>
  <si>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</si>
  <si>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</si>
  <si>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</si>
  <si>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</si>
  <si>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</si>
  <si>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</si>
  <si>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</si>
  <si>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</si>
  <si>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</si>
  <si>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</si>
  <si>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</si>
  <si>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</si>
  <si>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</si>
  <si>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</si>
  <si>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</si>
  <si>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</si>
  <si>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</si>
  <si>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</si>
  <si>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12 álbumes · media 9.06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</si>
  <si>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</si>
  <si>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</si>
  <si>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</si>
  <si>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</si>
  <si>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</si>
  <si>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</si>
  <si>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</si>
  <si>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21 álbumes · media 8.61</t>
  </si>
  <si>
    <t>2020s</t>
  </si>
  <si>
    <t>23 álbumes · media 8.29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</si>
  <si>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</si>
  <si>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</si>
  <si>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</si>
  <si>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</si>
  <si>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</si>
  <si>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</si>
  <si>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</si>
  <si>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</si>
  <si>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</si>
  <si>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</si>
  <si>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</si>
  <si>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r=-0.265 · ↓ débil</t>
  </si>
  <si>
    <t>Duración (minutos)</t>
  </si>
  <si>
    <t>r=0.021 · ≈ nula</t>
  </si>
  <si>
    <t>Mayor correlación</t>
  </si>
  <si>
    <t>Menor correlación</t>
  </si>
  <si>
    <t>Duración (r=0.021)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</si>
  <si>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</si>
  <si>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</si>
  <si>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</si>
  <si>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</si>
  <si>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</si>
  <si>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</si>
  <si>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</si>
  <si>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</si>
  <si>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</si>
  <si>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Artista *</t>
  </si>
  <si>
    <t>The Last Will And Testament</t>
  </si>
  <si>
    <t>classic rock, roots rock, blues rock</t>
  </si>
  <si>
    <t>progressive metal, death metal, , progressive rock</t>
  </si>
  <si>
    <t>8 (×276)</t>
  </si>
  <si>
    <t>8 (0.62%)</t>
  </si>
  <si>
    <t>24 (1.86%)</t>
  </si>
  <si>
    <t>124 de 125</t>
  </si>
  <si>
    <t>r=-0.179 · ≈ nula</t>
  </si>
  <si>
    <t>r=0.599 · ↑ moderada</t>
  </si>
  <si>
    <t>Notas ≥10 (r=0.599)</t>
  </si>
  <si>
    <t>3.99 ← colas pesadas</t>
  </si>
  <si>
    <t>185 (14.36%)</t>
  </si>
  <si>
    <t>534 (41.46%)</t>
  </si>
  <si>
    <t>307 (23.84%)</t>
  </si>
  <si>
    <t>230 (17.86%)</t>
  </si>
  <si>
    <t>Opeth - The Last Will And Testament (σ=0.35)</t>
  </si>
  <si>
    <t>r=0.166 · ≈ nula</t>
  </si>
  <si>
    <t>r=0.161 · ≈ nula</t>
  </si>
  <si>
    <t>r=-0.188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</si>
</sst>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</fonts>
  <fills count="19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205" fillId="193" borderId="1" xfId="0" applyFont="1" applyFill="1" applyBorder="1" applyAlignment="1">
      <alignment vertical="center"/>
    </xf>
    <xf numFmtId="0" fontId="28" fillId="194" borderId="0" xfId="0" applyFont="1" applyFill="1" applyAlignment="1">
      <alignment horizontal="center"/>
    </xf>
  </cellXfs>
  <cellStyles count="1">
    <cellStyle name="Normal" xfId="0" builtinId="0"/>
  </cellStyles>
  <dxfs count="869"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E8D4C2"/>
      <color rgb="FF302012"/>
      <color rgb="FF422100"/>
      <color rgb="FFFFF5EB"/>
      <color rgb="FF00004C"/>
      <color rgb="FFEFFFFF"/>
      <color rgb="FF340B04"/>
      <color rgb="FF90AEDA"/>
      <color rgb="FF04070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9357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zoomScale="80" zoomScaleNormal="80" workbookViewId="0">
      <pane ySplit="1" topLeftCell="A78" activePane="bottomLeft" state="frozen"/>
      <selection pane="bottomLeft" activeCell="F92" sqref="F92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1" t="s">
        <v>1357</v>
      </c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G1" s="291" t="s">
        <v>1047</v>
      </c>
      <c r="AH1" s="291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2079</v>
      </c>
      <c r="T2" s="52" t="s">
        <v>330</v>
      </c>
      <c r="U2" s="52" t="s">
        <v>331</v>
      </c>
      <c r="V2" s="52" t="s">
        <v>1018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2005</v>
      </c>
      <c r="AD2" s="52" t="s">
        <v>2006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1466</v>
      </c>
      <c r="T3" s="53" t="s">
        <v>1467</v>
      </c>
      <c r="U3" s="70">
        <v>8.83</v>
      </c>
      <c r="V3" s="148">
        <v>8.7200000000000006</v>
      </c>
      <c r="W3" s="53">
        <v>8.5</v>
      </c>
      <c r="X3" s="53">
        <v>0.57999999999999996</v>
      </c>
      <c r="Y3" s="53">
        <v>1</v>
      </c>
      <c r="Z3" s="53">
        <v>9</v>
      </c>
      <c r="AA3" s="53">
        <v>0</v>
      </c>
      <c r="AB3" s="53" t="s">
        <v>1470</v>
      </c>
      <c r="AC3" s="70">
        <v>2016</v>
      </c>
      <c r="AD3" s="70" t="s">
        <v>1986</v>
      </c>
      <c r="AG3" s="69" t="s">
        <v>1049</v>
      </c>
      <c r="AH3" s="137">
        <v>125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1466</v>
      </c>
      <c r="T4" s="69" t="s">
        <v>1717</v>
      </c>
      <c r="U4" s="71">
        <v>8.7100000000000009</v>
      </c>
      <c r="V4" s="197">
        <v>8.6199999999999992</v>
      </c>
      <c r="W4" s="69">
        <v>8.5</v>
      </c>
      <c r="X4" s="69">
        <v>0.65</v>
      </c>
      <c r="Y4" s="69">
        <v>1</v>
      </c>
      <c r="Z4" s="69">
        <v>8</v>
      </c>
      <c r="AA4" s="69">
        <v>1</v>
      </c>
      <c r="AB4" s="69" t="s">
        <v>1718</v>
      </c>
      <c r="AC4" s="71">
        <v>2016</v>
      </c>
      <c r="AD4" s="71" t="s">
        <v>1997</v>
      </c>
      <c r="AG4" s="53" t="s">
        <v>1050</v>
      </c>
      <c r="AH4" s="138">
        <v>80</v>
      </c>
      <c r="AK4" s="43"/>
      <c r="AL4" s="42">
        <v>10</v>
      </c>
      <c r="AM4" s="2" t="s">
        <v>1822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1534</v>
      </c>
      <c r="T5" s="53" t="s">
        <v>1535</v>
      </c>
      <c r="U5" s="70">
        <v>8.75</v>
      </c>
      <c r="V5" s="149">
        <v>8.6999999999999993</v>
      </c>
      <c r="W5" s="53">
        <v>8.75</v>
      </c>
      <c r="X5" s="53">
        <v>0.75</v>
      </c>
      <c r="Y5" s="53">
        <v>2</v>
      </c>
      <c r="Z5" s="53">
        <v>10</v>
      </c>
      <c r="AA5" s="53">
        <v>0</v>
      </c>
      <c r="AB5" s="53" t="s">
        <v>1536</v>
      </c>
      <c r="AC5" s="70">
        <v>1998</v>
      </c>
      <c r="AD5" s="70" t="s">
        <v>1996</v>
      </c>
      <c r="AG5" s="69" t="s">
        <v>1051</v>
      </c>
      <c r="AH5" s="137">
        <v>1347</v>
      </c>
      <c r="AK5" s="47"/>
      <c r="AL5" s="42" t="s">
        <v>243</v>
      </c>
      <c r="AM5" s="2" t="s">
        <v>1823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357</v>
      </c>
      <c r="T6" s="69" t="s">
        <v>162</v>
      </c>
      <c r="U6" s="71">
        <v>8.3800000000000008</v>
      </c>
      <c r="V6" s="235">
        <v>8.25</v>
      </c>
      <c r="W6" s="69">
        <v>8.25</v>
      </c>
      <c r="X6" s="69">
        <v>1.06</v>
      </c>
      <c r="Y6" s="69">
        <v>2</v>
      </c>
      <c r="Z6" s="69">
        <v>12</v>
      </c>
      <c r="AA6" s="69">
        <v>0</v>
      </c>
      <c r="AB6" s="69" t="s">
        <v>837</v>
      </c>
      <c r="AC6" s="71">
        <v>1992</v>
      </c>
      <c r="AD6" s="71" t="s">
        <v>1990</v>
      </c>
      <c r="AG6" s="53" t="s">
        <v>1052</v>
      </c>
      <c r="AH6" s="138">
        <v>1288</v>
      </c>
      <c r="AK6" s="46"/>
      <c r="AL6" s="42" t="s">
        <v>244</v>
      </c>
      <c r="AM6" s="2" t="s">
        <v>1824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1508</v>
      </c>
      <c r="T7" s="53" t="s">
        <v>1509</v>
      </c>
      <c r="U7" s="70">
        <v>8.73</v>
      </c>
      <c r="V7" s="132">
        <v>8.76</v>
      </c>
      <c r="W7" s="53">
        <v>8.5</v>
      </c>
      <c r="X7" s="53">
        <v>0.75</v>
      </c>
      <c r="Y7" s="53">
        <v>1</v>
      </c>
      <c r="Z7" s="53">
        <v>13</v>
      </c>
      <c r="AA7" s="53">
        <v>0</v>
      </c>
      <c r="AB7" s="53" t="s">
        <v>1510</v>
      </c>
      <c r="AC7" s="70">
        <v>1992</v>
      </c>
      <c r="AD7" s="70" t="s">
        <v>1985</v>
      </c>
      <c r="AG7" s="69" t="s">
        <v>335</v>
      </c>
      <c r="AH7" s="137">
        <v>59</v>
      </c>
      <c r="AK7" s="44"/>
      <c r="AL7" s="42" t="s">
        <v>245</v>
      </c>
      <c r="AM7" s="2" t="s">
        <v>1825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1292</v>
      </c>
      <c r="T8" s="69" t="s">
        <v>1282</v>
      </c>
      <c r="U8" s="71">
        <v>8.4499999999999993</v>
      </c>
      <c r="V8" s="186">
        <v>8.3800000000000008</v>
      </c>
      <c r="W8" s="69">
        <v>8.5</v>
      </c>
      <c r="X8" s="69">
        <v>0.78</v>
      </c>
      <c r="Y8" s="69">
        <v>1</v>
      </c>
      <c r="Z8" s="69">
        <v>11</v>
      </c>
      <c r="AA8" s="69">
        <v>0</v>
      </c>
      <c r="AB8" s="69" t="s">
        <v>1293</v>
      </c>
      <c r="AC8" s="71">
        <v>2024</v>
      </c>
      <c r="AD8" s="71" t="s">
        <v>1999</v>
      </c>
      <c r="AG8" s="53" t="s">
        <v>1053</v>
      </c>
      <c r="AH8" s="138">
        <v>10.78</v>
      </c>
      <c r="AK8" s="51"/>
      <c r="AL8" s="42" t="s">
        <v>323</v>
      </c>
      <c r="AM8" s="2" t="s">
        <v>1826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1915</v>
      </c>
      <c r="T9" s="53" t="s">
        <v>1916</v>
      </c>
      <c r="U9" s="70">
        <v>8.6</v>
      </c>
      <c r="V9" s="284">
        <v>8.52</v>
      </c>
      <c r="W9" s="53">
        <v>8.5</v>
      </c>
      <c r="X9" s="53">
        <v>0.66</v>
      </c>
      <c r="Y9" s="53">
        <v>1</v>
      </c>
      <c r="Z9" s="53">
        <v>10</v>
      </c>
      <c r="AA9" s="53">
        <v>0</v>
      </c>
      <c r="AB9" s="53" t="s">
        <v>1917</v>
      </c>
      <c r="AC9" s="70">
        <v>2024</v>
      </c>
      <c r="AD9" s="70" t="s">
        <v>1996</v>
      </c>
      <c r="AG9" s="69" t="s">
        <v>1054</v>
      </c>
      <c r="AH9" s="167">
        <v>4.3799999999999999E-2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784</v>
      </c>
      <c r="T10" s="69" t="s">
        <v>785</v>
      </c>
      <c r="U10" s="71">
        <v>8.67</v>
      </c>
      <c r="V10" s="227">
        <v>8.57</v>
      </c>
      <c r="W10" s="69">
        <v>8.5</v>
      </c>
      <c r="X10" s="69">
        <v>0.75</v>
      </c>
      <c r="Y10" s="69">
        <v>1</v>
      </c>
      <c r="Z10" s="69">
        <v>6</v>
      </c>
      <c r="AA10" s="69">
        <v>0</v>
      </c>
      <c r="AB10" s="69" t="s">
        <v>787</v>
      </c>
      <c r="AC10" s="71">
        <v>2024</v>
      </c>
      <c r="AD10" s="71" t="s">
        <v>1996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1198</v>
      </c>
      <c r="T11" s="53" t="s">
        <v>1581</v>
      </c>
      <c r="U11" s="70">
        <v>8.7200000000000006</v>
      </c>
      <c r="V11" s="54">
        <v>8.89</v>
      </c>
      <c r="W11" s="53">
        <v>8.5</v>
      </c>
      <c r="X11" s="53">
        <v>1.03</v>
      </c>
      <c r="Y11" s="53">
        <v>5</v>
      </c>
      <c r="Z11" s="53">
        <v>24</v>
      </c>
      <c r="AA11" s="53">
        <v>1</v>
      </c>
      <c r="AB11" s="53" t="s">
        <v>1584</v>
      </c>
      <c r="AC11" s="70">
        <v>2011</v>
      </c>
      <c r="AD11" s="70" t="s">
        <v>1980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-0.17499999999999999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1624</v>
      </c>
      <c r="T12" s="69" t="s">
        <v>1625</v>
      </c>
      <c r="U12" s="71">
        <v>8.9</v>
      </c>
      <c r="V12" s="220">
        <v>8.8800000000000008</v>
      </c>
      <c r="W12" s="69">
        <v>9</v>
      </c>
      <c r="X12" s="69">
        <v>0.66</v>
      </c>
      <c r="Y12" s="69">
        <v>1</v>
      </c>
      <c r="Z12" s="69">
        <v>5</v>
      </c>
      <c r="AA12" s="69">
        <v>0</v>
      </c>
      <c r="AB12" s="69" t="s">
        <v>1626</v>
      </c>
      <c r="AC12" s="71">
        <v>1974</v>
      </c>
      <c r="AD12" s="71" t="s">
        <v>1966</v>
      </c>
      <c r="AG12" s="53" t="s">
        <v>1056</v>
      </c>
      <c r="AH12" s="138">
        <v>8.59</v>
      </c>
      <c r="AK12" s="17" t="s">
        <v>1820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1245</v>
      </c>
      <c r="T13" s="53" t="s">
        <v>1246</v>
      </c>
      <c r="U13" s="70">
        <v>8.5299999999999994</v>
      </c>
      <c r="V13" s="253">
        <v>8.4499999999999993</v>
      </c>
      <c r="W13" s="53">
        <v>8.5</v>
      </c>
      <c r="X13" s="53">
        <v>0.96</v>
      </c>
      <c r="Y13" s="53">
        <v>3</v>
      </c>
      <c r="Z13" s="53">
        <v>15</v>
      </c>
      <c r="AA13" s="53">
        <v>0</v>
      </c>
      <c r="AB13" s="53" t="s">
        <v>1250</v>
      </c>
      <c r="AC13" s="70">
        <v>2024</v>
      </c>
      <c r="AD13" s="70" t="s">
        <v>1965</v>
      </c>
      <c r="AG13" s="69" t="s">
        <v>1057</v>
      </c>
      <c r="AH13" s="137">
        <v>8.5</v>
      </c>
      <c r="AK13" t="s">
        <v>1821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1582</v>
      </c>
      <c r="T14" s="69" t="s">
        <v>1583</v>
      </c>
      <c r="U14" s="71">
        <v>8.67</v>
      </c>
      <c r="V14" s="218">
        <v>9</v>
      </c>
      <c r="W14" s="69">
        <v>8.5</v>
      </c>
      <c r="X14" s="69">
        <v>0.98</v>
      </c>
      <c r="Y14" s="69">
        <v>5</v>
      </c>
      <c r="Z14" s="69">
        <v>26</v>
      </c>
      <c r="AA14" s="69">
        <v>0</v>
      </c>
      <c r="AB14" s="69" t="s">
        <v>1584</v>
      </c>
      <c r="AC14" s="71">
        <v>2017</v>
      </c>
      <c r="AD14" s="71" t="s">
        <v>1966</v>
      </c>
      <c r="AG14" s="53" t="s">
        <v>1058</v>
      </c>
      <c r="AH14" s="138" t="s">
        <v>2083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407</v>
      </c>
      <c r="T15" s="53" t="s">
        <v>401</v>
      </c>
      <c r="U15" s="70">
        <v>8.6999999999999993</v>
      </c>
      <c r="V15" s="148">
        <v>8.7200000000000006</v>
      </c>
      <c r="W15" s="53">
        <v>8.5</v>
      </c>
      <c r="X15" s="53">
        <v>1.08</v>
      </c>
      <c r="Y15" s="53">
        <v>2</v>
      </c>
      <c r="Z15" s="53">
        <v>10</v>
      </c>
      <c r="AA15" s="53">
        <v>0</v>
      </c>
      <c r="AB15" s="53" t="s">
        <v>777</v>
      </c>
      <c r="AC15" s="70">
        <v>1990</v>
      </c>
      <c r="AD15" s="70" t="s">
        <v>1994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355</v>
      </c>
      <c r="T16" s="69" t="s">
        <v>1650</v>
      </c>
      <c r="U16" s="71">
        <v>8.94</v>
      </c>
      <c r="V16" s="219">
        <v>8.9499999999999993</v>
      </c>
      <c r="W16" s="69">
        <v>8.5</v>
      </c>
      <c r="X16" s="69">
        <v>0.76</v>
      </c>
      <c r="Y16" s="69">
        <v>2</v>
      </c>
      <c r="Z16" s="69">
        <v>10</v>
      </c>
      <c r="AA16" s="69">
        <v>1</v>
      </c>
      <c r="AB16" s="69" t="s">
        <v>1668</v>
      </c>
      <c r="AC16" s="71">
        <v>2000</v>
      </c>
      <c r="AD16" s="71" t="s">
        <v>1965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355</v>
      </c>
      <c r="T17" s="53" t="s">
        <v>1008</v>
      </c>
      <c r="U17" s="70">
        <v>8.73</v>
      </c>
      <c r="V17" s="179">
        <v>8.85</v>
      </c>
      <c r="W17" s="53">
        <v>9</v>
      </c>
      <c r="X17" s="53">
        <v>0.96</v>
      </c>
      <c r="Y17" s="53">
        <v>2</v>
      </c>
      <c r="Z17" s="53">
        <v>11</v>
      </c>
      <c r="AA17" s="53">
        <v>0</v>
      </c>
      <c r="AB17" s="53" t="s">
        <v>1014</v>
      </c>
      <c r="AC17" s="70">
        <v>2002</v>
      </c>
      <c r="AD17" s="70" t="s">
        <v>1967</v>
      </c>
      <c r="AG17" s="69" t="s">
        <v>1060</v>
      </c>
      <c r="AH17" s="137">
        <v>1.07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355</v>
      </c>
      <c r="T18" s="69" t="s">
        <v>160</v>
      </c>
      <c r="U18" s="71">
        <v>8.65</v>
      </c>
      <c r="V18" s="133">
        <v>8.56</v>
      </c>
      <c r="W18" s="69">
        <v>8.5</v>
      </c>
      <c r="X18" s="69">
        <v>0.72</v>
      </c>
      <c r="Y18" s="69">
        <v>2</v>
      </c>
      <c r="Z18" s="69">
        <v>13</v>
      </c>
      <c r="AA18" s="69">
        <v>0</v>
      </c>
      <c r="AB18" s="69" t="s">
        <v>798</v>
      </c>
      <c r="AC18" s="71">
        <v>2005</v>
      </c>
      <c r="AD18" s="71" t="s">
        <v>1993</v>
      </c>
      <c r="AG18" s="53" t="s">
        <v>1061</v>
      </c>
      <c r="AH18" s="139">
        <v>0.1249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347</v>
      </c>
      <c r="T19" s="53" t="s">
        <v>159</v>
      </c>
      <c r="U19" s="70">
        <v>9</v>
      </c>
      <c r="V19" s="141">
        <v>9.09</v>
      </c>
      <c r="W19" s="53">
        <v>9</v>
      </c>
      <c r="X19" s="53">
        <v>0.85</v>
      </c>
      <c r="Y19" s="53">
        <v>3</v>
      </c>
      <c r="Z19" s="53">
        <v>14</v>
      </c>
      <c r="AA19" s="53">
        <v>1</v>
      </c>
      <c r="AB19" s="53" t="s">
        <v>773</v>
      </c>
      <c r="AC19" s="70">
        <v>2001</v>
      </c>
      <c r="AD19" s="70" t="s">
        <v>1972</v>
      </c>
      <c r="AG19" s="69" t="s">
        <v>1062</v>
      </c>
      <c r="AH19" s="137" t="s">
        <v>1843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347</v>
      </c>
      <c r="T20" s="69" t="s">
        <v>642</v>
      </c>
      <c r="U20" s="71">
        <v>8.77</v>
      </c>
      <c r="V20" s="180">
        <v>8.7899999999999991</v>
      </c>
      <c r="W20" s="69">
        <v>8.5</v>
      </c>
      <c r="X20" s="69">
        <v>0.99</v>
      </c>
      <c r="Y20" s="69">
        <v>3</v>
      </c>
      <c r="Z20" s="69">
        <v>13</v>
      </c>
      <c r="AA20" s="69">
        <v>0</v>
      </c>
      <c r="AB20" s="69" t="s">
        <v>773</v>
      </c>
      <c r="AC20" s="71">
        <v>2013</v>
      </c>
      <c r="AD20" s="71" t="s">
        <v>1985</v>
      </c>
      <c r="AG20" s="53" t="s">
        <v>1063</v>
      </c>
      <c r="AH20" s="138" t="s">
        <v>1881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347</v>
      </c>
      <c r="T21" s="53" t="s">
        <v>706</v>
      </c>
      <c r="U21" s="70">
        <v>8.07</v>
      </c>
      <c r="V21" s="190">
        <v>7.95</v>
      </c>
      <c r="W21" s="53">
        <v>8</v>
      </c>
      <c r="X21" s="53">
        <v>1.07</v>
      </c>
      <c r="Y21" s="53">
        <v>2</v>
      </c>
      <c r="Z21" s="53">
        <v>16</v>
      </c>
      <c r="AA21" s="53">
        <v>2</v>
      </c>
      <c r="AB21" s="53" t="s">
        <v>773</v>
      </c>
      <c r="AC21" s="70">
        <v>1997</v>
      </c>
      <c r="AD21" s="70" t="s">
        <v>1985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347</v>
      </c>
      <c r="T22" s="69" t="s">
        <v>1587</v>
      </c>
      <c r="U22" s="71">
        <v>8</v>
      </c>
      <c r="V22" s="240">
        <v>7.79</v>
      </c>
      <c r="W22" s="69">
        <v>7.5</v>
      </c>
      <c r="X22" s="69">
        <v>0.88</v>
      </c>
      <c r="Y22" s="69">
        <v>0</v>
      </c>
      <c r="Z22" s="69">
        <v>10</v>
      </c>
      <c r="AA22" s="69">
        <v>1</v>
      </c>
      <c r="AB22" s="69" t="s">
        <v>1598</v>
      </c>
      <c r="AC22" s="71">
        <v>2005</v>
      </c>
      <c r="AD22" s="71" t="s">
        <v>1983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507</v>
      </c>
      <c r="T23" s="53" t="s">
        <v>508</v>
      </c>
      <c r="U23" s="70">
        <v>7.67</v>
      </c>
      <c r="V23" s="243">
        <v>7.66</v>
      </c>
      <c r="W23" s="53">
        <v>8</v>
      </c>
      <c r="X23" s="53">
        <v>0.59</v>
      </c>
      <c r="Y23" s="53">
        <v>0</v>
      </c>
      <c r="Z23" s="53">
        <v>12</v>
      </c>
      <c r="AA23" s="53">
        <v>0</v>
      </c>
      <c r="AB23" s="53" t="s">
        <v>782</v>
      </c>
      <c r="AC23" s="70">
        <v>2021</v>
      </c>
      <c r="AD23" s="70" t="s">
        <v>1997</v>
      </c>
      <c r="AG23" s="69" t="s">
        <v>1065</v>
      </c>
      <c r="AH23" s="137" t="s">
        <v>1954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1260</v>
      </c>
      <c r="T24" s="69" t="s">
        <v>1254</v>
      </c>
      <c r="U24" s="71">
        <v>8.75</v>
      </c>
      <c r="V24" s="225">
        <v>8.6300000000000008</v>
      </c>
      <c r="W24" s="69">
        <v>8.5</v>
      </c>
      <c r="X24" s="69">
        <v>0.8</v>
      </c>
      <c r="Y24" s="69">
        <v>1</v>
      </c>
      <c r="Z24" s="69">
        <v>7</v>
      </c>
      <c r="AA24" s="69">
        <v>1</v>
      </c>
      <c r="AB24" s="69" t="s">
        <v>1261</v>
      </c>
      <c r="AC24" s="71">
        <v>2013</v>
      </c>
      <c r="AD24" s="71" t="s">
        <v>1975</v>
      </c>
      <c r="AG24" s="53" t="s">
        <v>1066</v>
      </c>
      <c r="AH24" s="138" t="s">
        <v>2090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1215</v>
      </c>
      <c r="T25" s="53" t="s">
        <v>1216</v>
      </c>
      <c r="U25" s="70">
        <v>7.71</v>
      </c>
      <c r="V25" s="191">
        <v>7.61</v>
      </c>
      <c r="W25" s="53">
        <v>7.5</v>
      </c>
      <c r="X25" s="53">
        <v>0.45</v>
      </c>
      <c r="Y25" s="53">
        <v>0</v>
      </c>
      <c r="Z25" s="53">
        <v>8</v>
      </c>
      <c r="AA25" s="53">
        <v>1</v>
      </c>
      <c r="AB25" s="53" t="s">
        <v>1218</v>
      </c>
      <c r="AC25" s="70">
        <v>2020</v>
      </c>
      <c r="AD25" s="70" t="s">
        <v>2002</v>
      </c>
      <c r="AK25" t="s">
        <v>1827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351</v>
      </c>
      <c r="T26" s="69" t="s">
        <v>95</v>
      </c>
      <c r="U26" s="71">
        <v>8.83</v>
      </c>
      <c r="V26" s="222">
        <v>8.84</v>
      </c>
      <c r="W26" s="69">
        <v>8.5</v>
      </c>
      <c r="X26" s="69">
        <v>0.94</v>
      </c>
      <c r="Y26" s="69">
        <v>2</v>
      </c>
      <c r="Z26" s="69">
        <v>9</v>
      </c>
      <c r="AA26" s="69">
        <v>0</v>
      </c>
      <c r="AB26" s="69" t="s">
        <v>775</v>
      </c>
      <c r="AC26" s="71">
        <v>1985</v>
      </c>
      <c r="AD26" s="71" t="s">
        <v>1967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351</v>
      </c>
      <c r="T27" s="53" t="s">
        <v>351</v>
      </c>
      <c r="U27" s="70">
        <v>8.83</v>
      </c>
      <c r="V27" s="178">
        <v>8.86</v>
      </c>
      <c r="W27" s="53">
        <v>8.5</v>
      </c>
      <c r="X27" s="53">
        <v>0.82</v>
      </c>
      <c r="Y27" s="53">
        <v>2</v>
      </c>
      <c r="Z27" s="53">
        <v>9</v>
      </c>
      <c r="AA27" s="53">
        <v>0</v>
      </c>
      <c r="AB27" s="53" t="s">
        <v>1230</v>
      </c>
      <c r="AC27" s="70">
        <v>1978</v>
      </c>
      <c r="AD27" s="70" t="s">
        <v>1965</v>
      </c>
      <c r="AG27" s="69" t="s">
        <v>1068</v>
      </c>
      <c r="AH27" s="137" t="s">
        <v>2084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1919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661</v>
      </c>
      <c r="T28" s="69" t="s">
        <v>662</v>
      </c>
      <c r="U28" s="71">
        <v>7.72</v>
      </c>
      <c r="V28" s="242">
        <v>7.7</v>
      </c>
      <c r="W28" s="69">
        <v>8</v>
      </c>
      <c r="X28" s="69">
        <v>0.57999999999999996</v>
      </c>
      <c r="Y28" s="69">
        <v>0</v>
      </c>
      <c r="Z28" s="69">
        <v>18</v>
      </c>
      <c r="AA28" s="69">
        <v>0</v>
      </c>
      <c r="AB28" s="69" t="s">
        <v>796</v>
      </c>
      <c r="AC28" s="71">
        <v>2026</v>
      </c>
      <c r="AD28" s="71" t="s">
        <v>1982</v>
      </c>
      <c r="AG28" s="53" t="s">
        <v>1069</v>
      </c>
      <c r="AH28" s="138" t="s">
        <v>2085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1038</v>
      </c>
      <c r="T29" s="53" t="s">
        <v>1039</v>
      </c>
      <c r="U29" s="70">
        <v>8.5500000000000007</v>
      </c>
      <c r="V29" s="229">
        <v>8.4700000000000006</v>
      </c>
      <c r="W29" s="53">
        <v>8.5</v>
      </c>
      <c r="X29" s="53">
        <v>0.69</v>
      </c>
      <c r="Y29" s="53">
        <v>1</v>
      </c>
      <c r="Z29" s="53">
        <v>12</v>
      </c>
      <c r="AA29" s="53">
        <v>1</v>
      </c>
      <c r="AB29" s="53" t="s">
        <v>790</v>
      </c>
      <c r="AC29" s="70">
        <v>1999</v>
      </c>
      <c r="AD29" s="70" t="s">
        <v>1962</v>
      </c>
      <c r="AG29" s="69" t="s">
        <v>1070</v>
      </c>
      <c r="AH29" s="137" t="s">
        <v>2091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1679</v>
      </c>
      <c r="T30" s="69" t="s">
        <v>1675</v>
      </c>
      <c r="U30" s="71">
        <v>8.75</v>
      </c>
      <c r="V30" s="203">
        <v>8.65</v>
      </c>
      <c r="W30" s="69">
        <v>8.5</v>
      </c>
      <c r="X30" s="69">
        <v>0.56000000000000005</v>
      </c>
      <c r="Y30" s="69">
        <v>1</v>
      </c>
      <c r="Z30" s="69">
        <v>9</v>
      </c>
      <c r="AA30" s="69">
        <v>1</v>
      </c>
      <c r="AB30" s="69" t="s">
        <v>1682</v>
      </c>
      <c r="AC30" s="71">
        <v>2000</v>
      </c>
      <c r="AD30" s="71" t="s">
        <v>1961</v>
      </c>
      <c r="AG30" s="53" t="s">
        <v>1071</v>
      </c>
      <c r="AH30" s="138" t="s">
        <v>2092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1012</v>
      </c>
      <c r="T31" s="53" t="s">
        <v>1010</v>
      </c>
      <c r="U31" s="70">
        <v>10.5</v>
      </c>
      <c r="V31" s="127">
        <v>10.85</v>
      </c>
      <c r="W31" s="53">
        <v>10.5</v>
      </c>
      <c r="X31" s="53">
        <v>0</v>
      </c>
      <c r="Y31" s="53">
        <v>1</v>
      </c>
      <c r="Z31" s="53">
        <v>1</v>
      </c>
      <c r="AA31" s="53">
        <v>0</v>
      </c>
      <c r="AB31" s="53" t="s">
        <v>1013</v>
      </c>
      <c r="AC31" s="70">
        <v>1996</v>
      </c>
      <c r="AD31" s="70" t="s">
        <v>1957</v>
      </c>
      <c r="AG31" s="69" t="s">
        <v>1072</v>
      </c>
      <c r="AH31" s="137" t="s">
        <v>2093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354</v>
      </c>
      <c r="T32" s="69" t="s">
        <v>161</v>
      </c>
      <c r="U32" s="71">
        <v>8.67</v>
      </c>
      <c r="V32" s="227">
        <v>8.57</v>
      </c>
      <c r="W32" s="69">
        <v>8.5</v>
      </c>
      <c r="X32" s="69">
        <v>0.77</v>
      </c>
      <c r="Y32" s="69">
        <v>2</v>
      </c>
      <c r="Z32" s="69">
        <v>12</v>
      </c>
      <c r="AA32" s="69">
        <v>0</v>
      </c>
      <c r="AB32" s="69" t="s">
        <v>779</v>
      </c>
      <c r="AC32" s="71">
        <v>1977</v>
      </c>
      <c r="AD32" s="71" t="s">
        <v>1989</v>
      </c>
      <c r="AG32" s="53" t="s">
        <v>1073</v>
      </c>
      <c r="AH32" s="138" t="s">
        <v>2094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546</v>
      </c>
      <c r="T33" s="53" t="s">
        <v>547</v>
      </c>
      <c r="U33" s="70">
        <v>8.5</v>
      </c>
      <c r="V33" s="230">
        <v>8.43</v>
      </c>
      <c r="W33" s="53">
        <v>8.5</v>
      </c>
      <c r="X33" s="53">
        <v>0.59</v>
      </c>
      <c r="Y33" s="53">
        <v>0</v>
      </c>
      <c r="Z33" s="53">
        <v>17</v>
      </c>
      <c r="AA33" s="53">
        <v>4</v>
      </c>
      <c r="AB33" s="53" t="s">
        <v>799</v>
      </c>
      <c r="AC33" s="70">
        <v>2016</v>
      </c>
      <c r="AD33" s="70" t="s">
        <v>1997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1409</v>
      </c>
      <c r="T34" s="69" t="s">
        <v>1402</v>
      </c>
      <c r="U34" s="71">
        <v>8.86</v>
      </c>
      <c r="V34" s="222">
        <v>8.83</v>
      </c>
      <c r="W34" s="69">
        <v>9</v>
      </c>
      <c r="X34" s="69">
        <v>0.69</v>
      </c>
      <c r="Y34" s="69">
        <v>1</v>
      </c>
      <c r="Z34" s="69">
        <v>7</v>
      </c>
      <c r="AA34" s="69">
        <v>0</v>
      </c>
      <c r="AB34" s="69" t="s">
        <v>1411</v>
      </c>
      <c r="AC34" s="71">
        <v>1971</v>
      </c>
      <c r="AD34" s="71" t="s">
        <v>1984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1358</v>
      </c>
      <c r="T35" s="53" t="s">
        <v>1349</v>
      </c>
      <c r="U35" s="70">
        <v>8.9499999999999993</v>
      </c>
      <c r="V35" s="290">
        <v>8.91</v>
      </c>
      <c r="W35" s="53">
        <v>9</v>
      </c>
      <c r="X35" s="53">
        <v>0.54</v>
      </c>
      <c r="Y35" s="53">
        <v>1</v>
      </c>
      <c r="Z35" s="53">
        <v>11</v>
      </c>
      <c r="AA35" s="53">
        <v>0</v>
      </c>
      <c r="AB35" s="53" t="s">
        <v>1362</v>
      </c>
      <c r="AC35" s="70">
        <v>2025</v>
      </c>
      <c r="AD35" s="70" t="s">
        <v>1983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688</v>
      </c>
      <c r="T36" s="69" t="s">
        <v>689</v>
      </c>
      <c r="U36" s="71">
        <v>9.8800000000000008</v>
      </c>
      <c r="V36" s="127">
        <v>10.220000000000001</v>
      </c>
      <c r="W36" s="69">
        <v>10</v>
      </c>
      <c r="X36" s="69">
        <v>0.65</v>
      </c>
      <c r="Y36" s="69">
        <v>2</v>
      </c>
      <c r="Z36" s="69">
        <v>4</v>
      </c>
      <c r="AA36" s="69">
        <v>0</v>
      </c>
      <c r="AB36" s="69" t="s">
        <v>1828</v>
      </c>
      <c r="AC36" s="71">
        <v>2026</v>
      </c>
      <c r="AD36" s="71" t="s">
        <v>1957</v>
      </c>
      <c r="AG36" s="53" t="s">
        <v>1077</v>
      </c>
      <c r="AH36" s="138" t="s">
        <v>1844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1552</v>
      </c>
      <c r="T37" s="53" t="s">
        <v>1553</v>
      </c>
      <c r="U37" s="70">
        <v>8.82</v>
      </c>
      <c r="V37" s="222">
        <v>8.84</v>
      </c>
      <c r="W37" s="53">
        <v>8.5</v>
      </c>
      <c r="X37" s="53">
        <v>0.81</v>
      </c>
      <c r="Y37" s="53">
        <v>2</v>
      </c>
      <c r="Z37" s="53">
        <v>12</v>
      </c>
      <c r="AA37" s="53">
        <v>1</v>
      </c>
      <c r="AB37" s="53" t="s">
        <v>792</v>
      </c>
      <c r="AC37" s="70">
        <v>2005</v>
      </c>
      <c r="AD37" s="70" t="s">
        <v>1976</v>
      </c>
      <c r="AG37" s="69" t="s">
        <v>1078</v>
      </c>
      <c r="AH37" s="137" t="s">
        <v>2095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1552</v>
      </c>
      <c r="T38" s="69" t="s">
        <v>1609</v>
      </c>
      <c r="U38" s="71">
        <v>8.44</v>
      </c>
      <c r="V38" s="187">
        <v>8.34</v>
      </c>
      <c r="W38" s="69">
        <v>8.5</v>
      </c>
      <c r="X38" s="69">
        <v>1.28</v>
      </c>
      <c r="Y38" s="69">
        <v>2</v>
      </c>
      <c r="Z38" s="69">
        <v>10</v>
      </c>
      <c r="AA38" s="69">
        <v>1</v>
      </c>
      <c r="AB38" s="69" t="s">
        <v>1614</v>
      </c>
      <c r="AC38" s="71">
        <v>2016</v>
      </c>
      <c r="AD38" s="71" t="s">
        <v>1996</v>
      </c>
      <c r="AG38" s="53" t="s">
        <v>1079</v>
      </c>
      <c r="AH38" s="138" t="s">
        <v>1845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732</v>
      </c>
      <c r="T39" s="53" t="s">
        <v>1454</v>
      </c>
      <c r="U39" s="70">
        <v>8.8800000000000008</v>
      </c>
      <c r="V39" s="54">
        <v>8.89</v>
      </c>
      <c r="W39" s="53">
        <v>8.5</v>
      </c>
      <c r="X39" s="53">
        <v>0.74</v>
      </c>
      <c r="Y39" s="53">
        <v>2</v>
      </c>
      <c r="Z39" s="53">
        <v>15</v>
      </c>
      <c r="AA39" s="53">
        <v>2</v>
      </c>
      <c r="AB39" s="53" t="s">
        <v>1455</v>
      </c>
      <c r="AC39" s="70">
        <v>2005</v>
      </c>
      <c r="AD39" s="70" t="s">
        <v>1971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732</v>
      </c>
      <c r="T40" s="69" t="s">
        <v>728</v>
      </c>
      <c r="U40" s="71">
        <v>8.67</v>
      </c>
      <c r="V40" s="224">
        <v>8.75</v>
      </c>
      <c r="W40" s="69">
        <v>8</v>
      </c>
      <c r="X40" s="69">
        <v>1.04</v>
      </c>
      <c r="Y40" s="69">
        <v>4</v>
      </c>
      <c r="Z40" s="69">
        <v>16</v>
      </c>
      <c r="AA40" s="69">
        <v>1</v>
      </c>
      <c r="AB40" s="69" t="s">
        <v>793</v>
      </c>
      <c r="AC40" s="71">
        <v>2010</v>
      </c>
      <c r="AD40" s="71" t="s">
        <v>1992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732</v>
      </c>
      <c r="T41" s="53" t="s">
        <v>1311</v>
      </c>
      <c r="U41" s="70">
        <v>8.11</v>
      </c>
      <c r="V41" s="189">
        <v>8</v>
      </c>
      <c r="W41" s="53">
        <v>8</v>
      </c>
      <c r="X41" s="53">
        <v>0.71</v>
      </c>
      <c r="Y41" s="53">
        <v>0</v>
      </c>
      <c r="Z41" s="53">
        <v>15</v>
      </c>
      <c r="AA41" s="53">
        <v>1</v>
      </c>
      <c r="AB41" s="53" t="s">
        <v>1327</v>
      </c>
      <c r="AC41" s="70">
        <v>2026</v>
      </c>
      <c r="AD41" s="70" t="s">
        <v>1976</v>
      </c>
      <c r="AG41" s="69" t="s">
        <v>1081</v>
      </c>
      <c r="AH41" s="137" t="s">
        <v>2086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346</v>
      </c>
      <c r="T42" s="69" t="s">
        <v>189</v>
      </c>
      <c r="U42" s="71">
        <v>9.2100000000000009</v>
      </c>
      <c r="V42" s="213">
        <v>9.34</v>
      </c>
      <c r="W42" s="69">
        <v>9.25</v>
      </c>
      <c r="X42" s="69">
        <v>0.85</v>
      </c>
      <c r="Y42" s="69">
        <v>5</v>
      </c>
      <c r="Z42" s="69">
        <v>13</v>
      </c>
      <c r="AA42" s="69">
        <v>1</v>
      </c>
      <c r="AB42" s="69" t="s">
        <v>772</v>
      </c>
      <c r="AC42" s="71">
        <v>2008</v>
      </c>
      <c r="AD42" s="71" t="s">
        <v>1970</v>
      </c>
      <c r="AG42" s="53" t="s">
        <v>1082</v>
      </c>
      <c r="AH42" s="138">
        <v>84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429</v>
      </c>
      <c r="T43" s="53" t="s">
        <v>430</v>
      </c>
      <c r="U43" s="70">
        <v>7.29</v>
      </c>
      <c r="V43" s="246">
        <v>7.16</v>
      </c>
      <c r="W43" s="53">
        <v>7</v>
      </c>
      <c r="X43" s="53">
        <v>0.52</v>
      </c>
      <c r="Y43" s="53">
        <v>0</v>
      </c>
      <c r="Z43" s="53">
        <v>7</v>
      </c>
      <c r="AA43" s="53">
        <v>0</v>
      </c>
      <c r="AB43" s="53" t="s">
        <v>797</v>
      </c>
      <c r="AC43" s="70">
        <v>2021</v>
      </c>
      <c r="AD43" s="70" t="s">
        <v>2003</v>
      </c>
      <c r="AG43" s="69" t="s">
        <v>1083</v>
      </c>
      <c r="AH43" s="137" t="s">
        <v>1882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754</v>
      </c>
      <c r="T44" s="69" t="s">
        <v>755</v>
      </c>
      <c r="U44" s="71">
        <v>8.86</v>
      </c>
      <c r="V44" s="224">
        <v>8.75</v>
      </c>
      <c r="W44" s="69">
        <v>8.5</v>
      </c>
      <c r="X44" s="69">
        <v>0.77</v>
      </c>
      <c r="Y44" s="69">
        <v>3</v>
      </c>
      <c r="Z44" s="69">
        <v>11</v>
      </c>
      <c r="AA44" s="69">
        <v>0</v>
      </c>
      <c r="AB44" s="69" t="s">
        <v>855</v>
      </c>
      <c r="AC44" s="71">
        <v>2002</v>
      </c>
      <c r="AD44" s="71" t="s">
        <v>1982</v>
      </c>
      <c r="AG44" s="53" t="s">
        <v>1084</v>
      </c>
      <c r="AH44" s="138" t="s">
        <v>1846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1729</v>
      </c>
      <c r="T45" s="53" t="s">
        <v>1725</v>
      </c>
      <c r="U45" s="70">
        <v>8.81</v>
      </c>
      <c r="V45" s="149">
        <v>8.6999999999999993</v>
      </c>
      <c r="W45" s="53">
        <v>8.5</v>
      </c>
      <c r="X45" s="53">
        <v>0.83</v>
      </c>
      <c r="Y45" s="53">
        <v>2</v>
      </c>
      <c r="Z45" s="53">
        <v>8</v>
      </c>
      <c r="AA45" s="53">
        <v>0</v>
      </c>
      <c r="AB45" s="53" t="s">
        <v>1380</v>
      </c>
      <c r="AC45" s="70">
        <v>1982</v>
      </c>
      <c r="AD45" s="70" t="s">
        <v>1973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682</v>
      </c>
      <c r="T46" s="69" t="s">
        <v>683</v>
      </c>
      <c r="U46" s="71">
        <v>7.06</v>
      </c>
      <c r="V46" s="247">
        <v>6.99</v>
      </c>
      <c r="W46" s="69">
        <v>7</v>
      </c>
      <c r="X46" s="69">
        <v>0.44</v>
      </c>
      <c r="Y46" s="69">
        <v>0</v>
      </c>
      <c r="Z46" s="69">
        <v>10</v>
      </c>
      <c r="AA46" s="69">
        <v>1</v>
      </c>
      <c r="AB46" s="69" t="s">
        <v>790</v>
      </c>
      <c r="AC46" s="71">
        <v>2026</v>
      </c>
      <c r="AD46" s="71" t="s">
        <v>2004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1486</v>
      </c>
      <c r="T47" s="53" t="s">
        <v>1491</v>
      </c>
      <c r="U47" s="70">
        <v>8.8000000000000007</v>
      </c>
      <c r="V47" s="199">
        <v>8.68</v>
      </c>
      <c r="W47" s="53">
        <v>8.5</v>
      </c>
      <c r="X47" s="53">
        <v>0.7</v>
      </c>
      <c r="Y47" s="53">
        <v>2</v>
      </c>
      <c r="Z47" s="53">
        <v>15</v>
      </c>
      <c r="AA47" s="53">
        <v>0</v>
      </c>
      <c r="AB47" s="53" t="s">
        <v>1488</v>
      </c>
      <c r="AC47" s="70">
        <v>2012</v>
      </c>
      <c r="AD47" s="70" t="s">
        <v>1972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358</v>
      </c>
      <c r="T48" s="69" t="s">
        <v>312</v>
      </c>
      <c r="U48" s="71">
        <v>8.35</v>
      </c>
      <c r="V48" s="237">
        <v>8.1999999999999993</v>
      </c>
      <c r="W48" s="69">
        <v>8</v>
      </c>
      <c r="X48" s="69">
        <v>0.78</v>
      </c>
      <c r="Y48" s="69">
        <v>1</v>
      </c>
      <c r="Z48" s="69">
        <v>10</v>
      </c>
      <c r="AA48" s="69">
        <v>0</v>
      </c>
      <c r="AB48" s="69" t="s">
        <v>839</v>
      </c>
      <c r="AC48" s="71">
        <v>1979</v>
      </c>
      <c r="AD48" s="71" t="s">
        <v>1989</v>
      </c>
      <c r="AG48" s="53" t="s">
        <v>1088</v>
      </c>
      <c r="AH48" s="138" t="s">
        <v>1420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832</v>
      </c>
      <c r="T49" s="53" t="s">
        <v>833</v>
      </c>
      <c r="U49" s="70">
        <v>8.82</v>
      </c>
      <c r="V49" s="180">
        <v>8.7899999999999991</v>
      </c>
      <c r="W49" s="53">
        <v>9</v>
      </c>
      <c r="X49" s="53">
        <v>0.86</v>
      </c>
      <c r="Y49" s="53">
        <v>3</v>
      </c>
      <c r="Z49" s="53">
        <v>13</v>
      </c>
      <c r="AA49" s="53">
        <v>2</v>
      </c>
      <c r="AB49" s="53" t="s">
        <v>834</v>
      </c>
      <c r="AC49" s="70">
        <v>2010</v>
      </c>
      <c r="AD49" s="70" t="s">
        <v>1986</v>
      </c>
      <c r="AG49" s="69" t="s">
        <v>1094</v>
      </c>
      <c r="AH49" s="137" t="s">
        <v>1154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832</v>
      </c>
      <c r="T50" s="69" t="s">
        <v>1942</v>
      </c>
      <c r="U50" s="71">
        <v>7.31</v>
      </c>
      <c r="V50" s="288">
        <v>7.2</v>
      </c>
      <c r="W50" s="69">
        <v>7.25</v>
      </c>
      <c r="X50" s="69">
        <v>0.73</v>
      </c>
      <c r="Y50" s="69">
        <v>0</v>
      </c>
      <c r="Z50" s="69">
        <v>18</v>
      </c>
      <c r="AA50" s="69">
        <v>0</v>
      </c>
      <c r="AB50" s="69" t="s">
        <v>1138</v>
      </c>
      <c r="AC50" s="71">
        <v>2026</v>
      </c>
      <c r="AD50" s="71" t="s">
        <v>1960</v>
      </c>
      <c r="AG50" s="53" t="s">
        <v>1090</v>
      </c>
      <c r="AH50" s="138" t="s">
        <v>1091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1436</v>
      </c>
      <c r="T51" s="53" t="s">
        <v>1437</v>
      </c>
      <c r="U51" s="70">
        <v>8.0500000000000007</v>
      </c>
      <c r="V51" s="190">
        <v>7.95</v>
      </c>
      <c r="W51" s="53">
        <v>8</v>
      </c>
      <c r="X51" s="53">
        <v>0.72</v>
      </c>
      <c r="Y51" s="53">
        <v>0</v>
      </c>
      <c r="Z51" s="53">
        <v>10</v>
      </c>
      <c r="AA51" s="53">
        <v>0</v>
      </c>
      <c r="AB51" s="53" t="s">
        <v>767</v>
      </c>
      <c r="AC51" s="70">
        <v>2026</v>
      </c>
      <c r="AD51" s="70" t="s">
        <v>1991</v>
      </c>
      <c r="AG51" s="69" t="s">
        <v>1093</v>
      </c>
      <c r="AH51" s="137" t="s">
        <v>2027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1398</v>
      </c>
      <c r="T52" s="69" t="s">
        <v>1399</v>
      </c>
      <c r="U52" s="71">
        <v>8.82</v>
      </c>
      <c r="V52" s="220">
        <v>8.8800000000000008</v>
      </c>
      <c r="W52" s="69">
        <v>8.75</v>
      </c>
      <c r="X52" s="69">
        <v>0.92</v>
      </c>
      <c r="Y52" s="69">
        <v>3</v>
      </c>
      <c r="Z52" s="69">
        <v>16</v>
      </c>
      <c r="AA52" s="69">
        <v>2</v>
      </c>
      <c r="AB52" s="69" t="s">
        <v>1400</v>
      </c>
      <c r="AC52" s="71">
        <v>2015</v>
      </c>
      <c r="AD52" s="71" t="s">
        <v>1981</v>
      </c>
      <c r="AG52" s="53" t="s">
        <v>1116</v>
      </c>
      <c r="AH52" s="138" t="s">
        <v>1829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1868</v>
      </c>
      <c r="T53" s="53" t="s">
        <v>1868</v>
      </c>
      <c r="U53" s="70">
        <v>8.2899999999999991</v>
      </c>
      <c r="V53" s="188">
        <v>8.16</v>
      </c>
      <c r="W53" s="53">
        <v>8</v>
      </c>
      <c r="X53" s="53">
        <v>0.52</v>
      </c>
      <c r="Y53" s="53">
        <v>0</v>
      </c>
      <c r="Z53" s="53">
        <v>7</v>
      </c>
      <c r="AA53" s="53">
        <v>0</v>
      </c>
      <c r="AB53" s="53" t="s">
        <v>1869</v>
      </c>
      <c r="AC53" s="70">
        <v>2018</v>
      </c>
      <c r="AD53" s="70" t="s">
        <v>2001</v>
      </c>
      <c r="AG53" s="69" t="s">
        <v>1095</v>
      </c>
      <c r="AH53" s="137" t="s">
        <v>1096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341</v>
      </c>
      <c r="T54" s="69" t="s">
        <v>1202</v>
      </c>
      <c r="U54" s="71">
        <v>9.4</v>
      </c>
      <c r="V54" s="177">
        <v>9.4600000000000009</v>
      </c>
      <c r="W54" s="69">
        <v>9</v>
      </c>
      <c r="X54" s="69">
        <v>0.73</v>
      </c>
      <c r="Y54" s="69">
        <v>2</v>
      </c>
      <c r="Z54" s="69">
        <v>5</v>
      </c>
      <c r="AA54" s="69">
        <v>0</v>
      </c>
      <c r="AB54" s="69" t="s">
        <v>769</v>
      </c>
      <c r="AC54" s="71">
        <v>1969</v>
      </c>
      <c r="AD54" s="71" t="s">
        <v>1966</v>
      </c>
      <c r="AG54" s="53" t="s">
        <v>1097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341</v>
      </c>
      <c r="T55" s="53" t="s">
        <v>1021</v>
      </c>
      <c r="U55" s="70">
        <v>9.3000000000000007</v>
      </c>
      <c r="V55" s="212">
        <v>9.36</v>
      </c>
      <c r="W55" s="53">
        <v>9</v>
      </c>
      <c r="X55" s="53">
        <v>0.87</v>
      </c>
      <c r="Y55" s="53">
        <v>2</v>
      </c>
      <c r="Z55" s="53">
        <v>5</v>
      </c>
      <c r="AA55" s="53">
        <v>0</v>
      </c>
      <c r="AB55" s="53" t="s">
        <v>769</v>
      </c>
      <c r="AC55" s="70">
        <v>2024</v>
      </c>
      <c r="AD55" s="70" t="s">
        <v>1969</v>
      </c>
      <c r="AG55" s="69" t="s">
        <v>1092</v>
      </c>
      <c r="AH55" s="137" t="s">
        <v>1859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341</v>
      </c>
      <c r="T56" s="69" t="s">
        <v>1419</v>
      </c>
      <c r="U56" s="71">
        <v>8.83</v>
      </c>
      <c r="V56" s="181">
        <v>8.77</v>
      </c>
      <c r="W56" s="69">
        <v>8.75</v>
      </c>
      <c r="X56" s="69">
        <v>0.62</v>
      </c>
      <c r="Y56" s="69">
        <v>1</v>
      </c>
      <c r="Z56" s="69">
        <v>6</v>
      </c>
      <c r="AA56" s="69">
        <v>0</v>
      </c>
      <c r="AB56" s="69" t="s">
        <v>1423</v>
      </c>
      <c r="AC56" s="71">
        <v>2023</v>
      </c>
      <c r="AD56" s="71" t="s">
        <v>1989</v>
      </c>
      <c r="AG56" s="53" t="s">
        <v>1089</v>
      </c>
      <c r="AH56" s="138" t="s">
        <v>1901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340</v>
      </c>
      <c r="T57" s="53" t="s">
        <v>275</v>
      </c>
      <c r="U57" s="70">
        <v>9.3800000000000008</v>
      </c>
      <c r="V57" s="210">
        <v>9.5299999999999994</v>
      </c>
      <c r="W57" s="53">
        <v>9.5</v>
      </c>
      <c r="X57" s="53">
        <v>0.78</v>
      </c>
      <c r="Y57" s="53">
        <v>3</v>
      </c>
      <c r="Z57" s="53">
        <v>8</v>
      </c>
      <c r="AA57" s="53">
        <v>0</v>
      </c>
      <c r="AB57" s="53" t="s">
        <v>775</v>
      </c>
      <c r="AC57" s="70">
        <v>1971</v>
      </c>
      <c r="AD57" s="70" t="s">
        <v>1960</v>
      </c>
      <c r="AG57" s="69" t="s">
        <v>775</v>
      </c>
      <c r="AH57" s="137" t="s">
        <v>1155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359</v>
      </c>
      <c r="T58" s="69" t="s">
        <v>360</v>
      </c>
      <c r="U58" s="71">
        <v>8.42</v>
      </c>
      <c r="V58" s="187">
        <v>8.34</v>
      </c>
      <c r="W58" s="69">
        <v>8.5</v>
      </c>
      <c r="X58" s="69">
        <v>0.91</v>
      </c>
      <c r="Y58" s="69">
        <v>1</v>
      </c>
      <c r="Z58" s="69">
        <v>13</v>
      </c>
      <c r="AA58" s="69">
        <v>1</v>
      </c>
      <c r="AB58" s="69" t="s">
        <v>781</v>
      </c>
      <c r="AC58" s="71">
        <v>2000</v>
      </c>
      <c r="AD58" s="71" t="s">
        <v>1994</v>
      </c>
      <c r="AG58" s="53" t="s">
        <v>1902</v>
      </c>
      <c r="AH58" s="138" t="s">
        <v>1903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383</v>
      </c>
      <c r="T59" s="53" t="s">
        <v>384</v>
      </c>
      <c r="U59" s="70">
        <v>8.4600000000000009</v>
      </c>
      <c r="V59" s="232">
        <v>8.39</v>
      </c>
      <c r="W59" s="53">
        <v>8.5</v>
      </c>
      <c r="X59" s="53">
        <v>0.84</v>
      </c>
      <c r="Y59" s="53">
        <v>2</v>
      </c>
      <c r="Z59" s="53">
        <v>13</v>
      </c>
      <c r="AA59" s="53">
        <v>0</v>
      </c>
      <c r="AB59" s="53" t="s">
        <v>796</v>
      </c>
      <c r="AC59" s="70">
        <v>2018</v>
      </c>
      <c r="AD59" s="70" t="s">
        <v>1980</v>
      </c>
      <c r="AG59" s="69" t="s">
        <v>1639</v>
      </c>
      <c r="AH59" s="137" t="s">
        <v>1640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924</v>
      </c>
      <c r="T60" s="69" t="s">
        <v>915</v>
      </c>
      <c r="U60" s="71">
        <v>9.06</v>
      </c>
      <c r="V60" s="141">
        <v>9.1</v>
      </c>
      <c r="W60" s="69">
        <v>8.75</v>
      </c>
      <c r="X60" s="69">
        <v>0.92</v>
      </c>
      <c r="Y60" s="69">
        <v>3</v>
      </c>
      <c r="Z60" s="69">
        <v>9</v>
      </c>
      <c r="AA60" s="69">
        <v>1</v>
      </c>
      <c r="AB60" s="69" t="s">
        <v>925</v>
      </c>
      <c r="AC60" s="71">
        <v>2021</v>
      </c>
      <c r="AD60" s="71" t="s">
        <v>1957</v>
      </c>
      <c r="AG60" s="53" t="s">
        <v>1099</v>
      </c>
      <c r="AH60" s="138" t="s">
        <v>1100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353</v>
      </c>
      <c r="T61" s="53" t="s">
        <v>246</v>
      </c>
      <c r="U61" s="70">
        <v>8.68</v>
      </c>
      <c r="V61" s="184">
        <v>8.58</v>
      </c>
      <c r="W61" s="53">
        <v>8.5</v>
      </c>
      <c r="X61" s="53">
        <v>0.81</v>
      </c>
      <c r="Y61" s="53">
        <v>2</v>
      </c>
      <c r="Z61" s="53">
        <v>11</v>
      </c>
      <c r="AA61" s="53">
        <v>0</v>
      </c>
      <c r="AB61" s="53" t="s">
        <v>778</v>
      </c>
      <c r="AC61" s="70">
        <v>1998</v>
      </c>
      <c r="AD61" s="70" t="s">
        <v>1991</v>
      </c>
      <c r="AG61" s="69" t="s">
        <v>1421</v>
      </c>
      <c r="AH61" s="137" t="s">
        <v>1422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348</v>
      </c>
      <c r="T62" s="69" t="s">
        <v>265</v>
      </c>
      <c r="U62" s="71">
        <v>9</v>
      </c>
      <c r="V62" s="141">
        <v>9.09</v>
      </c>
      <c r="W62" s="69">
        <v>9</v>
      </c>
      <c r="X62" s="69">
        <v>0.82</v>
      </c>
      <c r="Y62" s="69">
        <v>2</v>
      </c>
      <c r="Z62" s="69">
        <v>9</v>
      </c>
      <c r="AA62" s="69">
        <v>0</v>
      </c>
      <c r="AB62" s="69" t="s">
        <v>791</v>
      </c>
      <c r="AC62" s="71">
        <v>1990</v>
      </c>
      <c r="AD62" s="71" t="s">
        <v>1973</v>
      </c>
      <c r="AG62" s="53" t="s">
        <v>1106</v>
      </c>
      <c r="AH62" s="138" t="s">
        <v>1681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348</v>
      </c>
      <c r="T63" s="53" t="s">
        <v>348</v>
      </c>
      <c r="U63" s="70">
        <v>7.77</v>
      </c>
      <c r="V63" s="244">
        <v>7.64</v>
      </c>
      <c r="W63" s="53">
        <v>7.5</v>
      </c>
      <c r="X63" s="53">
        <v>0.62</v>
      </c>
      <c r="Y63" s="53">
        <v>0</v>
      </c>
      <c r="Z63" s="53">
        <v>11</v>
      </c>
      <c r="AA63" s="53">
        <v>0</v>
      </c>
      <c r="AB63" s="53" t="s">
        <v>791</v>
      </c>
      <c r="AC63" s="70">
        <v>2026</v>
      </c>
      <c r="AD63" s="70" t="s">
        <v>1968</v>
      </c>
      <c r="AG63" s="69" t="s">
        <v>791</v>
      </c>
      <c r="AH63" s="137" t="s">
        <v>1156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1303</v>
      </c>
      <c r="T64" s="69" t="s">
        <v>1304</v>
      </c>
      <c r="U64" s="71">
        <v>8.67</v>
      </c>
      <c r="V64" s="180">
        <v>8.7899999999999991</v>
      </c>
      <c r="W64" s="69">
        <v>9</v>
      </c>
      <c r="X64" s="69">
        <v>1.08</v>
      </c>
      <c r="Y64" s="69">
        <v>2</v>
      </c>
      <c r="Z64" s="69">
        <v>9</v>
      </c>
      <c r="AA64" s="69">
        <v>0</v>
      </c>
      <c r="AB64" s="69" t="s">
        <v>1308</v>
      </c>
      <c r="AC64" s="71">
        <v>2008</v>
      </c>
      <c r="AD64" s="71" t="s">
        <v>1987</v>
      </c>
      <c r="AG64" s="53" t="s">
        <v>1487</v>
      </c>
      <c r="AH64" s="138" t="s">
        <v>1248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345</v>
      </c>
      <c r="T65" s="53" t="s">
        <v>56</v>
      </c>
      <c r="U65" s="70">
        <v>9.25</v>
      </c>
      <c r="V65" s="211">
        <v>9.3699999999999992</v>
      </c>
      <c r="W65" s="53">
        <v>9.25</v>
      </c>
      <c r="X65" s="53">
        <v>0.83</v>
      </c>
      <c r="Y65" s="53">
        <v>3</v>
      </c>
      <c r="Z65" s="53">
        <v>8</v>
      </c>
      <c r="AA65" s="53">
        <v>0</v>
      </c>
      <c r="AB65" s="53" t="s">
        <v>791</v>
      </c>
      <c r="AC65" s="70">
        <v>1986</v>
      </c>
      <c r="AD65" s="70" t="s">
        <v>1967</v>
      </c>
      <c r="AG65" s="69" t="s">
        <v>1247</v>
      </c>
      <c r="AH65" s="137" t="s">
        <v>1248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345</v>
      </c>
      <c r="T66" s="69" t="s">
        <v>708</v>
      </c>
      <c r="U66" s="71">
        <v>9.1300000000000008</v>
      </c>
      <c r="V66" s="215">
        <v>9.2100000000000009</v>
      </c>
      <c r="W66" s="69">
        <v>9</v>
      </c>
      <c r="X66" s="69">
        <v>0.93</v>
      </c>
      <c r="Y66" s="69">
        <v>3</v>
      </c>
      <c r="Z66" s="69">
        <v>8</v>
      </c>
      <c r="AA66" s="69">
        <v>0</v>
      </c>
      <c r="AB66" s="69" t="s">
        <v>791</v>
      </c>
      <c r="AC66" s="71">
        <v>1984</v>
      </c>
      <c r="AD66" s="71" t="s">
        <v>1968</v>
      </c>
      <c r="AG66" s="53" t="s">
        <v>1249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345</v>
      </c>
      <c r="T67" s="53" t="s">
        <v>1146</v>
      </c>
      <c r="U67" s="70">
        <v>9</v>
      </c>
      <c r="V67" s="216">
        <v>9.08</v>
      </c>
      <c r="W67" s="53">
        <v>9</v>
      </c>
      <c r="X67" s="53">
        <v>0.88</v>
      </c>
      <c r="Y67" s="53">
        <v>2</v>
      </c>
      <c r="Z67" s="53">
        <v>9</v>
      </c>
      <c r="AA67" s="53">
        <v>0</v>
      </c>
      <c r="AB67" s="53" t="s">
        <v>791</v>
      </c>
      <c r="AC67" s="70">
        <v>1988</v>
      </c>
      <c r="AD67" s="70" t="s">
        <v>1974</v>
      </c>
      <c r="AG67" s="69" t="s">
        <v>1425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345</v>
      </c>
      <c r="T68" s="69" t="s">
        <v>345</v>
      </c>
      <c r="U68" s="71">
        <v>8.4600000000000009</v>
      </c>
      <c r="V68" s="203">
        <v>8.65</v>
      </c>
      <c r="W68" s="69">
        <v>8.5</v>
      </c>
      <c r="X68" s="69">
        <v>1.33</v>
      </c>
      <c r="Y68" s="69">
        <v>3</v>
      </c>
      <c r="Z68" s="69">
        <v>12</v>
      </c>
      <c r="AA68" s="69">
        <v>0</v>
      </c>
      <c r="AB68" s="69" t="s">
        <v>1380</v>
      </c>
      <c r="AC68" s="71">
        <v>2021</v>
      </c>
      <c r="AD68" s="71" t="s">
        <v>1993</v>
      </c>
      <c r="AG68" s="53" t="s">
        <v>1830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345</v>
      </c>
      <c r="T69" s="53" t="s">
        <v>1833</v>
      </c>
      <c r="U69" s="70">
        <v>3.68</v>
      </c>
      <c r="V69" s="258">
        <v>3.37</v>
      </c>
      <c r="W69" s="53">
        <v>3</v>
      </c>
      <c r="X69" s="53">
        <v>1.37</v>
      </c>
      <c r="Y69" s="53">
        <v>0</v>
      </c>
      <c r="Z69" s="53">
        <v>11</v>
      </c>
      <c r="AA69" s="53">
        <v>0</v>
      </c>
      <c r="AB69" s="53" t="s">
        <v>788</v>
      </c>
      <c r="AC69" s="70">
        <v>2003</v>
      </c>
      <c r="AD69" s="70" t="s">
        <v>1961</v>
      </c>
      <c r="AG69" s="69" t="s">
        <v>1103</v>
      </c>
      <c r="AH69" s="137" t="s">
        <v>1102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1691</v>
      </c>
      <c r="T70" s="69" t="s">
        <v>1692</v>
      </c>
      <c r="U70" s="71">
        <v>8.4</v>
      </c>
      <c r="V70" s="233">
        <v>8.3699999999999992</v>
      </c>
      <c r="W70" s="69">
        <v>8.5</v>
      </c>
      <c r="X70" s="69">
        <v>0.37</v>
      </c>
      <c r="Y70" s="69">
        <v>0</v>
      </c>
      <c r="Z70" s="69">
        <v>5</v>
      </c>
      <c r="AA70" s="69">
        <v>0</v>
      </c>
      <c r="AB70" s="69" t="s">
        <v>1693</v>
      </c>
      <c r="AC70" s="71">
        <v>2026</v>
      </c>
      <c r="AD70" s="71" t="s">
        <v>1971</v>
      </c>
      <c r="AG70" s="53" t="s">
        <v>1410</v>
      </c>
      <c r="AH70" s="138" t="s">
        <v>1102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352</v>
      </c>
      <c r="T71" s="53" t="s">
        <v>277</v>
      </c>
      <c r="U71" s="70">
        <v>8.7799999999999994</v>
      </c>
      <c r="V71" s="132">
        <v>8.76</v>
      </c>
      <c r="W71" s="53">
        <v>9</v>
      </c>
      <c r="X71" s="53">
        <v>0.79</v>
      </c>
      <c r="Y71" s="53">
        <v>2</v>
      </c>
      <c r="Z71" s="53">
        <v>10</v>
      </c>
      <c r="AA71" s="53">
        <v>1</v>
      </c>
      <c r="AB71" s="53" t="s">
        <v>776</v>
      </c>
      <c r="AC71" s="70">
        <v>1994</v>
      </c>
      <c r="AD71" s="70" t="s">
        <v>1989</v>
      </c>
      <c r="AG71" s="69" t="s">
        <v>1264</v>
      </c>
      <c r="AH71" s="137" t="s">
        <v>1731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853</v>
      </c>
      <c r="T72" s="69" t="s">
        <v>848</v>
      </c>
      <c r="U72" s="71">
        <v>8.7100000000000009</v>
      </c>
      <c r="V72" s="132">
        <v>8.76</v>
      </c>
      <c r="W72" s="69">
        <v>8.5</v>
      </c>
      <c r="X72" s="69">
        <v>0.75</v>
      </c>
      <c r="Y72" s="69">
        <v>2</v>
      </c>
      <c r="Z72" s="69">
        <v>14</v>
      </c>
      <c r="AA72" s="69">
        <v>0</v>
      </c>
      <c r="AB72" s="69" t="s">
        <v>854</v>
      </c>
      <c r="AC72" s="71">
        <v>2005</v>
      </c>
      <c r="AD72" s="71" t="s">
        <v>1991</v>
      </c>
      <c r="AG72" s="53" t="s">
        <v>1112</v>
      </c>
      <c r="AH72" s="138" t="s">
        <v>1784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344</v>
      </c>
      <c r="T73" s="53" t="s">
        <v>132</v>
      </c>
      <c r="U73" s="70">
        <v>9.2100000000000009</v>
      </c>
      <c r="V73" s="214">
        <v>9.2799999999999994</v>
      </c>
      <c r="W73" s="53">
        <v>9</v>
      </c>
      <c r="X73" s="53">
        <v>0.8</v>
      </c>
      <c r="Y73" s="53">
        <v>2</v>
      </c>
      <c r="Z73" s="53">
        <v>7</v>
      </c>
      <c r="AA73" s="53">
        <v>0</v>
      </c>
      <c r="AB73" s="53" t="s">
        <v>792</v>
      </c>
      <c r="AC73" s="70">
        <v>2001</v>
      </c>
      <c r="AD73" s="70" t="s">
        <v>1958</v>
      </c>
      <c r="AG73" s="69" t="s">
        <v>1489</v>
      </c>
      <c r="AH73" s="137" t="s">
        <v>1492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344</v>
      </c>
      <c r="T74" s="69" t="s">
        <v>983</v>
      </c>
      <c r="U74" s="71">
        <v>9</v>
      </c>
      <c r="V74" s="217">
        <v>9.0399999999999991</v>
      </c>
      <c r="W74" s="69">
        <v>8.75</v>
      </c>
      <c r="X74" s="69">
        <v>0.87</v>
      </c>
      <c r="Y74" s="69">
        <v>2</v>
      </c>
      <c r="Z74" s="69">
        <v>8</v>
      </c>
      <c r="AA74" s="69">
        <v>0</v>
      </c>
      <c r="AB74" s="69" t="s">
        <v>792</v>
      </c>
      <c r="AC74" s="71">
        <v>2005</v>
      </c>
      <c r="AD74" s="71" t="s">
        <v>1976</v>
      </c>
      <c r="AG74" s="53" t="s">
        <v>1119</v>
      </c>
      <c r="AH74" s="138" t="s">
        <v>1493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344</v>
      </c>
      <c r="T75" s="53" t="s">
        <v>913</v>
      </c>
      <c r="U75" s="70">
        <v>8.7100000000000009</v>
      </c>
      <c r="V75" s="182">
        <v>8.73</v>
      </c>
      <c r="W75" s="53">
        <v>8.5</v>
      </c>
      <c r="X75" s="53">
        <v>0.96</v>
      </c>
      <c r="Y75" s="53">
        <v>1</v>
      </c>
      <c r="Z75" s="53">
        <v>7</v>
      </c>
      <c r="AA75" s="53">
        <v>0</v>
      </c>
      <c r="AB75" s="53" t="s">
        <v>792</v>
      </c>
      <c r="AC75" s="70">
        <v>1999</v>
      </c>
      <c r="AD75" s="70" t="s">
        <v>1993</v>
      </c>
      <c r="AG75" s="69" t="s">
        <v>1109</v>
      </c>
      <c r="AH75" s="137" t="s">
        <v>1493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344</v>
      </c>
      <c r="T76" s="69" t="s">
        <v>524</v>
      </c>
      <c r="U76" s="71">
        <v>8.5</v>
      </c>
      <c r="V76" s="231">
        <v>8.41</v>
      </c>
      <c r="W76" s="69">
        <v>8.5</v>
      </c>
      <c r="X76" s="69">
        <v>0.94</v>
      </c>
      <c r="Y76" s="69">
        <v>1</v>
      </c>
      <c r="Z76" s="69">
        <v>8</v>
      </c>
      <c r="AA76" s="69">
        <v>0</v>
      </c>
      <c r="AB76" s="69" t="s">
        <v>792</v>
      </c>
      <c r="AC76" s="71">
        <v>2003</v>
      </c>
      <c r="AD76" s="71" t="s">
        <v>1996</v>
      </c>
      <c r="AG76" s="53" t="s">
        <v>1364</v>
      </c>
      <c r="AH76" s="138" t="s">
        <v>1365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344</v>
      </c>
      <c r="T77" s="53" t="s">
        <v>2080</v>
      </c>
      <c r="U77" s="70">
        <v>8.5</v>
      </c>
      <c r="V77" s="293">
        <v>8.4600000000000009</v>
      </c>
      <c r="W77" s="53">
        <v>8.5</v>
      </c>
      <c r="X77" s="53">
        <v>0.35</v>
      </c>
      <c r="Y77" s="53">
        <v>0</v>
      </c>
      <c r="Z77" s="53">
        <v>8</v>
      </c>
      <c r="AA77" s="53">
        <v>0</v>
      </c>
      <c r="AB77" s="53"/>
      <c r="AC77" s="70"/>
      <c r="AD77" s="70"/>
      <c r="AG77" s="69" t="s">
        <v>1104</v>
      </c>
      <c r="AH77" s="137" t="s">
        <v>2028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344</v>
      </c>
      <c r="T78" s="69" t="s">
        <v>1739</v>
      </c>
      <c r="U78" s="71">
        <v>8.4</v>
      </c>
      <c r="V78" s="235">
        <v>8.25</v>
      </c>
      <c r="W78" s="69">
        <v>8</v>
      </c>
      <c r="X78" s="69">
        <v>0.86</v>
      </c>
      <c r="Y78" s="69">
        <v>1</v>
      </c>
      <c r="Z78" s="69">
        <v>5</v>
      </c>
      <c r="AA78" s="69">
        <v>0</v>
      </c>
      <c r="AB78" s="69" t="s">
        <v>790</v>
      </c>
      <c r="AC78" s="71">
        <v>1996</v>
      </c>
      <c r="AD78" s="71" t="s">
        <v>1985</v>
      </c>
      <c r="AG78" s="53" t="s">
        <v>1537</v>
      </c>
      <c r="AH78" s="138" t="s">
        <v>1263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344</v>
      </c>
      <c r="T79" s="53" t="s">
        <v>1880</v>
      </c>
      <c r="U79" s="70">
        <v>8.2899999999999991</v>
      </c>
      <c r="V79" s="234">
        <v>8.27</v>
      </c>
      <c r="W79" s="53">
        <v>8.5</v>
      </c>
      <c r="X79" s="53">
        <v>0.45</v>
      </c>
      <c r="Y79" s="53">
        <v>0</v>
      </c>
      <c r="Z79" s="53">
        <v>9</v>
      </c>
      <c r="AA79" s="53">
        <v>2</v>
      </c>
      <c r="AB79" s="53" t="s">
        <v>792</v>
      </c>
      <c r="AC79" s="70">
        <v>1998</v>
      </c>
      <c r="AD79" s="70" t="s">
        <v>1993</v>
      </c>
      <c r="AG79" s="69" t="s">
        <v>1262</v>
      </c>
      <c r="AH79" s="137" t="s">
        <v>1263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344</v>
      </c>
      <c r="T80" s="69" t="s">
        <v>1794</v>
      </c>
      <c r="U80" s="71">
        <v>8.06</v>
      </c>
      <c r="V80" s="190">
        <v>7.95</v>
      </c>
      <c r="W80" s="69">
        <v>8</v>
      </c>
      <c r="X80" s="69">
        <v>0.81</v>
      </c>
      <c r="Y80" s="69">
        <v>0</v>
      </c>
      <c r="Z80" s="69">
        <v>8</v>
      </c>
      <c r="AA80" s="69">
        <v>0</v>
      </c>
      <c r="AB80" s="69" t="s">
        <v>1092</v>
      </c>
      <c r="AC80" s="71">
        <v>2014</v>
      </c>
      <c r="AD80" s="71" t="s">
        <v>2000</v>
      </c>
      <c r="AG80" s="53" t="s">
        <v>1683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1519</v>
      </c>
      <c r="T81" s="53" t="s">
        <v>1520</v>
      </c>
      <c r="U81" s="70">
        <v>8.93</v>
      </c>
      <c r="V81" s="220">
        <v>8.8800000000000008</v>
      </c>
      <c r="W81" s="53">
        <v>9</v>
      </c>
      <c r="X81" s="53">
        <v>0.73</v>
      </c>
      <c r="Y81" s="53">
        <v>1</v>
      </c>
      <c r="Z81" s="53">
        <v>7</v>
      </c>
      <c r="AA81" s="53">
        <v>0</v>
      </c>
      <c r="AB81" s="53" t="s">
        <v>1523</v>
      </c>
      <c r="AC81" s="70">
        <v>2000</v>
      </c>
      <c r="AD81" s="70" t="s">
        <v>1977</v>
      </c>
      <c r="AG81" s="69" t="s">
        <v>1684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342</v>
      </c>
      <c r="T82" s="69" t="s">
        <v>1043</v>
      </c>
      <c r="U82" s="71">
        <v>10</v>
      </c>
      <c r="V82" s="127">
        <v>10.39</v>
      </c>
      <c r="W82" s="69">
        <v>10</v>
      </c>
      <c r="X82" s="69">
        <v>0.55000000000000004</v>
      </c>
      <c r="Y82" s="69">
        <v>4</v>
      </c>
      <c r="Z82" s="69">
        <v>5</v>
      </c>
      <c r="AA82" s="69">
        <v>0</v>
      </c>
      <c r="AB82" s="69" t="s">
        <v>769</v>
      </c>
      <c r="AC82" s="71">
        <v>1975</v>
      </c>
      <c r="AD82" s="71" t="s">
        <v>1959</v>
      </c>
      <c r="AG82" s="53" t="s">
        <v>1642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342</v>
      </c>
      <c r="T83" s="53" t="s">
        <v>343</v>
      </c>
      <c r="U83" s="70">
        <v>9.44</v>
      </c>
      <c r="V83" s="208">
        <v>9.7200000000000006</v>
      </c>
      <c r="W83" s="53">
        <v>9.5</v>
      </c>
      <c r="X83" s="53">
        <v>0.93</v>
      </c>
      <c r="Y83" s="53">
        <v>4</v>
      </c>
      <c r="Z83" s="53">
        <v>10</v>
      </c>
      <c r="AA83" s="53">
        <v>1</v>
      </c>
      <c r="AB83" s="53" t="s">
        <v>770</v>
      </c>
      <c r="AC83" s="70">
        <v>1973</v>
      </c>
      <c r="AD83" s="70" t="s">
        <v>1960</v>
      </c>
      <c r="AG83" s="69" t="s">
        <v>790</v>
      </c>
      <c r="AH83" s="137" t="s">
        <v>1883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342</v>
      </c>
      <c r="T84" s="69" t="s">
        <v>783</v>
      </c>
      <c r="U84" s="71">
        <v>9.4</v>
      </c>
      <c r="V84" s="209">
        <v>9.5500000000000007</v>
      </c>
      <c r="W84" s="69">
        <v>9.5</v>
      </c>
      <c r="X84" s="69">
        <v>0.8</v>
      </c>
      <c r="Y84" s="69">
        <v>2</v>
      </c>
      <c r="Z84" s="69">
        <v>5</v>
      </c>
      <c r="AA84" s="69">
        <v>0</v>
      </c>
      <c r="AB84" s="69" t="s">
        <v>770</v>
      </c>
      <c r="AC84" s="71">
        <v>1977</v>
      </c>
      <c r="AD84" s="71" t="s">
        <v>1965</v>
      </c>
      <c r="AG84" s="53" t="s">
        <v>1105</v>
      </c>
      <c r="AH84" s="138" t="s">
        <v>1884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342</v>
      </c>
      <c r="T85" s="53" t="s">
        <v>1858</v>
      </c>
      <c r="U85" s="70">
        <v>8.92</v>
      </c>
      <c r="V85" s="277">
        <v>8.9700000000000006</v>
      </c>
      <c r="W85" s="53">
        <v>8.75</v>
      </c>
      <c r="X85" s="53">
        <v>0.79</v>
      </c>
      <c r="Y85" s="53">
        <v>1</v>
      </c>
      <c r="Z85" s="53">
        <v>6</v>
      </c>
      <c r="AA85" s="53">
        <v>0</v>
      </c>
      <c r="AB85" s="53" t="s">
        <v>1092</v>
      </c>
      <c r="AC85" s="70">
        <v>1971</v>
      </c>
      <c r="AD85" s="70" t="s">
        <v>1978</v>
      </c>
      <c r="AG85" s="69" t="s">
        <v>1098</v>
      </c>
      <c r="AH85" s="137" t="s">
        <v>1667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492</v>
      </c>
      <c r="T86" s="69" t="s">
        <v>510</v>
      </c>
      <c r="U86" s="71">
        <v>9.17</v>
      </c>
      <c r="V86" s="131">
        <v>9.23</v>
      </c>
      <c r="W86" s="69">
        <v>9</v>
      </c>
      <c r="X86" s="69">
        <v>0.69</v>
      </c>
      <c r="Y86" s="69">
        <v>1</v>
      </c>
      <c r="Z86" s="69">
        <v>6</v>
      </c>
      <c r="AA86" s="69">
        <v>0</v>
      </c>
      <c r="AB86" s="69" t="s">
        <v>771</v>
      </c>
      <c r="AC86" s="71">
        <v>2007</v>
      </c>
      <c r="AD86" s="71" t="s">
        <v>1971</v>
      </c>
      <c r="AG86" s="53" t="s">
        <v>1521</v>
      </c>
      <c r="AH86" s="138" t="s">
        <v>1107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492</v>
      </c>
      <c r="T87" s="53" t="s">
        <v>663</v>
      </c>
      <c r="U87" s="70">
        <v>8.94</v>
      </c>
      <c r="V87" s="217">
        <v>9.0399999999999991</v>
      </c>
      <c r="W87" s="53">
        <v>9</v>
      </c>
      <c r="X87" s="53">
        <v>0.86</v>
      </c>
      <c r="Y87" s="53">
        <v>2</v>
      </c>
      <c r="Z87" s="53">
        <v>9</v>
      </c>
      <c r="AA87" s="53">
        <v>0</v>
      </c>
      <c r="AB87" s="53" t="s">
        <v>771</v>
      </c>
      <c r="AC87" s="70">
        <v>2005</v>
      </c>
      <c r="AD87" s="70" t="s">
        <v>1975</v>
      </c>
      <c r="AG87" s="69" t="s">
        <v>1522</v>
      </c>
      <c r="AH87" s="137" t="s">
        <v>1107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492</v>
      </c>
      <c r="T88" s="69" t="s">
        <v>493</v>
      </c>
      <c r="U88" s="71">
        <v>8.67</v>
      </c>
      <c r="V88" s="227">
        <v>8.57</v>
      </c>
      <c r="W88" s="69">
        <v>8.5</v>
      </c>
      <c r="X88" s="69">
        <v>0.92</v>
      </c>
      <c r="Y88" s="69">
        <v>3</v>
      </c>
      <c r="Z88" s="69">
        <v>12</v>
      </c>
      <c r="AA88" s="69">
        <v>0</v>
      </c>
      <c r="AB88" s="69" t="s">
        <v>771</v>
      </c>
      <c r="AC88" s="71">
        <v>2002</v>
      </c>
      <c r="AD88" s="71" t="s">
        <v>1986</v>
      </c>
      <c r="AG88" s="53" t="s">
        <v>1217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1780</v>
      </c>
      <c r="T89" s="53" t="s">
        <v>1781</v>
      </c>
      <c r="U89" s="70">
        <v>8.91</v>
      </c>
      <c r="V89" s="220">
        <v>8.8800000000000008</v>
      </c>
      <c r="W89" s="53">
        <v>9</v>
      </c>
      <c r="X89" s="53">
        <v>0.67</v>
      </c>
      <c r="Y89" s="53">
        <v>2</v>
      </c>
      <c r="Z89" s="53">
        <v>11</v>
      </c>
      <c r="AA89" s="53">
        <v>0</v>
      </c>
      <c r="AB89" s="53" t="s">
        <v>1112</v>
      </c>
      <c r="AC89" s="70">
        <v>1994</v>
      </c>
      <c r="AD89" s="70" t="s">
        <v>1982</v>
      </c>
      <c r="AG89" s="69" t="s">
        <v>1108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1359</v>
      </c>
      <c r="T90" s="69" t="s">
        <v>1360</v>
      </c>
      <c r="U90" s="71">
        <v>8.77</v>
      </c>
      <c r="V90" s="203">
        <v>8.65</v>
      </c>
      <c r="W90" s="69">
        <v>8.5</v>
      </c>
      <c r="X90" s="69">
        <v>0.75</v>
      </c>
      <c r="Y90" s="69">
        <v>2</v>
      </c>
      <c r="Z90" s="69">
        <v>14</v>
      </c>
      <c r="AA90" s="69">
        <v>1</v>
      </c>
      <c r="AB90" s="69" t="s">
        <v>1363</v>
      </c>
      <c r="AC90" s="71">
        <v>2002</v>
      </c>
      <c r="AD90" s="71" t="s">
        <v>1974</v>
      </c>
      <c r="AG90" s="53" t="s">
        <v>1113</v>
      </c>
      <c r="AH90" s="138" t="s">
        <v>1538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337</v>
      </c>
      <c r="T91" s="53" t="s">
        <v>338</v>
      </c>
      <c r="U91" s="70">
        <v>9.6999999999999993</v>
      </c>
      <c r="V91" s="127">
        <v>10.37</v>
      </c>
      <c r="W91" s="53">
        <v>10</v>
      </c>
      <c r="X91" s="53">
        <v>0.87</v>
      </c>
      <c r="Y91" s="53">
        <v>6</v>
      </c>
      <c r="Z91" s="53">
        <v>10</v>
      </c>
      <c r="AA91" s="53">
        <v>0</v>
      </c>
      <c r="AB91" s="53" t="s">
        <v>768</v>
      </c>
      <c r="AC91" s="70">
        <v>2007</v>
      </c>
      <c r="AD91" s="70" t="s">
        <v>1960</v>
      </c>
      <c r="AG91" s="69" t="s">
        <v>1111</v>
      </c>
      <c r="AH91" s="137" t="s">
        <v>1110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337</v>
      </c>
      <c r="T92" s="69" t="s">
        <v>339</v>
      </c>
      <c r="U92" s="71">
        <v>9.5500000000000007</v>
      </c>
      <c r="V92" s="206">
        <v>9.81</v>
      </c>
      <c r="W92" s="69">
        <v>9.5</v>
      </c>
      <c r="X92" s="69">
        <v>0.57999999999999996</v>
      </c>
      <c r="Y92" s="69">
        <v>3</v>
      </c>
      <c r="Z92" s="69">
        <v>12</v>
      </c>
      <c r="AA92" s="69">
        <v>1</v>
      </c>
      <c r="AB92" s="69" t="s">
        <v>768</v>
      </c>
      <c r="AC92" s="71">
        <v>1997</v>
      </c>
      <c r="AD92" s="71" t="s">
        <v>1963</v>
      </c>
      <c r="AG92" s="53" t="s">
        <v>789</v>
      </c>
      <c r="AH92" s="138" t="s">
        <v>1783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337</v>
      </c>
      <c r="T93" s="53" t="s">
        <v>292</v>
      </c>
      <c r="U93" s="70">
        <v>9.15</v>
      </c>
      <c r="V93" s="211">
        <v>9.3699999999999992</v>
      </c>
      <c r="W93" s="53">
        <v>9</v>
      </c>
      <c r="X93" s="53">
        <v>1</v>
      </c>
      <c r="Y93" s="53">
        <v>4</v>
      </c>
      <c r="Z93" s="53">
        <v>11</v>
      </c>
      <c r="AA93" s="53">
        <v>1</v>
      </c>
      <c r="AB93" s="53" t="s">
        <v>872</v>
      </c>
      <c r="AC93" s="70">
        <v>2000</v>
      </c>
      <c r="AD93" s="70" t="s">
        <v>1968</v>
      </c>
      <c r="AG93" s="69" t="s">
        <v>1204</v>
      </c>
      <c r="AH93" s="137" t="s">
        <v>1585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337</v>
      </c>
      <c r="T94" s="69" t="s">
        <v>444</v>
      </c>
      <c r="U94" s="71">
        <v>8.9600000000000009</v>
      </c>
      <c r="V94" s="156">
        <v>9.01</v>
      </c>
      <c r="W94" s="69">
        <v>8.75</v>
      </c>
      <c r="X94" s="69">
        <v>0.83</v>
      </c>
      <c r="Y94" s="69">
        <v>3</v>
      </c>
      <c r="Z94" s="69">
        <v>12</v>
      </c>
      <c r="AA94" s="69">
        <v>0</v>
      </c>
      <c r="AB94" s="69" t="s">
        <v>789</v>
      </c>
      <c r="AC94" s="71">
        <v>1995</v>
      </c>
      <c r="AD94" s="71" t="s">
        <v>1977</v>
      </c>
      <c r="AG94" s="53" t="s">
        <v>1586</v>
      </c>
      <c r="AH94" s="138" t="s">
        <v>1585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337</v>
      </c>
      <c r="T95" s="53" t="s">
        <v>572</v>
      </c>
      <c r="U95" s="70">
        <v>8.77</v>
      </c>
      <c r="V95" s="224">
        <v>8.75</v>
      </c>
      <c r="W95" s="53">
        <v>9</v>
      </c>
      <c r="X95" s="53">
        <v>0.72</v>
      </c>
      <c r="Y95" s="53">
        <v>1</v>
      </c>
      <c r="Z95" s="53">
        <v>11</v>
      </c>
      <c r="AA95" s="53">
        <v>0</v>
      </c>
      <c r="AB95" s="53" t="s">
        <v>768</v>
      </c>
      <c r="AC95" s="70">
        <v>2016</v>
      </c>
      <c r="AD95" s="70" t="s">
        <v>1987</v>
      </c>
      <c r="AG95" s="69" t="s">
        <v>1120</v>
      </c>
      <c r="AH95" s="137" t="s">
        <v>1849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337</v>
      </c>
      <c r="T96" s="69" t="s">
        <v>871</v>
      </c>
      <c r="U96" s="71">
        <v>8.5</v>
      </c>
      <c r="V96" s="133">
        <v>8.56</v>
      </c>
      <c r="W96" s="69">
        <v>8.5</v>
      </c>
      <c r="X96" s="69">
        <v>0.96</v>
      </c>
      <c r="Y96" s="69">
        <v>2</v>
      </c>
      <c r="Z96" s="69">
        <v>14</v>
      </c>
      <c r="AA96" s="69">
        <v>1</v>
      </c>
      <c r="AB96" s="69" t="s">
        <v>768</v>
      </c>
      <c r="AC96" s="71">
        <v>2003</v>
      </c>
      <c r="AD96" s="71" t="s">
        <v>1992</v>
      </c>
      <c r="AG96" s="53" t="s">
        <v>1117</v>
      </c>
      <c r="AH96" s="138" t="s">
        <v>1115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337</v>
      </c>
      <c r="T97" s="53" t="s">
        <v>627</v>
      </c>
      <c r="U97" s="70">
        <v>8.0500000000000007</v>
      </c>
      <c r="V97" s="176">
        <v>8.11</v>
      </c>
      <c r="W97" s="53">
        <v>8.25</v>
      </c>
      <c r="X97" s="53">
        <v>1.19</v>
      </c>
      <c r="Y97" s="53">
        <v>1</v>
      </c>
      <c r="Z97" s="53">
        <v>11</v>
      </c>
      <c r="AA97" s="53">
        <v>1</v>
      </c>
      <c r="AB97" s="53" t="s">
        <v>768</v>
      </c>
      <c r="AC97" s="70">
        <v>2001</v>
      </c>
      <c r="AD97" s="70" t="s">
        <v>1996</v>
      </c>
      <c r="AG97" s="69" t="s">
        <v>1309</v>
      </c>
      <c r="AH97" s="137" t="s">
        <v>1115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337</v>
      </c>
      <c r="T98" s="69" t="s">
        <v>958</v>
      </c>
      <c r="U98" s="71">
        <v>7.88</v>
      </c>
      <c r="V98" s="241">
        <v>7.74</v>
      </c>
      <c r="W98" s="69">
        <v>7.75</v>
      </c>
      <c r="X98" s="69">
        <v>0.86</v>
      </c>
      <c r="Y98" s="69">
        <v>0</v>
      </c>
      <c r="Z98" s="69">
        <v>8</v>
      </c>
      <c r="AA98" s="69">
        <v>0</v>
      </c>
      <c r="AB98" s="69" t="s">
        <v>959</v>
      </c>
      <c r="AC98" s="71">
        <v>2011</v>
      </c>
      <c r="AD98" s="71" t="s">
        <v>1994</v>
      </c>
      <c r="AG98" s="53" t="s">
        <v>794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337</v>
      </c>
      <c r="T99" s="53" t="s">
        <v>997</v>
      </c>
      <c r="U99" s="70">
        <v>7.5</v>
      </c>
      <c r="V99" s="245">
        <v>7.4</v>
      </c>
      <c r="W99" s="53">
        <v>7.5</v>
      </c>
      <c r="X99" s="53">
        <v>0.76</v>
      </c>
      <c r="Y99" s="53">
        <v>0</v>
      </c>
      <c r="Z99" s="53">
        <v>12</v>
      </c>
      <c r="AA99" s="53">
        <v>0</v>
      </c>
      <c r="AB99" s="53" t="s">
        <v>789</v>
      </c>
      <c r="AC99" s="70">
        <v>1993</v>
      </c>
      <c r="AD99" s="70" t="s">
        <v>1960</v>
      </c>
      <c r="AG99" s="69" t="s">
        <v>1380</v>
      </c>
      <c r="AH99" s="137" t="s">
        <v>1732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396</v>
      </c>
      <c r="T100" s="69" t="s">
        <v>389</v>
      </c>
      <c r="U100" s="71">
        <v>8</v>
      </c>
      <c r="V100" s="239">
        <v>7.98</v>
      </c>
      <c r="W100" s="69">
        <v>8.25</v>
      </c>
      <c r="X100" s="69">
        <v>0.56000000000000005</v>
      </c>
      <c r="Y100" s="69">
        <v>0</v>
      </c>
      <c r="Z100" s="69">
        <v>9</v>
      </c>
      <c r="AA100" s="69">
        <v>1</v>
      </c>
      <c r="AB100" s="69" t="s">
        <v>771</v>
      </c>
      <c r="AC100" s="71">
        <v>2005</v>
      </c>
      <c r="AD100" s="71" t="s">
        <v>1991</v>
      </c>
      <c r="AG100" s="53" t="s">
        <v>1121</v>
      </c>
      <c r="AH100" s="138" t="s">
        <v>1920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742</v>
      </c>
      <c r="T101" s="53" t="s">
        <v>743</v>
      </c>
      <c r="U101" s="70">
        <v>8.67</v>
      </c>
      <c r="V101" s="184">
        <v>8.58</v>
      </c>
      <c r="W101" s="53">
        <v>8.5</v>
      </c>
      <c r="X101" s="53">
        <v>0.62</v>
      </c>
      <c r="Y101" s="53">
        <v>1</v>
      </c>
      <c r="Z101" s="53">
        <v>9</v>
      </c>
      <c r="AA101" s="53">
        <v>0</v>
      </c>
      <c r="AB101" s="53" t="s">
        <v>794</v>
      </c>
      <c r="AC101" s="70">
        <v>1992</v>
      </c>
      <c r="AD101" s="70" t="s">
        <v>1983</v>
      </c>
      <c r="AG101" s="69" t="s">
        <v>1917</v>
      </c>
      <c r="AH101" s="137" t="s">
        <v>1918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972</v>
      </c>
      <c r="T102" s="69" t="s">
        <v>970</v>
      </c>
      <c r="U102" s="71">
        <v>8.67</v>
      </c>
      <c r="V102" s="133">
        <v>8.56</v>
      </c>
      <c r="W102" s="69">
        <v>8.5</v>
      </c>
      <c r="X102" s="69">
        <v>0.71</v>
      </c>
      <c r="Y102" s="69">
        <v>1</v>
      </c>
      <c r="Z102" s="69">
        <v>10</v>
      </c>
      <c r="AA102" s="69">
        <v>1</v>
      </c>
      <c r="AB102" s="69" t="s">
        <v>973</v>
      </c>
      <c r="AC102" s="71">
        <v>1999</v>
      </c>
      <c r="AD102" s="71" t="s">
        <v>1998</v>
      </c>
      <c r="AG102" s="53" t="s">
        <v>1122</v>
      </c>
      <c r="AH102" s="138" t="s">
        <v>1123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1814</v>
      </c>
      <c r="T103" s="53" t="s">
        <v>1815</v>
      </c>
      <c r="U103" s="70">
        <v>8.83</v>
      </c>
      <c r="V103" s="181">
        <v>8.77</v>
      </c>
      <c r="W103" s="53">
        <v>8.75</v>
      </c>
      <c r="X103" s="53">
        <v>0.62</v>
      </c>
      <c r="Y103" s="53">
        <v>1</v>
      </c>
      <c r="Z103" s="53">
        <v>6</v>
      </c>
      <c r="AA103" s="53">
        <v>0</v>
      </c>
      <c r="AB103" s="53" t="s">
        <v>1819</v>
      </c>
      <c r="AC103" s="70">
        <v>1991</v>
      </c>
      <c r="AD103" s="70" t="s">
        <v>1989</v>
      </c>
      <c r="AG103" s="69" t="s">
        <v>1118</v>
      </c>
      <c r="AH103" s="137" t="s">
        <v>1469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1665</v>
      </c>
      <c r="T104" s="69" t="s">
        <v>1666</v>
      </c>
      <c r="U104" s="71">
        <v>8.6</v>
      </c>
      <c r="V104" s="228">
        <v>8.5</v>
      </c>
      <c r="W104" s="69">
        <v>8.5</v>
      </c>
      <c r="X104" s="69">
        <v>0.83</v>
      </c>
      <c r="Y104" s="69">
        <v>1</v>
      </c>
      <c r="Z104" s="69">
        <v>10</v>
      </c>
      <c r="AA104" s="69">
        <v>0</v>
      </c>
      <c r="AB104" s="69" t="s">
        <v>777</v>
      </c>
      <c r="AC104" s="71">
        <v>1993</v>
      </c>
      <c r="AD104" s="71" t="s">
        <v>1973</v>
      </c>
      <c r="AG104" s="53" t="s">
        <v>1124</v>
      </c>
      <c r="AH104" s="138" t="s">
        <v>1921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1638</v>
      </c>
      <c r="T105" s="53" t="s">
        <v>1631</v>
      </c>
      <c r="U105" s="70">
        <v>8.75</v>
      </c>
      <c r="V105" s="225">
        <v>8.6300000000000008</v>
      </c>
      <c r="W105" s="53">
        <v>8.5</v>
      </c>
      <c r="X105" s="53">
        <v>0.87</v>
      </c>
      <c r="Y105" s="53">
        <v>2</v>
      </c>
      <c r="Z105" s="53">
        <v>10</v>
      </c>
      <c r="AA105" s="53">
        <v>0</v>
      </c>
      <c r="AB105" s="53" t="s">
        <v>1641</v>
      </c>
      <c r="AC105" s="70">
        <v>1979</v>
      </c>
      <c r="AD105" s="70" t="s">
        <v>1978</v>
      </c>
      <c r="AG105" s="69" t="s">
        <v>1114</v>
      </c>
      <c r="AH105" s="137" t="s">
        <v>1817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1706</v>
      </c>
      <c r="T106" s="69" t="s">
        <v>1705</v>
      </c>
      <c r="U106" s="71">
        <v>8.85</v>
      </c>
      <c r="V106" s="223">
        <v>8.7799999999999994</v>
      </c>
      <c r="W106" s="69">
        <v>8.75</v>
      </c>
      <c r="X106" s="69">
        <v>0.55000000000000004</v>
      </c>
      <c r="Y106" s="69">
        <v>1</v>
      </c>
      <c r="Z106" s="69">
        <v>10</v>
      </c>
      <c r="AA106" s="69">
        <v>0</v>
      </c>
      <c r="AB106" s="69" t="s">
        <v>1707</v>
      </c>
      <c r="AC106" s="71">
        <v>2014</v>
      </c>
      <c r="AD106" s="71" t="s">
        <v>1988</v>
      </c>
      <c r="AG106" s="53" t="s">
        <v>1694</v>
      </c>
      <c r="AH106" s="138" t="s">
        <v>1126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356</v>
      </c>
      <c r="T107" s="53" t="s">
        <v>1898</v>
      </c>
      <c r="U107" s="70">
        <v>8.9600000000000009</v>
      </c>
      <c r="V107" s="282">
        <v>8.93</v>
      </c>
      <c r="W107" s="53">
        <v>9</v>
      </c>
      <c r="X107" s="53">
        <v>0.59</v>
      </c>
      <c r="Y107" s="53">
        <v>2</v>
      </c>
      <c r="Z107" s="53">
        <v>12</v>
      </c>
      <c r="AA107" s="53">
        <v>0</v>
      </c>
      <c r="AB107" s="53" t="s">
        <v>1899</v>
      </c>
      <c r="AC107" s="70">
        <v>2003</v>
      </c>
      <c r="AD107" s="70" t="s">
        <v>1979</v>
      </c>
      <c r="AG107" s="69" t="s">
        <v>1101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356</v>
      </c>
      <c r="T108" s="69" t="s">
        <v>1203</v>
      </c>
      <c r="U108" s="71">
        <v>8.73</v>
      </c>
      <c r="V108" s="132">
        <v>8.76</v>
      </c>
      <c r="W108" s="69">
        <v>8.5</v>
      </c>
      <c r="X108" s="69">
        <v>0.87</v>
      </c>
      <c r="Y108" s="69">
        <v>2</v>
      </c>
      <c r="Z108" s="69">
        <v>13</v>
      </c>
      <c r="AA108" s="69">
        <v>0</v>
      </c>
      <c r="AB108" s="69" t="s">
        <v>1205</v>
      </c>
      <c r="AC108" s="71">
        <v>2009</v>
      </c>
      <c r="AD108" s="71" t="s">
        <v>1990</v>
      </c>
      <c r="AG108" s="53" t="s">
        <v>1125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599</v>
      </c>
      <c r="T109" s="53" t="s">
        <v>600</v>
      </c>
      <c r="U109" s="70">
        <v>8.7799999999999994</v>
      </c>
      <c r="V109" s="180">
        <v>8.7899999999999991</v>
      </c>
      <c r="W109" s="53">
        <v>8.5</v>
      </c>
      <c r="X109" s="53">
        <v>0.97</v>
      </c>
      <c r="Y109" s="53">
        <v>2</v>
      </c>
      <c r="Z109" s="53">
        <v>9</v>
      </c>
      <c r="AA109" s="53">
        <v>0</v>
      </c>
      <c r="AB109" s="53" t="s">
        <v>835</v>
      </c>
      <c r="AC109" s="70">
        <v>1983</v>
      </c>
      <c r="AD109" s="70" t="s">
        <v>1968</v>
      </c>
      <c r="AG109" s="69" t="s">
        <v>1127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614</v>
      </c>
      <c r="T110" s="69" t="s">
        <v>615</v>
      </c>
      <c r="U110" s="71">
        <v>8.73</v>
      </c>
      <c r="V110" s="197">
        <v>8.6199999999999992</v>
      </c>
      <c r="W110" s="69">
        <v>8.5</v>
      </c>
      <c r="X110" s="69">
        <v>0.89</v>
      </c>
      <c r="Y110" s="69">
        <v>3</v>
      </c>
      <c r="Z110" s="69">
        <v>13</v>
      </c>
      <c r="AA110" s="69">
        <v>2</v>
      </c>
      <c r="AB110" s="69" t="s">
        <v>836</v>
      </c>
      <c r="AC110" s="71">
        <v>2015</v>
      </c>
      <c r="AD110" s="71" t="s">
        <v>1971</v>
      </c>
      <c r="AG110" s="53" t="s">
        <v>1128</v>
      </c>
      <c r="AH110" s="138" t="s">
        <v>1129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456</v>
      </c>
      <c r="T111" s="53" t="s">
        <v>36</v>
      </c>
      <c r="U111" s="70">
        <v>9.15</v>
      </c>
      <c r="V111" s="131">
        <v>9.23</v>
      </c>
      <c r="W111" s="53">
        <v>9</v>
      </c>
      <c r="X111" s="53">
        <v>0.78</v>
      </c>
      <c r="Y111" s="53">
        <v>3</v>
      </c>
      <c r="Z111" s="53">
        <v>10</v>
      </c>
      <c r="AA111" s="53">
        <v>0</v>
      </c>
      <c r="AB111" s="53" t="s">
        <v>769</v>
      </c>
      <c r="AC111" s="70">
        <v>1982</v>
      </c>
      <c r="AD111" s="70" t="s">
        <v>1960</v>
      </c>
      <c r="AG111" s="69" t="s">
        <v>1130</v>
      </c>
      <c r="AH111" s="137" t="s">
        <v>1131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947</v>
      </c>
      <c r="T112" s="69" t="s">
        <v>928</v>
      </c>
      <c r="U112" s="71">
        <v>8.5500000000000007</v>
      </c>
      <c r="V112" s="226">
        <v>8.6</v>
      </c>
      <c r="W112" s="69">
        <v>8.5</v>
      </c>
      <c r="X112" s="69">
        <v>0.96</v>
      </c>
      <c r="Y112" s="69">
        <v>3</v>
      </c>
      <c r="Z112" s="69">
        <v>19</v>
      </c>
      <c r="AA112" s="69">
        <v>0</v>
      </c>
      <c r="AB112" s="69" t="s">
        <v>948</v>
      </c>
      <c r="AC112" s="71">
        <v>1979</v>
      </c>
      <c r="AD112" s="71" t="s">
        <v>1974</v>
      </c>
      <c r="AG112" s="53" t="s">
        <v>780</v>
      </c>
      <c r="AH112" s="138" t="s">
        <v>1818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420</v>
      </c>
      <c r="T113" s="53" t="s">
        <v>418</v>
      </c>
      <c r="U113" s="70">
        <v>8.67</v>
      </c>
      <c r="V113" s="143">
        <v>8.7100000000000009</v>
      </c>
      <c r="W113" s="53">
        <v>8.5</v>
      </c>
      <c r="X113" s="53">
        <v>0.85</v>
      </c>
      <c r="Y113" s="53">
        <v>2</v>
      </c>
      <c r="Z113" s="53">
        <v>12</v>
      </c>
      <c r="AA113" s="53">
        <v>0</v>
      </c>
      <c r="AB113" s="53" t="s">
        <v>835</v>
      </c>
      <c r="AC113" s="70">
        <v>1989</v>
      </c>
      <c r="AD113" s="70" t="s">
        <v>1995</v>
      </c>
      <c r="AG113" s="69" t="s">
        <v>1305</v>
      </c>
      <c r="AH113" s="137" t="s">
        <v>1306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1171</v>
      </c>
      <c r="T114" s="69" t="s">
        <v>1741</v>
      </c>
      <c r="U114" s="71">
        <v>8.57</v>
      </c>
      <c r="V114" s="225">
        <v>8.6300000000000008</v>
      </c>
      <c r="W114" s="69">
        <v>8.5</v>
      </c>
      <c r="X114" s="69">
        <v>0.78</v>
      </c>
      <c r="Y114" s="69">
        <v>3</v>
      </c>
      <c r="Z114" s="69">
        <v>28</v>
      </c>
      <c r="AA114" s="69">
        <v>1</v>
      </c>
      <c r="AB114" s="69" t="s">
        <v>1768</v>
      </c>
      <c r="AC114" s="71">
        <v>1995</v>
      </c>
      <c r="AD114" s="71" t="s">
        <v>1988</v>
      </c>
      <c r="AG114" s="53" t="s">
        <v>1307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1171</v>
      </c>
      <c r="T115" s="53" t="s">
        <v>1172</v>
      </c>
      <c r="U115" s="70">
        <v>8.4600000000000009</v>
      </c>
      <c r="V115" s="234">
        <v>8.27</v>
      </c>
      <c r="W115" s="53">
        <v>8</v>
      </c>
      <c r="X115" s="53">
        <v>1.1299999999999999</v>
      </c>
      <c r="Y115" s="53">
        <v>3</v>
      </c>
      <c r="Z115" s="53">
        <v>13</v>
      </c>
      <c r="AA115" s="53">
        <v>1</v>
      </c>
      <c r="AB115" s="53" t="s">
        <v>1173</v>
      </c>
      <c r="AC115" s="70">
        <v>1993</v>
      </c>
      <c r="AD115" s="70" t="s">
        <v>1993</v>
      </c>
      <c r="AG115" s="69" t="s">
        <v>1616</v>
      </c>
      <c r="AH115" s="137" t="s">
        <v>1617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349</v>
      </c>
      <c r="T116" s="69" t="s">
        <v>350</v>
      </c>
      <c r="U116" s="71">
        <v>8.89</v>
      </c>
      <c r="V116" s="221">
        <v>8.8699999999999992</v>
      </c>
      <c r="W116" s="69">
        <v>9</v>
      </c>
      <c r="X116" s="69">
        <v>0.7</v>
      </c>
      <c r="Y116" s="69">
        <v>2</v>
      </c>
      <c r="Z116" s="69">
        <v>9</v>
      </c>
      <c r="AA116" s="69">
        <v>0</v>
      </c>
      <c r="AB116" s="69" t="s">
        <v>774</v>
      </c>
      <c r="AC116" s="71">
        <v>2020</v>
      </c>
      <c r="AD116" s="71" t="s">
        <v>1983</v>
      </c>
      <c r="AG116" s="53" t="s">
        <v>1135</v>
      </c>
      <c r="AH116" s="138" t="s">
        <v>1310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349</v>
      </c>
      <c r="T117" s="53" t="s">
        <v>1923</v>
      </c>
      <c r="U117" s="70">
        <v>8.18</v>
      </c>
      <c r="V117" s="238">
        <v>8.06</v>
      </c>
      <c r="W117" s="53">
        <v>8</v>
      </c>
      <c r="X117" s="53">
        <v>0.86</v>
      </c>
      <c r="Y117" s="53">
        <v>1</v>
      </c>
      <c r="Z117" s="53">
        <v>11</v>
      </c>
      <c r="AA117" s="53">
        <v>0</v>
      </c>
      <c r="AB117" s="53" t="s">
        <v>1933</v>
      </c>
      <c r="AC117" s="70">
        <v>2001</v>
      </c>
      <c r="AD117" s="70" t="s">
        <v>1957</v>
      </c>
      <c r="AG117" s="69" t="s">
        <v>1136</v>
      </c>
      <c r="AH117" s="137" t="s">
        <v>1310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336</v>
      </c>
      <c r="T118" s="69" t="s">
        <v>7</v>
      </c>
      <c r="U118" s="71">
        <v>9.89</v>
      </c>
      <c r="V118" s="127">
        <v>10.52</v>
      </c>
      <c r="W118" s="69">
        <v>10</v>
      </c>
      <c r="X118" s="69">
        <v>0.61</v>
      </c>
      <c r="Y118" s="69">
        <v>5</v>
      </c>
      <c r="Z118" s="69">
        <v>12</v>
      </c>
      <c r="AA118" s="69">
        <v>3</v>
      </c>
      <c r="AB118" s="69" t="s">
        <v>767</v>
      </c>
      <c r="AC118" s="71">
        <v>2001</v>
      </c>
      <c r="AD118" s="71" t="s">
        <v>1958</v>
      </c>
      <c r="AG118" s="53" t="s">
        <v>1132</v>
      </c>
      <c r="AH118" s="138" t="s">
        <v>1133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336</v>
      </c>
      <c r="T119" s="53" t="s">
        <v>158</v>
      </c>
      <c r="U119" s="70">
        <v>9.61</v>
      </c>
      <c r="V119" s="205">
        <v>9.9600000000000009</v>
      </c>
      <c r="W119" s="53">
        <v>10</v>
      </c>
      <c r="X119" s="53">
        <v>0.74</v>
      </c>
      <c r="Y119" s="53">
        <v>5</v>
      </c>
      <c r="Z119" s="53">
        <v>15</v>
      </c>
      <c r="AA119" s="53">
        <v>6</v>
      </c>
      <c r="AB119" s="53" t="s">
        <v>767</v>
      </c>
      <c r="AC119" s="70">
        <v>1996</v>
      </c>
      <c r="AD119" s="70" t="s">
        <v>1962</v>
      </c>
      <c r="AG119" s="69" t="s">
        <v>1134</v>
      </c>
      <c r="AH119" s="137" t="s">
        <v>1133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336</v>
      </c>
      <c r="T120" s="69" t="s">
        <v>571</v>
      </c>
      <c r="U120" s="71">
        <v>9.61</v>
      </c>
      <c r="V120" s="204">
        <v>9.99</v>
      </c>
      <c r="W120" s="69">
        <v>10</v>
      </c>
      <c r="X120" s="69">
        <v>0.74</v>
      </c>
      <c r="Y120" s="69">
        <v>5</v>
      </c>
      <c r="Z120" s="69">
        <v>11</v>
      </c>
      <c r="AA120" s="69">
        <v>2</v>
      </c>
      <c r="AB120" s="69" t="s">
        <v>767</v>
      </c>
      <c r="AC120" s="71">
        <v>2006</v>
      </c>
      <c r="AD120" s="71" t="s">
        <v>1961</v>
      </c>
      <c r="AG120" s="53" t="s">
        <v>1139</v>
      </c>
      <c r="AH120" s="138" t="s">
        <v>1708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336</v>
      </c>
      <c r="T121" s="53" t="s">
        <v>1265</v>
      </c>
      <c r="U121" s="70">
        <v>9.36</v>
      </c>
      <c r="V121" s="207">
        <v>9.73</v>
      </c>
      <c r="W121" s="53">
        <v>10</v>
      </c>
      <c r="X121" s="53">
        <v>1.1200000000000001</v>
      </c>
      <c r="Y121" s="53">
        <v>4</v>
      </c>
      <c r="Z121" s="53">
        <v>10</v>
      </c>
      <c r="AA121" s="53">
        <v>3</v>
      </c>
      <c r="AB121" s="53" t="s">
        <v>1278</v>
      </c>
      <c r="AC121" s="70">
        <v>2019</v>
      </c>
      <c r="AD121" s="70" t="s">
        <v>1964</v>
      </c>
      <c r="AG121" s="69" t="s">
        <v>796</v>
      </c>
      <c r="AH121" s="137" t="s">
        <v>1137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336</v>
      </c>
      <c r="T122" s="69" t="s">
        <v>319</v>
      </c>
      <c r="U122" s="71">
        <v>8.35</v>
      </c>
      <c r="V122" s="236">
        <v>8.2200000000000006</v>
      </c>
      <c r="W122" s="69">
        <v>8.25</v>
      </c>
      <c r="X122" s="69">
        <v>1.32</v>
      </c>
      <c r="Y122" s="69">
        <v>3</v>
      </c>
      <c r="Z122" s="69">
        <v>10</v>
      </c>
      <c r="AA122" s="69">
        <v>0</v>
      </c>
      <c r="AB122" s="69" t="s">
        <v>788</v>
      </c>
      <c r="AC122" s="71">
        <v>1993</v>
      </c>
      <c r="AD122" s="71" t="s">
        <v>1986</v>
      </c>
      <c r="AG122" s="53" t="s">
        <v>788</v>
      </c>
      <c r="AH122" s="138" t="s">
        <v>1850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477</v>
      </c>
      <c r="T123" s="53" t="s">
        <v>478</v>
      </c>
      <c r="U123" s="70">
        <v>8.18</v>
      </c>
      <c r="V123" s="238">
        <v>8.06</v>
      </c>
      <c r="W123" s="53">
        <v>8</v>
      </c>
      <c r="X123" s="53">
        <v>0.89</v>
      </c>
      <c r="Y123" s="53">
        <v>2</v>
      </c>
      <c r="Z123" s="53">
        <v>19</v>
      </c>
      <c r="AA123" s="53">
        <v>0</v>
      </c>
      <c r="AB123" s="53" t="s">
        <v>795</v>
      </c>
      <c r="AC123" s="70">
        <v>2023</v>
      </c>
      <c r="AD123" s="70" t="s">
        <v>1979</v>
      </c>
      <c r="AG123" s="69" t="s">
        <v>1955</v>
      </c>
      <c r="AH123" s="137" t="s">
        <v>1956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1805</v>
      </c>
      <c r="T124" s="69" t="s">
        <v>1806</v>
      </c>
      <c r="U124" s="71">
        <v>8.5</v>
      </c>
      <c r="V124" s="253">
        <v>8.4499999999999993</v>
      </c>
      <c r="W124" s="69">
        <v>8.5</v>
      </c>
      <c r="X124" s="69">
        <v>0.41</v>
      </c>
      <c r="Y124" s="69">
        <v>0</v>
      </c>
      <c r="Z124" s="69">
        <v>9</v>
      </c>
      <c r="AA124" s="69">
        <v>0</v>
      </c>
      <c r="AB124" s="69" t="s">
        <v>1250</v>
      </c>
      <c r="AC124" s="71">
        <v>2026</v>
      </c>
      <c r="AD124" s="71" t="s">
        <v>1999</v>
      </c>
      <c r="AG124" s="53" t="s">
        <v>1328</v>
      </c>
      <c r="AH124" s="138" t="s">
        <v>1329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817</v>
      </c>
      <c r="T125" s="53" t="s">
        <v>818</v>
      </c>
      <c r="U125" s="70">
        <v>8.33</v>
      </c>
      <c r="V125" s="188">
        <v>8.16</v>
      </c>
      <c r="W125" s="53">
        <v>8</v>
      </c>
      <c r="X125" s="53">
        <v>1.1599999999999999</v>
      </c>
      <c r="Y125" s="53">
        <v>3</v>
      </c>
      <c r="Z125" s="53">
        <v>15</v>
      </c>
      <c r="AA125" s="53">
        <v>0</v>
      </c>
      <c r="AB125" s="53" t="s">
        <v>838</v>
      </c>
      <c r="AC125" s="70">
        <v>2003</v>
      </c>
      <c r="AD125" s="70" t="s">
        <v>2000</v>
      </c>
      <c r="AG125" s="69" t="s">
        <v>1600</v>
      </c>
      <c r="AH125" s="137" t="s">
        <v>1601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363</v>
      </c>
      <c r="T126" s="69" t="s">
        <v>364</v>
      </c>
      <c r="U126" s="71">
        <v>8.33</v>
      </c>
      <c r="V126" s="188">
        <v>8.17</v>
      </c>
      <c r="W126" s="69">
        <v>8</v>
      </c>
      <c r="X126" s="69">
        <v>0.94</v>
      </c>
      <c r="Y126" s="69">
        <v>1</v>
      </c>
      <c r="Z126" s="69">
        <v>9</v>
      </c>
      <c r="AA126" s="69">
        <v>0</v>
      </c>
      <c r="AB126" s="69" t="s">
        <v>776</v>
      </c>
      <c r="AC126" s="71">
        <v>1993</v>
      </c>
      <c r="AD126" s="71" t="s">
        <v>1984</v>
      </c>
      <c r="AG126" s="53" t="s">
        <v>1602</v>
      </c>
      <c r="AH126" s="138" t="s">
        <v>1601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R127" s="60">
        <v>125</v>
      </c>
      <c r="S127" s="53" t="s">
        <v>587</v>
      </c>
      <c r="T127" s="53" t="s">
        <v>588</v>
      </c>
      <c r="U127" s="70">
        <v>8.31</v>
      </c>
      <c r="V127" s="188">
        <v>8.16</v>
      </c>
      <c r="W127" s="53">
        <v>8</v>
      </c>
      <c r="X127" s="53">
        <v>0.89</v>
      </c>
      <c r="Y127" s="53">
        <v>2</v>
      </c>
      <c r="Z127" s="53">
        <v>14</v>
      </c>
      <c r="AA127" s="53">
        <v>1</v>
      </c>
      <c r="AB127" s="53" t="s">
        <v>780</v>
      </c>
      <c r="AC127" s="70">
        <v>2016</v>
      </c>
      <c r="AD127" s="70" t="s">
        <v>1980</v>
      </c>
      <c r="AG127" s="69" t="s">
        <v>1138</v>
      </c>
      <c r="AH127" s="137" t="s">
        <v>2029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V128"/>
      <c r="W128"/>
      <c r="X128"/>
      <c r="Y128"/>
      <c r="Z128"/>
      <c r="AG128" s="53" t="s">
        <v>1218</v>
      </c>
      <c r="AH128" s="138" t="s">
        <v>1229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R129" s="291" t="s">
        <v>1361</v>
      </c>
      <c r="S129" s="291"/>
      <c r="T129" s="291"/>
      <c r="U129" s="291"/>
      <c r="V129" s="291"/>
      <c r="W129" s="291"/>
      <c r="X129" s="291"/>
      <c r="Y129" s="291"/>
      <c r="Z129" s="291"/>
      <c r="AA129" s="291"/>
      <c r="AB129" s="291"/>
      <c r="AC129" s="291"/>
      <c r="AD129" s="291"/>
      <c r="AG129" s="69" t="s">
        <v>1140</v>
      </c>
      <c r="AH129" s="137" t="s">
        <v>1141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R130" s="52" t="s">
        <v>362</v>
      </c>
      <c r="S130" s="52" t="s">
        <v>329</v>
      </c>
      <c r="T130" s="52" t="s">
        <v>528</v>
      </c>
      <c r="U130" s="52" t="s">
        <v>525</v>
      </c>
      <c r="V130" s="52" t="s">
        <v>1018</v>
      </c>
      <c r="W130" s="52" t="s">
        <v>526</v>
      </c>
      <c r="X130" s="52" t="s">
        <v>332</v>
      </c>
      <c r="Y130" s="52" t="s">
        <v>333</v>
      </c>
      <c r="Z130" s="52" t="s">
        <v>334</v>
      </c>
      <c r="AA130" s="52" t="s">
        <v>335</v>
      </c>
      <c r="AB130" s="52" t="s">
        <v>926</v>
      </c>
      <c r="AC130" s="52" t="s">
        <v>2005</v>
      </c>
      <c r="AD130" s="52" t="s">
        <v>2006</v>
      </c>
      <c r="AG130" s="53" t="s">
        <v>1142</v>
      </c>
      <c r="AH130" s="138" t="s">
        <v>1141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R131" s="61">
        <v>1</v>
      </c>
      <c r="S131" s="53" t="s">
        <v>342</v>
      </c>
      <c r="T131" s="70">
        <v>4</v>
      </c>
      <c r="U131" s="70">
        <v>9.44</v>
      </c>
      <c r="V131" s="278">
        <v>9.66</v>
      </c>
      <c r="W131" s="53">
        <v>9.44</v>
      </c>
      <c r="X131" s="53">
        <v>0.77</v>
      </c>
      <c r="Y131" s="53">
        <v>11</v>
      </c>
      <c r="Z131" s="53">
        <v>26</v>
      </c>
      <c r="AA131" s="53">
        <v>1</v>
      </c>
      <c r="AB131" s="53" t="s">
        <v>1046</v>
      </c>
      <c r="AC131" s="53" t="s">
        <v>2007</v>
      </c>
      <c r="AD131" s="53" t="s">
        <v>1996</v>
      </c>
      <c r="AG131" s="69" t="s">
        <v>797</v>
      </c>
      <c r="AH131" s="137" t="s">
        <v>1143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R132" s="62">
        <v>2</v>
      </c>
      <c r="S132" s="69" t="s">
        <v>336</v>
      </c>
      <c r="T132" s="71">
        <v>5</v>
      </c>
      <c r="U132" s="71">
        <v>9.36</v>
      </c>
      <c r="V132" s="248">
        <v>9.68</v>
      </c>
      <c r="W132" s="69">
        <v>9.65</v>
      </c>
      <c r="X132" s="69">
        <v>0.91</v>
      </c>
      <c r="Y132" s="69">
        <v>22</v>
      </c>
      <c r="Z132" s="69">
        <v>58</v>
      </c>
      <c r="AA132" s="69">
        <v>14</v>
      </c>
      <c r="AB132" s="69" t="s">
        <v>1279</v>
      </c>
      <c r="AC132" s="69" t="s">
        <v>2008</v>
      </c>
      <c r="AD132" s="69" t="s">
        <v>1958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63">
        <v>3</v>
      </c>
      <c r="S133" s="53" t="s">
        <v>341</v>
      </c>
      <c r="T133" s="70">
        <v>3</v>
      </c>
      <c r="U133" s="70">
        <v>9.18</v>
      </c>
      <c r="V133" s="249">
        <v>9.1999999999999993</v>
      </c>
      <c r="W133" s="53">
        <v>8.92</v>
      </c>
      <c r="X133" s="53">
        <v>0.74</v>
      </c>
      <c r="Y133" s="53">
        <v>5</v>
      </c>
      <c r="Z133" s="53">
        <v>16</v>
      </c>
      <c r="AA133" s="53">
        <v>0</v>
      </c>
      <c r="AB133" s="53" t="s">
        <v>1424</v>
      </c>
      <c r="AC133" s="53" t="s">
        <v>2009</v>
      </c>
      <c r="AD133" s="53" t="s">
        <v>1977</v>
      </c>
      <c r="AG133" s="136" t="s">
        <v>2030</v>
      </c>
      <c r="AH133" s="136"/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60">
        <v>4</v>
      </c>
      <c r="S134" s="69" t="s">
        <v>492</v>
      </c>
      <c r="T134" s="71">
        <v>3</v>
      </c>
      <c r="U134" s="71">
        <v>8.93</v>
      </c>
      <c r="V134" s="219">
        <v>8.9499999999999993</v>
      </c>
      <c r="W134" s="69">
        <v>8.83</v>
      </c>
      <c r="X134" s="69">
        <v>0.82</v>
      </c>
      <c r="Y134" s="69">
        <v>6</v>
      </c>
      <c r="Z134" s="69">
        <v>27</v>
      </c>
      <c r="AA134" s="69">
        <v>0</v>
      </c>
      <c r="AB134" s="69" t="s">
        <v>771</v>
      </c>
      <c r="AC134" s="69" t="s">
        <v>2010</v>
      </c>
      <c r="AD134" s="69" t="s">
        <v>1975</v>
      </c>
      <c r="AG134" s="53" t="s">
        <v>2031</v>
      </c>
      <c r="AH134" s="138" t="s">
        <v>2086</v>
      </c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0">
        <v>5</v>
      </c>
      <c r="S135" s="53" t="s">
        <v>356</v>
      </c>
      <c r="T135" s="70">
        <v>2</v>
      </c>
      <c r="U135" s="70">
        <v>8.85</v>
      </c>
      <c r="V135" s="222">
        <v>8.84</v>
      </c>
      <c r="W135" s="53">
        <v>8.75</v>
      </c>
      <c r="X135" s="53">
        <v>0.73</v>
      </c>
      <c r="Y135" s="53">
        <v>4</v>
      </c>
      <c r="Z135" s="53">
        <v>25</v>
      </c>
      <c r="AA135" s="53">
        <v>0</v>
      </c>
      <c r="AB135" s="53" t="s">
        <v>1900</v>
      </c>
      <c r="AC135" s="53" t="s">
        <v>2011</v>
      </c>
      <c r="AD135" s="53" t="s">
        <v>1974</v>
      </c>
      <c r="AG135" s="69" t="s">
        <v>2032</v>
      </c>
      <c r="AH135" s="137">
        <v>1969</v>
      </c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1847</v>
      </c>
      <c r="K136" s="14">
        <f>ROUND(SUM(K137:K147)/COUNT(K137:K147), 2)</f>
        <v>8.86</v>
      </c>
      <c r="L136" s="4"/>
      <c r="M136" s="21"/>
      <c r="N136" s="21"/>
      <c r="O136" s="22"/>
      <c r="R136" s="60">
        <v>6</v>
      </c>
      <c r="S136" s="69" t="s">
        <v>351</v>
      </c>
      <c r="T136" s="71">
        <v>2</v>
      </c>
      <c r="U136" s="71">
        <v>8.83</v>
      </c>
      <c r="V136" s="179">
        <v>8.85</v>
      </c>
      <c r="W136" s="69">
        <v>8.5</v>
      </c>
      <c r="X136" s="69">
        <v>0.88</v>
      </c>
      <c r="Y136" s="69">
        <v>4</v>
      </c>
      <c r="Z136" s="69">
        <v>18</v>
      </c>
      <c r="AA136" s="69">
        <v>0</v>
      </c>
      <c r="AB136" s="69" t="s">
        <v>2081</v>
      </c>
      <c r="AC136" s="69" t="s">
        <v>2012</v>
      </c>
      <c r="AD136" s="69" t="s">
        <v>1977</v>
      </c>
      <c r="AG136" s="53" t="s">
        <v>2033</v>
      </c>
      <c r="AH136" s="138">
        <v>2026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0">
        <v>7</v>
      </c>
      <c r="S137" s="53" t="s">
        <v>1466</v>
      </c>
      <c r="T137" s="70">
        <v>2</v>
      </c>
      <c r="U137" s="70">
        <v>8.77</v>
      </c>
      <c r="V137" s="183">
        <v>8.67</v>
      </c>
      <c r="W137" s="53">
        <v>8.5</v>
      </c>
      <c r="X137" s="53">
        <v>0.62</v>
      </c>
      <c r="Y137" s="53">
        <v>2</v>
      </c>
      <c r="Z137" s="53">
        <v>17</v>
      </c>
      <c r="AA137" s="53">
        <v>1</v>
      </c>
      <c r="AB137" s="53" t="s">
        <v>1730</v>
      </c>
      <c r="AC137" s="53">
        <v>2016</v>
      </c>
      <c r="AD137" s="53" t="s">
        <v>2014</v>
      </c>
      <c r="AG137" s="69" t="s">
        <v>2034</v>
      </c>
      <c r="AH137" s="137" t="s">
        <v>2035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8</v>
      </c>
      <c r="S138" s="69" t="s">
        <v>355</v>
      </c>
      <c r="T138" s="71">
        <v>3</v>
      </c>
      <c r="U138" s="71">
        <v>8.77</v>
      </c>
      <c r="V138" s="180">
        <v>8.7899999999999991</v>
      </c>
      <c r="W138" s="69">
        <v>8.67</v>
      </c>
      <c r="X138" s="69">
        <v>0.81</v>
      </c>
      <c r="Y138" s="69">
        <v>6</v>
      </c>
      <c r="Z138" s="69">
        <v>34</v>
      </c>
      <c r="AA138" s="69">
        <v>1</v>
      </c>
      <c r="AB138" s="69" t="s">
        <v>1680</v>
      </c>
      <c r="AC138" s="69" t="s">
        <v>2013</v>
      </c>
      <c r="AD138" s="69" t="s">
        <v>1987</v>
      </c>
      <c r="AG138" s="53" t="s">
        <v>2036</v>
      </c>
      <c r="AH138" s="138" t="s">
        <v>2037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9</v>
      </c>
      <c r="S139" s="53" t="s">
        <v>337</v>
      </c>
      <c r="T139" s="70">
        <v>9</v>
      </c>
      <c r="U139" s="70">
        <v>8.67</v>
      </c>
      <c r="V139" s="180">
        <v>8.7899999999999991</v>
      </c>
      <c r="W139" s="53">
        <v>8.69</v>
      </c>
      <c r="X139" s="53">
        <v>0.86</v>
      </c>
      <c r="Y139" s="53">
        <v>20</v>
      </c>
      <c r="Z139" s="53">
        <v>101</v>
      </c>
      <c r="AA139" s="53">
        <v>4</v>
      </c>
      <c r="AB139" s="53" t="s">
        <v>960</v>
      </c>
      <c r="AC139" s="53" t="s">
        <v>2015</v>
      </c>
      <c r="AD139" s="53" t="s">
        <v>1968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10</v>
      </c>
      <c r="S140" s="69" t="s">
        <v>1552</v>
      </c>
      <c r="T140" s="71">
        <v>2</v>
      </c>
      <c r="U140" s="71">
        <v>8.6300000000000008</v>
      </c>
      <c r="V140" s="250">
        <v>8.59</v>
      </c>
      <c r="W140" s="69">
        <v>8.5</v>
      </c>
      <c r="X140" s="69">
        <v>1.05</v>
      </c>
      <c r="Y140" s="69">
        <v>4</v>
      </c>
      <c r="Z140" s="69">
        <v>22</v>
      </c>
      <c r="AA140" s="69">
        <v>2</v>
      </c>
      <c r="AB140" s="69" t="s">
        <v>1615</v>
      </c>
      <c r="AC140" s="69" t="s">
        <v>2016</v>
      </c>
      <c r="AD140" s="69" t="s">
        <v>2000</v>
      </c>
      <c r="AG140" s="136" t="s">
        <v>2038</v>
      </c>
      <c r="AH140" s="136"/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11</v>
      </c>
      <c r="S141" s="53" t="s">
        <v>344</v>
      </c>
      <c r="T141" s="70">
        <v>8</v>
      </c>
      <c r="U141" s="70">
        <v>8.58</v>
      </c>
      <c r="V141" s="185">
        <v>8.5500000000000007</v>
      </c>
      <c r="W141" s="53">
        <v>8.4700000000000006</v>
      </c>
      <c r="X141" s="53">
        <v>0.76</v>
      </c>
      <c r="Y141" s="53">
        <v>7</v>
      </c>
      <c r="Z141" s="53">
        <v>60</v>
      </c>
      <c r="AA141" s="53">
        <v>2</v>
      </c>
      <c r="AB141" s="53" t="s">
        <v>2082</v>
      </c>
      <c r="AC141" s="53" t="s">
        <v>2017</v>
      </c>
      <c r="AD141" s="53" t="s">
        <v>1991</v>
      </c>
      <c r="AG141" s="69" t="s">
        <v>2039</v>
      </c>
      <c r="AH141" s="137" t="s">
        <v>2040</v>
      </c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12</v>
      </c>
      <c r="S142" s="69" t="s">
        <v>732</v>
      </c>
      <c r="T142" s="71">
        <v>3</v>
      </c>
      <c r="U142" s="71">
        <v>8.5500000000000007</v>
      </c>
      <c r="V142" s="185">
        <v>8.5500000000000007</v>
      </c>
      <c r="W142" s="69">
        <v>8.17</v>
      </c>
      <c r="X142" s="69">
        <v>0.83</v>
      </c>
      <c r="Y142" s="69">
        <v>6</v>
      </c>
      <c r="Z142" s="69">
        <v>46</v>
      </c>
      <c r="AA142" s="69">
        <v>4</v>
      </c>
      <c r="AB142" s="69" t="s">
        <v>1468</v>
      </c>
      <c r="AC142" s="69" t="s">
        <v>2018</v>
      </c>
      <c r="AD142" s="69" t="s">
        <v>1980</v>
      </c>
      <c r="AG142" s="53" t="s">
        <v>2041</v>
      </c>
      <c r="AH142" s="138" t="s">
        <v>2042</v>
      </c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13</v>
      </c>
      <c r="S143" s="53" t="s">
        <v>349</v>
      </c>
      <c r="T143" s="70">
        <v>2</v>
      </c>
      <c r="U143" s="70">
        <v>8.5399999999999991</v>
      </c>
      <c r="V143" s="229">
        <v>8.4700000000000006</v>
      </c>
      <c r="W143" s="53">
        <v>8.5</v>
      </c>
      <c r="X143" s="53">
        <v>0.78</v>
      </c>
      <c r="Y143" s="53">
        <v>3</v>
      </c>
      <c r="Z143" s="53">
        <v>20</v>
      </c>
      <c r="AA143" s="53">
        <v>0</v>
      </c>
      <c r="AB143" s="53" t="s">
        <v>1953</v>
      </c>
      <c r="AC143" s="53" t="s">
        <v>2019</v>
      </c>
      <c r="AD143" s="53" t="s">
        <v>1973</v>
      </c>
      <c r="AG143" s="69" t="s">
        <v>2043</v>
      </c>
      <c r="AH143" s="137" t="s">
        <v>2044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14</v>
      </c>
      <c r="S144" s="69" t="s">
        <v>1171</v>
      </c>
      <c r="T144" s="71">
        <v>2</v>
      </c>
      <c r="U144" s="71">
        <v>8.52</v>
      </c>
      <c r="V144" s="253">
        <v>8.4499999999999993</v>
      </c>
      <c r="W144" s="69">
        <v>8.25</v>
      </c>
      <c r="X144" s="69">
        <v>0.96</v>
      </c>
      <c r="Y144" s="69">
        <v>6</v>
      </c>
      <c r="Z144" s="69">
        <v>41</v>
      </c>
      <c r="AA144" s="69">
        <v>2</v>
      </c>
      <c r="AB144" s="69" t="s">
        <v>1782</v>
      </c>
      <c r="AC144" s="69" t="s">
        <v>2020</v>
      </c>
      <c r="AD144" s="69" t="s">
        <v>2021</v>
      </c>
      <c r="AG144" s="53" t="s">
        <v>2045</v>
      </c>
      <c r="AH144" s="138" t="s">
        <v>2046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15</v>
      </c>
      <c r="S145" s="53" t="s">
        <v>347</v>
      </c>
      <c r="T145" s="70">
        <v>4</v>
      </c>
      <c r="U145" s="70">
        <v>8.4600000000000009</v>
      </c>
      <c r="V145" s="285">
        <v>8.4</v>
      </c>
      <c r="W145" s="53">
        <v>8.25</v>
      </c>
      <c r="X145" s="53">
        <v>0.95</v>
      </c>
      <c r="Y145" s="53">
        <v>8</v>
      </c>
      <c r="Z145" s="53">
        <v>53</v>
      </c>
      <c r="AA145" s="53">
        <v>4</v>
      </c>
      <c r="AB145" s="53" t="s">
        <v>1599</v>
      </c>
      <c r="AC145" s="53" t="s">
        <v>2022</v>
      </c>
      <c r="AD145" s="53" t="s">
        <v>2014</v>
      </c>
      <c r="AG145" s="69" t="s">
        <v>2047</v>
      </c>
      <c r="AH145" s="137" t="s">
        <v>2048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16</v>
      </c>
      <c r="S146" s="69" t="s">
        <v>348</v>
      </c>
      <c r="T146" s="71">
        <v>2</v>
      </c>
      <c r="U146" s="71">
        <v>8.39</v>
      </c>
      <c r="V146" s="233">
        <v>8.3699999999999992</v>
      </c>
      <c r="W146" s="69">
        <v>8.25</v>
      </c>
      <c r="X146" s="69">
        <v>0.72</v>
      </c>
      <c r="Y146" s="69">
        <v>2</v>
      </c>
      <c r="Z146" s="69">
        <v>20</v>
      </c>
      <c r="AA146" s="69">
        <v>0</v>
      </c>
      <c r="AB146" s="69" t="s">
        <v>791</v>
      </c>
      <c r="AC146" s="69" t="s">
        <v>2023</v>
      </c>
      <c r="AD146" s="69" t="s">
        <v>1959</v>
      </c>
      <c r="AG146" s="53" t="s">
        <v>2049</v>
      </c>
      <c r="AH146" s="138" t="s">
        <v>2050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17</v>
      </c>
      <c r="S147" s="53" t="s">
        <v>832</v>
      </c>
      <c r="T147" s="70">
        <v>2</v>
      </c>
      <c r="U147" s="70">
        <v>8.07</v>
      </c>
      <c r="V147" s="289">
        <v>7.99</v>
      </c>
      <c r="W147" s="53">
        <v>8.1300000000000008</v>
      </c>
      <c r="X147" s="53">
        <v>0.8</v>
      </c>
      <c r="Y147" s="53">
        <v>3</v>
      </c>
      <c r="Z147" s="53">
        <v>31</v>
      </c>
      <c r="AA147" s="53">
        <v>2</v>
      </c>
      <c r="AB147" s="53" t="s">
        <v>2024</v>
      </c>
      <c r="AC147" s="53" t="s">
        <v>2025</v>
      </c>
      <c r="AD147" s="53" t="s">
        <v>2000</v>
      </c>
      <c r="AG147" s="69" t="s">
        <v>2051</v>
      </c>
      <c r="AH147" s="137" t="s">
        <v>2052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R148" s="60">
        <v>18</v>
      </c>
      <c r="S148" s="69" t="s">
        <v>345</v>
      </c>
      <c r="T148" s="71">
        <v>5</v>
      </c>
      <c r="U148" s="71">
        <v>7.9</v>
      </c>
      <c r="V148" s="259">
        <v>7.94</v>
      </c>
      <c r="W148" s="69">
        <v>7.75</v>
      </c>
      <c r="X148" s="69">
        <v>1.07</v>
      </c>
      <c r="Y148" s="69">
        <v>11</v>
      </c>
      <c r="Z148" s="69">
        <v>48</v>
      </c>
      <c r="AA148" s="69">
        <v>0</v>
      </c>
      <c r="AB148" s="69" t="s">
        <v>1848</v>
      </c>
      <c r="AC148" s="69" t="s">
        <v>2026</v>
      </c>
      <c r="AD148" s="69" t="s">
        <v>1972</v>
      </c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V149"/>
      <c r="W149"/>
      <c r="X149"/>
      <c r="Y149"/>
      <c r="Z149"/>
      <c r="AG149" s="136" t="s">
        <v>2053</v>
      </c>
      <c r="AH149" s="136"/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R150" s="291" t="s">
        <v>1816</v>
      </c>
      <c r="S150" s="291"/>
      <c r="T150" s="291"/>
      <c r="U150" s="291"/>
      <c r="V150" s="291"/>
      <c r="W150"/>
      <c r="X150"/>
      <c r="Y150"/>
      <c r="Z150"/>
      <c r="AG150" s="53" t="s">
        <v>2054</v>
      </c>
      <c r="AH150" s="138" t="s">
        <v>2086</v>
      </c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R151" s="52" t="s">
        <v>362</v>
      </c>
      <c r="S151" s="52" t="s">
        <v>329</v>
      </c>
      <c r="T151" s="52" t="s">
        <v>330</v>
      </c>
      <c r="U151" s="52" t="s">
        <v>331</v>
      </c>
      <c r="V151" s="52" t="s">
        <v>1018</v>
      </c>
      <c r="W151"/>
      <c r="X151"/>
      <c r="Y151"/>
      <c r="Z151"/>
      <c r="AG151" s="69" t="s">
        <v>2055</v>
      </c>
      <c r="AH151" s="137" t="s">
        <v>2000</v>
      </c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R152" s="61">
        <v>1</v>
      </c>
      <c r="S152" s="53" t="s">
        <v>1012</v>
      </c>
      <c r="T152" s="53" t="s">
        <v>1010</v>
      </c>
      <c r="U152" s="70">
        <v>10.5</v>
      </c>
      <c r="V152" s="127">
        <v>10.85</v>
      </c>
      <c r="W152"/>
      <c r="X152"/>
      <c r="Y152"/>
      <c r="Z152"/>
      <c r="AG152" s="53" t="s">
        <v>2056</v>
      </c>
      <c r="AH152" s="138" t="s">
        <v>2057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R153" s="62">
        <v>2</v>
      </c>
      <c r="S153" s="69" t="s">
        <v>336</v>
      </c>
      <c r="T153" s="69" t="s">
        <v>7</v>
      </c>
      <c r="U153" s="71">
        <v>9.89</v>
      </c>
      <c r="V153" s="127">
        <v>10.52</v>
      </c>
      <c r="W153"/>
      <c r="X153"/>
      <c r="Y153"/>
      <c r="Z153"/>
      <c r="AG153" s="69" t="s">
        <v>2058</v>
      </c>
      <c r="AH153" s="137" t="s">
        <v>2059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63">
        <v>3</v>
      </c>
      <c r="S154" s="53" t="s">
        <v>342</v>
      </c>
      <c r="T154" s="53" t="s">
        <v>1043</v>
      </c>
      <c r="U154" s="70">
        <v>10</v>
      </c>
      <c r="V154" s="127">
        <v>10.39</v>
      </c>
      <c r="W154"/>
      <c r="X154"/>
      <c r="Y154"/>
      <c r="Z154"/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60">
        <v>4</v>
      </c>
      <c r="S155" s="69" t="s">
        <v>337</v>
      </c>
      <c r="T155" s="69" t="s">
        <v>338</v>
      </c>
      <c r="U155" s="71">
        <v>9.6999999999999993</v>
      </c>
      <c r="V155" s="127">
        <v>10.37</v>
      </c>
      <c r="W155"/>
      <c r="X155"/>
      <c r="Y155"/>
      <c r="Z155"/>
      <c r="AG155" s="136" t="s">
        <v>2060</v>
      </c>
      <c r="AH155" s="136"/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0">
        <v>5</v>
      </c>
      <c r="S156" s="53" t="s">
        <v>688</v>
      </c>
      <c r="T156" s="53" t="s">
        <v>689</v>
      </c>
      <c r="U156" s="70">
        <v>9.8800000000000008</v>
      </c>
      <c r="V156" s="127">
        <v>10.220000000000001</v>
      </c>
      <c r="W156"/>
      <c r="X156"/>
      <c r="Y156"/>
      <c r="Z156"/>
      <c r="AG156" s="53" t="s">
        <v>2061</v>
      </c>
      <c r="AH156" s="138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0">
        <v>6</v>
      </c>
      <c r="S157" s="69" t="s">
        <v>340</v>
      </c>
      <c r="T157" s="69" t="s">
        <v>275</v>
      </c>
      <c r="U157" s="71">
        <v>9.3800000000000008</v>
      </c>
      <c r="V157" s="210">
        <v>9.5299999999999994</v>
      </c>
      <c r="W157"/>
      <c r="X157"/>
      <c r="Y157"/>
      <c r="Z157"/>
      <c r="AG157" s="69" t="s">
        <v>1051</v>
      </c>
      <c r="AH157" s="137" t="s">
        <v>2087</v>
      </c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0">
        <v>7</v>
      </c>
      <c r="S158" s="53" t="s">
        <v>341</v>
      </c>
      <c r="T158" s="53" t="s">
        <v>1202</v>
      </c>
      <c r="U158" s="70">
        <v>9.4</v>
      </c>
      <c r="V158" s="177">
        <v>9.4600000000000009</v>
      </c>
      <c r="W158"/>
      <c r="X158"/>
      <c r="Y158"/>
      <c r="Z158"/>
      <c r="AG158" s="53" t="s">
        <v>2062</v>
      </c>
      <c r="AH158" s="138" t="s">
        <v>2096</v>
      </c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8</v>
      </c>
      <c r="S159" s="69" t="s">
        <v>345</v>
      </c>
      <c r="T159" s="69" t="s">
        <v>56</v>
      </c>
      <c r="U159" s="71">
        <v>9.25</v>
      </c>
      <c r="V159" s="211">
        <v>9.3699999999999992</v>
      </c>
      <c r="W159"/>
      <c r="X159"/>
      <c r="Y159"/>
      <c r="Z159"/>
      <c r="AG159" s="69" t="s">
        <v>1054</v>
      </c>
      <c r="AH159" s="137" t="s">
        <v>2097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9</v>
      </c>
      <c r="S160" s="53" t="s">
        <v>346</v>
      </c>
      <c r="T160" s="53" t="s">
        <v>189</v>
      </c>
      <c r="U160" s="70">
        <v>9.2100000000000009</v>
      </c>
      <c r="V160" s="213">
        <v>9.34</v>
      </c>
      <c r="W160"/>
      <c r="X160"/>
      <c r="Y160"/>
      <c r="Z160"/>
      <c r="AG160" s="53" t="s">
        <v>1060</v>
      </c>
      <c r="AH160" s="138" t="s">
        <v>2098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10</v>
      </c>
      <c r="S161" s="69" t="s">
        <v>344</v>
      </c>
      <c r="T161" s="69" t="s">
        <v>132</v>
      </c>
      <c r="U161" s="71">
        <v>9.2100000000000009</v>
      </c>
      <c r="V161" s="214">
        <v>9.2799999999999994</v>
      </c>
      <c r="W161"/>
      <c r="X161"/>
      <c r="Y161"/>
      <c r="Z161"/>
      <c r="AG161" s="69" t="s">
        <v>333</v>
      </c>
      <c r="AH161" s="137" t="s">
        <v>2088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11</v>
      </c>
      <c r="S162" s="53" t="s">
        <v>492</v>
      </c>
      <c r="T162" s="53" t="s">
        <v>510</v>
      </c>
      <c r="U162" s="70">
        <v>9.17</v>
      </c>
      <c r="V162" s="131">
        <v>9.23</v>
      </c>
      <c r="W162"/>
      <c r="X162"/>
      <c r="Y162"/>
      <c r="Z162"/>
      <c r="AG162" s="53" t="s">
        <v>2063</v>
      </c>
      <c r="AH162" s="138" t="s">
        <v>2064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12</v>
      </c>
      <c r="S163" s="69" t="s">
        <v>456</v>
      </c>
      <c r="T163" s="69" t="s">
        <v>36</v>
      </c>
      <c r="U163" s="71">
        <v>9.15</v>
      </c>
      <c r="V163" s="131">
        <v>9.23</v>
      </c>
      <c r="W163"/>
      <c r="X163"/>
      <c r="Y163"/>
      <c r="Z163"/>
      <c r="AG163" s="69" t="s">
        <v>2065</v>
      </c>
      <c r="AH163" s="137" t="s">
        <v>2066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13</v>
      </c>
      <c r="S164" s="53" t="s">
        <v>924</v>
      </c>
      <c r="T164" s="53" t="s">
        <v>915</v>
      </c>
      <c r="U164" s="70">
        <v>9.06</v>
      </c>
      <c r="V164" s="141">
        <v>9.1</v>
      </c>
      <c r="W164"/>
      <c r="X164"/>
      <c r="Y164"/>
      <c r="Z164"/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14</v>
      </c>
      <c r="S165" s="69" t="s">
        <v>347</v>
      </c>
      <c r="T165" s="69" t="s">
        <v>159</v>
      </c>
      <c r="U165" s="71">
        <v>9</v>
      </c>
      <c r="V165" s="141">
        <v>9.09</v>
      </c>
      <c r="W165"/>
      <c r="X165"/>
      <c r="Y165"/>
      <c r="Z165"/>
      <c r="AG165" s="69" t="s">
        <v>2067</v>
      </c>
      <c r="AH165" s="137" t="s">
        <v>2089</v>
      </c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15</v>
      </c>
      <c r="S166" s="53" t="s">
        <v>348</v>
      </c>
      <c r="T166" s="53" t="s">
        <v>265</v>
      </c>
      <c r="U166" s="70">
        <v>9</v>
      </c>
      <c r="V166" s="141">
        <v>9.09</v>
      </c>
      <c r="W166"/>
      <c r="X166"/>
      <c r="Y166"/>
      <c r="Z166"/>
      <c r="AG166" s="53" t="s">
        <v>2068</v>
      </c>
      <c r="AH166" s="138" t="s">
        <v>2069</v>
      </c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16</v>
      </c>
      <c r="S167" s="69" t="s">
        <v>355</v>
      </c>
      <c r="T167" s="69" t="s">
        <v>1650</v>
      </c>
      <c r="U167" s="71">
        <v>8.94</v>
      </c>
      <c r="V167" s="219">
        <v>8.9499999999999993</v>
      </c>
      <c r="W167"/>
      <c r="X167"/>
      <c r="Y167"/>
      <c r="Z167"/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17</v>
      </c>
      <c r="S168" s="53" t="s">
        <v>356</v>
      </c>
      <c r="T168" s="53" t="s">
        <v>1898</v>
      </c>
      <c r="U168" s="70">
        <v>8.9600000000000009</v>
      </c>
      <c r="V168" s="282">
        <v>8.93</v>
      </c>
      <c r="W168"/>
      <c r="X168"/>
      <c r="Y168"/>
      <c r="Z168"/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18</v>
      </c>
      <c r="S169" s="69" t="s">
        <v>1358</v>
      </c>
      <c r="T169" s="69" t="s">
        <v>1349</v>
      </c>
      <c r="U169" s="71">
        <v>8.9499999999999993</v>
      </c>
      <c r="V169" s="290">
        <v>8.91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19</v>
      </c>
      <c r="S170" s="53" t="s">
        <v>732</v>
      </c>
      <c r="T170" s="53" t="s">
        <v>1454</v>
      </c>
      <c r="U170" s="70">
        <v>8.8800000000000008</v>
      </c>
      <c r="V170" s="54">
        <v>8.89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R171" s="60">
        <v>20</v>
      </c>
      <c r="S171" s="69" t="s">
        <v>1624</v>
      </c>
      <c r="T171" s="69" t="s">
        <v>1625</v>
      </c>
      <c r="U171" s="71">
        <v>8.9</v>
      </c>
      <c r="V171" s="220">
        <v>8.8800000000000008</v>
      </c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V172"/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V173"/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V174"/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V175"/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1695</v>
      </c>
      <c r="H276" s="3">
        <f>ROUND(SUM(H277:H286)/COUNT(H277:H286), 2)</f>
        <v>8.85</v>
      </c>
      <c r="I276" s="4"/>
      <c r="J276" s="201" t="s">
        <v>1719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1696</v>
      </c>
      <c r="H277" s="263">
        <v>9.5</v>
      </c>
      <c r="I277" s="4"/>
      <c r="J277" s="13" t="s">
        <v>1709</v>
      </c>
      <c r="K277" s="263">
        <v>8.5</v>
      </c>
      <c r="L277" s="4"/>
      <c r="M277" s="251" t="s">
        <v>1733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1720</v>
      </c>
      <c r="E278" s="14">
        <f>ROUND(SUM(E279:E286)/COUNT(E279:E286), 2)</f>
        <v>8.81</v>
      </c>
      <c r="F278" s="4"/>
      <c r="G278" s="6" t="s">
        <v>1697</v>
      </c>
      <c r="H278" s="264">
        <v>9</v>
      </c>
      <c r="I278" s="4"/>
      <c r="J278" s="6" t="s">
        <v>1710</v>
      </c>
      <c r="K278" s="264">
        <v>9</v>
      </c>
      <c r="L278" s="4"/>
      <c r="M278" s="6" t="s">
        <v>1734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1740</v>
      </c>
      <c r="B279" s="14">
        <f>ROUND(SUM(B280:B307)/COUNT(B280:B307), 2)</f>
        <v>8.57</v>
      </c>
      <c r="C279" s="4"/>
      <c r="D279" s="13" t="s">
        <v>1721</v>
      </c>
      <c r="E279" s="263">
        <v>8</v>
      </c>
      <c r="F279" s="4"/>
      <c r="G279" s="6" t="s">
        <v>1698</v>
      </c>
      <c r="H279" s="264">
        <v>10</v>
      </c>
      <c r="I279" s="4"/>
      <c r="J279" s="6" t="s">
        <v>1711</v>
      </c>
      <c r="K279" s="264"/>
      <c r="L279" s="4"/>
      <c r="M279" s="6" t="s">
        <v>1735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1741</v>
      </c>
      <c r="B280" s="263"/>
      <c r="C280" s="4"/>
      <c r="D280" s="6" t="s">
        <v>1722</v>
      </c>
      <c r="E280" s="264">
        <v>8.5</v>
      </c>
      <c r="F280" s="4"/>
      <c r="G280" s="6" t="s">
        <v>1699</v>
      </c>
      <c r="H280" s="264">
        <v>8.5</v>
      </c>
      <c r="I280" s="4"/>
      <c r="J280" s="6" t="s">
        <v>1712</v>
      </c>
      <c r="K280" s="264">
        <v>8.5</v>
      </c>
      <c r="L280" s="4"/>
      <c r="M280" s="6" t="s">
        <v>1736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1742</v>
      </c>
      <c r="B281" s="264">
        <v>10</v>
      </c>
      <c r="C281" s="4"/>
      <c r="D281" s="6" t="s">
        <v>1723</v>
      </c>
      <c r="E281" s="264">
        <v>8</v>
      </c>
      <c r="F281" s="4"/>
      <c r="G281" s="6" t="s">
        <v>1700</v>
      </c>
      <c r="H281" s="264">
        <v>8</v>
      </c>
      <c r="I281" s="4"/>
      <c r="J281" s="6" t="s">
        <v>1713</v>
      </c>
      <c r="K281" s="264">
        <v>10</v>
      </c>
      <c r="L281" s="4"/>
      <c r="M281" s="6" t="s">
        <v>1737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1743</v>
      </c>
      <c r="B282" s="264">
        <v>8</v>
      </c>
      <c r="C282" s="4"/>
      <c r="D282" s="6" t="s">
        <v>1724</v>
      </c>
      <c r="E282" s="264">
        <v>8.5</v>
      </c>
      <c r="F282" s="4"/>
      <c r="G282" s="6" t="s">
        <v>1701</v>
      </c>
      <c r="H282" s="264">
        <v>8.5</v>
      </c>
      <c r="I282" s="4"/>
      <c r="J282" s="6" t="s">
        <v>1714</v>
      </c>
      <c r="K282" s="264">
        <v>8</v>
      </c>
      <c r="L282" s="4"/>
      <c r="M282" s="9" t="s">
        <v>1738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1744</v>
      </c>
      <c r="B283" s="264">
        <v>9.5</v>
      </c>
      <c r="C283" s="4"/>
      <c r="D283" s="6" t="s">
        <v>1725</v>
      </c>
      <c r="E283" s="264">
        <v>10</v>
      </c>
      <c r="F283" s="4"/>
      <c r="G283" s="6" t="s">
        <v>1702</v>
      </c>
      <c r="H283" s="264">
        <v>8.5</v>
      </c>
      <c r="I283" s="4"/>
      <c r="J283" s="6" t="s">
        <v>1715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1745</v>
      </c>
      <c r="B284" s="264">
        <v>8</v>
      </c>
      <c r="C284" s="4"/>
      <c r="D284" s="6" t="s">
        <v>1726</v>
      </c>
      <c r="E284" s="264">
        <v>9.5</v>
      </c>
      <c r="F284" s="4"/>
      <c r="G284" s="6" t="s">
        <v>1703</v>
      </c>
      <c r="H284" s="264">
        <v>9</v>
      </c>
      <c r="I284" s="4"/>
      <c r="J284" s="9" t="s">
        <v>1716</v>
      </c>
      <c r="K284" s="265">
        <v>8</v>
      </c>
      <c r="L284" s="4"/>
      <c r="M284" s="262" t="s">
        <v>1769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1746</v>
      </c>
      <c r="B285" s="264">
        <v>10</v>
      </c>
      <c r="C285" s="4"/>
      <c r="D285" s="6" t="s">
        <v>1727</v>
      </c>
      <c r="E285" s="264">
        <v>8</v>
      </c>
      <c r="F285" s="4"/>
      <c r="G285" s="6" t="s">
        <v>1704</v>
      </c>
      <c r="H285" s="264">
        <v>8.5</v>
      </c>
      <c r="I285" s="4"/>
      <c r="J285" s="4"/>
      <c r="K285" s="4"/>
      <c r="L285" s="4"/>
      <c r="M285" s="13" t="s">
        <v>1770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1747</v>
      </c>
      <c r="B286" s="264">
        <v>9</v>
      </c>
      <c r="C286" s="4"/>
      <c r="D286" s="9" t="s">
        <v>1728</v>
      </c>
      <c r="E286" s="265">
        <v>10</v>
      </c>
      <c r="F286" s="4"/>
      <c r="G286" s="9" t="s">
        <v>1705</v>
      </c>
      <c r="H286" s="265">
        <v>9</v>
      </c>
      <c r="I286" s="4"/>
      <c r="J286" s="255" t="s">
        <v>1793</v>
      </c>
      <c r="K286" s="3">
        <f>ROUND(SUM(K287:K294)/COUNT(K287:K294), 2)</f>
        <v>8.06</v>
      </c>
      <c r="L286" s="4"/>
      <c r="M286" s="6" t="s">
        <v>1771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1748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1785</v>
      </c>
      <c r="K287" s="264">
        <v>9</v>
      </c>
      <c r="L287" s="4"/>
      <c r="M287" s="6" t="s">
        <v>1772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1749</v>
      </c>
      <c r="B288" s="264">
        <v>7.5</v>
      </c>
      <c r="C288" s="4"/>
      <c r="D288" s="256" t="s">
        <v>1795</v>
      </c>
      <c r="E288" s="14">
        <f>ROUND(SUM(E289:E297)/COUNT(E289:E297), 2)</f>
        <v>8.5</v>
      </c>
      <c r="F288" s="4"/>
      <c r="G288" s="261" t="s">
        <v>1807</v>
      </c>
      <c r="H288" s="14">
        <f>ROUND(SUM(H289:H294)/COUNT(H289:H294), 2)</f>
        <v>8.83</v>
      </c>
      <c r="I288" s="4"/>
      <c r="J288" s="6" t="s">
        <v>1786</v>
      </c>
      <c r="K288" s="264">
        <v>9</v>
      </c>
      <c r="L288" s="4"/>
      <c r="M288" s="6" t="s">
        <v>1773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1750</v>
      </c>
      <c r="B289" s="264">
        <v>8.5</v>
      </c>
      <c r="C289" s="4"/>
      <c r="D289" s="13" t="s">
        <v>1796</v>
      </c>
      <c r="E289" s="263">
        <v>8</v>
      </c>
      <c r="F289" s="4"/>
      <c r="G289" s="13" t="s">
        <v>1808</v>
      </c>
      <c r="H289" s="263">
        <v>9</v>
      </c>
      <c r="I289" s="4"/>
      <c r="J289" s="6" t="s">
        <v>1787</v>
      </c>
      <c r="K289" s="264">
        <v>8</v>
      </c>
      <c r="L289" s="4"/>
      <c r="M289" s="6" t="s">
        <v>1774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1751</v>
      </c>
      <c r="B290" s="264">
        <v>8.5</v>
      </c>
      <c r="C290" s="4"/>
      <c r="D290" s="6" t="s">
        <v>1797</v>
      </c>
      <c r="E290" s="264">
        <v>9</v>
      </c>
      <c r="F290" s="4"/>
      <c r="G290" s="6" t="s">
        <v>1809</v>
      </c>
      <c r="H290" s="264">
        <v>8.5</v>
      </c>
      <c r="I290" s="4"/>
      <c r="J290" s="6" t="s">
        <v>1788</v>
      </c>
      <c r="K290" s="264">
        <v>7</v>
      </c>
      <c r="L290" s="4"/>
      <c r="M290" s="6" t="s">
        <v>1775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1752</v>
      </c>
      <c r="B291" s="264">
        <v>8</v>
      </c>
      <c r="C291" s="4"/>
      <c r="D291" s="6" t="s">
        <v>1798</v>
      </c>
      <c r="E291" s="264">
        <v>8.5</v>
      </c>
      <c r="F291" s="4"/>
      <c r="G291" s="6" t="s">
        <v>1810</v>
      </c>
      <c r="H291" s="264">
        <v>8</v>
      </c>
      <c r="I291" s="4"/>
      <c r="J291" s="6" t="s">
        <v>1789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1753</v>
      </c>
      <c r="B292" s="264">
        <v>9</v>
      </c>
      <c r="C292" s="4"/>
      <c r="D292" s="6" t="s">
        <v>1799</v>
      </c>
      <c r="E292" s="264">
        <v>8.5</v>
      </c>
      <c r="F292" s="4"/>
      <c r="G292" s="6" t="s">
        <v>1811</v>
      </c>
      <c r="H292" s="264">
        <v>9</v>
      </c>
      <c r="I292" s="4"/>
      <c r="J292" s="6" t="s">
        <v>1790</v>
      </c>
      <c r="K292" s="264">
        <v>8</v>
      </c>
      <c r="L292" s="4"/>
      <c r="M292" s="6" t="s">
        <v>1776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1754</v>
      </c>
      <c r="B293" s="264">
        <v>8.5</v>
      </c>
      <c r="C293" s="4"/>
      <c r="D293" s="6" t="s">
        <v>1800</v>
      </c>
      <c r="E293" s="264">
        <v>9</v>
      </c>
      <c r="F293" s="4"/>
      <c r="G293" s="6" t="s">
        <v>1812</v>
      </c>
      <c r="H293" s="264">
        <v>8.5</v>
      </c>
      <c r="I293" s="4"/>
      <c r="J293" s="6" t="s">
        <v>1791</v>
      </c>
      <c r="K293" s="264">
        <v>7</v>
      </c>
      <c r="L293" s="4"/>
      <c r="M293" s="6" t="s">
        <v>1777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1755</v>
      </c>
      <c r="B294" s="264">
        <v>8</v>
      </c>
      <c r="C294" s="4"/>
      <c r="D294" s="6" t="s">
        <v>1801</v>
      </c>
      <c r="E294" s="264">
        <v>8</v>
      </c>
      <c r="F294" s="4"/>
      <c r="G294" s="9" t="s">
        <v>1813</v>
      </c>
      <c r="H294" s="265">
        <v>10</v>
      </c>
      <c r="I294" s="4"/>
      <c r="J294" s="9" t="s">
        <v>1792</v>
      </c>
      <c r="K294" s="265">
        <v>9</v>
      </c>
      <c r="L294" s="4"/>
      <c r="M294" s="6" t="s">
        <v>1778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1756</v>
      </c>
      <c r="B295" s="264">
        <v>8</v>
      </c>
      <c r="C295" s="4"/>
      <c r="D295" s="6" t="s">
        <v>1802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1779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1757</v>
      </c>
      <c r="B296" s="264">
        <v>9</v>
      </c>
      <c r="C296" s="4"/>
      <c r="D296" s="6" t="s">
        <v>1803</v>
      </c>
      <c r="E296" s="264">
        <v>8.5</v>
      </c>
      <c r="F296" s="4"/>
      <c r="G296" s="257" t="s">
        <v>1831</v>
      </c>
      <c r="H296" s="14">
        <f>ROUND(SUM(H297:H307)/COUNT(H297:H307), 2)</f>
        <v>3.68</v>
      </c>
      <c r="I296" s="4"/>
      <c r="J296" s="276" t="s">
        <v>1851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1758</v>
      </c>
      <c r="B297" s="264">
        <v>8</v>
      </c>
      <c r="C297" s="4"/>
      <c r="D297" s="9" t="s">
        <v>1804</v>
      </c>
      <c r="E297" s="265">
        <v>8</v>
      </c>
      <c r="F297" s="4"/>
      <c r="G297" s="13" t="s">
        <v>1832</v>
      </c>
      <c r="H297" s="263">
        <v>6.5</v>
      </c>
      <c r="I297" s="4"/>
      <c r="J297" s="13" t="s">
        <v>1852</v>
      </c>
      <c r="K297" s="263">
        <v>9</v>
      </c>
      <c r="L297" s="4"/>
      <c r="M297" s="279" t="s">
        <v>1867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1833</v>
      </c>
      <c r="H298" s="264">
        <v>5</v>
      </c>
      <c r="I298" s="4"/>
      <c r="J298" s="6" t="s">
        <v>1853</v>
      </c>
      <c r="K298" s="264">
        <v>8.5</v>
      </c>
      <c r="L298" s="4"/>
      <c r="M298" s="13" t="s">
        <v>1860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1759</v>
      </c>
      <c r="B299" s="264">
        <v>7</v>
      </c>
      <c r="C299" s="4"/>
      <c r="D299" s="280" t="s">
        <v>1870</v>
      </c>
      <c r="E299" s="14">
        <f>ROUND(SUM(E300:E309)/COUNT(E300:E309), 2)</f>
        <v>8.2899999999999991</v>
      </c>
      <c r="F299" s="4"/>
      <c r="G299" s="6" t="s">
        <v>1834</v>
      </c>
      <c r="H299" s="264">
        <v>5.5</v>
      </c>
      <c r="I299" s="4"/>
      <c r="J299" s="6" t="s">
        <v>1854</v>
      </c>
      <c r="K299" s="264">
        <v>9</v>
      </c>
      <c r="L299" s="4"/>
      <c r="M299" s="6" t="s">
        <v>1861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1760</v>
      </c>
      <c r="B300" s="264">
        <v>8.5</v>
      </c>
      <c r="C300" s="4"/>
      <c r="D300" s="13" t="s">
        <v>1871</v>
      </c>
      <c r="E300" s="263"/>
      <c r="F300" s="4"/>
      <c r="G300" s="6" t="s">
        <v>1835</v>
      </c>
      <c r="H300" s="264">
        <v>4</v>
      </c>
      <c r="I300" s="4"/>
      <c r="J300" s="6" t="s">
        <v>1855</v>
      </c>
      <c r="K300" s="264">
        <v>8.5</v>
      </c>
      <c r="L300" s="4"/>
      <c r="M300" s="6" t="s">
        <v>1862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1761</v>
      </c>
      <c r="B301" s="264">
        <v>8.5</v>
      </c>
      <c r="C301" s="4"/>
      <c r="D301" s="6" t="s">
        <v>1872</v>
      </c>
      <c r="E301" s="264">
        <v>8.5</v>
      </c>
      <c r="F301" s="4"/>
      <c r="G301" s="6" t="s">
        <v>1836</v>
      </c>
      <c r="H301" s="264">
        <v>3</v>
      </c>
      <c r="I301" s="4"/>
      <c r="J301" s="6" t="s">
        <v>1856</v>
      </c>
      <c r="K301" s="264">
        <v>8</v>
      </c>
      <c r="L301" s="4"/>
      <c r="M301" s="6" t="s">
        <v>1863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1762</v>
      </c>
      <c r="B302" s="264">
        <v>7.5</v>
      </c>
      <c r="C302" s="4"/>
      <c r="D302" s="6" t="s">
        <v>1873</v>
      </c>
      <c r="E302" s="264">
        <v>9</v>
      </c>
      <c r="F302" s="4"/>
      <c r="G302" s="6" t="s">
        <v>1837</v>
      </c>
      <c r="H302" s="264">
        <v>3</v>
      </c>
      <c r="I302" s="4"/>
      <c r="J302" s="9" t="s">
        <v>1857</v>
      </c>
      <c r="K302" s="265">
        <v>10.5</v>
      </c>
      <c r="L302" s="4"/>
      <c r="M302" s="6" t="s">
        <v>1864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1763</v>
      </c>
      <c r="B303" s="264">
        <v>8.5</v>
      </c>
      <c r="C303" s="4"/>
      <c r="D303" s="6" t="s">
        <v>1874</v>
      </c>
      <c r="E303" s="264"/>
      <c r="F303" s="4"/>
      <c r="G303" s="6" t="s">
        <v>1838</v>
      </c>
      <c r="H303" s="264">
        <v>3</v>
      </c>
      <c r="I303" s="4"/>
      <c r="J303" s="4"/>
      <c r="K303" s="4"/>
      <c r="L303" s="4"/>
      <c r="M303" s="6" t="s">
        <v>1865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1764</v>
      </c>
      <c r="B304" s="264">
        <v>9</v>
      </c>
      <c r="C304" s="4"/>
      <c r="D304" s="6" t="s">
        <v>1875</v>
      </c>
      <c r="E304" s="264">
        <v>7.5</v>
      </c>
      <c r="F304" s="4"/>
      <c r="G304" s="6" t="s">
        <v>1839</v>
      </c>
      <c r="H304" s="264">
        <v>3.5</v>
      </c>
      <c r="I304" s="4"/>
      <c r="J304" s="281" t="s">
        <v>1897</v>
      </c>
      <c r="K304" s="14">
        <f>ROUND(SUM(K305:K316)/COUNT(K305:K316), 2)</f>
        <v>8.9600000000000009</v>
      </c>
      <c r="L304" s="4"/>
      <c r="M304" s="9" t="s">
        <v>1866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1765</v>
      </c>
      <c r="B305" s="264">
        <v>8.5</v>
      </c>
      <c r="C305" s="4"/>
      <c r="D305" s="6" t="s">
        <v>1876</v>
      </c>
      <c r="E305" s="264">
        <v>8.5</v>
      </c>
      <c r="F305" s="4"/>
      <c r="G305" s="6" t="s">
        <v>1840</v>
      </c>
      <c r="H305" s="264">
        <v>3</v>
      </c>
      <c r="I305" s="4"/>
      <c r="J305" s="13" t="s">
        <v>1885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1766</v>
      </c>
      <c r="B306" s="264">
        <v>9</v>
      </c>
      <c r="C306" s="4"/>
      <c r="D306" s="6" t="s">
        <v>1877</v>
      </c>
      <c r="E306" s="264">
        <v>8</v>
      </c>
      <c r="F306" s="4"/>
      <c r="G306" s="6" t="s">
        <v>1841</v>
      </c>
      <c r="H306" s="264">
        <v>2</v>
      </c>
      <c r="I306" s="4"/>
      <c r="J306" s="6" t="s">
        <v>1886</v>
      </c>
      <c r="K306" s="264">
        <v>10</v>
      </c>
      <c r="L306" s="4"/>
      <c r="M306" s="283" t="s">
        <v>1904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1767</v>
      </c>
      <c r="B307" s="265">
        <v>8.5</v>
      </c>
      <c r="C307" s="4"/>
      <c r="D307" s="6" t="s">
        <v>1878</v>
      </c>
      <c r="E307" s="264">
        <v>8</v>
      </c>
      <c r="F307" s="4"/>
      <c r="G307" s="9" t="s">
        <v>1842</v>
      </c>
      <c r="H307" s="265">
        <v>2</v>
      </c>
      <c r="I307" s="4"/>
      <c r="J307" s="6" t="s">
        <v>1887</v>
      </c>
      <c r="K307" s="264">
        <v>9</v>
      </c>
      <c r="L307" s="4"/>
      <c r="M307" s="13" t="s">
        <v>1905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1879</v>
      </c>
      <c r="E308" s="265">
        <v>8.5</v>
      </c>
      <c r="F308" s="4"/>
      <c r="G308" s="4"/>
      <c r="H308" s="4"/>
      <c r="I308" s="4"/>
      <c r="J308" s="6" t="s">
        <v>1888</v>
      </c>
      <c r="K308" s="264">
        <v>9</v>
      </c>
      <c r="L308" s="4"/>
      <c r="M308" s="6" t="s">
        <v>1906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1922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1952</v>
      </c>
      <c r="H309" s="14">
        <f>ROUND(SUM(H310:H327)/COUNT(H310:H327), 2)</f>
        <v>7.31</v>
      </c>
      <c r="I309" s="4"/>
      <c r="J309" s="6" t="s">
        <v>1889</v>
      </c>
      <c r="K309" s="264">
        <v>9</v>
      </c>
      <c r="L309" s="4"/>
      <c r="M309" s="6" t="s">
        <v>1907</v>
      </c>
      <c r="N309" s="264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1923</v>
      </c>
      <c r="B310" s="263">
        <v>7.5</v>
      </c>
      <c r="C310" s="4"/>
      <c r="D310" s="292" t="s">
        <v>2070</v>
      </c>
      <c r="E310" s="14">
        <f>ROUND(SUM(E311:E318)/COUNT(E311:E318), 2)</f>
        <v>8.5</v>
      </c>
      <c r="F310" s="4"/>
      <c r="G310" s="13" t="s">
        <v>1934</v>
      </c>
      <c r="H310" s="263">
        <v>8.5</v>
      </c>
      <c r="I310" s="4"/>
      <c r="J310" s="6" t="s">
        <v>1890</v>
      </c>
      <c r="K310" s="264">
        <v>10</v>
      </c>
      <c r="L310" s="4"/>
      <c r="M310" s="6" t="s">
        <v>1908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1924</v>
      </c>
      <c r="B311" s="264">
        <v>8.5</v>
      </c>
      <c r="C311" s="4"/>
      <c r="D311" s="13" t="s">
        <v>2071</v>
      </c>
      <c r="E311" s="263">
        <v>8.5</v>
      </c>
      <c r="F311" s="4"/>
      <c r="G311" s="6" t="s">
        <v>1935</v>
      </c>
      <c r="H311" s="264">
        <v>7.5</v>
      </c>
      <c r="I311" s="4"/>
      <c r="J311" s="6" t="s">
        <v>1891</v>
      </c>
      <c r="K311" s="264">
        <v>8</v>
      </c>
      <c r="L311" s="4"/>
      <c r="M311" s="6" t="s">
        <v>1909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D312" s="6" t="s">
        <v>2072</v>
      </c>
      <c r="E312" s="264">
        <v>8.5</v>
      </c>
      <c r="F312" s="4"/>
      <c r="G312" s="6" t="s">
        <v>1936</v>
      </c>
      <c r="H312" s="264">
        <v>8.5</v>
      </c>
      <c r="I312" s="4"/>
      <c r="J312" s="6" t="s">
        <v>1892</v>
      </c>
      <c r="K312" s="264">
        <v>8.5</v>
      </c>
      <c r="L312" s="4"/>
      <c r="M312" s="6" t="s">
        <v>1910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1925</v>
      </c>
      <c r="B313" s="264">
        <v>8</v>
      </c>
      <c r="C313" s="4"/>
      <c r="D313" s="6" t="s">
        <v>2073</v>
      </c>
      <c r="E313" s="264">
        <v>9</v>
      </c>
      <c r="F313" s="4"/>
      <c r="G313" s="6" t="s">
        <v>1937</v>
      </c>
      <c r="H313" s="264">
        <v>8.5</v>
      </c>
      <c r="I313" s="4"/>
      <c r="J313" s="6" t="s">
        <v>1893</v>
      </c>
      <c r="K313" s="264">
        <v>8.5</v>
      </c>
      <c r="L313" s="4"/>
      <c r="M313" s="6" t="s">
        <v>1911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1926</v>
      </c>
      <c r="B314" s="264">
        <v>9.5</v>
      </c>
      <c r="C314" s="4"/>
      <c r="D314" s="6" t="s">
        <v>2074</v>
      </c>
      <c r="E314" s="264">
        <v>9</v>
      </c>
      <c r="F314" s="4"/>
      <c r="G314" s="6" t="s">
        <v>1938</v>
      </c>
      <c r="H314" s="264">
        <v>7.5</v>
      </c>
      <c r="I314" s="4"/>
      <c r="J314" s="6" t="s">
        <v>1894</v>
      </c>
      <c r="K314" s="264">
        <v>9</v>
      </c>
      <c r="L314" s="4"/>
      <c r="M314" s="6" t="s">
        <v>1912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1927</v>
      </c>
      <c r="B315" s="264">
        <v>7</v>
      </c>
      <c r="C315" s="4"/>
      <c r="D315" s="6" t="s">
        <v>2075</v>
      </c>
      <c r="E315" s="264">
        <v>8</v>
      </c>
      <c r="F315" s="4"/>
      <c r="G315" s="6" t="s">
        <v>1939</v>
      </c>
      <c r="H315" s="264">
        <v>7</v>
      </c>
      <c r="I315" s="4"/>
      <c r="J315" s="6" t="s">
        <v>1895</v>
      </c>
      <c r="K315" s="264">
        <v>9.5</v>
      </c>
      <c r="L315" s="4"/>
      <c r="M315" s="6" t="s">
        <v>1913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1928</v>
      </c>
      <c r="B316" s="264">
        <v>10</v>
      </c>
      <c r="C316" s="4"/>
      <c r="D316" s="6" t="s">
        <v>2076</v>
      </c>
      <c r="E316" s="264">
        <v>8</v>
      </c>
      <c r="F316" s="4"/>
      <c r="G316" s="6" t="s">
        <v>1940</v>
      </c>
      <c r="H316" s="264">
        <v>7</v>
      </c>
      <c r="I316" s="4"/>
      <c r="J316" s="9" t="s">
        <v>1896</v>
      </c>
      <c r="K316" s="265">
        <v>8.5</v>
      </c>
      <c r="L316" s="4"/>
      <c r="M316" s="9" t="s">
        <v>1914</v>
      </c>
      <c r="N316" s="265">
        <v>9</v>
      </c>
      <c r="O316" s="4"/>
      <c r="V316"/>
      <c r="W316"/>
      <c r="X316"/>
      <c r="Y316"/>
      <c r="Z316"/>
    </row>
    <row r="317" spans="1:26" ht="16.05" customHeight="1">
      <c r="A317" s="6" t="s">
        <v>1929</v>
      </c>
      <c r="B317" s="264">
        <v>8.5</v>
      </c>
      <c r="C317" s="4"/>
      <c r="D317" s="6" t="s">
        <v>2077</v>
      </c>
      <c r="E317" s="264">
        <v>8.5</v>
      </c>
      <c r="F317" s="4"/>
      <c r="G317" s="6" t="s">
        <v>1941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1930</v>
      </c>
      <c r="B318" s="264">
        <v>7.5</v>
      </c>
      <c r="C318" s="4"/>
      <c r="D318" s="9" t="s">
        <v>2078</v>
      </c>
      <c r="E318" s="265">
        <v>8.5</v>
      </c>
      <c r="F318" s="4"/>
      <c r="G318" s="6" t="s">
        <v>1942</v>
      </c>
      <c r="H318" s="264">
        <v>7</v>
      </c>
      <c r="I318" s="4"/>
      <c r="V318"/>
      <c r="W318"/>
      <c r="X318"/>
      <c r="Y318"/>
      <c r="Z318"/>
    </row>
    <row r="319" spans="1:26" ht="16.05" customHeight="1">
      <c r="A319" s="6" t="s">
        <v>1931</v>
      </c>
      <c r="B319" s="264">
        <v>7.5</v>
      </c>
      <c r="C319" s="4"/>
      <c r="D319" s="4"/>
      <c r="E319" s="4"/>
      <c r="F319" s="4"/>
      <c r="G319" s="6" t="s">
        <v>1943</v>
      </c>
      <c r="H319" s="264">
        <v>7</v>
      </c>
      <c r="I319" s="4"/>
      <c r="V319"/>
      <c r="W319"/>
      <c r="X319"/>
      <c r="Y319"/>
      <c r="Z319"/>
    </row>
    <row r="320" spans="1:26" ht="16.05" customHeight="1" thickBot="1">
      <c r="A320" s="9" t="s">
        <v>1932</v>
      </c>
      <c r="B320" s="265">
        <v>8</v>
      </c>
      <c r="C320" s="4"/>
      <c r="F320" s="4"/>
      <c r="G320" s="6" t="s">
        <v>1944</v>
      </c>
      <c r="H320" s="264">
        <v>7.5</v>
      </c>
      <c r="I320" s="4"/>
      <c r="V320"/>
      <c r="W320"/>
      <c r="X320"/>
      <c r="Y320"/>
      <c r="Z320"/>
    </row>
    <row r="321" spans="1:26" ht="16.05" customHeight="1">
      <c r="A321" s="4"/>
      <c r="B321" s="4"/>
      <c r="C321" s="4"/>
      <c r="F321" s="4"/>
      <c r="G321" s="6" t="s">
        <v>1945</v>
      </c>
      <c r="H321" s="264">
        <v>6</v>
      </c>
      <c r="I321" s="4"/>
      <c r="V321"/>
      <c r="W321"/>
      <c r="X321"/>
      <c r="Y321"/>
      <c r="Z321"/>
    </row>
    <row r="322" spans="1:26" ht="16.05" customHeight="1">
      <c r="F322" s="4"/>
      <c r="G322" s="6" t="s">
        <v>1946</v>
      </c>
      <c r="H322" s="264">
        <v>7</v>
      </c>
      <c r="I322" s="4"/>
      <c r="V322"/>
      <c r="W322"/>
      <c r="X322"/>
      <c r="Y322"/>
      <c r="Z322"/>
    </row>
    <row r="323" spans="1:26" ht="16.05" customHeight="1">
      <c r="F323" s="4"/>
      <c r="G323" s="6" t="s">
        <v>1947</v>
      </c>
      <c r="H323" s="264">
        <v>8</v>
      </c>
      <c r="I323" s="4"/>
      <c r="V323"/>
      <c r="W323"/>
      <c r="X323"/>
      <c r="Y323"/>
      <c r="Z323"/>
    </row>
    <row r="324" spans="1:26" ht="16.05" customHeight="1">
      <c r="F324" s="4"/>
      <c r="G324" s="6" t="s">
        <v>1948</v>
      </c>
      <c r="H324" s="264">
        <v>7.5</v>
      </c>
      <c r="I324" s="4"/>
      <c r="V324"/>
      <c r="W324"/>
      <c r="X324"/>
      <c r="Y324"/>
      <c r="Z324"/>
    </row>
    <row r="325" spans="1:26" ht="16.05" customHeight="1">
      <c r="F325" s="4"/>
      <c r="G325" s="6" t="s">
        <v>1949</v>
      </c>
      <c r="H325" s="264">
        <v>7</v>
      </c>
      <c r="I325" s="4"/>
      <c r="V325"/>
      <c r="W325"/>
      <c r="X325"/>
      <c r="Y325"/>
      <c r="Z325"/>
    </row>
    <row r="326" spans="1:26" ht="16.05" customHeight="1">
      <c r="F326" s="4"/>
      <c r="G326" s="6" t="s">
        <v>1950</v>
      </c>
      <c r="H326" s="264">
        <v>6</v>
      </c>
      <c r="I326" s="4"/>
      <c r="V326"/>
      <c r="W326"/>
      <c r="X326"/>
      <c r="Y326"/>
      <c r="Z326"/>
    </row>
    <row r="327" spans="1:26" ht="16.05" customHeight="1" thickBot="1">
      <c r="F327" s="4"/>
      <c r="G327" s="9" t="s">
        <v>1951</v>
      </c>
      <c r="H327" s="265">
        <v>6.5</v>
      </c>
      <c r="I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50:V150"/>
    <mergeCell ref="AG1:AH1"/>
    <mergeCell ref="R1:AD1"/>
    <mergeCell ref="R129:AD129"/>
  </mergeCells>
  <phoneticPr fontId="207" type="noConversion"/>
  <conditionalFormatting sqref="A2:B2 D2:E2 G2:H2 J2:K2 M2:N2 A16:B16 A26:B26 D14:E14 G17:H17 J14:K14 M14:N14 D30:E30 J25:K25 AK28:AK31">
    <cfRule type="colorScale" priority="1516">
      <colorScale>
        <cfvo type="num" val="5"/>
        <cfvo type="num" val="10"/>
        <color rgb="FFFF494D"/>
        <color rgb="FF00FF66"/>
      </colorScale>
    </cfRule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868" priority="1133" stopIfTrue="1" operator="between">
      <formula>8</formula>
      <formula>8.9</formula>
    </cfRule>
    <cfRule type="cellIs" dxfId="867" priority="1134" operator="between">
      <formula>9</formula>
      <formula>9.9</formula>
    </cfRule>
    <cfRule type="cellIs" dxfId="866" priority="1135" stopIfTrue="1" operator="between">
      <formula>10</formula>
      <formula>10</formula>
    </cfRule>
    <cfRule type="containsBlanks" dxfId="865" priority="1136" stopIfTrue="1">
      <formula>LEN(TRIM(B3))=0</formula>
    </cfRule>
    <cfRule type="cellIs" dxfId="864" priority="1132" operator="between">
      <formula>7</formula>
      <formula>7.9</formula>
    </cfRule>
    <cfRule type="cellIs" dxfId="863" priority="1094" operator="between">
      <formula>10.1</formula>
      <formula>10.6</formula>
    </cfRule>
  </conditionalFormatting>
  <conditionalFormatting sqref="B17:B24">
    <cfRule type="cellIs" dxfId="862" priority="1074" stopIfTrue="1" operator="between">
      <formula>10</formula>
      <formula>10</formula>
    </cfRule>
    <cfRule type="cellIs" dxfId="861" priority="1070" operator="between">
      <formula>10.1</formula>
      <formula>10.6</formula>
    </cfRule>
    <cfRule type="cellIs" dxfId="860" priority="1071" operator="between">
      <formula>7</formula>
      <formula>7.9</formula>
    </cfRule>
    <cfRule type="cellIs" dxfId="859" priority="1072" stopIfTrue="1" operator="between">
      <formula>8</formula>
      <formula>8.9</formula>
    </cfRule>
    <cfRule type="containsBlanks" dxfId="858" priority="1075" stopIfTrue="1">
      <formula>LEN(TRIM(B17))=0</formula>
    </cfRule>
    <cfRule type="cellIs" dxfId="857" priority="1073" operator="between">
      <formula>9</formula>
      <formula>9.9</formula>
    </cfRule>
  </conditionalFormatting>
  <conditionalFormatting sqref="B27:B31">
    <cfRule type="cellIs" dxfId="856" priority="1066" stopIfTrue="1" operator="between">
      <formula>8</formula>
      <formula>8.9</formula>
    </cfRule>
    <cfRule type="cellIs" dxfId="855" priority="1067" operator="between">
      <formula>9</formula>
      <formula>9.9</formula>
    </cfRule>
    <cfRule type="containsBlanks" dxfId="854" priority="1069" stopIfTrue="1">
      <formula>LEN(TRIM(B27))=0</formula>
    </cfRule>
    <cfRule type="cellIs" dxfId="853" priority="1068" stopIfTrue="1" operator="between">
      <formula>10</formula>
      <formula>10</formula>
    </cfRule>
    <cfRule type="cellIs" dxfId="852" priority="1065" operator="between">
      <formula>7</formula>
      <formula>7.9</formula>
    </cfRule>
    <cfRule type="cellIs" dxfId="851" priority="1064" operator="between">
      <formula>10.1</formula>
      <formula>10.6</formula>
    </cfRule>
  </conditionalFormatting>
  <conditionalFormatting sqref="B33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50" priority="1058" operator="between">
      <formula>10.1</formula>
      <formula>10.6</formula>
    </cfRule>
    <cfRule type="cellIs" dxfId="849" priority="1059" operator="between">
      <formula>7</formula>
      <formula>7.9</formula>
    </cfRule>
    <cfRule type="cellIs" dxfId="848" priority="1060" stopIfTrue="1" operator="between">
      <formula>8</formula>
      <formula>8.9</formula>
    </cfRule>
    <cfRule type="cellIs" dxfId="847" priority="1061" operator="between">
      <formula>9</formula>
      <formula>9.9</formula>
    </cfRule>
    <cfRule type="cellIs" dxfId="846" priority="1062" stopIfTrue="1" operator="between">
      <formula>10</formula>
      <formula>10</formula>
    </cfRule>
    <cfRule type="containsBlanks" dxfId="845" priority="1063" stopIfTrue="1">
      <formula>LEN(TRIM(B34))=0</formula>
    </cfRule>
  </conditionalFormatting>
  <conditionalFormatting sqref="B47">
    <cfRule type="colorScale" priority="1143">
      <colorScale>
        <cfvo type="num" val="5"/>
        <cfvo type="num" val="10"/>
        <color rgb="FFFF494D"/>
        <color rgb="FF00FF66"/>
      </colorScale>
    </cfRule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844" priority="1031" operator="between">
      <formula>9</formula>
      <formula>9.9</formula>
    </cfRule>
    <cfRule type="cellIs" dxfId="843" priority="1030" stopIfTrue="1" operator="between">
      <formula>8</formula>
      <formula>8.9</formula>
    </cfRule>
    <cfRule type="cellIs" dxfId="842" priority="1029" operator="between">
      <formula>7</formula>
      <formula>7.9</formula>
    </cfRule>
    <cfRule type="cellIs" dxfId="841" priority="1028" operator="between">
      <formula>10.1</formula>
      <formula>10.6</formula>
    </cfRule>
    <cfRule type="cellIs" dxfId="840" priority="1032" stopIfTrue="1" operator="between">
      <formula>10</formula>
      <formula>10</formula>
    </cfRule>
    <cfRule type="containsBlanks" dxfId="839" priority="1033" stopIfTrue="1">
      <formula>LEN(TRIM(B48))=0</formula>
    </cfRule>
  </conditionalFormatting>
  <conditionalFormatting sqref="B59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38" priority="1009" operator="between">
      <formula>9</formula>
      <formula>9.9</formula>
    </cfRule>
    <cfRule type="cellIs" dxfId="837" priority="1008" stopIfTrue="1" operator="between">
      <formula>8</formula>
      <formula>8.9</formula>
    </cfRule>
    <cfRule type="containsBlanks" dxfId="836" priority="1011" stopIfTrue="1">
      <formula>LEN(TRIM(B60))=0</formula>
    </cfRule>
    <cfRule type="cellIs" dxfId="835" priority="1010" stopIfTrue="1" operator="between">
      <formula>10</formula>
      <formula>10</formula>
    </cfRule>
    <cfRule type="cellIs" dxfId="834" priority="1006" operator="between">
      <formula>10.1</formula>
      <formula>10.6</formula>
    </cfRule>
    <cfRule type="cellIs" dxfId="833" priority="1007" operator="between">
      <formula>7</formula>
      <formula>7.9</formula>
    </cfRule>
  </conditionalFormatting>
  <conditionalFormatting sqref="B70">
    <cfRule type="colorScale" priority="940">
      <colorScale>
        <cfvo type="num" val="5"/>
        <cfvo type="num" val="10"/>
        <color rgb="FFFF494D"/>
        <color rgb="FF00FF66"/>
      </colorScale>
    </cfRule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32" priority="922" stopIfTrue="1" operator="between">
      <formula>8</formula>
      <formula>8.9</formula>
    </cfRule>
    <cfRule type="cellIs" dxfId="831" priority="921" operator="between">
      <formula>7</formula>
      <formula>7.9</formula>
    </cfRule>
    <cfRule type="cellIs" dxfId="830" priority="920" operator="between">
      <formula>10.1</formula>
      <formula>10.6</formula>
    </cfRule>
    <cfRule type="containsBlanks" dxfId="829" priority="925" stopIfTrue="1">
      <formula>LEN(TRIM(B71))=0</formula>
    </cfRule>
    <cfRule type="cellIs" dxfId="828" priority="924" stopIfTrue="1" operator="between">
      <formula>10</formula>
      <formula>10</formula>
    </cfRule>
    <cfRule type="cellIs" dxfId="827" priority="923" operator="between">
      <formula>9</formula>
      <formula>9.9</formula>
    </cfRule>
  </conditionalFormatting>
  <conditionalFormatting sqref="B73">
    <cfRule type="cellIs" dxfId="826" priority="919" operator="between">
      <formula>6</formula>
      <formula>6.9</formula>
    </cfRule>
  </conditionalFormatting>
  <conditionalFormatting sqref="B79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25" priority="897" operator="between">
      <formula>7</formula>
      <formula>7.9</formula>
    </cfRule>
    <cfRule type="cellIs" dxfId="824" priority="896" operator="between">
      <formula>10.1</formula>
      <formula>10.6</formula>
    </cfRule>
    <cfRule type="cellIs" dxfId="823" priority="898" stopIfTrue="1" operator="between">
      <formula>8</formula>
      <formula>8.9</formula>
    </cfRule>
    <cfRule type="cellIs" dxfId="822" priority="899" operator="between">
      <formula>9</formula>
      <formula>9.9</formula>
    </cfRule>
    <cfRule type="cellIs" dxfId="821" priority="900" stopIfTrue="1" operator="between">
      <formula>10</formula>
      <formula>10</formula>
    </cfRule>
    <cfRule type="containsBlanks" dxfId="820" priority="901" stopIfTrue="1">
      <formula>LEN(TRIM(B80))=0</formula>
    </cfRule>
  </conditionalFormatting>
  <conditionalFormatting sqref="B93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819" priority="853" stopIfTrue="1" operator="between">
      <formula>10</formula>
      <formula>10</formula>
    </cfRule>
    <cfRule type="cellIs" dxfId="818" priority="852" operator="between">
      <formula>9</formula>
      <formula>9.9</formula>
    </cfRule>
    <cfRule type="cellIs" dxfId="817" priority="851" stopIfTrue="1" operator="between">
      <formula>8</formula>
      <formula>8.9</formula>
    </cfRule>
    <cfRule type="cellIs" dxfId="816" priority="850" operator="between">
      <formula>7</formula>
      <formula>7.9</formula>
    </cfRule>
    <cfRule type="cellIs" dxfId="815" priority="849" operator="between">
      <formula>10.1</formula>
      <formula>10.6</formula>
    </cfRule>
    <cfRule type="containsBlanks" dxfId="814" priority="854" stopIfTrue="1">
      <formula>LEN(TRIM(B94))=0</formula>
    </cfRule>
  </conditionalFormatting>
  <conditionalFormatting sqref="B103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13" priority="800" operator="between">
      <formula>10.1</formula>
      <formula>10.6</formula>
    </cfRule>
    <cfRule type="cellIs" dxfId="812" priority="801" operator="between">
      <formula>7</formula>
      <formula>7.9</formula>
    </cfRule>
    <cfRule type="cellIs" dxfId="811" priority="802" stopIfTrue="1" operator="between">
      <formula>8</formula>
      <formula>8.9</formula>
    </cfRule>
    <cfRule type="cellIs" dxfId="810" priority="803" operator="between">
      <formula>9</formula>
      <formula>9.9</formula>
    </cfRule>
    <cfRule type="cellIs" dxfId="809" priority="804" stopIfTrue="1" operator="between">
      <formula>10</formula>
      <formula>10</formula>
    </cfRule>
    <cfRule type="containsBlanks" dxfId="808" priority="805" stopIfTrue="1">
      <formula>LEN(TRIM(B104))=0</formula>
    </cfRule>
  </conditionalFormatting>
  <conditionalFormatting sqref="B114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807" priority="757" stopIfTrue="1" operator="between">
      <formula>8</formula>
      <formula>8.9</formula>
    </cfRule>
    <cfRule type="cellIs" dxfId="806" priority="758" operator="between">
      <formula>9</formula>
      <formula>9.9</formula>
    </cfRule>
    <cfRule type="containsBlanks" dxfId="805" priority="760" stopIfTrue="1">
      <formula>LEN(TRIM(B115))=0</formula>
    </cfRule>
    <cfRule type="cellIs" dxfId="804" priority="759" stopIfTrue="1" operator="between">
      <formula>10</formula>
      <formula>10</formula>
    </cfRule>
    <cfRule type="cellIs" dxfId="803" priority="755" operator="between">
      <formula>10.1</formula>
      <formula>10.6</formula>
    </cfRule>
    <cfRule type="cellIs" dxfId="802" priority="754" operator="between">
      <formula>6</formula>
      <formula>6.9</formula>
    </cfRule>
    <cfRule type="cellIs" dxfId="801" priority="756" operator="between">
      <formula>7</formula>
      <formula>7.9</formula>
    </cfRule>
  </conditionalFormatting>
  <conditionalFormatting sqref="B134"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00" priority="681" operator="between">
      <formula>9</formula>
      <formula>9.9</formula>
    </cfRule>
    <cfRule type="containsBlanks" dxfId="799" priority="683" stopIfTrue="1">
      <formula>LEN(TRIM(B135))=0</formula>
    </cfRule>
    <cfRule type="cellIs" dxfId="798" priority="682" stopIfTrue="1" operator="between">
      <formula>10</formula>
      <formula>10</formula>
    </cfRule>
    <cfRule type="cellIs" dxfId="797" priority="677" operator="between">
      <formula>6</formula>
      <formula>6.9</formula>
    </cfRule>
    <cfRule type="cellIs" dxfId="796" priority="678" operator="between">
      <formula>10.1</formula>
      <formula>10.6</formula>
    </cfRule>
    <cfRule type="cellIs" dxfId="795" priority="680" stopIfTrue="1" operator="between">
      <formula>8</formula>
      <formula>8.9</formula>
    </cfRule>
    <cfRule type="cellIs" dxfId="794" priority="679" operator="between">
      <formula>7</formula>
      <formula>7.9</formula>
    </cfRule>
  </conditionalFormatting>
  <conditionalFormatting sqref="B145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793" priority="638" stopIfTrue="1">
      <formula>LEN(TRIM(B146))=0</formula>
    </cfRule>
    <cfRule type="cellIs" dxfId="792" priority="632" operator="between">
      <formula>6</formula>
      <formula>6.9</formula>
    </cfRule>
    <cfRule type="cellIs" dxfId="791" priority="633" operator="between">
      <formula>10.1</formula>
      <formula>10.6</formula>
    </cfRule>
    <cfRule type="cellIs" dxfId="790" priority="634" operator="between">
      <formula>7</formula>
      <formula>7.9</formula>
    </cfRule>
    <cfRule type="cellIs" dxfId="789" priority="635" stopIfTrue="1" operator="between">
      <formula>8</formula>
      <formula>8.9</formula>
    </cfRule>
    <cfRule type="cellIs" dxfId="788" priority="636" operator="between">
      <formula>9</formula>
      <formula>9.9</formula>
    </cfRule>
    <cfRule type="cellIs" dxfId="787" priority="637" stopIfTrue="1" operator="between">
      <formula>10</formula>
      <formula>10</formula>
    </cfRule>
  </conditionalFormatting>
  <conditionalFormatting sqref="B162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86" priority="575" operator="between">
      <formula>9</formula>
      <formula>9.9</formula>
    </cfRule>
    <cfRule type="cellIs" dxfId="785" priority="574" stopIfTrue="1" operator="between">
      <formula>8</formula>
      <formula>8.9</formula>
    </cfRule>
    <cfRule type="cellIs" dxfId="784" priority="573" operator="between">
      <formula>7</formula>
      <formula>7.9</formula>
    </cfRule>
    <cfRule type="cellIs" dxfId="783" priority="572" operator="between">
      <formula>10.1</formula>
      <formula>10.6</formula>
    </cfRule>
    <cfRule type="cellIs" dxfId="782" priority="571" operator="between">
      <formula>6</formula>
      <formula>6.9</formula>
    </cfRule>
    <cfRule type="cellIs" dxfId="781" priority="576" stopIfTrue="1" operator="between">
      <formula>10</formula>
      <formula>10</formula>
    </cfRule>
    <cfRule type="containsBlanks" dxfId="780" priority="577" stopIfTrue="1">
      <formula>LEN(TRIM(B163))=0</formula>
    </cfRule>
  </conditionalFormatting>
  <conditionalFormatting sqref="B172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779" priority="534" operator="between">
      <formula>10.1</formula>
      <formula>10.6</formula>
    </cfRule>
    <cfRule type="cellIs" dxfId="778" priority="535" operator="between">
      <formula>7</formula>
      <formula>7.9</formula>
    </cfRule>
    <cfRule type="cellIs" dxfId="777" priority="536" stopIfTrue="1" operator="between">
      <formula>8</formula>
      <formula>8.9</formula>
    </cfRule>
    <cfRule type="cellIs" dxfId="776" priority="537" operator="between">
      <formula>9</formula>
      <formula>9.9</formula>
    </cfRule>
    <cfRule type="cellIs" dxfId="775" priority="538" stopIfTrue="1" operator="between">
      <formula>10</formula>
      <formula>10</formula>
    </cfRule>
    <cfRule type="containsBlanks" dxfId="774" priority="539" stopIfTrue="1">
      <formula>LEN(TRIM(B173))=0</formula>
    </cfRule>
    <cfRule type="cellIs" dxfId="773" priority="533" operator="between">
      <formula>6</formula>
      <formula>6.9</formula>
    </cfRule>
  </conditionalFormatting>
  <conditionalFormatting sqref="B185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72" priority="495" operator="between">
      <formula>6</formula>
      <formula>6.9</formula>
    </cfRule>
    <cfRule type="cellIs" dxfId="771" priority="498" stopIfTrue="1" operator="between">
      <formula>8</formula>
      <formula>8.9</formula>
    </cfRule>
    <cfRule type="cellIs" dxfId="770" priority="499" operator="between">
      <formula>9</formula>
      <formula>9.9</formula>
    </cfRule>
    <cfRule type="cellIs" dxfId="769" priority="500" stopIfTrue="1" operator="between">
      <formula>10</formula>
      <formula>10</formula>
    </cfRule>
    <cfRule type="cellIs" dxfId="768" priority="496" operator="between">
      <formula>10.1</formula>
      <formula>10.6</formula>
    </cfRule>
    <cfRule type="containsBlanks" dxfId="767" priority="501" stopIfTrue="1">
      <formula>LEN(TRIM(B186))=0</formula>
    </cfRule>
    <cfRule type="cellIs" dxfId="766" priority="497" operator="between">
      <formula>7</formula>
      <formula>7.9</formula>
    </cfRule>
  </conditionalFormatting>
  <conditionalFormatting sqref="B196"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65" priority="450" operator="between">
      <formula>9</formula>
      <formula>9.9</formula>
    </cfRule>
    <cfRule type="containsBlanks" dxfId="764" priority="452" stopIfTrue="1">
      <formula>LEN(TRIM(B197))=0</formula>
    </cfRule>
    <cfRule type="cellIs" dxfId="763" priority="448" operator="between">
      <formula>7</formula>
      <formula>7.9</formula>
    </cfRule>
    <cfRule type="cellIs" dxfId="762" priority="449" stopIfTrue="1" operator="between">
      <formula>8</formula>
      <formula>8.9</formula>
    </cfRule>
    <cfRule type="cellIs" dxfId="761" priority="447" operator="between">
      <formula>10.1</formula>
      <formula>10.6</formula>
    </cfRule>
    <cfRule type="cellIs" dxfId="760" priority="451" stopIfTrue="1" operator="between">
      <formula>10</formula>
      <formula>10</formula>
    </cfRule>
    <cfRule type="cellIs" dxfId="759" priority="446" operator="between">
      <formula>6</formula>
      <formula>6.9</formula>
    </cfRule>
  </conditionalFormatting>
  <conditionalFormatting sqref="B213">
    <cfRule type="colorScale" priority="378">
      <colorScale>
        <cfvo type="num" val="5"/>
        <cfvo type="num" val="10"/>
        <color rgb="FFFF494D"/>
        <color rgb="FF00FF66"/>
      </colorScale>
    </cfRule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758" priority="370" operator="between">
      <formula>6</formula>
      <formula>6.9</formula>
    </cfRule>
    <cfRule type="cellIs" dxfId="757" priority="371" operator="between">
      <formula>10.1</formula>
      <formula>10.6</formula>
    </cfRule>
    <cfRule type="cellIs" dxfId="756" priority="372" operator="between">
      <formula>7</formula>
      <formula>7.9</formula>
    </cfRule>
    <cfRule type="cellIs" dxfId="755" priority="373" stopIfTrue="1" operator="between">
      <formula>8</formula>
      <formula>8.9</formula>
    </cfRule>
    <cfRule type="cellIs" dxfId="754" priority="374" operator="between">
      <formula>9</formula>
      <formula>9.9</formula>
    </cfRule>
    <cfRule type="containsBlanks" dxfId="753" priority="376" stopIfTrue="1">
      <formula>LEN(TRIM(B214))=0</formula>
    </cfRule>
    <cfRule type="cellIs" dxfId="752" priority="375" stopIfTrue="1" operator="between">
      <formula>10</formula>
      <formula>10</formula>
    </cfRule>
  </conditionalFormatting>
  <conditionalFormatting sqref="B226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51" priority="310" stopIfTrue="1" operator="between">
      <formula>8</formula>
      <formula>8.9</formula>
    </cfRule>
    <cfRule type="cellIs" dxfId="750" priority="311" operator="between">
      <formula>9</formula>
      <formula>9.9</formula>
    </cfRule>
    <cfRule type="cellIs" dxfId="749" priority="312" stopIfTrue="1" operator="between">
      <formula>10</formula>
      <formula>10</formula>
    </cfRule>
    <cfRule type="containsBlanks" dxfId="748" priority="313" stopIfTrue="1">
      <formula>LEN(TRIM(B236))=0</formula>
    </cfRule>
    <cfRule type="cellIs" dxfId="747" priority="309" operator="between">
      <formula>7</formula>
      <formula>7.9</formula>
    </cfRule>
    <cfRule type="cellIs" dxfId="746" priority="307" operator="between">
      <formula>6</formula>
      <formula>6.9</formula>
    </cfRule>
    <cfRule type="cellIs" dxfId="745" priority="308" operator="between">
      <formula>10.1</formula>
      <formula>10.6</formula>
    </cfRule>
  </conditionalFormatting>
  <conditionalFormatting sqref="B246">
    <cfRule type="colorScale" priority="270">
      <colorScale>
        <cfvo type="num" val="5"/>
        <cfvo type="num" val="10"/>
        <color rgb="FFFF494D"/>
        <color rgb="FF00FF66"/>
      </colorScale>
    </cfRule>
    <cfRule type="colorScale" priority="2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744" priority="265" stopIfTrue="1" operator="between">
      <formula>8</formula>
      <formula>8.9</formula>
    </cfRule>
    <cfRule type="cellIs" dxfId="743" priority="264" operator="between">
      <formula>7</formula>
      <formula>7.9</formula>
    </cfRule>
    <cfRule type="cellIs" dxfId="742" priority="263" operator="between">
      <formula>10.1</formula>
      <formula>10.6</formula>
    </cfRule>
    <cfRule type="cellIs" dxfId="741" priority="262" operator="between">
      <formula>6</formula>
      <formula>6.9</formula>
    </cfRule>
    <cfRule type="containsBlanks" dxfId="740" priority="268" stopIfTrue="1">
      <formula>LEN(TRIM(B247))=0</formula>
    </cfRule>
    <cfRule type="cellIs" dxfId="739" priority="267" stopIfTrue="1" operator="between">
      <formula>10</formula>
      <formula>10</formula>
    </cfRule>
    <cfRule type="cellIs" dxfId="738" priority="266" operator="between">
      <formula>9</formula>
      <formula>9.9</formula>
    </cfRule>
  </conditionalFormatting>
  <conditionalFormatting sqref="B260">
    <cfRule type="colorScale" priority="223">
      <colorScale>
        <cfvo type="num" val="5"/>
        <cfvo type="num" val="10"/>
        <color rgb="FFFF494D"/>
        <color rgb="FF00FF66"/>
      </colorScale>
    </cfRule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737" priority="224" operator="between">
      <formula>6</formula>
      <formula>6.9</formula>
    </cfRule>
    <cfRule type="cellIs" dxfId="736" priority="227" stopIfTrue="1" operator="between">
      <formula>8</formula>
      <formula>8.9</formula>
    </cfRule>
    <cfRule type="containsBlanks" dxfId="735" priority="230" stopIfTrue="1">
      <formula>LEN(TRIM(B261))=0</formula>
    </cfRule>
    <cfRule type="cellIs" dxfId="734" priority="229" stopIfTrue="1" operator="between">
      <formula>10</formula>
      <formula>10</formula>
    </cfRule>
    <cfRule type="cellIs" dxfId="733" priority="228" operator="between">
      <formula>9</formula>
      <formula>9.9</formula>
    </cfRule>
    <cfRule type="cellIs" dxfId="732" priority="226" operator="between">
      <formula>7</formula>
      <formula>7.9</formula>
    </cfRule>
    <cfRule type="cellIs" dxfId="731" priority="225" operator="between">
      <formula>10.1</formula>
      <formula>10.6</formula>
    </cfRule>
  </conditionalFormatting>
  <conditionalFormatting sqref="B272">
    <cfRule type="colorScale" priority="181">
      <colorScale>
        <cfvo type="num" val="5"/>
        <cfvo type="num" val="10"/>
        <color rgb="FFFF494D"/>
        <color rgb="FF00FF66"/>
      </colorScale>
    </cfRule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730" priority="185" stopIfTrue="1" operator="between">
      <formula>8</formula>
      <formula>8.9</formula>
    </cfRule>
    <cfRule type="containsBlanks" dxfId="729" priority="188" stopIfTrue="1">
      <formula>LEN(TRIM(B273))=0</formula>
    </cfRule>
    <cfRule type="cellIs" dxfId="728" priority="184" operator="between">
      <formula>7</formula>
      <formula>7.9</formula>
    </cfRule>
    <cfRule type="cellIs" dxfId="727" priority="183" operator="between">
      <formula>10.1</formula>
      <formula>10.6</formula>
    </cfRule>
    <cfRule type="cellIs" dxfId="726" priority="182" operator="between">
      <formula>6</formula>
      <formula>6.9</formula>
    </cfRule>
    <cfRule type="cellIs" dxfId="725" priority="186" operator="between">
      <formula>9</formula>
      <formula>9.9</formula>
    </cfRule>
    <cfRule type="cellIs" dxfId="724" priority="187" stopIfTrue="1" operator="between">
      <formula>10</formula>
      <formula>10</formula>
    </cfRule>
  </conditionalFormatting>
  <conditionalFormatting sqref="B27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23" priority="138" operator="between">
      <formula>9</formula>
      <formula>9.9</formula>
    </cfRule>
    <cfRule type="containsBlanks" dxfId="722" priority="140" stopIfTrue="1">
      <formula>LEN(TRIM(B280))=0</formula>
    </cfRule>
    <cfRule type="cellIs" dxfId="721" priority="134" operator="between">
      <formula>6</formula>
      <formula>6.9</formula>
    </cfRule>
    <cfRule type="cellIs" dxfId="720" priority="139" stopIfTrue="1" operator="between">
      <formula>10</formula>
      <formula>10</formula>
    </cfRule>
    <cfRule type="cellIs" dxfId="719" priority="135" operator="between">
      <formula>10.1</formula>
      <formula>10.6</formula>
    </cfRule>
    <cfRule type="cellIs" dxfId="718" priority="136" operator="between">
      <formula>7</formula>
      <formula>7.9</formula>
    </cfRule>
    <cfRule type="cellIs" dxfId="717" priority="137" stopIfTrue="1" operator="between">
      <formula>8</formula>
      <formula>8.9</formula>
    </cfRule>
  </conditionalFormatting>
  <conditionalFormatting sqref="B309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16" priority="26" stopIfTrue="1" operator="between">
      <formula>8</formula>
      <formula>8.9</formula>
    </cfRule>
    <cfRule type="cellIs" dxfId="715" priority="27" operator="between">
      <formula>9</formula>
      <formula>9.9</formula>
    </cfRule>
    <cfRule type="cellIs" dxfId="714" priority="28" stopIfTrue="1" operator="between">
      <formula>10</formula>
      <formula>10</formula>
    </cfRule>
    <cfRule type="cellIs" dxfId="713" priority="23" operator="between">
      <formula>6</formula>
      <formula>6.9</formula>
    </cfRule>
    <cfRule type="cellIs" dxfId="712" priority="24" operator="between">
      <formula>10.1</formula>
      <formula>10.6</formula>
    </cfRule>
    <cfRule type="containsBlanks" dxfId="711" priority="29" stopIfTrue="1">
      <formula>LEN(TRIM(B310))=0</formula>
    </cfRule>
    <cfRule type="cellIs" dxfId="710" priority="25" operator="between">
      <formula>7</formula>
      <formula>7.9</formula>
    </cfRule>
  </conditionalFormatting>
  <conditionalFormatting sqref="E3:E12">
    <cfRule type="cellIs" dxfId="709" priority="1090" stopIfTrue="1" operator="between">
      <formula>8</formula>
      <formula>8.9</formula>
    </cfRule>
    <cfRule type="cellIs" dxfId="708" priority="1092" stopIfTrue="1" operator="between">
      <formula>10</formula>
      <formula>10</formula>
    </cfRule>
    <cfRule type="cellIs" dxfId="707" priority="1091" operator="between">
      <formula>9</formula>
      <formula>9.9</formula>
    </cfRule>
    <cfRule type="cellIs" dxfId="706" priority="1089" operator="between">
      <formula>7</formula>
      <formula>7.9</formula>
    </cfRule>
    <cfRule type="cellIs" dxfId="705" priority="1088" operator="between">
      <formula>10.1</formula>
      <formula>10.6</formula>
    </cfRule>
    <cfRule type="containsBlanks" dxfId="704" priority="1093" stopIfTrue="1">
      <formula>LEN(TRIM(E3))=0</formula>
    </cfRule>
  </conditionalFormatting>
  <conditionalFormatting sqref="E15:E28">
    <cfRule type="cellIs" dxfId="703" priority="398" operator="between">
      <formula>7</formula>
      <formula>7.9</formula>
    </cfRule>
    <cfRule type="cellIs" dxfId="702" priority="399" stopIfTrue="1" operator="between">
      <formula>8</formula>
      <formula>8.9</formula>
    </cfRule>
    <cfRule type="cellIs" dxfId="701" priority="400" operator="between">
      <formula>9</formula>
      <formula>9.9</formula>
    </cfRule>
    <cfRule type="cellIs" dxfId="700" priority="401" stopIfTrue="1" operator="between">
      <formula>10</formula>
      <formula>10</formula>
    </cfRule>
    <cfRule type="containsBlanks" dxfId="699" priority="402" stopIfTrue="1">
      <formula>LEN(TRIM(E15))=0</formula>
    </cfRule>
  </conditionalFormatting>
  <conditionalFormatting sqref="E16">
    <cfRule type="cellIs" dxfId="698" priority="397" operator="between">
      <formula>10.1</formula>
      <formula>10.6</formula>
    </cfRule>
  </conditionalFormatting>
  <conditionalFormatting sqref="E31:E37">
    <cfRule type="cellIs" dxfId="697" priority="1056" stopIfTrue="1" operator="between">
      <formula>10</formula>
      <formula>10</formula>
    </cfRule>
    <cfRule type="containsBlanks" dxfId="696" priority="1057" stopIfTrue="1">
      <formula>LEN(TRIM(E31))=0</formula>
    </cfRule>
    <cfRule type="cellIs" dxfId="695" priority="1055" operator="between">
      <formula>9</formula>
      <formula>9.9</formula>
    </cfRule>
    <cfRule type="cellIs" dxfId="694" priority="1054" stopIfTrue="1" operator="between">
      <formula>8</formula>
      <formula>8.9</formula>
    </cfRule>
    <cfRule type="cellIs" dxfId="693" priority="1053" operator="between">
      <formula>7</formula>
      <formula>7.9</formula>
    </cfRule>
    <cfRule type="cellIs" dxfId="692" priority="1052" operator="between">
      <formula>10.1</formula>
      <formula>10.6</formula>
    </cfRule>
  </conditionalFormatting>
  <conditionalFormatting sqref="E39">
    <cfRule type="colorScale" priority="1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691" priority="1164" operator="between">
      <formula>7</formula>
      <formula>7.9</formula>
    </cfRule>
    <cfRule type="cellIs" dxfId="690" priority="1165" stopIfTrue="1" operator="between">
      <formula>8</formula>
      <formula>8.9</formula>
    </cfRule>
    <cfRule type="cellIs" dxfId="689" priority="1166" operator="between">
      <formula>9</formula>
      <formula>9.9</formula>
    </cfRule>
    <cfRule type="cellIs" dxfId="688" priority="1167" stopIfTrue="1" operator="between">
      <formula>10</formula>
      <formula>10</formula>
    </cfRule>
  </conditionalFormatting>
  <conditionalFormatting sqref="E54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687" priority="1039" stopIfTrue="1">
      <formula>LEN(TRIM(E55))=0</formula>
    </cfRule>
    <cfRule type="cellIs" dxfId="686" priority="1038" stopIfTrue="1" operator="between">
      <formula>10</formula>
      <formula>10</formula>
    </cfRule>
    <cfRule type="cellIs" dxfId="685" priority="1037" operator="between">
      <formula>9</formula>
      <formula>9.9</formula>
    </cfRule>
    <cfRule type="cellIs" dxfId="684" priority="1036" stopIfTrue="1" operator="between">
      <formula>8</formula>
      <formula>8.9</formula>
    </cfRule>
    <cfRule type="cellIs" dxfId="683" priority="1034" operator="between">
      <formula>10.1</formula>
      <formula>10.6</formula>
    </cfRule>
    <cfRule type="cellIs" dxfId="682" priority="1035" operator="between">
      <formula>7</formula>
      <formula>7.9</formula>
    </cfRule>
  </conditionalFormatting>
  <conditionalFormatting sqref="E65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81" priority="971" stopIfTrue="1" operator="between">
      <formula>10</formula>
      <formula>10</formula>
    </cfRule>
    <cfRule type="containsBlanks" dxfId="680" priority="972" stopIfTrue="1">
      <formula>LEN(TRIM(E66))=0</formula>
    </cfRule>
    <cfRule type="cellIs" dxfId="679" priority="970" operator="between">
      <formula>9</formula>
      <formula>9.9</formula>
    </cfRule>
    <cfRule type="cellIs" dxfId="678" priority="967" operator="between">
      <formula>10.1</formula>
      <formula>10.6</formula>
    </cfRule>
    <cfRule type="cellIs" dxfId="677" priority="968" operator="between">
      <formula>7</formula>
      <formula>7.9</formula>
    </cfRule>
    <cfRule type="cellIs" dxfId="676" priority="969" stopIfTrue="1" operator="between">
      <formula>8</formula>
      <formula>8.9</formula>
    </cfRule>
  </conditionalFormatting>
  <conditionalFormatting sqref="E80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675" priority="891" operator="between">
      <formula>9</formula>
      <formula>9.9</formula>
    </cfRule>
    <cfRule type="cellIs" dxfId="674" priority="890" stopIfTrue="1" operator="between">
      <formula>8</formula>
      <formula>8.9</formula>
    </cfRule>
    <cfRule type="containsBlanks" dxfId="673" priority="893" stopIfTrue="1">
      <formula>LEN(TRIM(E81))=0</formula>
    </cfRule>
    <cfRule type="cellIs" dxfId="672" priority="892" stopIfTrue="1" operator="between">
      <formula>10</formula>
      <formula>10</formula>
    </cfRule>
    <cfRule type="cellIs" dxfId="671" priority="888" operator="between">
      <formula>10.1</formula>
      <formula>10.6</formula>
    </cfRule>
    <cfRule type="cellIs" dxfId="670" priority="889" operator="between">
      <formula>7</formula>
      <formula>7.9</formula>
    </cfRule>
  </conditionalFormatting>
  <conditionalFormatting sqref="E101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69" priority="810" operator="between">
      <formula>10.1</formula>
      <formula>10.6</formula>
    </cfRule>
    <cfRule type="cellIs" dxfId="668" priority="814" stopIfTrue="1" operator="between">
      <formula>10</formula>
      <formula>10</formula>
    </cfRule>
    <cfRule type="cellIs" dxfId="667" priority="812" stopIfTrue="1" operator="between">
      <formula>8</formula>
      <formula>8.9</formula>
    </cfRule>
    <cfRule type="containsBlanks" dxfId="666" priority="815" stopIfTrue="1">
      <formula>LEN(TRIM(E102))=0</formula>
    </cfRule>
    <cfRule type="cellIs" dxfId="665" priority="811" operator="between">
      <formula>7</formula>
      <formula>7.9</formula>
    </cfRule>
    <cfRule type="cellIs" dxfId="664" priority="813" operator="between">
      <formula>9</formula>
      <formula>9.9</formula>
    </cfRule>
  </conditionalFormatting>
  <conditionalFormatting sqref="E117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663" priority="749" stopIfTrue="1">
      <formula>LEN(TRIM(E118))=0</formula>
    </cfRule>
    <cfRule type="cellIs" dxfId="662" priority="748" stopIfTrue="1" operator="between">
      <formula>10</formula>
      <formula>10</formula>
    </cfRule>
    <cfRule type="cellIs" dxfId="661" priority="747" operator="between">
      <formula>9</formula>
      <formula>9.9</formula>
    </cfRule>
    <cfRule type="cellIs" dxfId="660" priority="743" operator="between">
      <formula>6</formula>
      <formula>6.9</formula>
    </cfRule>
    <cfRule type="cellIs" dxfId="659" priority="744" operator="between">
      <formula>10.1</formula>
      <formula>10.6</formula>
    </cfRule>
    <cfRule type="cellIs" dxfId="658" priority="745" operator="between">
      <formula>7</formula>
      <formula>7.9</formula>
    </cfRule>
    <cfRule type="cellIs" dxfId="657" priority="746" stopIfTrue="1" operator="between">
      <formula>8</formula>
      <formula>8.9</formula>
    </cfRule>
  </conditionalFormatting>
  <conditionalFormatting sqref="E128">
    <cfRule type="colorScale" priority="718">
      <colorScale>
        <cfvo type="num" val="5"/>
        <cfvo type="num" val="10"/>
        <color rgb="FFFF494D"/>
        <color rgb="FF00FF66"/>
      </colorScale>
    </cfRule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656" priority="713" stopIfTrue="1" operator="between">
      <formula>8</formula>
      <formula>8.9</formula>
    </cfRule>
    <cfRule type="cellIs" dxfId="655" priority="714" operator="between">
      <formula>9</formula>
      <formula>9.9</formula>
    </cfRule>
    <cfRule type="containsBlanks" dxfId="654" priority="716" stopIfTrue="1">
      <formula>LEN(TRIM(E129))=0</formula>
    </cfRule>
    <cfRule type="cellIs" dxfId="653" priority="715" stopIfTrue="1" operator="between">
      <formula>10</formula>
      <formula>10</formula>
    </cfRule>
    <cfRule type="cellIs" dxfId="652" priority="710" operator="between">
      <formula>6</formula>
      <formula>6.9</formula>
    </cfRule>
    <cfRule type="cellIs" dxfId="651" priority="711" operator="between">
      <formula>10.1</formula>
      <formula>10.6</formula>
    </cfRule>
    <cfRule type="cellIs" dxfId="650" priority="712" operator="between">
      <formula>7</formula>
      <formula>7.9</formula>
    </cfRule>
  </conditionalFormatting>
  <conditionalFormatting sqref="E146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649" priority="629" stopIfTrue="1">
      <formula>LEN(TRIM(E147))=0</formula>
    </cfRule>
    <cfRule type="cellIs" dxfId="648" priority="623" operator="between">
      <formula>6</formula>
      <formula>6.9</formula>
    </cfRule>
    <cfRule type="cellIs" dxfId="647" priority="624" operator="between">
      <formula>10.1</formula>
      <formula>10.6</formula>
    </cfRule>
    <cfRule type="cellIs" dxfId="646" priority="625" operator="between">
      <formula>7</formula>
      <formula>7.9</formula>
    </cfRule>
    <cfRule type="cellIs" dxfId="645" priority="626" stopIfTrue="1" operator="between">
      <formula>8</formula>
      <formula>8.9</formula>
    </cfRule>
    <cfRule type="cellIs" dxfId="644" priority="627" operator="between">
      <formula>9</formula>
      <formula>9.9</formula>
    </cfRule>
    <cfRule type="cellIs" dxfId="643" priority="628" stopIfTrue="1" operator="between">
      <formula>10</formula>
      <formula>10</formula>
    </cfRule>
  </conditionalFormatting>
  <conditionalFormatting sqref="E161">
    <cfRule type="colorScale" priority="595">
      <colorScale>
        <cfvo type="num" val="5"/>
        <cfvo type="num" val="10"/>
        <color rgb="FFFF494D"/>
        <color rgb="FF00FF66"/>
      </colorScale>
    </cfRule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42" priority="587" operator="between">
      <formula>6</formula>
      <formula>6.9</formula>
    </cfRule>
    <cfRule type="cellIs" dxfId="641" priority="588" operator="between">
      <formula>10.1</formula>
      <formula>10.6</formula>
    </cfRule>
    <cfRule type="cellIs" dxfId="640" priority="589" operator="between">
      <formula>7</formula>
      <formula>7.9</formula>
    </cfRule>
    <cfRule type="cellIs" dxfId="639" priority="590" stopIfTrue="1" operator="between">
      <formula>8</formula>
      <formula>8.9</formula>
    </cfRule>
    <cfRule type="cellIs" dxfId="638" priority="591" operator="between">
      <formula>9</formula>
      <formula>9.9</formula>
    </cfRule>
    <cfRule type="cellIs" dxfId="637" priority="592" stopIfTrue="1" operator="between">
      <formula>10</formula>
      <formula>10</formula>
    </cfRule>
    <cfRule type="containsBlanks" dxfId="636" priority="593" stopIfTrue="1">
      <formula>LEN(TRIM(E162))=0</formula>
    </cfRule>
  </conditionalFormatting>
  <conditionalFormatting sqref="E172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635" priority="548" stopIfTrue="1">
      <formula>LEN(TRIM(E173))=0</formula>
    </cfRule>
    <cfRule type="cellIs" dxfId="634" priority="543" operator="between">
      <formula>10.1</formula>
      <formula>10.6</formula>
    </cfRule>
    <cfRule type="cellIs" dxfId="633" priority="545" stopIfTrue="1" operator="between">
      <formula>8</formula>
      <formula>8.9</formula>
    </cfRule>
    <cfRule type="cellIs" dxfId="632" priority="547" stopIfTrue="1" operator="between">
      <formula>10</formula>
      <formula>10</formula>
    </cfRule>
    <cfRule type="cellIs" dxfId="631" priority="546" operator="between">
      <formula>9</formula>
      <formula>9.9</formula>
    </cfRule>
    <cfRule type="cellIs" dxfId="630" priority="544" operator="between">
      <formula>7</formula>
      <formula>7.9</formula>
    </cfRule>
    <cfRule type="cellIs" dxfId="629" priority="542" operator="between">
      <formula>6</formula>
      <formula>6.9</formula>
    </cfRule>
  </conditionalFormatting>
  <conditionalFormatting sqref="E186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628" priority="485" stopIfTrue="1" operator="between">
      <formula>10</formula>
      <formula>10</formula>
    </cfRule>
    <cfRule type="containsBlanks" dxfId="627" priority="486" stopIfTrue="1">
      <formula>LEN(TRIM(E187))=0</formula>
    </cfRule>
    <cfRule type="cellIs" dxfId="626" priority="482" operator="between">
      <formula>7</formula>
      <formula>7.9</formula>
    </cfRule>
    <cfRule type="cellIs" dxfId="625" priority="480" operator="between">
      <formula>6</formula>
      <formula>6.9</formula>
    </cfRule>
    <cfRule type="cellIs" dxfId="624" priority="481" operator="between">
      <formula>10.1</formula>
      <formula>10.6</formula>
    </cfRule>
    <cfRule type="cellIs" dxfId="623" priority="483" stopIfTrue="1" operator="between">
      <formula>8</formula>
      <formula>8.9</formula>
    </cfRule>
    <cfRule type="cellIs" dxfId="622" priority="484" operator="between">
      <formula>9</formula>
      <formula>9.9</formula>
    </cfRule>
  </conditionalFormatting>
  <conditionalFormatting sqref="E201">
    <cfRule type="colorScale" priority="434">
      <colorScale>
        <cfvo type="num" val="5"/>
        <cfvo type="num" val="10"/>
        <color rgb="FFFF494D"/>
        <color rgb="FF00FF66"/>
      </colorScale>
    </cfRule>
    <cfRule type="colorScale" priority="4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621" priority="428" operator="between">
      <formula>7</formula>
      <formula>7.9</formula>
    </cfRule>
    <cfRule type="cellIs" dxfId="620" priority="429" stopIfTrue="1" operator="between">
      <formula>8</formula>
      <formula>8.9</formula>
    </cfRule>
    <cfRule type="cellIs" dxfId="619" priority="427" operator="between">
      <formula>10.1</formula>
      <formula>11</formula>
    </cfRule>
    <cfRule type="cellIs" dxfId="618" priority="426" operator="between">
      <formula>6</formula>
      <formula>6.9</formula>
    </cfRule>
    <cfRule type="containsBlanks" dxfId="617" priority="432" stopIfTrue="1">
      <formula>LEN(TRIM(E202))=0</formula>
    </cfRule>
    <cfRule type="cellIs" dxfId="616" priority="431" stopIfTrue="1" operator="between">
      <formula>10</formula>
      <formula>10</formula>
    </cfRule>
    <cfRule type="cellIs" dxfId="615" priority="430" operator="between">
      <formula>9</formula>
      <formula>9.9</formula>
    </cfRule>
  </conditionalFormatting>
  <conditionalFormatting sqref="E213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14" priority="386" stopIfTrue="1" operator="between">
      <formula>10</formula>
      <formula>10</formula>
    </cfRule>
    <cfRule type="containsBlanks" dxfId="613" priority="387" stopIfTrue="1">
      <formula>LEN(TRIM(E214))=0</formula>
    </cfRule>
    <cfRule type="cellIs" dxfId="612" priority="381" operator="between">
      <formula>6</formula>
      <formula>6.9</formula>
    </cfRule>
    <cfRule type="cellIs" dxfId="611" priority="382" operator="between">
      <formula>10.1</formula>
      <formula>10.6</formula>
    </cfRule>
    <cfRule type="cellIs" dxfId="610" priority="383" operator="between">
      <formula>7</formula>
      <formula>7.9</formula>
    </cfRule>
    <cfRule type="cellIs" dxfId="609" priority="384" stopIfTrue="1" operator="between">
      <formula>8</formula>
      <formula>8.9</formula>
    </cfRule>
    <cfRule type="cellIs" dxfId="608" priority="385" operator="between">
      <formula>9</formula>
      <formula>9.9</formula>
    </cfRule>
  </conditionalFormatting>
  <conditionalFormatting sqref="E229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07" priority="346" stopIfTrue="1" operator="between">
      <formula>10</formula>
      <formula>10</formula>
    </cfRule>
    <cfRule type="containsBlanks" dxfId="606" priority="347" stopIfTrue="1">
      <formula>LEN(TRIM(E230))=0</formula>
    </cfRule>
    <cfRule type="cellIs" dxfId="605" priority="341" operator="between">
      <formula>6</formula>
      <formula>6.9</formula>
    </cfRule>
    <cfRule type="cellIs" dxfId="604" priority="342" operator="between">
      <formula>10.1</formula>
      <formula>10.6</formula>
    </cfRule>
    <cfRule type="cellIs" dxfId="603" priority="344" stopIfTrue="1" operator="between">
      <formula>8</formula>
      <formula>8.9</formula>
    </cfRule>
    <cfRule type="cellIs" dxfId="602" priority="345" operator="between">
      <formula>9</formula>
      <formula>9.9</formula>
    </cfRule>
    <cfRule type="cellIs" dxfId="601" priority="343" operator="between">
      <formula>7</formula>
      <formula>7.9</formula>
    </cfRule>
  </conditionalFormatting>
  <conditionalFormatting sqref="E237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00" priority="304" operator="between">
      <formula>9</formula>
      <formula>9.9</formula>
    </cfRule>
    <cfRule type="cellIs" dxfId="599" priority="303" stopIfTrue="1" operator="between">
      <formula>8</formula>
      <formula>8.9</formula>
    </cfRule>
    <cfRule type="cellIs" dxfId="598" priority="302" operator="between">
      <formula>7</formula>
      <formula>7.9</formula>
    </cfRule>
    <cfRule type="cellIs" dxfId="597" priority="301" operator="between">
      <formula>10.1</formula>
      <formula>10.6</formula>
    </cfRule>
    <cfRule type="cellIs" dxfId="596" priority="300" operator="between">
      <formula>6</formula>
      <formula>6.9</formula>
    </cfRule>
    <cfRule type="containsBlanks" dxfId="595" priority="306" stopIfTrue="1">
      <formula>LEN(TRIM(E238))=0</formula>
    </cfRule>
    <cfRule type="cellIs" dxfId="594" priority="305" stopIfTrue="1" operator="between">
      <formula>10</formula>
      <formula>10</formula>
    </cfRule>
  </conditionalFormatting>
  <conditionalFormatting sqref="E254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05">
      <colorScale>
        <cfvo type="num" val="5"/>
        <cfvo type="num" val="10"/>
        <color rgb="FFFF494D"/>
        <color rgb="FF00FF66"/>
      </colorScale>
    </cfRule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593" priority="206" operator="between">
      <formula>6</formula>
      <formula>6.9</formula>
    </cfRule>
    <cfRule type="cellIs" dxfId="592" priority="208" operator="between">
      <formula>7</formula>
      <formula>7.9</formula>
    </cfRule>
    <cfRule type="cellIs" dxfId="591" priority="209" stopIfTrue="1" operator="between">
      <formula>8</formula>
      <formula>8.9</formula>
    </cfRule>
    <cfRule type="cellIs" dxfId="590" priority="210" operator="between">
      <formula>9</formula>
      <formula>9.9</formula>
    </cfRule>
    <cfRule type="cellIs" dxfId="589" priority="211" stopIfTrue="1" operator="between">
      <formula>10</formula>
      <formula>10</formula>
    </cfRule>
    <cfRule type="containsBlanks" dxfId="588" priority="212" stopIfTrue="1">
      <formula>LEN(TRIM(E267))=0</formula>
    </cfRule>
    <cfRule type="cellIs" dxfId="587" priority="207" operator="between">
      <formula>10.1</formula>
      <formula>10.6</formula>
    </cfRule>
  </conditionalFormatting>
  <conditionalFormatting sqref="E278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586" priority="158" stopIfTrue="1" operator="between">
      <formula>10</formula>
      <formula>10</formula>
    </cfRule>
    <cfRule type="cellIs" dxfId="585" priority="157" operator="between">
      <formula>9</formula>
      <formula>9.9</formula>
    </cfRule>
    <cfRule type="cellIs" dxfId="584" priority="155" operator="between">
      <formula>7</formula>
      <formula>7.9</formula>
    </cfRule>
    <cfRule type="cellIs" dxfId="583" priority="154" operator="between">
      <formula>10.1</formula>
      <formula>10.6</formula>
    </cfRule>
    <cfRule type="cellIs" dxfId="582" priority="153" operator="between">
      <formula>6</formula>
      <formula>6.9</formula>
    </cfRule>
    <cfRule type="containsBlanks" dxfId="581" priority="159" stopIfTrue="1">
      <formula>LEN(TRIM(E279))=0</formula>
    </cfRule>
    <cfRule type="cellIs" dxfId="580" priority="156" stopIfTrue="1" operator="between">
      <formula>8</formula>
      <formula>8.9</formula>
    </cfRule>
  </conditionalFormatting>
  <conditionalFormatting sqref="E288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579" priority="108" stopIfTrue="1" operator="between">
      <formula>8</formula>
      <formula>8.9</formula>
    </cfRule>
    <cfRule type="cellIs" dxfId="578" priority="107" operator="between">
      <formula>7</formula>
      <formula>7.9</formula>
    </cfRule>
    <cfRule type="cellIs" dxfId="577" priority="106" operator="between">
      <formula>10.1</formula>
      <formula>10.6</formula>
    </cfRule>
    <cfRule type="cellIs" dxfId="576" priority="105" operator="between">
      <formula>6</formula>
      <formula>6.9</formula>
    </cfRule>
    <cfRule type="cellIs" dxfId="575" priority="110" stopIfTrue="1" operator="between">
      <formula>10</formula>
      <formula>10</formula>
    </cfRule>
    <cfRule type="cellIs" dxfId="574" priority="109" operator="between">
      <formula>9</formula>
      <formula>9.9</formula>
    </cfRule>
    <cfRule type="containsBlanks" dxfId="573" priority="111" stopIfTrue="1">
      <formula>LEN(TRIM(E289))=0</formula>
    </cfRule>
  </conditionalFormatting>
  <conditionalFormatting sqref="E299">
    <cfRule type="colorScale" priority="62">
      <colorScale>
        <cfvo type="num" val="5"/>
        <cfvo type="num" val="10"/>
        <color rgb="FFFF494D"/>
        <color rgb="FF00FF66"/>
      </colorScale>
    </cfRule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572" priority="56" operator="between">
      <formula>7</formula>
      <formula>7.9</formula>
    </cfRule>
    <cfRule type="containsBlanks" dxfId="571" priority="60" stopIfTrue="1">
      <formula>LEN(TRIM(E300))=0</formula>
    </cfRule>
    <cfRule type="cellIs" dxfId="570" priority="59" stopIfTrue="1" operator="between">
      <formula>10</formula>
      <formula>10</formula>
    </cfRule>
    <cfRule type="cellIs" dxfId="569" priority="58" operator="between">
      <formula>9</formula>
      <formula>9.9</formula>
    </cfRule>
    <cfRule type="cellIs" dxfId="568" priority="57" stopIfTrue="1" operator="between">
      <formula>8</formula>
      <formula>8.9</formula>
    </cfRule>
    <cfRule type="cellIs" dxfId="567" priority="55" operator="between">
      <formula>10.1</formula>
      <formula>10.6</formula>
    </cfRule>
    <cfRule type="cellIs" dxfId="566" priority="54" operator="between">
      <formula>6</formula>
      <formula>6.9</formula>
    </cfRule>
  </conditionalFormatting>
  <conditionalFormatting sqref="H3:H15">
    <cfRule type="cellIs" dxfId="565" priority="193" stopIfTrue="1" operator="between">
      <formula>10</formula>
      <formula>10</formula>
    </cfRule>
    <cfRule type="cellIs" dxfId="564" priority="192" operator="between">
      <formula>9</formula>
      <formula>9.9</formula>
    </cfRule>
    <cfRule type="cellIs" dxfId="563" priority="191" stopIfTrue="1" operator="between">
      <formula>8</formula>
      <formula>8.9</formula>
    </cfRule>
    <cfRule type="cellIs" dxfId="562" priority="190" operator="between">
      <formula>7</formula>
      <formula>7.9</formula>
    </cfRule>
  </conditionalFormatting>
  <conditionalFormatting sqref="H7">
    <cfRule type="containsBlanks" dxfId="561" priority="194" stopIfTrue="1">
      <formula>LEN(TRIM(H7))=0</formula>
    </cfRule>
    <cfRule type="cellIs" dxfId="560" priority="189" operator="between">
      <formula>10.1</formula>
      <formula>10.6</formula>
    </cfRule>
  </conditionalFormatting>
  <conditionalFormatting sqref="H18:H28">
    <cfRule type="cellIs" dxfId="559" priority="1184" operator="between">
      <formula>7</formula>
      <formula>7.9</formula>
    </cfRule>
    <cfRule type="cellIs" dxfId="558" priority="1185" stopIfTrue="1" operator="between">
      <formula>8</formula>
      <formula>8.9</formula>
    </cfRule>
    <cfRule type="cellIs" dxfId="557" priority="1186" operator="between">
      <formula>9</formula>
      <formula>9.9</formula>
    </cfRule>
    <cfRule type="cellIs" dxfId="556" priority="1187" stopIfTrue="1" operator="between">
      <formula>10</formula>
      <formula>10</formula>
    </cfRule>
  </conditionalFormatting>
  <conditionalFormatting sqref="H30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55" priority="1049" operator="between">
      <formula>9</formula>
      <formula>9.9</formula>
    </cfRule>
    <cfRule type="cellIs" dxfId="554" priority="1050" stopIfTrue="1" operator="between">
      <formula>10</formula>
      <formula>10</formula>
    </cfRule>
    <cfRule type="containsBlanks" dxfId="553" priority="1051" stopIfTrue="1">
      <formula>LEN(TRIM(H31))=0</formula>
    </cfRule>
    <cfRule type="cellIs" dxfId="552" priority="1046" operator="between">
      <formula>10.1</formula>
      <formula>10.6</formula>
    </cfRule>
    <cfRule type="cellIs" dxfId="551" priority="1047" operator="between">
      <formula>7</formula>
      <formula>7.9</formula>
    </cfRule>
    <cfRule type="cellIs" dxfId="550" priority="1048" stopIfTrue="1" operator="between">
      <formula>8</formula>
      <formula>8.9</formula>
    </cfRule>
  </conditionalFormatting>
  <conditionalFormatting sqref="H47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549" priority="1045" stopIfTrue="1">
      <formula>LEN(TRIM(H48))=0</formula>
    </cfRule>
    <cfRule type="cellIs" dxfId="548" priority="1044" stopIfTrue="1" operator="between">
      <formula>10</formula>
      <formula>10</formula>
    </cfRule>
    <cfRule type="cellIs" dxfId="547" priority="1043" operator="between">
      <formula>9</formula>
      <formula>9.9</formula>
    </cfRule>
    <cfRule type="cellIs" dxfId="546" priority="1042" stopIfTrue="1" operator="between">
      <formula>8</formula>
      <formula>8.9</formula>
    </cfRule>
    <cfRule type="cellIs" dxfId="545" priority="1041" operator="between">
      <formula>7</formula>
      <formula>7.9</formula>
    </cfRule>
    <cfRule type="cellIs" dxfId="544" priority="1040" operator="between">
      <formula>10.1</formula>
      <formula>10.6</formula>
    </cfRule>
  </conditionalFormatting>
  <conditionalFormatting sqref="H57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543" priority="918" stopIfTrue="1">
      <formula>LEN(TRIM(H58))=0</formula>
    </cfRule>
    <cfRule type="cellIs" dxfId="542" priority="916" operator="between">
      <formula>9</formula>
      <formula>9.9</formula>
    </cfRule>
    <cfRule type="cellIs" dxfId="541" priority="915" stopIfTrue="1" operator="between">
      <formula>8</formula>
      <formula>8.9</formula>
    </cfRule>
    <cfRule type="cellIs" dxfId="540" priority="914" operator="between">
      <formula>7</formula>
      <formula>7.9</formula>
    </cfRule>
    <cfRule type="cellIs" dxfId="539" priority="913" operator="between">
      <formula>10.1</formula>
      <formula>10.6</formula>
    </cfRule>
    <cfRule type="cellIs" dxfId="538" priority="912" operator="between">
      <formula>6</formula>
      <formula>6.9</formula>
    </cfRule>
    <cfRule type="cellIs" dxfId="537" priority="917" stopIfTrue="1" operator="between">
      <formula>10</formula>
      <formula>10</formula>
    </cfRule>
  </conditionalFormatting>
  <conditionalFormatting sqref="H69">
    <cfRule type="colorScale" priority="948">
      <colorScale>
        <cfvo type="num" val="5"/>
        <cfvo type="num" val="10"/>
        <color rgb="FFFF494D"/>
        <color rgb="FF00FF66"/>
      </colorScale>
    </cfRule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536" priority="946" stopIfTrue="1">
      <formula>LEN(TRIM(H70))=0</formula>
    </cfRule>
    <cfRule type="cellIs" dxfId="535" priority="945" stopIfTrue="1" operator="between">
      <formula>10</formula>
      <formula>10</formula>
    </cfRule>
    <cfRule type="cellIs" dxfId="534" priority="944" operator="between">
      <formula>9</formula>
      <formula>9.9</formula>
    </cfRule>
    <cfRule type="cellIs" dxfId="533" priority="943" stopIfTrue="1" operator="between">
      <formula>8</formula>
      <formula>8.9</formula>
    </cfRule>
    <cfRule type="cellIs" dxfId="532" priority="942" operator="between">
      <formula>7</formula>
      <formula>7.9</formula>
    </cfRule>
    <cfRule type="cellIs" dxfId="531" priority="941" operator="between">
      <formula>10.1</formula>
      <formula>10.6</formula>
    </cfRule>
  </conditionalFormatting>
  <conditionalFormatting sqref="H83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30" priority="867" operator="between">
      <formula>7</formula>
      <formula>7.9</formula>
    </cfRule>
    <cfRule type="cellIs" dxfId="529" priority="870" stopIfTrue="1" operator="between">
      <formula>10</formula>
      <formula>10</formula>
    </cfRule>
    <cfRule type="cellIs" dxfId="528" priority="869" operator="between">
      <formula>9</formula>
      <formula>9.9</formula>
    </cfRule>
    <cfRule type="cellIs" dxfId="527" priority="865" operator="between">
      <formula>6</formula>
      <formula>6.9</formula>
    </cfRule>
    <cfRule type="cellIs" dxfId="526" priority="868" stopIfTrue="1" operator="between">
      <formula>8</formula>
      <formula>8.9</formula>
    </cfRule>
    <cfRule type="containsBlanks" dxfId="525" priority="871" stopIfTrue="1">
      <formula>LEN(TRIM(H84))=0</formula>
    </cfRule>
    <cfRule type="cellIs" dxfId="524" priority="866" operator="between">
      <formula>10.1</formula>
      <formula>10.6</formula>
    </cfRule>
  </conditionalFormatting>
  <conditionalFormatting sqref="H97">
    <cfRule type="colorScale" priority="833">
      <colorScale>
        <cfvo type="num" val="5"/>
        <cfvo type="num" val="10"/>
        <color rgb="FFFF494D"/>
        <color rgb="FF00FF66"/>
      </colorScale>
    </cfRule>
    <cfRule type="colorScale" priority="8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23" priority="816" operator="between">
      <formula>6</formula>
      <formula>6.9</formula>
    </cfRule>
    <cfRule type="cellIs" dxfId="522" priority="817" operator="between">
      <formula>10.1</formula>
      <formula>10.6</formula>
    </cfRule>
    <cfRule type="cellIs" dxfId="521" priority="818" operator="between">
      <formula>7</formula>
      <formula>7.9</formula>
    </cfRule>
    <cfRule type="containsBlanks" dxfId="520" priority="822" stopIfTrue="1">
      <formula>LEN(TRIM(H98))=0</formula>
    </cfRule>
    <cfRule type="cellIs" dxfId="519" priority="821" stopIfTrue="1" operator="between">
      <formula>10</formula>
      <formula>10</formula>
    </cfRule>
    <cfRule type="cellIs" dxfId="518" priority="819" stopIfTrue="1" operator="between">
      <formula>8</formula>
      <formula>8.9</formula>
    </cfRule>
    <cfRule type="cellIs" dxfId="517" priority="820" operator="between">
      <formula>9</formula>
      <formula>9.9</formula>
    </cfRule>
  </conditionalFormatting>
  <conditionalFormatting sqref="H110">
    <cfRule type="colorScale" priority="799">
      <colorScale>
        <cfvo type="num" val="5"/>
        <cfvo type="num" val="10"/>
        <color rgb="FFFF494D"/>
        <color rgb="FF00FF66"/>
      </colorScale>
    </cfRule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16" priority="792" operator="between">
      <formula>10.1</formula>
      <formula>10.6</formula>
    </cfRule>
    <cfRule type="containsBlanks" dxfId="515" priority="797" stopIfTrue="1">
      <formula>LEN(TRIM(H111))=0</formula>
    </cfRule>
    <cfRule type="cellIs" dxfId="514" priority="795" operator="between">
      <formula>9</formula>
      <formula>9.9</formula>
    </cfRule>
    <cfRule type="cellIs" dxfId="513" priority="794" stopIfTrue="1" operator="between">
      <formula>8</formula>
      <formula>8.9</formula>
    </cfRule>
    <cfRule type="cellIs" dxfId="512" priority="796" stopIfTrue="1" operator="between">
      <formula>10</formula>
      <formula>10</formula>
    </cfRule>
    <cfRule type="cellIs" dxfId="511" priority="793" operator="between">
      <formula>7</formula>
      <formula>7.9</formula>
    </cfRule>
  </conditionalFormatting>
  <conditionalFormatting sqref="H125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10" priority="719" operator="between">
      <formula>6</formula>
      <formula>6.9</formula>
    </cfRule>
    <cfRule type="cellIs" dxfId="509" priority="724" stopIfTrue="1" operator="between">
      <formula>10</formula>
      <formula>10</formula>
    </cfRule>
    <cfRule type="containsBlanks" dxfId="508" priority="725" stopIfTrue="1">
      <formula>LEN(TRIM(H126))=0</formula>
    </cfRule>
    <cfRule type="cellIs" dxfId="507" priority="720" operator="between">
      <formula>10.1</formula>
      <formula>10.6</formula>
    </cfRule>
    <cfRule type="cellIs" dxfId="506" priority="723" operator="between">
      <formula>9</formula>
      <formula>9.9</formula>
    </cfRule>
    <cfRule type="cellIs" dxfId="505" priority="722" stopIfTrue="1" operator="between">
      <formula>8</formula>
      <formula>8.9</formula>
    </cfRule>
    <cfRule type="cellIs" dxfId="504" priority="721" operator="between">
      <formula>7</formula>
      <formula>7.9</formula>
    </cfRule>
  </conditionalFormatting>
  <conditionalFormatting sqref="H131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03" priority="689" stopIfTrue="1" operator="between">
      <formula>8</formula>
      <formula>8.9</formula>
    </cfRule>
    <cfRule type="cellIs" dxfId="502" priority="688" operator="between">
      <formula>7</formula>
      <formula>7.9</formula>
    </cfRule>
    <cfRule type="cellIs" dxfId="501" priority="687" operator="between">
      <formula>10.1</formula>
      <formula>10.6</formula>
    </cfRule>
    <cfRule type="cellIs" dxfId="500" priority="686" operator="between">
      <formula>6</formula>
      <formula>6.9</formula>
    </cfRule>
    <cfRule type="cellIs" dxfId="499" priority="690" operator="between">
      <formula>9</formula>
      <formula>9.9</formula>
    </cfRule>
    <cfRule type="containsBlanks" dxfId="498" priority="692" stopIfTrue="1">
      <formula>LEN(TRIM(H132))=0</formula>
    </cfRule>
    <cfRule type="cellIs" dxfId="497" priority="691" stopIfTrue="1" operator="between">
      <formula>10</formula>
      <formula>10</formula>
    </cfRule>
  </conditionalFormatting>
  <conditionalFormatting sqref="H149">
    <cfRule type="colorScale" priority="622">
      <colorScale>
        <cfvo type="num" val="5"/>
        <cfvo type="num" val="10"/>
        <color rgb="FFFF494D"/>
        <color rgb="FF00FF66"/>
      </colorScale>
    </cfRule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496" priority="620" stopIfTrue="1">
      <formula>LEN(TRIM(H150))=0</formula>
    </cfRule>
    <cfRule type="cellIs" dxfId="495" priority="614" operator="between">
      <formula>6</formula>
      <formula>6.9</formula>
    </cfRule>
    <cfRule type="cellIs" dxfId="494" priority="615" operator="between">
      <formula>10.1</formula>
      <formula>10.6</formula>
    </cfRule>
    <cfRule type="cellIs" dxfId="493" priority="617" stopIfTrue="1" operator="between">
      <formula>8</formula>
      <formula>8.9</formula>
    </cfRule>
    <cfRule type="cellIs" dxfId="492" priority="619" stopIfTrue="1" operator="between">
      <formula>10</formula>
      <formula>10</formula>
    </cfRule>
    <cfRule type="cellIs" dxfId="491" priority="618" operator="between">
      <formula>9</formula>
      <formula>9.9</formula>
    </cfRule>
    <cfRule type="cellIs" dxfId="490" priority="616" operator="between">
      <formula>7</formula>
      <formula>7.9</formula>
    </cfRule>
  </conditionalFormatting>
  <conditionalFormatting sqref="H165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89" priority="563" operator="between">
      <formula>10.1</formula>
      <formula>10.6</formula>
    </cfRule>
    <cfRule type="cellIs" dxfId="488" priority="565" stopIfTrue="1" operator="between">
      <formula>8</formula>
      <formula>8.9</formula>
    </cfRule>
    <cfRule type="cellIs" dxfId="487" priority="564" operator="between">
      <formula>7</formula>
      <formula>7.9</formula>
    </cfRule>
    <cfRule type="containsBlanks" dxfId="486" priority="568" stopIfTrue="1">
      <formula>LEN(TRIM(H166))=0</formula>
    </cfRule>
    <cfRule type="cellIs" dxfId="485" priority="567" stopIfTrue="1" operator="between">
      <formula>10</formula>
      <formula>10</formula>
    </cfRule>
    <cfRule type="cellIs" dxfId="484" priority="566" operator="between">
      <formula>9</formula>
      <formula>9.9</formula>
    </cfRule>
    <cfRule type="cellIs" dxfId="483" priority="562" operator="between">
      <formula>6</formula>
      <formula>6.9</formula>
    </cfRule>
  </conditionalFormatting>
  <conditionalFormatting sqref="H177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482" priority="513" operator="between">
      <formula>6</formula>
      <formula>6.9</formula>
    </cfRule>
    <cfRule type="cellIs" dxfId="481" priority="514" operator="between">
      <formula>10.1</formula>
      <formula>10.6</formula>
    </cfRule>
    <cfRule type="cellIs" dxfId="480" priority="515" operator="between">
      <formula>7</formula>
      <formula>7.9</formula>
    </cfRule>
    <cfRule type="containsBlanks" dxfId="479" priority="519" stopIfTrue="1">
      <formula>LEN(TRIM(H178))=0</formula>
    </cfRule>
    <cfRule type="cellIs" dxfId="478" priority="518" stopIfTrue="1" operator="between">
      <formula>10</formula>
      <formula>10</formula>
    </cfRule>
    <cfRule type="cellIs" dxfId="477" priority="517" operator="between">
      <formula>9</formula>
      <formula>9.9</formula>
    </cfRule>
    <cfRule type="cellIs" dxfId="476" priority="516" stopIfTrue="1" operator="between">
      <formula>8</formula>
      <formula>8.9</formula>
    </cfRule>
  </conditionalFormatting>
  <conditionalFormatting sqref="H191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75" priority="458" stopIfTrue="1" operator="between">
      <formula>10</formula>
      <formula>10</formula>
    </cfRule>
    <cfRule type="cellIs" dxfId="474" priority="457" operator="between">
      <formula>9</formula>
      <formula>9.9</formula>
    </cfRule>
    <cfRule type="cellIs" dxfId="473" priority="456" stopIfTrue="1" operator="between">
      <formula>8</formula>
      <formula>8.9</formula>
    </cfRule>
    <cfRule type="cellIs" dxfId="472" priority="455" operator="between">
      <formula>7</formula>
      <formula>7.9</formula>
    </cfRule>
    <cfRule type="cellIs" dxfId="471" priority="454" operator="between">
      <formula>10.1</formula>
      <formula>10.6</formula>
    </cfRule>
    <cfRule type="cellIs" dxfId="470" priority="453" operator="between">
      <formula>6</formula>
      <formula>6.9</formula>
    </cfRule>
    <cfRule type="containsBlanks" dxfId="469" priority="459" stopIfTrue="1">
      <formula>LEN(TRIM(H192))=0</formula>
    </cfRule>
  </conditionalFormatting>
  <conditionalFormatting sqref="H202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68" priority="419" stopIfTrue="1" operator="between">
      <formula>10</formula>
      <formula>10</formula>
    </cfRule>
    <cfRule type="containsBlanks" dxfId="467" priority="420" stopIfTrue="1">
      <formula>LEN(TRIM(H203))=0</formula>
    </cfRule>
    <cfRule type="cellIs" dxfId="466" priority="414" operator="between">
      <formula>6</formula>
      <formula>6.9</formula>
    </cfRule>
    <cfRule type="cellIs" dxfId="465" priority="415" operator="between">
      <formula>10.1</formula>
      <formula>11</formula>
    </cfRule>
    <cfRule type="cellIs" dxfId="464" priority="416" operator="between">
      <formula>7</formula>
      <formula>7.9</formula>
    </cfRule>
    <cfRule type="cellIs" dxfId="463" priority="417" stopIfTrue="1" operator="between">
      <formula>8</formula>
      <formula>8.9</formula>
    </cfRule>
    <cfRule type="cellIs" dxfId="462" priority="418" operator="between">
      <formula>9</formula>
      <formula>9.9</formula>
    </cfRule>
  </conditionalFormatting>
  <conditionalFormatting sqref="H215">
    <cfRule type="colorScale" priority="362">
      <colorScale>
        <cfvo type="num" val="5"/>
        <cfvo type="num" val="10"/>
        <color rgb="FFFF494D"/>
        <color rgb="FF00FF66"/>
      </colorScale>
    </cfRule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61" priority="369" stopIfTrue="1">
      <formula>LEN(TRIM(H216))=0</formula>
    </cfRule>
    <cfRule type="cellIs" dxfId="460" priority="366" stopIfTrue="1" operator="between">
      <formula>8</formula>
      <formula>8.9</formula>
    </cfRule>
    <cfRule type="cellIs" dxfId="459" priority="368" stopIfTrue="1" operator="between">
      <formula>10</formula>
      <formula>10</formula>
    </cfRule>
    <cfRule type="cellIs" dxfId="458" priority="364" operator="between">
      <formula>10.1</formula>
      <formula>10.6</formula>
    </cfRule>
    <cfRule type="cellIs" dxfId="457" priority="363" operator="between">
      <formula>6</formula>
      <formula>6.9</formula>
    </cfRule>
    <cfRule type="cellIs" dxfId="456" priority="367" operator="between">
      <formula>9</formula>
      <formula>9.9</formula>
    </cfRule>
    <cfRule type="cellIs" dxfId="455" priority="365" operator="between">
      <formula>7</formula>
      <formula>7.9</formula>
    </cfRule>
  </conditionalFormatting>
  <conditionalFormatting sqref="H229">
    <cfRule type="colorScale" priority="331">
      <colorScale>
        <cfvo type="num" val="5"/>
        <cfvo type="num" val="10"/>
        <color rgb="FFFF494D"/>
        <color rgb="FF00FF66"/>
      </colorScale>
    </cfRule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54" priority="324" operator="between">
      <formula>10.1</formula>
      <formula>10.6</formula>
    </cfRule>
    <cfRule type="cellIs" dxfId="453" priority="326" stopIfTrue="1" operator="between">
      <formula>8</formula>
      <formula>8.9</formula>
    </cfRule>
    <cfRule type="cellIs" dxfId="452" priority="327" operator="between">
      <formula>9</formula>
      <formula>9.9</formula>
    </cfRule>
    <cfRule type="cellIs" dxfId="451" priority="328" stopIfTrue="1" operator="between">
      <formula>10</formula>
      <formula>10</formula>
    </cfRule>
    <cfRule type="containsBlanks" dxfId="450" priority="329" stopIfTrue="1">
      <formula>LEN(TRIM(H230))=0</formula>
    </cfRule>
    <cfRule type="cellIs" dxfId="449" priority="325" operator="between">
      <formula>7</formula>
      <formula>7.9</formula>
    </cfRule>
    <cfRule type="cellIs" dxfId="448" priority="323" operator="between">
      <formula>6</formula>
      <formula>6.9</formula>
    </cfRule>
  </conditionalFormatting>
  <conditionalFormatting sqref="H246">
    <cfRule type="colorScale" priority="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47" priority="275" operator="between">
      <formula>7</formula>
      <formula>7.9</formula>
    </cfRule>
    <cfRule type="cellIs" dxfId="446" priority="276" stopIfTrue="1" operator="between">
      <formula>8</formula>
      <formula>8.9</formula>
    </cfRule>
    <cfRule type="cellIs" dxfId="445" priority="273" operator="between">
      <formula>6</formula>
      <formula>6.9</formula>
    </cfRule>
    <cfRule type="cellIs" dxfId="444" priority="278" stopIfTrue="1" operator="between">
      <formula>10</formula>
      <formula>10</formula>
    </cfRule>
    <cfRule type="cellIs" dxfId="443" priority="277" operator="between">
      <formula>9</formula>
      <formula>9.9</formula>
    </cfRule>
    <cfRule type="containsBlanks" dxfId="442" priority="279" stopIfTrue="1">
      <formula>LEN(TRIM(H247))=0</formula>
    </cfRule>
    <cfRule type="cellIs" dxfId="441" priority="274" operator="between">
      <formula>10.1</formula>
      <formula>10.6</formula>
    </cfRule>
  </conditionalFormatting>
  <conditionalFormatting sqref="H258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440" priority="239" stopIfTrue="1">
      <formula>LEN(TRIM(H259))=0</formula>
    </cfRule>
    <cfRule type="cellIs" dxfId="439" priority="233" operator="between">
      <formula>6</formula>
      <formula>6.9</formula>
    </cfRule>
    <cfRule type="cellIs" dxfId="438" priority="238" stopIfTrue="1" operator="between">
      <formula>10</formula>
      <formula>10</formula>
    </cfRule>
    <cfRule type="cellIs" dxfId="437" priority="237" operator="between">
      <formula>9</formula>
      <formula>9.9</formula>
    </cfRule>
    <cfRule type="cellIs" dxfId="436" priority="236" stopIfTrue="1" operator="between">
      <formula>8</formula>
      <formula>8.9</formula>
    </cfRule>
    <cfRule type="cellIs" dxfId="435" priority="235" operator="between">
      <formula>7</formula>
      <formula>7.9</formula>
    </cfRule>
    <cfRule type="cellIs" dxfId="434" priority="234" operator="between">
      <formula>10.1</formula>
      <formula>10.6</formula>
    </cfRule>
  </conditionalFormatting>
  <conditionalFormatting sqref="H265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33" priority="199" operator="between">
      <formula>9</formula>
      <formula>9.9</formula>
    </cfRule>
    <cfRule type="cellIs" dxfId="432" priority="198" stopIfTrue="1" operator="between">
      <formula>8</formula>
      <formula>8.9</formula>
    </cfRule>
    <cfRule type="cellIs" dxfId="431" priority="197" operator="between">
      <formula>7</formula>
      <formula>7.9</formula>
    </cfRule>
    <cfRule type="cellIs" dxfId="430" priority="195" operator="between">
      <formula>6</formula>
      <formula>6.9</formula>
    </cfRule>
    <cfRule type="containsBlanks" dxfId="429" priority="201" stopIfTrue="1">
      <formula>LEN(TRIM(H266))=0</formula>
    </cfRule>
    <cfRule type="cellIs" dxfId="428" priority="196" operator="between">
      <formula>10.1</formula>
      <formula>10.6</formula>
    </cfRule>
    <cfRule type="cellIs" dxfId="427" priority="200" stopIfTrue="1" operator="between">
      <formula>10</formula>
      <formula>10</formula>
    </cfRule>
  </conditionalFormatting>
  <conditionalFormatting sqref="H276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426" priority="177" stopIfTrue="1">
      <formula>LEN(TRIM(H277))=0</formula>
    </cfRule>
    <cfRule type="cellIs" dxfId="425" priority="174" stopIfTrue="1" operator="between">
      <formula>8</formula>
      <formula>8.9</formula>
    </cfRule>
    <cfRule type="cellIs" dxfId="424" priority="173" operator="between">
      <formula>7</formula>
      <formula>7.9</formula>
    </cfRule>
    <cfRule type="cellIs" dxfId="423" priority="176" stopIfTrue="1" operator="between">
      <formula>10</formula>
      <formula>10</formula>
    </cfRule>
    <cfRule type="cellIs" dxfId="422" priority="172" operator="between">
      <formula>10.1</formula>
      <formula>10.6</formula>
    </cfRule>
    <cfRule type="cellIs" dxfId="421" priority="171" operator="between">
      <formula>6</formula>
      <formula>6.9</formula>
    </cfRule>
    <cfRule type="cellIs" dxfId="420" priority="175" operator="between">
      <formula>9</formula>
      <formula>9.9</formula>
    </cfRule>
  </conditionalFormatting>
  <conditionalFormatting sqref="H288">
    <cfRule type="colorScale" priority="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19" priority="100" operator="between">
      <formula>9</formula>
      <formula>9.9</formula>
    </cfRule>
    <cfRule type="containsBlanks" dxfId="418" priority="102" stopIfTrue="1">
      <formula>LEN(TRIM(H289))=0</formula>
    </cfRule>
    <cfRule type="cellIs" dxfId="417" priority="101" stopIfTrue="1" operator="between">
      <formula>10</formula>
      <formula>10</formula>
    </cfRule>
    <cfRule type="cellIs" dxfId="416" priority="98" operator="between">
      <formula>7</formula>
      <formula>7.9</formula>
    </cfRule>
    <cfRule type="cellIs" dxfId="415" priority="97" operator="between">
      <formula>10.1</formula>
      <formula>10.6</formula>
    </cfRule>
    <cfRule type="cellIs" dxfId="414" priority="96" operator="between">
      <formula>6</formula>
      <formula>6.9</formula>
    </cfRule>
    <cfRule type="cellIs" dxfId="413" priority="99" stopIfTrue="1" operator="between">
      <formula>8</formula>
      <formula>8.9</formula>
    </cfRule>
  </conditionalFormatting>
  <conditionalFormatting sqref="H296">
    <cfRule type="colorScale" priority="95">
      <colorScale>
        <cfvo type="num" val="5"/>
        <cfvo type="num" val="10"/>
        <color rgb="FFFF494D"/>
        <color rgb="FF00FF66"/>
      </colorScale>
    </cfRule>
    <cfRule type="colorScale" priority="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412" priority="85" stopIfTrue="1">
      <formula>LEN(TRIM(H297))=0</formula>
    </cfRule>
    <cfRule type="cellIs" dxfId="411" priority="86" operator="lessThan">
      <formula>2</formula>
    </cfRule>
    <cfRule type="cellIs" dxfId="410" priority="93" stopIfTrue="1" operator="between">
      <formula>10</formula>
      <formula>10</formula>
    </cfRule>
    <cfRule type="cellIs" dxfId="409" priority="92" operator="between">
      <formula>9</formula>
      <formula>9.9</formula>
    </cfRule>
    <cfRule type="cellIs" dxfId="408" priority="90" operator="between">
      <formula>7</formula>
      <formula>7.9</formula>
    </cfRule>
    <cfRule type="cellIs" dxfId="407" priority="89" operator="between">
      <formula>10.1</formula>
      <formula>10.6</formula>
    </cfRule>
    <cfRule type="cellIs" dxfId="406" priority="88" operator="between">
      <formula>5</formula>
      <formula>6.9</formula>
    </cfRule>
    <cfRule type="cellIs" dxfId="405" priority="87" operator="between">
      <formula>2</formula>
      <formula>4.9</formula>
    </cfRule>
    <cfRule type="cellIs" dxfId="404" priority="91" stopIfTrue="1" operator="between">
      <formula>8</formula>
      <formula>8.9</formula>
    </cfRule>
  </conditionalFormatting>
  <conditionalFormatting sqref="H309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403" priority="19" operator="between">
      <formula>9</formula>
      <formula>9.9</formula>
    </cfRule>
    <cfRule type="cellIs" dxfId="402" priority="20" stopIfTrue="1" operator="between">
      <formula>10</formula>
      <formula>10</formula>
    </cfRule>
    <cfRule type="containsBlanks" dxfId="401" priority="12" stopIfTrue="1">
      <formula>LEN(TRIM(H310))=0</formula>
    </cfRule>
    <cfRule type="cellIs" dxfId="400" priority="13" operator="lessThan">
      <formula>2</formula>
    </cfRule>
    <cfRule type="cellIs" dxfId="399" priority="14" operator="between">
      <formula>2</formula>
      <formula>4.9</formula>
    </cfRule>
    <cfRule type="cellIs" dxfId="398" priority="15" operator="between">
      <formula>5</formula>
      <formula>6.9</formula>
    </cfRule>
    <cfRule type="cellIs" dxfId="397" priority="16" operator="between">
      <formula>10.1</formula>
      <formula>10.6</formula>
    </cfRule>
    <cfRule type="cellIs" dxfId="396" priority="17" operator="between">
      <formula>7</formula>
      <formula>7.9</formula>
    </cfRule>
    <cfRule type="cellIs" dxfId="395" priority="18" stopIfTrue="1" operator="between">
      <formula>8</formula>
      <formula>8.9</formula>
    </cfRule>
  </conditionalFormatting>
  <conditionalFormatting sqref="K3:K12">
    <cfRule type="cellIs" dxfId="394" priority="1083" operator="between">
      <formula>7</formula>
      <formula>7.9</formula>
    </cfRule>
    <cfRule type="containsBlanks" dxfId="393" priority="1087" stopIfTrue="1">
      <formula>LEN(TRIM(K3))=0</formula>
    </cfRule>
    <cfRule type="cellIs" dxfId="392" priority="1086" stopIfTrue="1" operator="between">
      <formula>10</formula>
      <formula>10</formula>
    </cfRule>
    <cfRule type="cellIs" dxfId="391" priority="1085" operator="between">
      <formula>9</formula>
      <formula>9.9</formula>
    </cfRule>
    <cfRule type="cellIs" dxfId="390" priority="1084" stopIfTrue="1" operator="between">
      <formula>8</formula>
      <formula>8.9</formula>
    </cfRule>
    <cfRule type="cellIs" dxfId="389" priority="1082" operator="between">
      <formula>10.1</formula>
      <formula>10.6</formula>
    </cfRule>
  </conditionalFormatting>
  <conditionalFormatting sqref="K15:K23">
    <cfRule type="cellIs" dxfId="388" priority="491" stopIfTrue="1" operator="between">
      <formula>8</formula>
      <formula>8.9</formula>
    </cfRule>
    <cfRule type="cellIs" dxfId="387" priority="493" stopIfTrue="1" operator="between">
      <formula>10</formula>
      <formula>10</formula>
    </cfRule>
    <cfRule type="cellIs" dxfId="386" priority="492" operator="between">
      <formula>9</formula>
      <formula>9.9</formula>
    </cfRule>
    <cfRule type="cellIs" dxfId="385" priority="490" operator="between">
      <formula>7</formula>
      <formula>7.9</formula>
    </cfRule>
  </conditionalFormatting>
  <conditionalFormatting sqref="K23">
    <cfRule type="containsBlanks" dxfId="384" priority="494" stopIfTrue="1">
      <formula>LEN(TRIM(K23))=0</formula>
    </cfRule>
    <cfRule type="cellIs" dxfId="383" priority="489" operator="between">
      <formula>10.1</formula>
      <formula>10.6</formula>
    </cfRule>
  </conditionalFormatting>
  <conditionalFormatting sqref="K26:K38">
    <cfRule type="cellIs" dxfId="382" priority="1118" stopIfTrue="1" operator="between">
      <formula>8</formula>
      <formula>8.9</formula>
    </cfRule>
    <cfRule type="cellIs" dxfId="381" priority="1117" operator="between">
      <formula>7</formula>
      <formula>7.9</formula>
    </cfRule>
    <cfRule type="cellIs" dxfId="380" priority="1119" operator="between">
      <formula>9</formula>
      <formula>9.9</formula>
    </cfRule>
    <cfRule type="cellIs" dxfId="379" priority="1120" stopIfTrue="1" operator="between">
      <formula>10</formula>
      <formula>10</formula>
    </cfRule>
    <cfRule type="containsBlanks" dxfId="378" priority="1121" stopIfTrue="1">
      <formula>LEN(TRIM(K26))=0</formula>
    </cfRule>
  </conditionalFormatting>
  <conditionalFormatting sqref="K40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77" priority="1024" stopIfTrue="1" operator="between">
      <formula>8</formula>
      <formula>8.9</formula>
    </cfRule>
    <cfRule type="cellIs" dxfId="376" priority="1025" operator="between">
      <formula>9</formula>
      <formula>9.9</formula>
    </cfRule>
    <cfRule type="cellIs" dxfId="375" priority="1026" stopIfTrue="1" operator="between">
      <formula>10</formula>
      <formula>10</formula>
    </cfRule>
    <cfRule type="containsBlanks" dxfId="374" priority="1027" stopIfTrue="1">
      <formula>LEN(TRIM(K41))=0</formula>
    </cfRule>
    <cfRule type="cellIs" dxfId="373" priority="1023" operator="between">
      <formula>7</formula>
      <formula>7.9</formula>
    </cfRule>
    <cfRule type="cellIs" dxfId="372" priority="1022" operator="between">
      <formula>10.1</formula>
      <formula>10.6</formula>
    </cfRule>
  </conditionalFormatting>
  <conditionalFormatting sqref="K54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71" priority="987" operator="between">
      <formula>9</formula>
      <formula>9.9</formula>
    </cfRule>
    <cfRule type="cellIs" dxfId="370" priority="988" stopIfTrue="1" operator="between">
      <formula>10</formula>
      <formula>10</formula>
    </cfRule>
    <cfRule type="containsBlanks" dxfId="369" priority="989" stopIfTrue="1">
      <formula>LEN(TRIM(K55))=0</formula>
    </cfRule>
    <cfRule type="cellIs" dxfId="368" priority="986" stopIfTrue="1" operator="between">
      <formula>8</formula>
      <formula>8.9</formula>
    </cfRule>
    <cfRule type="cellIs" dxfId="367" priority="984" operator="between">
      <formula>10.1</formula>
      <formula>10.6</formula>
    </cfRule>
    <cfRule type="cellIs" dxfId="366" priority="985" operator="between">
      <formula>7</formula>
      <formula>7.9</formula>
    </cfRule>
  </conditionalFormatting>
  <conditionalFormatting sqref="K66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65" priority="960" operator="between">
      <formula>9</formula>
      <formula>9.9</formula>
    </cfRule>
    <cfRule type="cellIs" dxfId="364" priority="961" stopIfTrue="1" operator="between">
      <formula>10</formula>
      <formula>10</formula>
    </cfRule>
    <cfRule type="containsBlanks" dxfId="363" priority="962" stopIfTrue="1">
      <formula>LEN(TRIM(K67))=0</formula>
    </cfRule>
    <cfRule type="cellIs" dxfId="362" priority="957" operator="between">
      <formula>10.1</formula>
      <formula>10.6</formula>
    </cfRule>
    <cfRule type="cellIs" dxfId="361" priority="958" operator="between">
      <formula>7</formula>
      <formula>7.9</formula>
    </cfRule>
    <cfRule type="cellIs" dxfId="360" priority="959" stopIfTrue="1" operator="between">
      <formula>8</formula>
      <formula>8.9</formula>
    </cfRule>
  </conditionalFormatting>
  <conditionalFormatting sqref="K77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59" priority="904" operator="between">
      <formula>10.1</formula>
      <formula>10.6</formula>
    </cfRule>
    <cfRule type="cellIs" dxfId="358" priority="905" operator="between">
      <formula>7</formula>
      <formula>7.9</formula>
    </cfRule>
    <cfRule type="cellIs" dxfId="357" priority="906" stopIfTrue="1" operator="between">
      <formula>8</formula>
      <formula>8.9</formula>
    </cfRule>
    <cfRule type="cellIs" dxfId="356" priority="907" operator="between">
      <formula>9</formula>
      <formula>9.9</formula>
    </cfRule>
    <cfRule type="cellIs" dxfId="355" priority="908" stopIfTrue="1" operator="between">
      <formula>10</formula>
      <formula>10</formula>
    </cfRule>
    <cfRule type="containsBlanks" dxfId="354" priority="909" stopIfTrue="1">
      <formula>LEN(TRIM(K78))=0</formula>
    </cfRule>
  </conditionalFormatting>
  <conditionalFormatting sqref="K90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53" priority="861" stopIfTrue="1" operator="between">
      <formula>8</formula>
      <formula>8.9</formula>
    </cfRule>
    <cfRule type="cellIs" dxfId="352" priority="859" operator="between">
      <formula>10.1</formula>
      <formula>10.6</formula>
    </cfRule>
    <cfRule type="cellIs" dxfId="351" priority="860" operator="between">
      <formula>7</formula>
      <formula>7.9</formula>
    </cfRule>
    <cfRule type="containsBlanks" dxfId="350" priority="864" stopIfTrue="1">
      <formula>LEN(TRIM(K91))=0</formula>
    </cfRule>
    <cfRule type="cellIs" dxfId="349" priority="862" operator="between">
      <formula>9</formula>
      <formula>9.9</formula>
    </cfRule>
    <cfRule type="cellIs" dxfId="348" priority="863" stopIfTrue="1" operator="between">
      <formula>10</formula>
      <formula>10</formula>
    </cfRule>
  </conditionalFormatting>
  <conditionalFormatting sqref="K98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47" priority="830" stopIfTrue="1" operator="between">
      <formula>10</formula>
      <formula>10</formula>
    </cfRule>
    <cfRule type="cellIs" dxfId="346" priority="828" stopIfTrue="1" operator="between">
      <formula>8</formula>
      <formula>8.9</formula>
    </cfRule>
    <cfRule type="containsBlanks" dxfId="345" priority="831" stopIfTrue="1">
      <formula>LEN(TRIM(K99))=0</formula>
    </cfRule>
    <cfRule type="cellIs" dxfId="344" priority="826" operator="between">
      <formula>10.1</formula>
      <formula>10.6</formula>
    </cfRule>
    <cfRule type="cellIs" dxfId="343" priority="829" operator="between">
      <formula>9</formula>
      <formula>9.9</formula>
    </cfRule>
    <cfRule type="cellIs" dxfId="342" priority="825" operator="between">
      <formula>6</formula>
      <formula>6.9</formula>
    </cfRule>
    <cfRule type="cellIs" dxfId="341" priority="827" operator="between">
      <formula>7</formula>
      <formula>7.9</formula>
    </cfRule>
  </conditionalFormatting>
  <conditionalFormatting sqref="K111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340" priority="783" stopIfTrue="1">
      <formula>LEN(TRIM(K112))=0</formula>
    </cfRule>
    <cfRule type="cellIs" dxfId="339" priority="782" stopIfTrue="1" operator="between">
      <formula>10</formula>
      <formula>10</formula>
    </cfRule>
    <cfRule type="cellIs" dxfId="338" priority="781" operator="between">
      <formula>9</formula>
      <formula>9.9</formula>
    </cfRule>
    <cfRule type="cellIs" dxfId="337" priority="780" stopIfTrue="1" operator="between">
      <formula>8</formula>
      <formula>8.9</formula>
    </cfRule>
    <cfRule type="cellIs" dxfId="336" priority="779" operator="between">
      <formula>7</formula>
      <formula>7.9</formula>
    </cfRule>
    <cfRule type="cellIs" dxfId="335" priority="778" operator="between">
      <formula>10.1</formula>
      <formula>10.6</formula>
    </cfRule>
  </conditionalFormatting>
  <conditionalFormatting sqref="K114">
    <cfRule type="cellIs" dxfId="334" priority="777" operator="between">
      <formula>6</formula>
      <formula>6.9</formula>
    </cfRule>
  </conditionalFormatting>
  <conditionalFormatting sqref="K124">
    <cfRule type="colorScale" priority="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33" priority="735" operator="between">
      <formula>10.1</formula>
      <formula>10.6</formula>
    </cfRule>
    <cfRule type="cellIs" dxfId="332" priority="736" operator="between">
      <formula>7</formula>
      <formula>7.9</formula>
    </cfRule>
    <cfRule type="cellIs" dxfId="331" priority="737" stopIfTrue="1" operator="between">
      <formula>8</formula>
      <formula>8.9</formula>
    </cfRule>
    <cfRule type="containsBlanks" dxfId="330" priority="740" stopIfTrue="1">
      <formula>LEN(TRIM(K125))=0</formula>
    </cfRule>
    <cfRule type="cellIs" dxfId="329" priority="739" stopIfTrue="1" operator="between">
      <formula>10</formula>
      <formula>10</formula>
    </cfRule>
    <cfRule type="cellIs" dxfId="328" priority="738" operator="between">
      <formula>9</formula>
      <formula>9.9</formula>
    </cfRule>
  </conditionalFormatting>
  <conditionalFormatting sqref="K125:K134">
    <cfRule type="cellIs" dxfId="327" priority="728" operator="between">
      <formula>6</formula>
      <formula>6.9</formula>
    </cfRule>
    <cfRule type="cellIs" dxfId="326" priority="729" operator="between">
      <formula>10.1</formula>
      <formula>10.6</formula>
    </cfRule>
    <cfRule type="cellIs" dxfId="325" priority="730" operator="between">
      <formula>7</formula>
      <formula>7.9</formula>
    </cfRule>
    <cfRule type="cellIs" dxfId="324" priority="731" stopIfTrue="1" operator="between">
      <formula>8</formula>
      <formula>8.9</formula>
    </cfRule>
    <cfRule type="cellIs" dxfId="323" priority="733" stopIfTrue="1" operator="between">
      <formula>10</formula>
      <formula>10</formula>
    </cfRule>
    <cfRule type="containsBlanks" dxfId="322" priority="734" stopIfTrue="1">
      <formula>LEN(TRIM(K125))=0</formula>
    </cfRule>
    <cfRule type="cellIs" dxfId="321" priority="732" operator="between">
      <formula>9</formula>
      <formula>9.9</formula>
    </cfRule>
  </conditionalFormatting>
  <conditionalFormatting sqref="K136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20" priority="673" stopIfTrue="1" operator="between">
      <formula>8</formula>
      <formula>8.9</formula>
    </cfRule>
    <cfRule type="containsBlanks" dxfId="319" priority="676" stopIfTrue="1">
      <formula>LEN(TRIM(K137))=0</formula>
    </cfRule>
    <cfRule type="cellIs" dxfId="318" priority="672" operator="between">
      <formula>7</formula>
      <formula>7.9</formula>
    </cfRule>
    <cfRule type="cellIs" dxfId="317" priority="671" operator="between">
      <formula>10.1</formula>
      <formula>10.6</formula>
    </cfRule>
    <cfRule type="cellIs" dxfId="316" priority="670" operator="between">
      <formula>6</formula>
      <formula>6.9</formula>
    </cfRule>
    <cfRule type="cellIs" dxfId="315" priority="674" operator="between">
      <formula>9</formula>
      <formula>9.9</formula>
    </cfRule>
    <cfRule type="cellIs" dxfId="314" priority="675" stopIfTrue="1" operator="between">
      <formula>10</formula>
      <formula>10</formula>
    </cfRule>
  </conditionalFormatting>
  <conditionalFormatting sqref="K149">
    <cfRule type="colorScale" priority="606">
      <colorScale>
        <cfvo type="num" val="5"/>
        <cfvo type="num" val="10"/>
        <color rgb="FFFF494D"/>
        <color rgb="FF00FF66"/>
      </colorScale>
    </cfRule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313" priority="608" operator="between">
      <formula>10.1</formula>
      <formula>10.6</formula>
    </cfRule>
    <cfRule type="containsBlanks" dxfId="312" priority="613" stopIfTrue="1">
      <formula>LEN(TRIM(K150))=0</formula>
    </cfRule>
    <cfRule type="cellIs" dxfId="311" priority="612" stopIfTrue="1" operator="between">
      <formula>10</formula>
      <formula>10</formula>
    </cfRule>
    <cfRule type="cellIs" dxfId="310" priority="611" operator="between">
      <formula>9</formula>
      <formula>9.9</formula>
    </cfRule>
    <cfRule type="cellIs" dxfId="309" priority="610" stopIfTrue="1" operator="between">
      <formula>8</formula>
      <formula>8.9</formula>
    </cfRule>
    <cfRule type="cellIs" dxfId="308" priority="607" operator="between">
      <formula>6</formula>
      <formula>6.9</formula>
    </cfRule>
    <cfRule type="cellIs" dxfId="307" priority="609" operator="between">
      <formula>7</formula>
      <formula>7.9</formula>
    </cfRule>
  </conditionalFormatting>
  <conditionalFormatting sqref="K165">
    <cfRule type="colorScale" priority="559">
      <colorScale>
        <cfvo type="num" val="5"/>
        <cfvo type="num" val="10"/>
        <color rgb="FFFF494D"/>
        <color rgb="FF00FF66"/>
      </colorScale>
    </cfRule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06" priority="553" operator="between">
      <formula>7</formula>
      <formula>7.9</formula>
    </cfRule>
    <cfRule type="cellIs" dxfId="305" priority="554" stopIfTrue="1" operator="between">
      <formula>8</formula>
      <formula>8.9</formula>
    </cfRule>
    <cfRule type="cellIs" dxfId="304" priority="555" operator="between">
      <formula>9</formula>
      <formula>9.9</formula>
    </cfRule>
    <cfRule type="cellIs" dxfId="303" priority="552" operator="between">
      <formula>10.1</formula>
      <formula>10.6</formula>
    </cfRule>
    <cfRule type="cellIs" dxfId="302" priority="551" operator="between">
      <formula>6</formula>
      <formula>6.9</formula>
    </cfRule>
    <cfRule type="containsBlanks" dxfId="301" priority="557" stopIfTrue="1">
      <formula>LEN(TRIM(K166))=0</formula>
    </cfRule>
    <cfRule type="cellIs" dxfId="300" priority="556" stopIfTrue="1" operator="between">
      <formula>10</formula>
      <formula>10</formula>
    </cfRule>
  </conditionalFormatting>
  <conditionalFormatting sqref="K175">
    <cfRule type="colorScale" priority="523">
      <colorScale>
        <cfvo type="num" val="5"/>
        <cfvo type="num" val="10"/>
        <color rgb="FFFF494D"/>
        <color rgb="FF00FF66"/>
      </colorScale>
    </cfRule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99" priority="526" operator="between">
      <formula>7</formula>
      <formula>7.9</formula>
    </cfRule>
    <cfRule type="cellIs" dxfId="298" priority="525" operator="between">
      <formula>10.1</formula>
      <formula>10.6</formula>
    </cfRule>
    <cfRule type="containsBlanks" dxfId="297" priority="530" stopIfTrue="1">
      <formula>LEN(TRIM(K176))=0</formula>
    </cfRule>
    <cfRule type="cellIs" dxfId="296" priority="529" stopIfTrue="1" operator="between">
      <formula>10</formula>
      <formula>10</formula>
    </cfRule>
    <cfRule type="cellIs" dxfId="295" priority="528" operator="between">
      <formula>9</formula>
      <formula>9.9</formula>
    </cfRule>
    <cfRule type="cellIs" dxfId="294" priority="527" stopIfTrue="1" operator="between">
      <formula>8</formula>
      <formula>8.9</formula>
    </cfRule>
    <cfRule type="cellIs" dxfId="293" priority="524" operator="between">
      <formula>6</formula>
      <formula>6.9</formula>
    </cfRule>
  </conditionalFormatting>
  <conditionalFormatting sqref="K182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92" priority="509" stopIfTrue="1" operator="between">
      <formula>10</formula>
      <formula>10</formula>
    </cfRule>
    <cfRule type="cellIs" dxfId="291" priority="508" operator="between">
      <formula>9</formula>
      <formula>9.9</formula>
    </cfRule>
    <cfRule type="cellIs" dxfId="290" priority="507" stopIfTrue="1" operator="between">
      <formula>8</formula>
      <formula>8.9</formula>
    </cfRule>
    <cfRule type="cellIs" dxfId="289" priority="506" operator="between">
      <formula>7</formula>
      <formula>7.9</formula>
    </cfRule>
    <cfRule type="cellIs" dxfId="288" priority="505" operator="between">
      <formula>10.1</formula>
      <formula>10.6</formula>
    </cfRule>
    <cfRule type="cellIs" dxfId="287" priority="504" operator="between">
      <formula>6</formula>
      <formula>6.9</formula>
    </cfRule>
    <cfRule type="containsBlanks" dxfId="286" priority="510" stopIfTrue="1">
      <formula>LEN(TRIM(K183))=0</formula>
    </cfRule>
  </conditionalFormatting>
  <conditionalFormatting sqref="K189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285" priority="470" stopIfTrue="1">
      <formula>LEN(TRIM(K190))=0</formula>
    </cfRule>
    <cfRule type="cellIs" dxfId="284" priority="464" operator="between">
      <formula>6</formula>
      <formula>6.9</formula>
    </cfRule>
    <cfRule type="cellIs" dxfId="283" priority="465" operator="between">
      <formula>10.1</formula>
      <formula>10.6</formula>
    </cfRule>
    <cfRule type="cellIs" dxfId="282" priority="466" operator="between">
      <formula>7</formula>
      <formula>7.9</formula>
    </cfRule>
    <cfRule type="cellIs" dxfId="281" priority="467" stopIfTrue="1" operator="between">
      <formula>8</formula>
      <formula>8.9</formula>
    </cfRule>
    <cfRule type="cellIs" dxfId="280" priority="468" operator="between">
      <formula>9</formula>
      <formula>9.9</formula>
    </cfRule>
    <cfRule type="cellIs" dxfId="279" priority="469" stopIfTrue="1" operator="between">
      <formula>10</formula>
      <formula>10</formula>
    </cfRule>
  </conditionalFormatting>
  <conditionalFormatting sqref="K199">
    <cfRule type="colorScale" priority="443">
      <colorScale>
        <cfvo type="num" val="5"/>
        <cfvo type="num" val="10"/>
        <color rgb="FFFF494D"/>
        <color rgb="FF00FF66"/>
      </colorScale>
    </cfRule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278" priority="441" stopIfTrue="1">
      <formula>LEN(TRIM(K200))=0</formula>
    </cfRule>
    <cfRule type="cellIs" dxfId="277" priority="440" stopIfTrue="1" operator="between">
      <formula>10</formula>
      <formula>10</formula>
    </cfRule>
    <cfRule type="cellIs" dxfId="276" priority="439" operator="between">
      <formula>9</formula>
      <formula>9.9</formula>
    </cfRule>
    <cfRule type="cellIs" dxfId="275" priority="438" stopIfTrue="1" operator="between">
      <formula>8</formula>
      <formula>8.9</formula>
    </cfRule>
    <cfRule type="cellIs" dxfId="274" priority="437" operator="between">
      <formula>7</formula>
      <formula>7.9</formula>
    </cfRule>
    <cfRule type="cellIs" dxfId="273" priority="436" operator="between">
      <formula>10.1</formula>
      <formula>10.6</formula>
    </cfRule>
    <cfRule type="cellIs" dxfId="272" priority="435" operator="between">
      <formula>6</formula>
      <formula>6.9</formula>
    </cfRule>
  </conditionalFormatting>
  <conditionalFormatting sqref="K208"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71" priority="405" operator="between">
      <formula>6</formula>
      <formula>6.9</formula>
    </cfRule>
    <cfRule type="containsBlanks" dxfId="270" priority="411" stopIfTrue="1">
      <formula>LEN(TRIM(K209))=0</formula>
    </cfRule>
    <cfRule type="cellIs" dxfId="269" priority="410" stopIfTrue="1" operator="between">
      <formula>10</formula>
      <formula>10</formula>
    </cfRule>
    <cfRule type="cellIs" dxfId="268" priority="406" operator="between">
      <formula>10.1</formula>
      <formula>11</formula>
    </cfRule>
    <cfRule type="cellIs" dxfId="267" priority="407" operator="between">
      <formula>7</formula>
      <formula>7.9</formula>
    </cfRule>
    <cfRule type="cellIs" dxfId="266" priority="408" stopIfTrue="1" operator="between">
      <formula>8</formula>
      <formula>8.9</formula>
    </cfRule>
    <cfRule type="cellIs" dxfId="265" priority="409" operator="between">
      <formula>9</formula>
      <formula>9.9</formula>
    </cfRule>
  </conditionalFormatting>
  <conditionalFormatting sqref="K219"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64" priority="356" operator="between">
      <formula>9</formula>
      <formula>9.9</formula>
    </cfRule>
    <cfRule type="cellIs" dxfId="263" priority="352" operator="between">
      <formula>6</formula>
      <formula>6.9</formula>
    </cfRule>
    <cfRule type="cellIs" dxfId="262" priority="353" operator="between">
      <formula>10.1</formula>
      <formula>10.6</formula>
    </cfRule>
    <cfRule type="cellIs" dxfId="261" priority="354" operator="between">
      <formula>7</formula>
      <formula>7.9</formula>
    </cfRule>
    <cfRule type="cellIs" dxfId="260" priority="355" stopIfTrue="1" operator="between">
      <formula>8</formula>
      <formula>8.9</formula>
    </cfRule>
    <cfRule type="cellIs" dxfId="259" priority="357" stopIfTrue="1" operator="between">
      <formula>10</formula>
      <formula>10</formula>
    </cfRule>
    <cfRule type="containsBlanks" dxfId="258" priority="358" stopIfTrue="1">
      <formula>LEN(TRIM(K220))=0</formula>
    </cfRule>
  </conditionalFormatting>
  <conditionalFormatting sqref="K237">
    <cfRule type="colorScale" priority="297">
      <colorScale>
        <cfvo type="num" val="5"/>
        <cfvo type="num" val="10"/>
        <color rgb="FFFF494D"/>
        <color rgb="FF00FF66"/>
      </colorScale>
    </cfRule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257" priority="294" stopIfTrue="1" operator="between">
      <formula>10</formula>
      <formula>10</formula>
    </cfRule>
    <cfRule type="containsBlanks" dxfId="256" priority="295" stopIfTrue="1">
      <formula>LEN(TRIM(K238))=0</formula>
    </cfRule>
    <cfRule type="cellIs" dxfId="255" priority="293" operator="between">
      <formula>9</formula>
      <formula>9.9</formula>
    </cfRule>
    <cfRule type="cellIs" dxfId="254" priority="292" stopIfTrue="1" operator="between">
      <formula>8</formula>
      <formula>8.9</formula>
    </cfRule>
    <cfRule type="cellIs" dxfId="253" priority="291" operator="between">
      <formula>7</formula>
      <formula>7.9</formula>
    </cfRule>
    <cfRule type="cellIs" dxfId="252" priority="290" operator="between">
      <formula>10.1</formula>
      <formula>10.6</formula>
    </cfRule>
    <cfRule type="cellIs" dxfId="251" priority="289" operator="between">
      <formula>6</formula>
      <formula>6.9</formula>
    </cfRule>
  </conditionalFormatting>
  <conditionalFormatting sqref="K252">
    <cfRule type="colorScale" priority="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50" priority="249" stopIfTrue="1" operator="between">
      <formula>10</formula>
      <formula>10</formula>
    </cfRule>
    <cfRule type="containsBlanks" dxfId="249" priority="250" stopIfTrue="1">
      <formula>LEN(TRIM(K253))=0</formula>
    </cfRule>
    <cfRule type="cellIs" dxfId="248" priority="248" operator="between">
      <formula>9</formula>
      <formula>9.9</formula>
    </cfRule>
    <cfRule type="cellIs" dxfId="247" priority="246" operator="between">
      <formula>7</formula>
      <formula>7.9</formula>
    </cfRule>
    <cfRule type="cellIs" dxfId="246" priority="245" operator="between">
      <formula>10.1</formula>
      <formula>10.6</formula>
    </cfRule>
    <cfRule type="cellIs" dxfId="245" priority="244" operator="between">
      <formula>6</formula>
      <formula>6.9</formula>
    </cfRule>
    <cfRule type="cellIs" dxfId="244" priority="247" stopIfTrue="1" operator="between">
      <formula>8</formula>
      <formula>8.9</formula>
    </cfRule>
  </conditionalFormatting>
  <conditionalFormatting sqref="K264">
    <cfRule type="colorScale" priority="214">
      <colorScale>
        <cfvo type="num" val="5"/>
        <cfvo type="num" val="10"/>
        <color rgb="FFFF494D"/>
        <color rgb="FF00FF66"/>
      </colorScale>
    </cfRule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243" priority="221" stopIfTrue="1">
      <formula>LEN(TRIM(K265))=0</formula>
    </cfRule>
    <cfRule type="cellIs" dxfId="242" priority="220" stopIfTrue="1" operator="between">
      <formula>10</formula>
      <formula>10</formula>
    </cfRule>
    <cfRule type="cellIs" dxfId="241" priority="218" stopIfTrue="1" operator="between">
      <formula>8</formula>
      <formula>8.9</formula>
    </cfRule>
    <cfRule type="cellIs" dxfId="240" priority="217" operator="between">
      <formula>7</formula>
      <formula>7.9</formula>
    </cfRule>
    <cfRule type="cellIs" dxfId="239" priority="216" operator="between">
      <formula>10.1</formula>
      <formula>10.6</formula>
    </cfRule>
    <cfRule type="cellIs" dxfId="238" priority="215" operator="between">
      <formula>6</formula>
      <formula>6.9</formula>
    </cfRule>
    <cfRule type="cellIs" dxfId="237" priority="219" operator="between">
      <formula>9</formula>
      <formula>9.9</formula>
    </cfRule>
  </conditionalFormatting>
  <conditionalFormatting sqref="K276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236" priority="162" operator="between">
      <formula>6</formula>
      <formula>6.9</formula>
    </cfRule>
    <cfRule type="cellIs" dxfId="235" priority="164" operator="between">
      <formula>7</formula>
      <formula>7.9</formula>
    </cfRule>
    <cfRule type="cellIs" dxfId="234" priority="165" stopIfTrue="1" operator="between">
      <formula>8</formula>
      <formula>8.9</formula>
    </cfRule>
    <cfRule type="containsBlanks" dxfId="233" priority="168" stopIfTrue="1">
      <formula>LEN(TRIM(K277))=0</formula>
    </cfRule>
    <cfRule type="cellIs" dxfId="232" priority="163" operator="between">
      <formula>10.1</formula>
      <formula>10.6</formula>
    </cfRule>
    <cfRule type="cellIs" dxfId="231" priority="167" stopIfTrue="1" operator="between">
      <formula>10</formula>
      <formula>10</formula>
    </cfRule>
    <cfRule type="cellIs" dxfId="230" priority="166" operator="between">
      <formula>9</formula>
      <formula>9.9</formula>
    </cfRule>
  </conditionalFormatting>
  <conditionalFormatting sqref="K286">
    <cfRule type="colorScale" priority="122">
      <colorScale>
        <cfvo type="num" val="5"/>
        <cfvo type="num" val="10"/>
        <color rgb="FFFF494D"/>
        <color rgb="FF00FF66"/>
      </colorScale>
    </cfRule>
    <cfRule type="colorScale" priority="1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29" priority="115" operator="between">
      <formula>10.1</formula>
      <formula>10.6</formula>
    </cfRule>
    <cfRule type="cellIs" dxfId="228" priority="116" operator="between">
      <formula>7</formula>
      <formula>7.9</formula>
    </cfRule>
    <cfRule type="cellIs" dxfId="227" priority="117" stopIfTrue="1" operator="between">
      <formula>8</formula>
      <formula>8.9</formula>
    </cfRule>
    <cfRule type="cellIs" dxfId="226" priority="118" operator="between">
      <formula>9</formula>
      <formula>9.9</formula>
    </cfRule>
    <cfRule type="cellIs" dxfId="225" priority="114" operator="between">
      <formula>6</formula>
      <formula>6.9</formula>
    </cfRule>
    <cfRule type="containsBlanks" dxfId="224" priority="120" stopIfTrue="1">
      <formula>LEN(TRIM(K287))=0</formula>
    </cfRule>
    <cfRule type="cellIs" dxfId="223" priority="119" stopIfTrue="1" operator="between">
      <formula>10</formula>
      <formula>10</formula>
    </cfRule>
  </conditionalFormatting>
  <conditionalFormatting sqref="K296"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22" priority="77" operator="between">
      <formula>5</formula>
      <formula>6.9</formula>
    </cfRule>
    <cfRule type="cellIs" dxfId="221" priority="78" operator="between">
      <formula>10.1</formula>
      <formula>10.6</formula>
    </cfRule>
    <cfRule type="cellIs" dxfId="220" priority="79" operator="between">
      <formula>7</formula>
      <formula>7.9</formula>
    </cfRule>
    <cfRule type="cellIs" dxfId="219" priority="80" stopIfTrue="1" operator="between">
      <formula>8</formula>
      <formula>8.9</formula>
    </cfRule>
    <cfRule type="cellIs" dxfId="218" priority="81" operator="between">
      <formula>9</formula>
      <formula>9.9</formula>
    </cfRule>
    <cfRule type="cellIs" dxfId="217" priority="82" stopIfTrue="1" operator="between">
      <formula>10</formula>
      <formula>10</formula>
    </cfRule>
    <cfRule type="cellIs" dxfId="216" priority="75" operator="lessThan">
      <formula>2</formula>
    </cfRule>
    <cfRule type="cellIs" dxfId="215" priority="76" operator="between">
      <formula>2</formula>
      <formula>4.9</formula>
    </cfRule>
    <cfRule type="containsBlanks" dxfId="214" priority="74" stopIfTrue="1">
      <formula>LEN(TRIM(K297))=0</formula>
    </cfRule>
  </conditionalFormatting>
  <conditionalFormatting sqref="K304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13" priority="49" stopIfTrue="1" operator="between">
      <formula>8</formula>
      <formula>8.9</formula>
    </cfRule>
    <cfRule type="cellIs" dxfId="212" priority="48" operator="between">
      <formula>7</formula>
      <formula>7.9</formula>
    </cfRule>
    <cfRule type="cellIs" dxfId="211" priority="47" operator="between">
      <formula>10.1</formula>
      <formula>10.6</formula>
    </cfRule>
    <cfRule type="cellIs" dxfId="210" priority="46" operator="between">
      <formula>5</formula>
      <formula>6.9</formula>
    </cfRule>
    <cfRule type="cellIs" dxfId="209" priority="45" operator="between">
      <formula>2</formula>
      <formula>4.9</formula>
    </cfRule>
    <cfRule type="cellIs" dxfId="208" priority="44" operator="lessThan">
      <formula>2</formula>
    </cfRule>
    <cfRule type="cellIs" dxfId="207" priority="51" stopIfTrue="1" operator="between">
      <formula>10</formula>
      <formula>10</formula>
    </cfRule>
    <cfRule type="containsBlanks" dxfId="206" priority="43" stopIfTrue="1">
      <formula>LEN(TRIM(K305))=0</formula>
    </cfRule>
    <cfRule type="cellIs" dxfId="205" priority="50" operator="between">
      <formula>9</formula>
      <formula>9.9</formula>
    </cfRule>
  </conditionalFormatting>
  <conditionalFormatting sqref="M28">
    <cfRule type="colorScale" priority="1480">
      <colorScale>
        <cfvo type="num" val="5"/>
        <cfvo type="num" val="10"/>
        <color rgb="FFFF494D"/>
        <color rgb="FF00FF66"/>
      </colorScale>
    </cfRule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04" priority="1079" operator="between">
      <formula>9</formula>
      <formula>9.9</formula>
    </cfRule>
    <cfRule type="cellIs" dxfId="203" priority="1078" stopIfTrue="1" operator="between">
      <formula>8</formula>
      <formula>8.9</formula>
    </cfRule>
    <cfRule type="cellIs" dxfId="202" priority="1077" operator="between">
      <formula>7</formula>
      <formula>7.9</formula>
    </cfRule>
    <cfRule type="cellIs" dxfId="201" priority="1076" operator="between">
      <formula>10.1</formula>
      <formula>10.6</formula>
    </cfRule>
    <cfRule type="containsBlanks" dxfId="200" priority="1081" stopIfTrue="1">
      <formula>LEN(TRIM(N3))=0</formula>
    </cfRule>
    <cfRule type="cellIs" dxfId="199" priority="1080" stopIfTrue="1" operator="between">
      <formula>10</formula>
      <formula>10</formula>
    </cfRule>
  </conditionalFormatting>
  <conditionalFormatting sqref="N15:N26">
    <cfRule type="cellIs" dxfId="198" priority="1209" stopIfTrue="1" operator="between">
      <formula>8</formula>
      <formula>8.9</formula>
    </cfRule>
    <cfRule type="cellIs" dxfId="197" priority="1208" operator="between">
      <formula>7</formula>
      <formula>7.9</formula>
    </cfRule>
    <cfRule type="cellIs" dxfId="196" priority="1211" stopIfTrue="1" operator="between">
      <formula>10</formula>
      <formula>10</formula>
    </cfRule>
    <cfRule type="cellIs" dxfId="195" priority="1210" operator="between">
      <formula>9</formula>
      <formula>9.9</formula>
    </cfRule>
  </conditionalFormatting>
  <conditionalFormatting sqref="N28"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94" priority="1215" stopIfTrue="1" operator="between">
      <formula>10</formula>
      <formula>10</formula>
    </cfRule>
    <cfRule type="cellIs" dxfId="193" priority="1214" operator="between">
      <formula>9</formula>
      <formula>9.9</formula>
    </cfRule>
    <cfRule type="cellIs" dxfId="192" priority="1213" stopIfTrue="1" operator="between">
      <formula>8</formula>
      <formula>8.9</formula>
    </cfRule>
    <cfRule type="cellIs" dxfId="191" priority="1212" operator="between">
      <formula>7</formula>
      <formula>7.9</formula>
    </cfRule>
  </conditionalFormatting>
  <conditionalFormatting sqref="N39">
    <cfRule type="colorScale" priority="1447">
      <colorScale>
        <cfvo type="num" val="5"/>
        <cfvo type="num" val="10"/>
        <color rgb="FFFF494D"/>
        <color rgb="FF00FF66"/>
      </colorScale>
    </cfRule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0" priority="1016" operator="between">
      <formula>10.1</formula>
      <formula>10.6</formula>
    </cfRule>
    <cfRule type="cellIs" dxfId="189" priority="1017" operator="between">
      <formula>7</formula>
      <formula>7.9</formula>
    </cfRule>
    <cfRule type="cellIs" dxfId="188" priority="1018" stopIfTrue="1" operator="between">
      <formula>8</formula>
      <formula>8.9</formula>
    </cfRule>
    <cfRule type="cellIs" dxfId="187" priority="1019" operator="between">
      <formula>9</formula>
      <formula>9.9</formula>
    </cfRule>
    <cfRule type="cellIs" dxfId="186" priority="1020" stopIfTrue="1" operator="between">
      <formula>10</formula>
      <formula>10</formula>
    </cfRule>
    <cfRule type="containsBlanks" dxfId="185" priority="1021" stopIfTrue="1">
      <formula>LEN(TRIM(N40))=0</formula>
    </cfRule>
  </conditionalFormatting>
  <conditionalFormatting sqref="N54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84" priority="1003" stopIfTrue="1">
      <formula>LEN(TRIM(N55))=0</formula>
    </cfRule>
    <cfRule type="cellIs" dxfId="183" priority="1002" stopIfTrue="1" operator="between">
      <formula>10</formula>
      <formula>10</formula>
    </cfRule>
    <cfRule type="cellIs" dxfId="182" priority="1001" operator="between">
      <formula>9</formula>
      <formula>9.9</formula>
    </cfRule>
    <cfRule type="cellIs" dxfId="181" priority="1000" stopIfTrue="1" operator="between">
      <formula>8</formula>
      <formula>8.9</formula>
    </cfRule>
    <cfRule type="cellIs" dxfId="180" priority="999" operator="between">
      <formula>7</formula>
      <formula>7.9</formula>
    </cfRule>
    <cfRule type="cellIs" dxfId="179" priority="998" operator="between">
      <formula>10.1</formula>
      <formula>10.6</formula>
    </cfRule>
  </conditionalFormatting>
  <conditionalFormatting sqref="N67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78" priority="950" operator="between">
      <formula>7</formula>
      <formula>7.9</formula>
    </cfRule>
    <cfRule type="cellIs" dxfId="177" priority="951" stopIfTrue="1" operator="between">
      <formula>8</formula>
      <formula>8.9</formula>
    </cfRule>
    <cfRule type="cellIs" dxfId="176" priority="952" operator="between">
      <formula>9</formula>
      <formula>9.9</formula>
    </cfRule>
    <cfRule type="cellIs" dxfId="175" priority="953" stopIfTrue="1" operator="between">
      <formula>10</formula>
      <formula>10</formula>
    </cfRule>
    <cfRule type="containsBlanks" dxfId="174" priority="954" stopIfTrue="1">
      <formula>LEN(TRIM(N68))=0</formula>
    </cfRule>
    <cfRule type="cellIs" dxfId="173" priority="949" operator="between">
      <formula>10.1</formula>
      <formula>10.6</formula>
    </cfRule>
  </conditionalFormatting>
  <conditionalFormatting sqref="N79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72" priority="883" operator="between">
      <formula>9</formula>
      <formula>9.9</formula>
    </cfRule>
    <cfRule type="cellIs" dxfId="171" priority="884" stopIfTrue="1" operator="between">
      <formula>10</formula>
      <formula>10</formula>
    </cfRule>
    <cfRule type="containsBlanks" dxfId="170" priority="885" stopIfTrue="1">
      <formula>LEN(TRIM(N80))=0</formula>
    </cfRule>
    <cfRule type="cellIs" dxfId="169" priority="880" operator="between">
      <formula>10.1</formula>
      <formula>10.6</formula>
    </cfRule>
    <cfRule type="cellIs" dxfId="168" priority="881" operator="between">
      <formula>7</formula>
      <formula>7.9</formula>
    </cfRule>
    <cfRule type="cellIs" dxfId="167" priority="882" stopIfTrue="1" operator="between">
      <formula>8</formula>
      <formula>8.9</formula>
    </cfRule>
  </conditionalFormatting>
  <conditionalFormatting sqref="N93">
    <cfRule type="colorScale" priority="842">
      <colorScale>
        <cfvo type="num" val="5"/>
        <cfvo type="num" val="10"/>
        <color rgb="FFFF494D"/>
        <color rgb="FF00FF66"/>
      </colorScale>
    </cfRule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66" priority="848" stopIfTrue="1">
      <formula>LEN(TRIM(N94))=0</formula>
    </cfRule>
    <cfRule type="cellIs" dxfId="165" priority="847" stopIfTrue="1" operator="between">
      <formula>10</formula>
      <formula>10</formula>
    </cfRule>
    <cfRule type="cellIs" dxfId="164" priority="846" operator="between">
      <formula>9</formula>
      <formula>9.9</formula>
    </cfRule>
    <cfRule type="cellIs" dxfId="163" priority="845" stopIfTrue="1" operator="between">
      <formula>8</formula>
      <formula>8.9</formula>
    </cfRule>
    <cfRule type="cellIs" dxfId="162" priority="844" operator="between">
      <formula>7</formula>
      <formula>7.9</formula>
    </cfRule>
    <cfRule type="cellIs" dxfId="161" priority="843" operator="between">
      <formula>10.1</formula>
      <formula>10.6</formula>
    </cfRule>
  </conditionalFormatting>
  <conditionalFormatting sqref="N112"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0" priority="773" stopIfTrue="1" operator="between">
      <formula>10</formula>
      <formula>10</formula>
    </cfRule>
    <cfRule type="containsBlanks" dxfId="159" priority="774" stopIfTrue="1">
      <formula>LEN(TRIM(N113))=0</formula>
    </cfRule>
    <cfRule type="cellIs" dxfId="158" priority="771" stopIfTrue="1" operator="between">
      <formula>8</formula>
      <formula>8.9</formula>
    </cfRule>
    <cfRule type="cellIs" dxfId="157" priority="772" operator="between">
      <formula>9</formula>
      <formula>9.9</formula>
    </cfRule>
    <cfRule type="cellIs" dxfId="156" priority="769" operator="between">
      <formula>10.1</formula>
      <formula>10.6</formula>
    </cfRule>
    <cfRule type="cellIs" dxfId="155" priority="770" operator="between">
      <formula>7</formula>
      <formula>7.9</formula>
    </cfRule>
  </conditionalFormatting>
  <conditionalFormatting sqref="N127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54" priority="704" stopIfTrue="1" operator="between">
      <formula>8</formula>
      <formula>8.9</formula>
    </cfRule>
    <cfRule type="cellIs" dxfId="153" priority="700" stopIfTrue="1" operator="between">
      <formula>10</formula>
      <formula>10</formula>
    </cfRule>
    <cfRule type="containsBlanks" dxfId="152" priority="707" stopIfTrue="1">
      <formula>LEN(TRIM(N128))=0</formula>
    </cfRule>
    <cfRule type="cellIs" dxfId="151" priority="702" operator="between">
      <formula>10.1</formula>
      <formula>10.6</formula>
    </cfRule>
    <cfRule type="containsBlanks" dxfId="150" priority="701" stopIfTrue="1">
      <formula>LEN(TRIM(N128))=0</formula>
    </cfRule>
    <cfRule type="cellIs" dxfId="149" priority="699" operator="between">
      <formula>9</formula>
      <formula>9.9</formula>
    </cfRule>
    <cfRule type="cellIs" dxfId="148" priority="698" stopIfTrue="1" operator="between">
      <formula>8</formula>
      <formula>8.9</formula>
    </cfRule>
    <cfRule type="cellIs" dxfId="147" priority="697" operator="between">
      <formula>7</formula>
      <formula>7.9</formula>
    </cfRule>
    <cfRule type="cellIs" dxfId="146" priority="696" operator="between">
      <formula>10.1</formula>
      <formula>10.6</formula>
    </cfRule>
    <cfRule type="cellIs" dxfId="145" priority="695" operator="between">
      <formula>6</formula>
      <formula>6.9</formula>
    </cfRule>
    <cfRule type="cellIs" dxfId="144" priority="706" stopIfTrue="1" operator="between">
      <formula>10</formula>
      <formula>10</formula>
    </cfRule>
    <cfRule type="cellIs" dxfId="143" priority="705" operator="between">
      <formula>9</formula>
      <formula>9.9</formula>
    </cfRule>
    <cfRule type="cellIs" dxfId="142" priority="703" operator="between">
      <formula>7</formula>
      <formula>7.9</formula>
    </cfRule>
  </conditionalFormatting>
  <conditionalFormatting sqref="N137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41" priority="665" stopIfTrue="1">
      <formula>LEN(TRIM(N138))=0</formula>
    </cfRule>
    <cfRule type="cellIs" dxfId="140" priority="664" stopIfTrue="1" operator="between">
      <formula>10</formula>
      <formula>10</formula>
    </cfRule>
    <cfRule type="cellIs" dxfId="139" priority="663" operator="between">
      <formula>9</formula>
      <formula>9.9</formula>
    </cfRule>
    <cfRule type="cellIs" dxfId="138" priority="662" stopIfTrue="1" operator="between">
      <formula>8</formula>
      <formula>8.9</formula>
    </cfRule>
    <cfRule type="cellIs" dxfId="137" priority="661" operator="between">
      <formula>7</formula>
      <formula>7.9</formula>
    </cfRule>
    <cfRule type="cellIs" dxfId="136" priority="660" operator="between">
      <formula>10.1</formula>
      <formula>10.6</formula>
    </cfRule>
    <cfRule type="cellIs" dxfId="135" priority="659" operator="between">
      <formula>6</formula>
      <formula>6.9</formula>
    </cfRule>
  </conditionalFormatting>
  <conditionalFormatting sqref="N144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34" priority="656" stopIfTrue="1">
      <formula>LEN(TRIM(N145))=0</formula>
    </cfRule>
    <cfRule type="cellIs" dxfId="133" priority="655" stopIfTrue="1" operator="between">
      <formula>10</formula>
      <formula>10</formula>
    </cfRule>
    <cfRule type="cellIs" dxfId="132" priority="654" operator="between">
      <formula>9</formula>
      <formula>9.9</formula>
    </cfRule>
    <cfRule type="cellIs" dxfId="131" priority="653" stopIfTrue="1" operator="between">
      <formula>8</formula>
      <formula>8.9</formula>
    </cfRule>
    <cfRule type="cellIs" dxfId="130" priority="652" operator="between">
      <formula>7</formula>
      <formula>7.9</formula>
    </cfRule>
    <cfRule type="cellIs" dxfId="129" priority="651" operator="between">
      <formula>10.1</formula>
      <formula>10.6</formula>
    </cfRule>
    <cfRule type="cellIs" dxfId="128" priority="650" operator="between">
      <formula>6</formula>
      <formula>6.9</formula>
    </cfRule>
  </conditionalFormatting>
  <conditionalFormatting sqref="N152">
    <cfRule type="colorScale" priority="604">
      <colorScale>
        <cfvo type="num" val="5"/>
        <cfvo type="num" val="10"/>
        <color rgb="FFFF494D"/>
        <color rgb="FF00FF66"/>
      </colorScale>
    </cfRule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27" priority="602" stopIfTrue="1">
      <formula>LEN(TRIM(N153))=0</formula>
    </cfRule>
    <cfRule type="cellIs" dxfId="126" priority="601" stopIfTrue="1" operator="between">
      <formula>10</formula>
      <formula>10</formula>
    </cfRule>
    <cfRule type="cellIs" dxfId="125" priority="598" operator="between">
      <formula>7</formula>
      <formula>7.9</formula>
    </cfRule>
    <cfRule type="cellIs" dxfId="124" priority="600" operator="between">
      <formula>9</formula>
      <formula>9.9</formula>
    </cfRule>
    <cfRule type="cellIs" dxfId="123" priority="596" operator="between">
      <formula>6</formula>
      <formula>6.9</formula>
    </cfRule>
    <cfRule type="cellIs" dxfId="122" priority="597" operator="between">
      <formula>10.1</formula>
      <formula>10.6</formula>
    </cfRule>
    <cfRule type="cellIs" dxfId="121" priority="599" stopIfTrue="1" operator="between">
      <formula>8</formula>
      <formula>8.9</formula>
    </cfRule>
  </conditionalFormatting>
  <conditionalFormatting sqref="N161"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0" priority="581" operator="between">
      <formula>10.1</formula>
      <formula>10.6</formula>
    </cfRule>
    <cfRule type="cellIs" dxfId="119" priority="580" operator="between">
      <formula>6</formula>
      <formula>6.9</formula>
    </cfRule>
    <cfRule type="cellIs" dxfId="118" priority="582" operator="between">
      <formula>7</formula>
      <formula>7.9</formula>
    </cfRule>
    <cfRule type="cellIs" dxfId="117" priority="585" stopIfTrue="1" operator="between">
      <formula>10</formula>
      <formula>10</formula>
    </cfRule>
    <cfRule type="containsBlanks" dxfId="116" priority="586" stopIfTrue="1">
      <formula>LEN(TRIM(N162))=0</formula>
    </cfRule>
    <cfRule type="cellIs" dxfId="115" priority="583" stopIfTrue="1" operator="between">
      <formula>8</formula>
      <formula>8.9</formula>
    </cfRule>
    <cfRule type="cellIs" dxfId="114" priority="584" operator="between">
      <formula>9</formula>
      <formula>9.9</formula>
    </cfRule>
  </conditionalFormatting>
  <conditionalFormatting sqref="N182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13" priority="475" operator="between">
      <formula>9</formula>
      <formula>9.9</formula>
    </cfRule>
    <cfRule type="cellIs" dxfId="112" priority="476" stopIfTrue="1" operator="between">
      <formula>10</formula>
      <formula>10</formula>
    </cfRule>
    <cfRule type="cellIs" dxfId="111" priority="473" operator="between">
      <formula>7</formula>
      <formula>7.9</formula>
    </cfRule>
    <cfRule type="cellIs" dxfId="110" priority="474" stopIfTrue="1" operator="between">
      <formula>8</formula>
      <formula>8.9</formula>
    </cfRule>
    <cfRule type="cellIs" dxfId="109" priority="472" operator="between">
      <formula>10.1</formula>
      <formula>10.6</formula>
    </cfRule>
    <cfRule type="cellIs" dxfId="108" priority="471" operator="between">
      <formula>6</formula>
      <formula>6.9</formula>
    </cfRule>
    <cfRule type="containsBlanks" dxfId="107" priority="477" stopIfTrue="1">
      <formula>LEN(TRIM(N186))=0</formula>
    </cfRule>
  </conditionalFormatting>
  <conditionalFormatting sqref="N211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06" priority="393" stopIfTrue="1" operator="between">
      <formula>10</formula>
      <formula>10</formula>
    </cfRule>
    <cfRule type="cellIs" dxfId="105" priority="392" operator="between">
      <formula>9</formula>
      <formula>9.9</formula>
    </cfRule>
    <cfRule type="cellIs" dxfId="104" priority="391" stopIfTrue="1" operator="between">
      <formula>8</formula>
      <formula>8.9</formula>
    </cfRule>
    <cfRule type="cellIs" dxfId="103" priority="390" operator="between">
      <formula>7</formula>
      <formula>7.9</formula>
    </cfRule>
    <cfRule type="cellIs" dxfId="102" priority="389" operator="between">
      <formula>10.1</formula>
      <formula>11</formula>
    </cfRule>
    <cfRule type="cellIs" dxfId="101" priority="388" operator="between">
      <formula>6</formula>
      <formula>6.9</formula>
    </cfRule>
    <cfRule type="containsBlanks" dxfId="100" priority="394" stopIfTrue="1">
      <formula>LEN(TRIM(N212))=0</formula>
    </cfRule>
  </conditionalFormatting>
  <conditionalFormatting sqref="N228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9" priority="339" stopIfTrue="1" operator="between">
      <formula>10</formula>
      <formula>10</formula>
    </cfRule>
    <cfRule type="cellIs" dxfId="98" priority="334" operator="between">
      <formula>6</formula>
      <formula>6.9</formula>
    </cfRule>
    <cfRule type="cellIs" dxfId="97" priority="335" operator="between">
      <formula>10.1</formula>
      <formula>11</formula>
    </cfRule>
    <cfRule type="cellIs" dxfId="96" priority="336" operator="between">
      <formula>7</formula>
      <formula>7.9</formula>
    </cfRule>
    <cfRule type="cellIs" dxfId="95" priority="337" stopIfTrue="1" operator="between">
      <formula>8</formula>
      <formula>8.9</formula>
    </cfRule>
    <cfRule type="cellIs" dxfId="94" priority="338" operator="between">
      <formula>9</formula>
      <formula>9.9</formula>
    </cfRule>
    <cfRule type="containsBlanks" dxfId="93" priority="340" stopIfTrue="1">
      <formula>LEN(TRIM(N229))=0</formula>
    </cfRule>
  </conditionalFormatting>
  <conditionalFormatting sqref="N240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92" priority="284" operator="between">
      <formula>9</formula>
      <formula>9.9</formula>
    </cfRule>
    <cfRule type="cellIs" dxfId="91" priority="285" stopIfTrue="1" operator="between">
      <formula>10</formula>
      <formula>10</formula>
    </cfRule>
    <cfRule type="containsBlanks" dxfId="90" priority="286" stopIfTrue="1">
      <formula>LEN(TRIM(N241))=0</formula>
    </cfRule>
    <cfRule type="cellIs" dxfId="89" priority="280" operator="between">
      <formula>6</formula>
      <formula>6.9</formula>
    </cfRule>
    <cfRule type="cellIs" dxfId="88" priority="281" operator="between">
      <formula>10.1</formula>
      <formula>10.6</formula>
    </cfRule>
    <cfRule type="cellIs" dxfId="87" priority="282" operator="between">
      <formula>7</formula>
      <formula>7.9</formula>
    </cfRule>
    <cfRule type="cellIs" dxfId="86" priority="283" stopIfTrue="1" operator="between">
      <formula>8</formula>
      <formula>8.9</formula>
    </cfRule>
  </conditionalFormatting>
  <conditionalFormatting sqref="N249">
    <cfRule type="colorScale" priority="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85" priority="253" operator="between">
      <formula>6</formula>
      <formula>6.9</formula>
    </cfRule>
    <cfRule type="cellIs" dxfId="84" priority="254" operator="between">
      <formula>10.1</formula>
      <formula>10.6</formula>
    </cfRule>
    <cfRule type="cellIs" dxfId="83" priority="255" operator="between">
      <formula>7</formula>
      <formula>7.9</formula>
    </cfRule>
    <cfRule type="cellIs" dxfId="82" priority="256" stopIfTrue="1" operator="between">
      <formula>8</formula>
      <formula>8.9</formula>
    </cfRule>
    <cfRule type="cellIs" dxfId="81" priority="257" operator="between">
      <formula>9</formula>
      <formula>9.9</formula>
    </cfRule>
    <cfRule type="cellIs" dxfId="80" priority="258" stopIfTrue="1" operator="between">
      <formula>10</formula>
      <formula>10</formula>
    </cfRule>
    <cfRule type="containsBlanks" dxfId="79" priority="259" stopIfTrue="1">
      <formula>LEN(TRIM(N250))=0</formula>
    </cfRule>
  </conditionalFormatting>
  <conditionalFormatting sqref="N277">
    <cfRule type="colorScale" priority="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78" priority="149" stopIfTrue="1">
      <formula>LEN(TRIM(N278))=0</formula>
    </cfRule>
    <cfRule type="cellIs" dxfId="77" priority="148" stopIfTrue="1" operator="between">
      <formula>10</formula>
      <formula>10</formula>
    </cfRule>
    <cfRule type="cellIs" dxfId="76" priority="143" operator="between">
      <formula>6</formula>
      <formula>6.9</formula>
    </cfRule>
    <cfRule type="cellIs" dxfId="75" priority="144" operator="between">
      <formula>10.1</formula>
      <formula>10.6</formula>
    </cfRule>
    <cfRule type="cellIs" dxfId="74" priority="146" stopIfTrue="1" operator="between">
      <formula>8</formula>
      <formula>8.9</formula>
    </cfRule>
    <cfRule type="cellIs" dxfId="73" priority="145" operator="between">
      <formula>7</formula>
      <formula>7.9</formula>
    </cfRule>
    <cfRule type="cellIs" dxfId="72" priority="147" operator="between">
      <formula>9</formula>
      <formula>9.9</formula>
    </cfRule>
  </conditionalFormatting>
  <conditionalFormatting sqref="N284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ontainsBlanks" dxfId="71" priority="131" stopIfTrue="1">
      <formula>LEN(TRIM(N285))=0</formula>
    </cfRule>
    <cfRule type="cellIs" dxfId="70" priority="130" stopIfTrue="1" operator="between">
      <formula>10</formula>
      <formula>10</formula>
    </cfRule>
    <cfRule type="cellIs" dxfId="69" priority="128" stopIfTrue="1" operator="between">
      <formula>8</formula>
      <formula>8.9</formula>
    </cfRule>
    <cfRule type="cellIs" dxfId="68" priority="127" operator="between">
      <formula>7</formula>
      <formula>7.9</formula>
    </cfRule>
    <cfRule type="cellIs" dxfId="67" priority="126" operator="between">
      <formula>10.1</formula>
      <formula>10.6</formula>
    </cfRule>
    <cfRule type="cellIs" dxfId="66" priority="125" operator="between">
      <formula>6</formula>
      <formula>6.9</formula>
    </cfRule>
    <cfRule type="cellIs" dxfId="65" priority="129" operator="between">
      <formula>9</formula>
      <formula>9.9</formula>
    </cfRule>
  </conditionalFormatting>
  <conditionalFormatting sqref="N297">
    <cfRule type="colorScale" priority="73">
      <colorScale>
        <cfvo type="num" val="5"/>
        <cfvo type="num" val="10"/>
        <color rgb="FFFF494D"/>
        <color rgb="FF00FF66"/>
      </colorScale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64" priority="67" operator="between">
      <formula>10.1</formula>
      <formula>10.6</formula>
    </cfRule>
    <cfRule type="cellIs" dxfId="63" priority="68" operator="between">
      <formula>7</formula>
      <formula>7.9</formula>
    </cfRule>
    <cfRule type="cellIs" dxfId="62" priority="69" stopIfTrue="1" operator="between">
      <formula>8</formula>
      <formula>8.9</formula>
    </cfRule>
    <cfRule type="cellIs" dxfId="61" priority="70" operator="between">
      <formula>9</formula>
      <formula>9.9</formula>
    </cfRule>
    <cfRule type="cellIs" dxfId="60" priority="71" stopIfTrue="1" operator="between">
      <formula>10</formula>
      <formula>10</formula>
    </cfRule>
    <cfRule type="containsBlanks" dxfId="59" priority="63" stopIfTrue="1">
      <formula>LEN(TRIM(N298))=0</formula>
    </cfRule>
    <cfRule type="cellIs" dxfId="58" priority="64" operator="lessThan">
      <formula>2</formula>
    </cfRule>
    <cfRule type="cellIs" dxfId="57" priority="65" operator="between">
      <formula>2</formula>
      <formula>4.9</formula>
    </cfRule>
    <cfRule type="cellIs" dxfId="56" priority="66" operator="between">
      <formula>5</formula>
      <formula>6.9</formula>
    </cfRule>
  </conditionalFormatting>
  <conditionalFormatting sqref="N306">
    <cfRule type="colorScale" priority="42">
      <colorScale>
        <cfvo type="num" val="5"/>
        <cfvo type="num" val="10"/>
        <color rgb="FFFF494D"/>
        <color rgb="FF00FF66"/>
      </colorScale>
    </cfRule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55" priority="40" stopIfTrue="1" operator="between">
      <formula>10</formula>
      <formula>10</formula>
    </cfRule>
    <cfRule type="cellIs" dxfId="54" priority="39" operator="between">
      <formula>9</formula>
      <formula>9.9</formula>
    </cfRule>
    <cfRule type="cellIs" dxfId="53" priority="37" operator="between">
      <formula>7</formula>
      <formula>7.9</formula>
    </cfRule>
    <cfRule type="cellIs" dxfId="52" priority="36" operator="between">
      <formula>10.1</formula>
      <formula>10.6</formula>
    </cfRule>
    <cfRule type="containsBlanks" dxfId="51" priority="32" stopIfTrue="1">
      <formula>LEN(TRIM(N307))=0</formula>
    </cfRule>
    <cfRule type="cellIs" dxfId="50" priority="33" operator="lessThan">
      <formula>2</formula>
    </cfRule>
    <cfRule type="cellIs" dxfId="49" priority="34" operator="between">
      <formula>2</formula>
      <formula>4.9</formula>
    </cfRule>
    <cfRule type="cellIs" dxfId="48" priority="35" operator="between">
      <formula>5</formula>
      <formula>6.9</formula>
    </cfRule>
    <cfRule type="cellIs" dxfId="47" priority="38" stopIfTrue="1" operator="between">
      <formula>8</formula>
      <formula>8.9</formula>
    </cfRule>
  </conditionalFormatting>
  <conditionalFormatting sqref="AM3:AM9">
    <cfRule type="cellIs" dxfId="46" priority="1147" operator="between">
      <formula>10</formula>
      <formula>10</formula>
    </cfRule>
    <cfRule type="cellIs" dxfId="45" priority="1145" operator="between">
      <formula>8</formula>
      <formula>8.9</formula>
    </cfRule>
    <cfRule type="cellIs" dxfId="44" priority="1144" operator="between">
      <formula>7</formula>
      <formula>7.9</formula>
    </cfRule>
    <cfRule type="cellIs" dxfId="43" priority="1146" operator="between">
      <formula>9</formula>
      <formula>9.9</formula>
    </cfRule>
  </conditionalFormatting>
  <conditionalFormatting sqref="E310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6" priority="1" stopIfTrue="1">
      <formula>LEN(TRIM(E311))=0</formula>
    </cfRule>
    <cfRule type="cellIs" dxfId="5" priority="2" operator="lessThan">
      <formula>2</formula>
    </cfRule>
    <cfRule type="cellIs" dxfId="4" priority="3" operator="between">
      <formula>2</formula>
      <formula>4.9</formula>
    </cfRule>
    <cfRule type="cellIs" dxfId="3" priority="4" operator="between">
      <formula>5</formula>
      <formula>6.9</formula>
    </cfRule>
    <cfRule type="cellIs" dxfId="2" priority="5" operator="between">
      <formula>10.1</formula>
      <formula>10.6</formula>
    </cfRule>
    <cfRule type="cellIs" dxfId="1" priority="6" operator="between">
      <formula>7</formula>
      <formula>7.9</formula>
    </cfRule>
    <cfRule type="cellIs" dxfId="0" priority="7" stopIfTrue="1" operator="between">
      <formula>8</formula>
      <formula>8.9</formula>
    </cfRule>
    <cfRule type="cellIs" dxfId="8" priority="8" operator="between">
      <formula>9</formula>
      <formula>9.9</formula>
    </cfRule>
    <cfRule type="cellIs" dxfId="7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2026-04-01T11:28:08Z</dcterms:modified>
</cp:coreProperties>
</file>